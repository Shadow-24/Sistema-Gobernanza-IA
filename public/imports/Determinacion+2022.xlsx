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U:\ADMI\GFTE\ESTADISTICAS\Canon\Portal\2022\"/>
    </mc:Choice>
  </mc:AlternateContent>
  <xr:revisionPtr revIDLastSave="0" documentId="13_ncr:1_{DF391069-C868-4AC7-80A8-FB16CE572B57}" xr6:coauthVersionLast="47" xr6:coauthVersionMax="47" xr10:uidLastSave="{00000000-0000-0000-0000-000000000000}"/>
  <bookViews>
    <workbookView xWindow="-120" yWindow="-120" windowWidth="24240" windowHeight="13140" tabRatio="649" activeTab="11" xr2:uid="{00000000-000D-0000-FFFF-FFFF00000000}"/>
  </bookViews>
  <sheets>
    <sheet name="Ene" sheetId="22" r:id="rId1"/>
    <sheet name="Feb" sheetId="2" r:id="rId2"/>
    <sheet name="Mar" sheetId="3" r:id="rId3"/>
    <sheet name="Abr" sheetId="19" r:id="rId4"/>
    <sheet name="May" sheetId="5" r:id="rId5"/>
    <sheet name="Jun" sheetId="6" r:id="rId6"/>
    <sheet name="Jul" sheetId="7" r:id="rId7"/>
    <sheet name="Ago" sheetId="8" r:id="rId8"/>
    <sheet name="Set" sheetId="18" r:id="rId9"/>
    <sheet name="Oct" sheetId="10" r:id="rId10"/>
    <sheet name="Nov" sheetId="20" r:id="rId11"/>
    <sheet name="Dic" sheetId="12" r:id="rId12"/>
    <sheet name="Tot.22" sheetId="13" r:id="rId13"/>
  </sheets>
  <externalReferences>
    <externalReference r:id="rId14"/>
    <externalReference r:id="rId15"/>
  </externalReferences>
  <definedNames>
    <definedName name="_Order1" hidden="1">255</definedName>
    <definedName name="_Order2" hidden="1">255</definedName>
    <definedName name="_xlnm.Print_Area" localSheetId="3">Abr!$A$2:$T$93</definedName>
    <definedName name="_xlnm.Print_Area" localSheetId="7">Ago!$A$2:$T$92</definedName>
    <definedName name="_xlnm.Print_Area" localSheetId="11">Dic!$A$2:$T$92</definedName>
    <definedName name="_xlnm.Print_Area" localSheetId="0">Ene!$A$2:$T$93</definedName>
    <definedName name="_xlnm.Print_Area" localSheetId="1">Feb!$A$2:$T$92</definedName>
    <definedName name="_xlnm.Print_Area" localSheetId="6">Jul!$A$2:$T$92</definedName>
    <definedName name="_xlnm.Print_Area" localSheetId="5">Jun!$A$2:$T$92</definedName>
    <definedName name="_xlnm.Print_Area" localSheetId="2">Mar!$A$2:$T$92</definedName>
    <definedName name="_xlnm.Print_Area" localSheetId="4">May!$A$2:$T$92</definedName>
    <definedName name="_xlnm.Print_Area" localSheetId="10">Nov!$A$2:$T$92</definedName>
    <definedName name="_xlnm.Print_Area" localSheetId="9">Oct!$A$2:$T$92</definedName>
    <definedName name="_xlnm.Print_Area" localSheetId="8">Set!$A$2:$T$92</definedName>
    <definedName name="_xlnm.Print_Area" localSheetId="12">Tot.22!$A$2:$T$85</definedName>
    <definedName name="tc" localSheetId="8">Set!$N$1</definedName>
    <definedName name="tc">Ago!$N$1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5" i="13" l="1"/>
  <c r="Q39" i="13"/>
  <c r="P19" i="13"/>
  <c r="Q78" i="13"/>
  <c r="O77" i="13"/>
  <c r="Q76" i="13"/>
  <c r="O75" i="13"/>
  <c r="P45" i="13"/>
  <c r="Q43" i="13"/>
  <c r="P43" i="13"/>
  <c r="Q41" i="13"/>
  <c r="Q38" i="13"/>
  <c r="P13" i="13"/>
  <c r="Q75" i="13"/>
  <c r="Q72" i="13"/>
  <c r="P79" i="13"/>
  <c r="P78" i="13"/>
  <c r="P77" i="13"/>
  <c r="P76" i="13"/>
  <c r="P75" i="13"/>
  <c r="P73" i="13"/>
  <c r="P72" i="13"/>
  <c r="P71" i="13"/>
  <c r="O79" i="13"/>
  <c r="O78" i="13"/>
  <c r="O76" i="13"/>
  <c r="O74" i="13"/>
  <c r="O73" i="13"/>
  <c r="O72" i="13"/>
  <c r="O71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S45" i="13"/>
  <c r="S43" i="13"/>
  <c r="S41" i="13"/>
  <c r="S13" i="13"/>
  <c r="Q44" i="13"/>
  <c r="P41" i="13"/>
  <c r="Q40" i="13"/>
  <c r="P39" i="13"/>
  <c r="P38" i="13"/>
  <c r="Q13" i="13"/>
  <c r="O45" i="13"/>
  <c r="O44" i="13"/>
  <c r="O42" i="13"/>
  <c r="O40" i="13"/>
  <c r="O38" i="13"/>
  <c r="O37" i="13"/>
  <c r="O36" i="13"/>
  <c r="O32" i="13"/>
  <c r="O31" i="13"/>
  <c r="O26" i="13"/>
  <c r="O21" i="13"/>
  <c r="O20" i="13"/>
  <c r="O18" i="13"/>
  <c r="O17" i="13"/>
  <c r="O15" i="13"/>
  <c r="O14" i="13"/>
  <c r="O13" i="13"/>
  <c r="O12" i="13"/>
  <c r="O11" i="13"/>
  <c r="O10" i="13"/>
  <c r="O63" i="13"/>
  <c r="O64" i="13"/>
  <c r="N52" i="13"/>
  <c r="N51" i="13"/>
  <c r="N50" i="13"/>
  <c r="H51" i="13"/>
  <c r="H50" i="13"/>
  <c r="G51" i="13"/>
  <c r="G50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3" i="13"/>
  <c r="G19" i="13"/>
  <c r="G18" i="13"/>
  <c r="S67" i="13"/>
  <c r="Q67" i="13"/>
  <c r="P67" i="13"/>
  <c r="O67" i="13"/>
  <c r="O66" i="13"/>
  <c r="O62" i="13"/>
  <c r="O58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H66" i="13"/>
  <c r="H65" i="13"/>
  <c r="H64" i="13"/>
  <c r="H63" i="13"/>
  <c r="H62" i="13"/>
  <c r="H61" i="13"/>
  <c r="H60" i="13"/>
  <c r="H59" i="13"/>
  <c r="H58" i="13"/>
  <c r="H57" i="13"/>
  <c r="H56" i="13"/>
  <c r="G66" i="13"/>
  <c r="G65" i="13"/>
  <c r="G64" i="13"/>
  <c r="G63" i="13"/>
  <c r="G62" i="13"/>
  <c r="G61" i="13"/>
  <c r="G60" i="13"/>
  <c r="G59" i="13"/>
  <c r="G58" i="13"/>
  <c r="G57" i="13"/>
  <c r="G56" i="13"/>
  <c r="N80" i="13"/>
  <c r="N79" i="13"/>
  <c r="N78" i="13"/>
  <c r="N77" i="13"/>
  <c r="N76" i="13"/>
  <c r="N75" i="13"/>
  <c r="N74" i="13"/>
  <c r="N73" i="13"/>
  <c r="N72" i="13"/>
  <c r="N71" i="13"/>
  <c r="H79" i="13"/>
  <c r="G79" i="13"/>
  <c r="H78" i="13"/>
  <c r="G78" i="13"/>
  <c r="H77" i="13"/>
  <c r="G77" i="13"/>
  <c r="H76" i="13"/>
  <c r="G76" i="13"/>
  <c r="H75" i="13"/>
  <c r="G75" i="13"/>
  <c r="H71" i="13"/>
  <c r="G71" i="13"/>
  <c r="H72" i="13"/>
  <c r="G72" i="13"/>
  <c r="H73" i="13"/>
  <c r="G73" i="13"/>
  <c r="O19" i="13" l="1"/>
  <c r="O33" i="13"/>
  <c r="Q19" i="13"/>
  <c r="S21" i="13"/>
  <c r="S31" i="13"/>
  <c r="S39" i="13"/>
  <c r="P42" i="13"/>
  <c r="S42" i="13"/>
  <c r="Q42" i="13"/>
  <c r="S19" i="13"/>
  <c r="P40" i="13"/>
  <c r="S40" i="13"/>
  <c r="Q22" i="13"/>
  <c r="S57" i="13"/>
  <c r="O27" i="13"/>
  <c r="S38" i="13"/>
  <c r="S65" i="13"/>
  <c r="O29" i="13"/>
  <c r="P44" i="13"/>
  <c r="S44" i="13"/>
  <c r="S24" i="13"/>
  <c r="Q24" i="13"/>
  <c r="S22" i="13"/>
  <c r="P22" i="13"/>
  <c r="Q31" i="13"/>
  <c r="P31" i="13"/>
  <c r="S36" i="13"/>
  <c r="Q36" i="13"/>
  <c r="Q54" i="13"/>
  <c r="O22" i="13"/>
  <c r="S17" i="13"/>
  <c r="Q17" i="13"/>
  <c r="P17" i="13"/>
  <c r="S20" i="13"/>
  <c r="Q20" i="13"/>
  <c r="P20" i="13"/>
  <c r="S37" i="13"/>
  <c r="Q37" i="13"/>
  <c r="P37" i="13"/>
  <c r="S16" i="13"/>
  <c r="Q16" i="13"/>
  <c r="P16" i="13"/>
  <c r="S34" i="13"/>
  <c r="Q34" i="13"/>
  <c r="S25" i="13"/>
  <c r="Q25" i="13"/>
  <c r="P25" i="13"/>
  <c r="O24" i="13"/>
  <c r="O34" i="13"/>
  <c r="O25" i="13"/>
  <c r="S14" i="13"/>
  <c r="Q14" i="13"/>
  <c r="P14" i="13"/>
  <c r="S23" i="13"/>
  <c r="Q23" i="13"/>
  <c r="P23" i="13"/>
  <c r="S26" i="13"/>
  <c r="Q26" i="13"/>
  <c r="P26" i="13"/>
  <c r="S29" i="13"/>
  <c r="Q29" i="13"/>
  <c r="P29" i="13"/>
  <c r="S60" i="13"/>
  <c r="S28" i="13"/>
  <c r="Q28" i="13"/>
  <c r="P28" i="13"/>
  <c r="S35" i="13"/>
  <c r="Q35" i="13"/>
  <c r="O16" i="13"/>
  <c r="Q73" i="13"/>
  <c r="Q79" i="13"/>
  <c r="Q77" i="13"/>
  <c r="S11" i="13"/>
  <c r="Q11" i="13"/>
  <c r="S18" i="13"/>
  <c r="Q18" i="13"/>
  <c r="P18" i="13"/>
  <c r="Q21" i="13"/>
  <c r="P21" i="13"/>
  <c r="S32" i="13"/>
  <c r="Q32" i="13"/>
  <c r="S64" i="13"/>
  <c r="S66" i="13"/>
  <c r="O28" i="13"/>
  <c r="S12" i="13"/>
  <c r="Q12" i="13"/>
  <c r="P12" i="13"/>
  <c r="S27" i="13"/>
  <c r="Q27" i="13"/>
  <c r="S30" i="13"/>
  <c r="Q30" i="13"/>
  <c r="P30" i="13"/>
  <c r="S33" i="13"/>
  <c r="Q33" i="13"/>
  <c r="Q62" i="13"/>
  <c r="P74" i="13"/>
  <c r="O30" i="13"/>
  <c r="Q57" i="13"/>
  <c r="O23" i="13"/>
  <c r="O39" i="13"/>
  <c r="O41" i="13"/>
  <c r="O51" i="13"/>
  <c r="O35" i="13"/>
  <c r="O43" i="13"/>
  <c r="O50" i="13"/>
  <c r="Q61" i="13"/>
  <c r="O59" i="13"/>
  <c r="S59" i="13"/>
  <c r="Q58" i="13"/>
  <c r="S63" i="13"/>
  <c r="Q59" i="13"/>
  <c r="O57" i="13"/>
  <c r="O60" i="13"/>
  <c r="O56" i="13"/>
  <c r="S61" i="13"/>
  <c r="Q63" i="13"/>
  <c r="O65" i="13"/>
  <c r="S58" i="13"/>
  <c r="S62" i="13"/>
  <c r="Q51" i="13"/>
  <c r="O61" i="13"/>
  <c r="Q60" i="13"/>
  <c r="P62" i="13"/>
  <c r="P64" i="13"/>
  <c r="N68" i="13"/>
  <c r="N53" i="13"/>
  <c r="N47" i="13"/>
  <c r="Q71" i="13" l="1"/>
  <c r="P59" i="13"/>
  <c r="P11" i="13"/>
  <c r="P33" i="13"/>
  <c r="P35" i="13"/>
  <c r="P36" i="13"/>
  <c r="P27" i="13"/>
  <c r="P24" i="13"/>
  <c r="P65" i="13"/>
  <c r="Q74" i="13"/>
  <c r="P10" i="13"/>
  <c r="P34" i="13"/>
  <c r="P63" i="13"/>
  <c r="P32" i="13"/>
  <c r="Q10" i="13"/>
  <c r="S15" i="13"/>
  <c r="Q15" i="13"/>
  <c r="P15" i="13"/>
  <c r="Q66" i="13"/>
  <c r="S10" i="13"/>
  <c r="S69" i="13"/>
  <c r="Q64" i="13"/>
  <c r="P57" i="13"/>
  <c r="P60" i="13"/>
  <c r="O68" i="13"/>
  <c r="P66" i="13"/>
  <c r="P61" i="13"/>
  <c r="P51" i="13"/>
  <c r="Q50" i="13"/>
  <c r="P50" i="13"/>
  <c r="Q56" i="13"/>
  <c r="S56" i="13"/>
  <c r="S68" i="13" s="1"/>
  <c r="P56" i="13"/>
  <c r="P58" i="13"/>
  <c r="H74" i="13"/>
  <c r="G74" i="13"/>
  <c r="AH58" i="13"/>
  <c r="AH57" i="13"/>
  <c r="G24" i="13"/>
  <c r="G22" i="13"/>
  <c r="G21" i="13"/>
  <c r="G20" i="13"/>
  <c r="G17" i="13"/>
  <c r="G16" i="13"/>
  <c r="G15" i="13"/>
  <c r="G14" i="13"/>
  <c r="G13" i="13"/>
  <c r="G12" i="13"/>
  <c r="G11" i="13"/>
  <c r="G10" i="13"/>
  <c r="A4" i="13"/>
  <c r="AA10" i="13"/>
  <c r="AC10" i="13"/>
  <c r="U11" i="13"/>
  <c r="Y11" i="13" s="1"/>
  <c r="W11" i="13"/>
  <c r="U13" i="13"/>
  <c r="X13" i="13" s="1"/>
  <c r="W13" i="13"/>
  <c r="AA14" i="13"/>
  <c r="AE14" i="13" s="1"/>
  <c r="AC14" i="13"/>
  <c r="U15" i="13"/>
  <c r="Z15" i="13" s="1"/>
  <c r="W15" i="13"/>
  <c r="AA16" i="13"/>
  <c r="AB16" i="13" s="1"/>
  <c r="AC16" i="13"/>
  <c r="AA17" i="13"/>
  <c r="AF17" i="13" s="1"/>
  <c r="AC17" i="13"/>
  <c r="AA20" i="13"/>
  <c r="AD20" i="13" s="1"/>
  <c r="AC20" i="13"/>
  <c r="AA21" i="13"/>
  <c r="AC21" i="13"/>
  <c r="AA22" i="13"/>
  <c r="AE22" i="13" s="1"/>
  <c r="AC22" i="13"/>
  <c r="AA23" i="13"/>
  <c r="AB23" i="13" s="1"/>
  <c r="AC23" i="13"/>
  <c r="U24" i="13"/>
  <c r="V24" i="13" s="1"/>
  <c r="W24" i="13"/>
  <c r="AA25" i="13"/>
  <c r="AF25" i="13" s="1"/>
  <c r="AC25" i="13"/>
  <c r="AA26" i="13"/>
  <c r="AB26" i="13" s="1"/>
  <c r="AC26" i="13"/>
  <c r="U27" i="13"/>
  <c r="W27" i="13"/>
  <c r="AA28" i="13"/>
  <c r="AD28" i="13" s="1"/>
  <c r="AC28" i="13"/>
  <c r="AA29" i="13"/>
  <c r="AC29" i="13"/>
  <c r="AA30" i="13"/>
  <c r="AE30" i="13" s="1"/>
  <c r="AC30" i="13"/>
  <c r="AA31" i="13"/>
  <c r="AB31" i="13" s="1"/>
  <c r="AC31" i="13"/>
  <c r="U32" i="13"/>
  <c r="Z32" i="13" s="1"/>
  <c r="W32" i="13"/>
  <c r="U33" i="13"/>
  <c r="Z33" i="13" s="1"/>
  <c r="W33" i="13"/>
  <c r="U34" i="13"/>
  <c r="V34" i="13" s="1"/>
  <c r="W34" i="13"/>
  <c r="U35" i="13"/>
  <c r="W35" i="13"/>
  <c r="U36" i="13"/>
  <c r="Y36" i="13" s="1"/>
  <c r="W36" i="13"/>
  <c r="AA39" i="13"/>
  <c r="AC39" i="13"/>
  <c r="U40" i="13"/>
  <c r="V40" i="13" s="1"/>
  <c r="W40" i="13"/>
  <c r="AA41" i="13"/>
  <c r="AB41" i="13" s="1"/>
  <c r="AC41" i="13"/>
  <c r="AA42" i="13"/>
  <c r="AB42" i="13" s="1"/>
  <c r="AC42" i="13"/>
  <c r="U43" i="13"/>
  <c r="Z43" i="13" s="1"/>
  <c r="W43" i="13"/>
  <c r="AA44" i="13"/>
  <c r="AB44" i="13" s="1"/>
  <c r="AC44" i="13"/>
  <c r="AA45" i="13"/>
  <c r="AF45" i="13" s="1"/>
  <c r="AC45" i="13"/>
  <c r="U46" i="13"/>
  <c r="X46" i="13" s="1"/>
  <c r="W46" i="13"/>
  <c r="AA46" i="13"/>
  <c r="AB46" i="13" s="1"/>
  <c r="AC46" i="13"/>
  <c r="C47" i="13"/>
  <c r="C48" i="13"/>
  <c r="AA50" i="13"/>
  <c r="AF50" i="13" s="1"/>
  <c r="AC50" i="13"/>
  <c r="AA51" i="13"/>
  <c r="AC51" i="13"/>
  <c r="U52" i="13"/>
  <c r="V52" i="13" s="1"/>
  <c r="W52" i="13"/>
  <c r="AA52" i="13"/>
  <c r="AB52" i="13" s="1"/>
  <c r="AC52" i="13"/>
  <c r="C53" i="13"/>
  <c r="C54" i="13"/>
  <c r="AA56" i="13"/>
  <c r="AC56" i="13"/>
  <c r="AA57" i="13"/>
  <c r="AF57" i="13" s="1"/>
  <c r="AC57" i="13"/>
  <c r="AA58" i="13"/>
  <c r="AC58" i="13"/>
  <c r="AA59" i="13"/>
  <c r="AF59" i="13" s="1"/>
  <c r="AC59" i="13"/>
  <c r="AA60" i="13"/>
  <c r="AC60" i="13"/>
  <c r="U61" i="13"/>
  <c r="X61" i="13" s="1"/>
  <c r="W61" i="13"/>
  <c r="AA62" i="13"/>
  <c r="AC62" i="13"/>
  <c r="AA63" i="13"/>
  <c r="AF63" i="13" s="1"/>
  <c r="AC63" i="13"/>
  <c r="AA64" i="13"/>
  <c r="AC64" i="13"/>
  <c r="AA65" i="13"/>
  <c r="AF65" i="13" s="1"/>
  <c r="AC65" i="13"/>
  <c r="AA66" i="13"/>
  <c r="AD66" i="13" s="1"/>
  <c r="AC66" i="13"/>
  <c r="U67" i="13"/>
  <c r="V67" i="13" s="1"/>
  <c r="W67" i="13"/>
  <c r="AA67" i="13"/>
  <c r="AC67" i="13"/>
  <c r="C68" i="13"/>
  <c r="C69" i="13"/>
  <c r="AA71" i="13"/>
  <c r="AC71" i="13"/>
  <c r="U72" i="13"/>
  <c r="V72" i="13" s="1"/>
  <c r="W72" i="13"/>
  <c r="U73" i="13"/>
  <c r="Y73" i="13" s="1"/>
  <c r="W73" i="13"/>
  <c r="U74" i="13"/>
  <c r="W74" i="13"/>
  <c r="AA75" i="13"/>
  <c r="AB75" i="13" s="1"/>
  <c r="AC75" i="13"/>
  <c r="U76" i="13"/>
  <c r="X76" i="13" s="1"/>
  <c r="W76" i="13"/>
  <c r="U77" i="13"/>
  <c r="Y77" i="13" s="1"/>
  <c r="W77" i="13"/>
  <c r="AA78" i="13"/>
  <c r="AD78" i="13" s="1"/>
  <c r="AC78" i="13"/>
  <c r="U79" i="13"/>
  <c r="V79" i="13" s="1"/>
  <c r="W79" i="13"/>
  <c r="U80" i="13"/>
  <c r="W80" i="13"/>
  <c r="AA80" i="13"/>
  <c r="AB80" i="13" s="1"/>
  <c r="AC80" i="13"/>
  <c r="C81" i="13"/>
  <c r="C82" i="13"/>
  <c r="S87" i="13"/>
  <c r="S88" i="13"/>
  <c r="S92" i="13"/>
  <c r="S93" i="13"/>
  <c r="S94" i="13"/>
  <c r="S95" i="13"/>
  <c r="S102" i="13"/>
  <c r="Q103" i="13"/>
  <c r="S103" i="13"/>
  <c r="Q104" i="13"/>
  <c r="S104" i="13"/>
  <c r="Q105" i="13"/>
  <c r="S105" i="13"/>
  <c r="P69" i="13" l="1"/>
  <c r="P54" i="13"/>
  <c r="Q52" i="13"/>
  <c r="Q53" i="13" s="1"/>
  <c r="P52" i="13"/>
  <c r="P53" i="13" s="1"/>
  <c r="O52" i="13"/>
  <c r="O53" i="13" s="1"/>
  <c r="Q65" i="13"/>
  <c r="Q68" i="13" s="1"/>
  <c r="P68" i="13"/>
  <c r="U50" i="13"/>
  <c r="W50" i="13" s="1"/>
  <c r="AH45" i="13"/>
  <c r="AH59" i="13"/>
  <c r="T104" i="13"/>
  <c r="U57" i="13"/>
  <c r="W57" i="13" s="1"/>
  <c r="AH35" i="13"/>
  <c r="AH43" i="13"/>
  <c r="AE46" i="13"/>
  <c r="T105" i="13"/>
  <c r="T103" i="13"/>
  <c r="AH23" i="13"/>
  <c r="AH31" i="13"/>
  <c r="AH28" i="13"/>
  <c r="AH50" i="13"/>
  <c r="AH42" i="13"/>
  <c r="AH34" i="13"/>
  <c r="AH56" i="13"/>
  <c r="AA61" i="13"/>
  <c r="AB61" i="13" s="1"/>
  <c r="AD61" i="13" s="1"/>
  <c r="AH13" i="13"/>
  <c r="U10" i="13"/>
  <c r="V10" i="13" s="1"/>
  <c r="X10" i="13" s="1"/>
  <c r="U20" i="13"/>
  <c r="W20" i="13" s="1"/>
  <c r="U28" i="13"/>
  <c r="W28" i="13" s="1"/>
  <c r="AA36" i="13"/>
  <c r="AB36" i="13" s="1"/>
  <c r="AD36" i="13" s="1"/>
  <c r="U45" i="13"/>
  <c r="V45" i="13" s="1"/>
  <c r="AH17" i="13"/>
  <c r="U14" i="13"/>
  <c r="V14" i="13" s="1"/>
  <c r="X14" i="13" s="1"/>
  <c r="AA24" i="13"/>
  <c r="AB24" i="13" s="1"/>
  <c r="AD24" i="13" s="1"/>
  <c r="AA32" i="13"/>
  <c r="AB32" i="13" s="1"/>
  <c r="AA77" i="13"/>
  <c r="AB77" i="13" s="1"/>
  <c r="AD77" i="13" s="1"/>
  <c r="AA13" i="13"/>
  <c r="AB13" i="13" s="1"/>
  <c r="AD13" i="13" s="1"/>
  <c r="U23" i="13"/>
  <c r="U31" i="13"/>
  <c r="U58" i="13"/>
  <c r="W58" i="13" s="1"/>
  <c r="U62" i="13"/>
  <c r="V62" i="13" s="1"/>
  <c r="X62" i="13" s="1"/>
  <c r="U66" i="13"/>
  <c r="W66" i="13" s="1"/>
  <c r="AA74" i="13"/>
  <c r="AC74" i="13" s="1"/>
  <c r="U78" i="13"/>
  <c r="U42" i="13"/>
  <c r="Z42" i="13" s="1"/>
  <c r="AH24" i="13"/>
  <c r="AA15" i="13"/>
  <c r="AB15" i="13" s="1"/>
  <c r="AD15" i="13" s="1"/>
  <c r="AH32" i="13"/>
  <c r="U71" i="13"/>
  <c r="W71" i="13" s="1"/>
  <c r="U75" i="13"/>
  <c r="W75" i="13" s="1"/>
  <c r="U51" i="13"/>
  <c r="Z51" i="13" s="1"/>
  <c r="Y51" i="13" s="1"/>
  <c r="U41" i="13"/>
  <c r="V41" i="13" s="1"/>
  <c r="X41" i="13" s="1"/>
  <c r="AH40" i="13"/>
  <c r="AA79" i="13"/>
  <c r="AC79" i="13" s="1"/>
  <c r="AH30" i="13"/>
  <c r="U56" i="13"/>
  <c r="V56" i="13" s="1"/>
  <c r="U60" i="13"/>
  <c r="U64" i="13"/>
  <c r="V64" i="13" s="1"/>
  <c r="U16" i="13"/>
  <c r="Z16" i="13" s="1"/>
  <c r="Y16" i="13" s="1"/>
  <c r="AH14" i="13"/>
  <c r="AH27" i="13"/>
  <c r="AA34" i="13"/>
  <c r="AB34" i="13" s="1"/>
  <c r="AA43" i="13"/>
  <c r="AF43" i="13" s="1"/>
  <c r="AH41" i="13"/>
  <c r="AF41" i="13"/>
  <c r="S106" i="13"/>
  <c r="S96" i="13"/>
  <c r="AH26" i="13"/>
  <c r="Y46" i="13"/>
  <c r="Z46" i="13"/>
  <c r="U26" i="13"/>
  <c r="Z26" i="13" s="1"/>
  <c r="Y26" i="13" s="1"/>
  <c r="V46" i="13"/>
  <c r="AH39" i="13"/>
  <c r="U17" i="13"/>
  <c r="V17" i="13" s="1"/>
  <c r="X17" i="13" s="1"/>
  <c r="AA27" i="13"/>
  <c r="AB27" i="13" s="1"/>
  <c r="AA35" i="13"/>
  <c r="AB35" i="13" s="1"/>
  <c r="U44" i="13"/>
  <c r="W44" i="13" s="1"/>
  <c r="AE25" i="13"/>
  <c r="U21" i="13"/>
  <c r="W21" i="13" s="1"/>
  <c r="U29" i="13"/>
  <c r="Z29" i="13" s="1"/>
  <c r="Y29" i="13" s="1"/>
  <c r="AH22" i="13"/>
  <c r="AH15" i="13"/>
  <c r="AH10" i="13"/>
  <c r="AH44" i="13"/>
  <c r="AH63" i="13"/>
  <c r="Z72" i="13"/>
  <c r="U63" i="13"/>
  <c r="W63" i="13" s="1"/>
  <c r="AB45" i="13"/>
  <c r="U22" i="13"/>
  <c r="W22" i="13" s="1"/>
  <c r="AH61" i="13"/>
  <c r="X72" i="13"/>
  <c r="AF23" i="13"/>
  <c r="AD17" i="13"/>
  <c r="Y15" i="13"/>
  <c r="AE44" i="13"/>
  <c r="AH21" i="13"/>
  <c r="AH29" i="13"/>
  <c r="AE59" i="13"/>
  <c r="AA72" i="13"/>
  <c r="AB72" i="13" s="1"/>
  <c r="AA76" i="13"/>
  <c r="AB76" i="13" s="1"/>
  <c r="AD76" i="13" s="1"/>
  <c r="Y79" i="13"/>
  <c r="X77" i="13"/>
  <c r="Z76" i="13"/>
  <c r="Y76" i="13"/>
  <c r="V76" i="13"/>
  <c r="V61" i="13"/>
  <c r="AE65" i="13"/>
  <c r="AD65" i="13"/>
  <c r="AB65" i="13"/>
  <c r="AE63" i="13"/>
  <c r="U30" i="13"/>
  <c r="V30" i="13" s="1"/>
  <c r="U39" i="13"/>
  <c r="V39" i="13" s="1"/>
  <c r="X39" i="13" s="1"/>
  <c r="Y33" i="13"/>
  <c r="AF20" i="13"/>
  <c r="V43" i="13"/>
  <c r="V11" i="13"/>
  <c r="AF31" i="13"/>
  <c r="AD23" i="13"/>
  <c r="V33" i="13"/>
  <c r="Z13" i="13"/>
  <c r="Y43" i="13"/>
  <c r="Y24" i="13"/>
  <c r="AE17" i="13"/>
  <c r="AB14" i="13"/>
  <c r="X73" i="13"/>
  <c r="Y72" i="13"/>
  <c r="AD44" i="13"/>
  <c r="AD31" i="13"/>
  <c r="Y67" i="13"/>
  <c r="AD63" i="13"/>
  <c r="AD59" i="13"/>
  <c r="Z52" i="13"/>
  <c r="Y34" i="13"/>
  <c r="AF28" i="13"/>
  <c r="AD25" i="13"/>
  <c r="AE20" i="13"/>
  <c r="AB17" i="13"/>
  <c r="X15" i="13"/>
  <c r="Y13" i="13"/>
  <c r="X67" i="13"/>
  <c r="Y52" i="13"/>
  <c r="AC53" i="13"/>
  <c r="AE50" i="13"/>
  <c r="AD46" i="13"/>
  <c r="AE45" i="13"/>
  <c r="X36" i="13"/>
  <c r="X34" i="13"/>
  <c r="AE28" i="13"/>
  <c r="AE16" i="13"/>
  <c r="Z11" i="13"/>
  <c r="AE57" i="13"/>
  <c r="X52" i="13"/>
  <c r="AD50" i="13"/>
  <c r="AD45" i="13"/>
  <c r="Y32" i="13"/>
  <c r="AD30" i="13"/>
  <c r="AE26" i="13"/>
  <c r="AB25" i="13"/>
  <c r="AD22" i="13"/>
  <c r="AB20" i="13"/>
  <c r="AD16" i="13"/>
  <c r="AF14" i="13"/>
  <c r="V13" i="13"/>
  <c r="X11" i="13"/>
  <c r="Z67" i="13"/>
  <c r="Z34" i="13"/>
  <c r="AB66" i="13"/>
  <c r="AD57" i="13"/>
  <c r="X43" i="13"/>
  <c r="AD41" i="13"/>
  <c r="X32" i="13"/>
  <c r="AB28" i="13"/>
  <c r="AD26" i="13"/>
  <c r="AD14" i="13"/>
  <c r="X33" i="13"/>
  <c r="V32" i="13"/>
  <c r="X24" i="13"/>
  <c r="AA73" i="13"/>
  <c r="V35" i="13"/>
  <c r="X35" i="13"/>
  <c r="Y35" i="13"/>
  <c r="Z35" i="13"/>
  <c r="AB21" i="13"/>
  <c r="AD21" i="13"/>
  <c r="AE21" i="13"/>
  <c r="AF21" i="13"/>
  <c r="AH11" i="13"/>
  <c r="AA11" i="13"/>
  <c r="AD67" i="13"/>
  <c r="AE67" i="13"/>
  <c r="AF67" i="13"/>
  <c r="AE78" i="13"/>
  <c r="AF78" i="13"/>
  <c r="AB78" i="13"/>
  <c r="N81" i="13"/>
  <c r="U59" i="13"/>
  <c r="X40" i="13"/>
  <c r="Y40" i="13"/>
  <c r="Z40" i="13"/>
  <c r="AA40" i="13"/>
  <c r="AH36" i="13"/>
  <c r="AH20" i="13"/>
  <c r="V80" i="13"/>
  <c r="X80" i="13"/>
  <c r="Z80" i="13"/>
  <c r="AD52" i="13"/>
  <c r="AE52" i="13"/>
  <c r="AF52" i="13"/>
  <c r="AH25" i="13"/>
  <c r="U25" i="13"/>
  <c r="X74" i="13"/>
  <c r="Y74" i="13"/>
  <c r="Z74" i="13"/>
  <c r="AD51" i="13"/>
  <c r="AE51" i="13"/>
  <c r="AF51" i="13"/>
  <c r="AD80" i="13"/>
  <c r="AE80" i="13"/>
  <c r="AF80" i="13"/>
  <c r="U65" i="13"/>
  <c r="AB60" i="13"/>
  <c r="AD60" i="13"/>
  <c r="AE60" i="13"/>
  <c r="AF60" i="13"/>
  <c r="AB39" i="13"/>
  <c r="AD39" i="13"/>
  <c r="AE39" i="13"/>
  <c r="AF39" i="13"/>
  <c r="AB10" i="13"/>
  <c r="AD10" i="13"/>
  <c r="AE10" i="13"/>
  <c r="AF10" i="13"/>
  <c r="Y80" i="13"/>
  <c r="AB62" i="13"/>
  <c r="AD62" i="13"/>
  <c r="AE62" i="13"/>
  <c r="AF62" i="13"/>
  <c r="AB58" i="13"/>
  <c r="AD58" i="13"/>
  <c r="AE58" i="13"/>
  <c r="AF58" i="13"/>
  <c r="AB29" i="13"/>
  <c r="AD29" i="13"/>
  <c r="AE29" i="13"/>
  <c r="AF29" i="13"/>
  <c r="AD71" i="13"/>
  <c r="AE71" i="13"/>
  <c r="AF71" i="13"/>
  <c r="AD75" i="13"/>
  <c r="AE75" i="13"/>
  <c r="AF75" i="13"/>
  <c r="V74" i="13"/>
  <c r="AB71" i="13"/>
  <c r="AB67" i="13"/>
  <c r="AB64" i="13"/>
  <c r="AD64" i="13"/>
  <c r="AE64" i="13"/>
  <c r="AF64" i="13"/>
  <c r="AB56" i="13"/>
  <c r="AD56" i="13"/>
  <c r="AE56" i="13"/>
  <c r="AF56" i="13"/>
  <c r="AB51" i="13"/>
  <c r="AD42" i="13"/>
  <c r="AE42" i="13"/>
  <c r="AF42" i="13"/>
  <c r="AH33" i="13"/>
  <c r="AA33" i="13"/>
  <c r="V27" i="13"/>
  <c r="X27" i="13"/>
  <c r="Y27" i="13"/>
  <c r="Z27" i="13"/>
  <c r="AH16" i="13"/>
  <c r="V15" i="13"/>
  <c r="Z79" i="13"/>
  <c r="V77" i="13"/>
  <c r="V73" i="13"/>
  <c r="AH62" i="13"/>
  <c r="AF46" i="13"/>
  <c r="AF44" i="13"/>
  <c r="AE41" i="13"/>
  <c r="V36" i="13"/>
  <c r="AE31" i="13"/>
  <c r="AB30" i="13"/>
  <c r="AF26" i="13"/>
  <c r="Z24" i="13"/>
  <c r="AE23" i="13"/>
  <c r="AB22" i="13"/>
  <c r="AF16" i="13"/>
  <c r="AB63" i="13"/>
  <c r="AB59" i="13"/>
  <c r="AB57" i="13"/>
  <c r="AB50" i="13"/>
  <c r="X79" i="13"/>
  <c r="AF66" i="13"/>
  <c r="Z61" i="13"/>
  <c r="Z77" i="13"/>
  <c r="Z73" i="13"/>
  <c r="AE66" i="13"/>
  <c r="Y61" i="13"/>
  <c r="Z36" i="13"/>
  <c r="AF30" i="13"/>
  <c r="AF22" i="13"/>
  <c r="AA53" i="13"/>
  <c r="S46" i="13" l="1"/>
  <c r="O80" i="13"/>
  <c r="Q95" i="13"/>
  <c r="T95" i="13" s="1"/>
  <c r="Q69" i="13"/>
  <c r="AC61" i="13"/>
  <c r="AC68" i="13" s="1"/>
  <c r="AA68" i="13"/>
  <c r="W14" i="13"/>
  <c r="Z14" i="13"/>
  <c r="Y14" i="13" s="1"/>
  <c r="Z57" i="13"/>
  <c r="V57" i="13"/>
  <c r="AC32" i="13"/>
  <c r="V50" i="13"/>
  <c r="X50" i="13"/>
  <c r="Y50" i="13"/>
  <c r="W62" i="13"/>
  <c r="W10" i="13"/>
  <c r="Y57" i="13"/>
  <c r="V58" i="13"/>
  <c r="V71" i="13"/>
  <c r="X71" i="13" s="1"/>
  <c r="X57" i="13"/>
  <c r="V28" i="13"/>
  <c r="X28" i="13" s="1"/>
  <c r="Z10" i="13"/>
  <c r="Y10" i="13" s="1"/>
  <c r="AF24" i="13"/>
  <c r="AE24" i="13" s="1"/>
  <c r="Z28" i="13"/>
  <c r="Y28" i="13" s="1"/>
  <c r="AF32" i="13"/>
  <c r="AE32" i="13" s="1"/>
  <c r="V20" i="13"/>
  <c r="X20" i="13" s="1"/>
  <c r="V78" i="13"/>
  <c r="X78" i="13" s="1"/>
  <c r="V66" i="13"/>
  <c r="X66" i="13" s="1"/>
  <c r="V75" i="13"/>
  <c r="X75" i="13" s="1"/>
  <c r="Z62" i="13"/>
  <c r="Y62" i="13" s="1"/>
  <c r="AD32" i="13"/>
  <c r="U81" i="13"/>
  <c r="W78" i="13"/>
  <c r="W81" i="13" s="1"/>
  <c r="AF74" i="13"/>
  <c r="AE74" i="13" s="1"/>
  <c r="Z71" i="13"/>
  <c r="Y71" i="13" s="1"/>
  <c r="Z75" i="13"/>
  <c r="Y75" i="13" s="1"/>
  <c r="AF36" i="13"/>
  <c r="AE36" i="13" s="1"/>
  <c r="AC36" i="13"/>
  <c r="AD27" i="13"/>
  <c r="Z20" i="13"/>
  <c r="Y20" i="13" s="1"/>
  <c r="Z45" i="13"/>
  <c r="Z66" i="13"/>
  <c r="Y66" i="13" s="1"/>
  <c r="X45" i="13"/>
  <c r="AF15" i="13"/>
  <c r="AE15" i="13" s="1"/>
  <c r="AC24" i="13"/>
  <c r="AC15" i="13"/>
  <c r="Y45" i="13"/>
  <c r="Y42" i="13"/>
  <c r="V26" i="13"/>
  <c r="X26" i="13" s="1"/>
  <c r="W45" i="13"/>
  <c r="V42" i="13"/>
  <c r="X42" i="13" s="1"/>
  <c r="X58" i="13"/>
  <c r="Z58" i="13"/>
  <c r="Y58" i="13"/>
  <c r="W42" i="13"/>
  <c r="AF13" i="13"/>
  <c r="AE13" i="13" s="1"/>
  <c r="AB74" i="13"/>
  <c r="AD74" i="13" s="1"/>
  <c r="AC13" i="13"/>
  <c r="AF77" i="13"/>
  <c r="AE77" i="13" s="1"/>
  <c r="AC77" i="13"/>
  <c r="W51" i="13"/>
  <c r="W53" i="13" s="1"/>
  <c r="U53" i="13"/>
  <c r="V51" i="13"/>
  <c r="X51" i="13" s="1"/>
  <c r="W23" i="13"/>
  <c r="W31" i="13"/>
  <c r="W60" i="13"/>
  <c r="V23" i="13"/>
  <c r="X23" i="13" s="1"/>
  <c r="V31" i="13"/>
  <c r="X31" i="13" s="1"/>
  <c r="W56" i="13"/>
  <c r="Z23" i="13"/>
  <c r="Y23" i="13" s="1"/>
  <c r="AC27" i="13"/>
  <c r="Z31" i="13"/>
  <c r="Y31" i="13" s="1"/>
  <c r="AF27" i="13"/>
  <c r="AE27" i="13" s="1"/>
  <c r="X56" i="13"/>
  <c r="Z63" i="13"/>
  <c r="Y63" i="13" s="1"/>
  <c r="W17" i="13"/>
  <c r="Y56" i="13"/>
  <c r="Z41" i="13"/>
  <c r="Y41" i="13" s="1"/>
  <c r="X64" i="13"/>
  <c r="W64" i="13"/>
  <c r="AF34" i="13"/>
  <c r="AE34" i="13" s="1"/>
  <c r="AD34" i="13"/>
  <c r="Z64" i="13"/>
  <c r="Y64" i="13" s="1"/>
  <c r="W41" i="13"/>
  <c r="AC34" i="13"/>
  <c r="W26" i="13"/>
  <c r="X60" i="13"/>
  <c r="Z60" i="13"/>
  <c r="Y60" i="13" s="1"/>
  <c r="AH52" i="13"/>
  <c r="V60" i="13"/>
  <c r="W16" i="13"/>
  <c r="V16" i="13"/>
  <c r="X16" i="13" s="1"/>
  <c r="V44" i="13"/>
  <c r="X44" i="13" s="1"/>
  <c r="AC43" i="13"/>
  <c r="AE43" i="13"/>
  <c r="AB43" i="13"/>
  <c r="AD43" i="13" s="1"/>
  <c r="AF76" i="13"/>
  <c r="AE76" i="13" s="1"/>
  <c r="AC76" i="13"/>
  <c r="Z21" i="13"/>
  <c r="Y21" i="13" s="1"/>
  <c r="V21" i="13"/>
  <c r="X21" i="13" s="1"/>
  <c r="Z17" i="13"/>
  <c r="Y17" i="13" s="1"/>
  <c r="V22" i="13"/>
  <c r="X22" i="13" s="1"/>
  <c r="Z22" i="13"/>
  <c r="Y22" i="13" s="1"/>
  <c r="AC35" i="13"/>
  <c r="AD35" i="13"/>
  <c r="X30" i="13"/>
  <c r="AF35" i="13"/>
  <c r="AE35" i="13" s="1"/>
  <c r="AF72" i="13"/>
  <c r="AE72" i="13" s="1"/>
  <c r="W29" i="13"/>
  <c r="V29" i="13"/>
  <c r="X29" i="13" s="1"/>
  <c r="V63" i="13"/>
  <c r="X63" i="13" s="1"/>
  <c r="AF61" i="13"/>
  <c r="AE61" i="13" s="1"/>
  <c r="Z50" i="13"/>
  <c r="Z53" i="13" s="1"/>
  <c r="U47" i="13"/>
  <c r="W30" i="13"/>
  <c r="Z39" i="13"/>
  <c r="Y39" i="13" s="1"/>
  <c r="W39" i="13"/>
  <c r="AH60" i="13"/>
  <c r="AH68" i="13" s="1"/>
  <c r="Z30" i="13"/>
  <c r="Y30" i="13" s="1"/>
  <c r="AD72" i="13"/>
  <c r="AC72" i="13"/>
  <c r="U68" i="13"/>
  <c r="N83" i="13"/>
  <c r="AB53" i="13"/>
  <c r="AF53" i="13"/>
  <c r="AH47" i="13"/>
  <c r="AF33" i="13"/>
  <c r="AE33" i="13" s="1"/>
  <c r="AB33" i="13"/>
  <c r="AD33" i="13" s="1"/>
  <c r="AC33" i="13"/>
  <c r="Z65" i="13"/>
  <c r="Y65" i="13" s="1"/>
  <c r="V65" i="13"/>
  <c r="X65" i="13" s="1"/>
  <c r="W65" i="13"/>
  <c r="AD53" i="13"/>
  <c r="AE53" i="13"/>
  <c r="AF40" i="13"/>
  <c r="AE40" i="13" s="1"/>
  <c r="AB40" i="13"/>
  <c r="AD40" i="13" s="1"/>
  <c r="AC40" i="13"/>
  <c r="AB73" i="13"/>
  <c r="AD73" i="13" s="1"/>
  <c r="AC73" i="13"/>
  <c r="AF73" i="13"/>
  <c r="AE73" i="13" s="1"/>
  <c r="AB68" i="13"/>
  <c r="AA81" i="13"/>
  <c r="AA47" i="13"/>
  <c r="Z59" i="13"/>
  <c r="Y59" i="13" s="1"/>
  <c r="V59" i="13"/>
  <c r="X59" i="13" s="1"/>
  <c r="W59" i="13"/>
  <c r="Z25" i="13"/>
  <c r="V25" i="13"/>
  <c r="X25" i="13" s="1"/>
  <c r="W25" i="13"/>
  <c r="AE11" i="13"/>
  <c r="AF11" i="13"/>
  <c r="AB11" i="13"/>
  <c r="AC11" i="13"/>
  <c r="AD11" i="13"/>
  <c r="O46" i="13" l="1"/>
  <c r="O47" i="13" s="1"/>
  <c r="P46" i="13"/>
  <c r="Q46" i="13"/>
  <c r="Q47" i="13" s="1"/>
  <c r="P80" i="13"/>
  <c r="S47" i="13"/>
  <c r="S48" i="13"/>
  <c r="P47" i="13"/>
  <c r="AD68" i="13"/>
  <c r="AB79" i="13"/>
  <c r="AD79" i="13" s="1"/>
  <c r="V81" i="13"/>
  <c r="X81" i="13" s="1"/>
  <c r="Z78" i="13"/>
  <c r="Y78" i="13" s="1"/>
  <c r="Y53" i="13"/>
  <c r="V53" i="13"/>
  <c r="X53" i="13" s="1"/>
  <c r="U83" i="13"/>
  <c r="W47" i="13"/>
  <c r="AC81" i="13"/>
  <c r="U70" i="13"/>
  <c r="AF68" i="13"/>
  <c r="AE68" i="13" s="1"/>
  <c r="V68" i="13"/>
  <c r="X68" i="13" s="1"/>
  <c r="AH70" i="13"/>
  <c r="Z44" i="13"/>
  <c r="Y44" i="13" s="1"/>
  <c r="AG53" i="13"/>
  <c r="Z56" i="13"/>
  <c r="Z68" i="13" s="1"/>
  <c r="W68" i="13"/>
  <c r="AB47" i="13"/>
  <c r="AB70" i="13" s="1"/>
  <c r="AF47" i="13"/>
  <c r="V47" i="13"/>
  <c r="X47" i="13" s="1"/>
  <c r="AA70" i="13"/>
  <c r="AA83" i="13"/>
  <c r="Y25" i="13"/>
  <c r="AC47" i="13"/>
  <c r="Q80" i="13" l="1"/>
  <c r="Q48" i="13"/>
  <c r="P48" i="13"/>
  <c r="AF79" i="13"/>
  <c r="AB81" i="13"/>
  <c r="AD81" i="13" s="1"/>
  <c r="Z81" i="13"/>
  <c r="Y81" i="13" s="1"/>
  <c r="W83" i="13"/>
  <c r="W70" i="13"/>
  <c r="O81" i="13"/>
  <c r="Z47" i="13"/>
  <c r="Y47" i="13" s="1"/>
  <c r="AG68" i="13"/>
  <c r="Y68" i="13"/>
  <c r="AD47" i="13"/>
  <c r="AE47" i="13"/>
  <c r="V83" i="13"/>
  <c r="X83" i="13" s="1"/>
  <c r="V70" i="13"/>
  <c r="X70" i="13" s="1"/>
  <c r="AF70" i="13"/>
  <c r="AE70" i="13" s="1"/>
  <c r="AC70" i="13"/>
  <c r="AC83" i="13"/>
  <c r="AD70" i="13"/>
  <c r="Q94" i="13" l="1"/>
  <c r="T94" i="13" s="1"/>
  <c r="AE79" i="13"/>
  <c r="AF81" i="13"/>
  <c r="AB83" i="13"/>
  <c r="AD83" i="13" s="1"/>
  <c r="Z83" i="13"/>
  <c r="Y83" i="13" s="1"/>
  <c r="Z70" i="13"/>
  <c r="AG47" i="13"/>
  <c r="P81" i="13"/>
  <c r="Q81" i="13"/>
  <c r="AH46" i="13"/>
  <c r="O83" i="13"/>
  <c r="Q82" i="13" l="1"/>
  <c r="Q93" i="13"/>
  <c r="T93" i="13" s="1"/>
  <c r="AE81" i="13"/>
  <c r="AF83" i="13"/>
  <c r="AE83" i="13" s="1"/>
  <c r="P83" i="13"/>
  <c r="AG81" i="13"/>
  <c r="Q88" i="13"/>
  <c r="T88" i="13" s="1"/>
  <c r="AG70" i="13"/>
  <c r="Y70" i="13"/>
  <c r="AG83" i="13" l="1"/>
  <c r="Q83" i="13"/>
  <c r="Q102" i="13"/>
  <c r="Q92" i="13"/>
  <c r="Q87" i="13"/>
  <c r="T87" i="13" s="1"/>
  <c r="T92" i="13" l="1"/>
  <c r="Q96" i="13"/>
  <c r="Q106" i="13"/>
  <c r="T106" i="13" s="1"/>
  <c r="T102" i="13"/>
  <c r="S98" i="13" l="1"/>
  <c r="T96" i="13"/>
  <c r="O48" i="13" l="1"/>
</calcChain>
</file>

<file path=xl/sharedStrings.xml><?xml version="1.0" encoding="utf-8"?>
<sst xmlns="http://schemas.openxmlformats.org/spreadsheetml/2006/main" count="5534" uniqueCount="220">
  <si>
    <t>PERUPETRO S.A.</t>
  </si>
  <si>
    <t>Total</t>
  </si>
  <si>
    <t>Fiscalización</t>
  </si>
  <si>
    <t>II</t>
  </si>
  <si>
    <t>III</t>
  </si>
  <si>
    <t>IV</t>
  </si>
  <si>
    <t>VII/VI</t>
  </si>
  <si>
    <t>VII/VI-GAS</t>
  </si>
  <si>
    <t>X-GAS</t>
  </si>
  <si>
    <t>XV</t>
  </si>
  <si>
    <t>31-B</t>
  </si>
  <si>
    <t>31-D</t>
  </si>
  <si>
    <t>31-C GAS</t>
  </si>
  <si>
    <t>I</t>
  </si>
  <si>
    <t>I GAS</t>
  </si>
  <si>
    <t>Z-2B</t>
  </si>
  <si>
    <t>Z-2B GAS</t>
  </si>
  <si>
    <t>V</t>
  </si>
  <si>
    <t>IX</t>
  </si>
  <si>
    <t>Período</t>
  </si>
  <si>
    <t>X</t>
  </si>
  <si>
    <t>Mes</t>
  </si>
  <si>
    <t>Provincia Puerto Inca Huanuco</t>
  </si>
  <si>
    <t>Piura / Tumbes</t>
  </si>
  <si>
    <t>Loreto / Ucayali</t>
  </si>
  <si>
    <t>Localidad</t>
  </si>
  <si>
    <t xml:space="preserve">  -    Lote</t>
  </si>
  <si>
    <t>Unidades</t>
  </si>
  <si>
    <t>-</t>
  </si>
  <si>
    <t>Servicios</t>
  </si>
  <si>
    <t>Quincena</t>
  </si>
  <si>
    <t>Licencia</t>
  </si>
  <si>
    <t>31-C COND</t>
  </si>
  <si>
    <t>Modalidad de Contrato</t>
  </si>
  <si>
    <t>Producción</t>
  </si>
  <si>
    <t>1ra. Q</t>
  </si>
  <si>
    <t>2da. Q  /  Mes</t>
  </si>
  <si>
    <t>Bls</t>
  </si>
  <si>
    <t>Canasta o Valor Venta (US$/Unidad)</t>
  </si>
  <si>
    <t>Flete Marítimo</t>
  </si>
  <si>
    <t>Comercialización</t>
  </si>
  <si>
    <t>Deducción de Gastos para determinación de valor de producción en Punto de Fiscalización (US$)</t>
  </si>
  <si>
    <t>Oleoducto</t>
  </si>
  <si>
    <t>Piura</t>
  </si>
  <si>
    <t>Tumbes</t>
  </si>
  <si>
    <t>Localidad 1</t>
  </si>
  <si>
    <t>Localidad 2</t>
  </si>
  <si>
    <t>Loreto</t>
  </si>
  <si>
    <t>Ucayali</t>
  </si>
  <si>
    <t>Puerto Inca</t>
  </si>
  <si>
    <t>Canon y Sobrecanon   /   Participación  (US$)</t>
  </si>
  <si>
    <t>Período de Cálculo:</t>
  </si>
  <si>
    <t>Ajustes meses anteriores (1)</t>
  </si>
  <si>
    <t>Ajustes meses anteriores (2)</t>
  </si>
  <si>
    <t>Ajustes meses anteriores (3)</t>
  </si>
  <si>
    <t>Total General</t>
  </si>
  <si>
    <t xml:space="preserve"> MM BTU</t>
  </si>
  <si>
    <t>XIV</t>
  </si>
  <si>
    <t>Calculo del Canon</t>
  </si>
  <si>
    <t>Fórmula</t>
  </si>
  <si>
    <t>Control</t>
  </si>
  <si>
    <t>Producción  /  Venta</t>
  </si>
  <si>
    <t>Valor Prod</t>
  </si>
  <si>
    <t>Valor Canon</t>
  </si>
  <si>
    <t>Bls/Mes</t>
  </si>
  <si>
    <t>Bls/Día</t>
  </si>
  <si>
    <t>US$/Bl</t>
  </si>
  <si>
    <t>US$</t>
  </si>
  <si>
    <t>MM BTU/Mes</t>
  </si>
  <si>
    <t xml:space="preserve"> MM BTU/Día</t>
  </si>
  <si>
    <t>US$/MM BTU</t>
  </si>
  <si>
    <t>Canon</t>
  </si>
  <si>
    <t>31-C LGN (*)</t>
  </si>
  <si>
    <r>
      <t>Determinación de Canasta de los Líquidos de Gas Natural (V</t>
    </r>
    <r>
      <rPr>
        <sz val="8"/>
        <rFont val="Arial"/>
        <family val="2"/>
      </rPr>
      <t>LGNF</t>
    </r>
    <r>
      <rPr>
        <sz val="10"/>
        <rFont val="Arial"/>
        <family val="2"/>
      </rPr>
      <t xml:space="preserve">) </t>
    </r>
  </si>
  <si>
    <r>
      <t xml:space="preserve">= </t>
    </r>
    <r>
      <rPr>
        <sz val="10"/>
        <rFont val="Arial"/>
        <family val="2"/>
      </rPr>
      <t>( V</t>
    </r>
    <r>
      <rPr>
        <sz val="8"/>
        <rFont val="Arial"/>
        <family val="2"/>
      </rPr>
      <t>C</t>
    </r>
    <r>
      <rPr>
        <sz val="10"/>
        <rFont val="Arial"/>
        <family val="2"/>
      </rPr>
      <t xml:space="preserve"> * %</t>
    </r>
    <r>
      <rPr>
        <sz val="8"/>
        <rFont val="Arial"/>
        <family val="2"/>
      </rPr>
      <t>P</t>
    </r>
    <r>
      <rPr>
        <sz val="10"/>
        <rFont val="Arial"/>
        <family val="2"/>
      </rPr>
      <t xml:space="preserve"> + (P</t>
    </r>
    <r>
      <rPr>
        <sz val="8"/>
        <rFont val="Arial"/>
        <family val="2"/>
      </rPr>
      <t>B</t>
    </r>
    <r>
      <rPr>
        <sz val="10"/>
        <rFont val="Arial"/>
        <family val="2"/>
      </rPr>
      <t xml:space="preserve"> - T</t>
    </r>
    <r>
      <rPr>
        <sz val="8"/>
        <rFont val="Arial"/>
        <family val="2"/>
      </rPr>
      <t>F</t>
    </r>
    <r>
      <rPr>
        <sz val="10"/>
        <rFont val="Arial"/>
        <family val="2"/>
      </rPr>
      <t xml:space="preserve"> - T</t>
    </r>
    <r>
      <rPr>
        <sz val="8"/>
        <rFont val="Arial"/>
        <family val="2"/>
      </rPr>
      <t>T</t>
    </r>
    <r>
      <rPr>
        <sz val="10"/>
        <rFont val="Arial"/>
        <family val="2"/>
      </rPr>
      <t>) * (1 - %</t>
    </r>
    <r>
      <rPr>
        <sz val="8"/>
        <rFont val="Arial"/>
        <family val="2"/>
      </rPr>
      <t>P</t>
    </r>
    <r>
      <rPr>
        <sz val="10"/>
        <rFont val="Arial"/>
        <family val="2"/>
      </rPr>
      <t>))</t>
    </r>
  </si>
  <si>
    <t>Simbolo</t>
  </si>
  <si>
    <t>Descripcion</t>
  </si>
  <si>
    <t>2da. Q</t>
  </si>
  <si>
    <r>
      <t>V</t>
    </r>
    <r>
      <rPr>
        <sz val="8"/>
        <rFont val="Arial"/>
        <family val="2"/>
      </rPr>
      <t>C</t>
    </r>
  </si>
  <si>
    <t>Canasta de Petróleo</t>
  </si>
  <si>
    <r>
      <t>P</t>
    </r>
    <r>
      <rPr>
        <sz val="8"/>
        <rFont val="Arial"/>
        <family val="2"/>
      </rPr>
      <t>B</t>
    </r>
  </si>
  <si>
    <t>Precio del GLP</t>
  </si>
  <si>
    <r>
      <t>T</t>
    </r>
    <r>
      <rPr>
        <sz val="8"/>
        <rFont val="Arial"/>
        <family val="2"/>
      </rPr>
      <t>F</t>
    </r>
  </si>
  <si>
    <t>Tarifa de Fraccionam.</t>
  </si>
  <si>
    <r>
      <t>%</t>
    </r>
    <r>
      <rPr>
        <sz val="8"/>
        <rFont val="Arial"/>
        <family val="2"/>
      </rPr>
      <t>P</t>
    </r>
  </si>
  <si>
    <t>% Contenido Pentanos</t>
  </si>
  <si>
    <r>
      <t>Q</t>
    </r>
    <r>
      <rPr>
        <sz val="8"/>
        <rFont val="Arial"/>
        <family val="2"/>
      </rPr>
      <t>LGNF</t>
    </r>
  </si>
  <si>
    <t>Volumen de LGN</t>
  </si>
  <si>
    <r>
      <t>T</t>
    </r>
    <r>
      <rPr>
        <sz val="8"/>
        <rFont val="Arial"/>
        <family val="2"/>
      </rPr>
      <t>T</t>
    </r>
  </si>
  <si>
    <t>Tarifa de Transporte</t>
  </si>
  <si>
    <t>(*)</t>
  </si>
  <si>
    <t>Días en el año</t>
  </si>
  <si>
    <t>Valor</t>
  </si>
  <si>
    <t>Valor de la Producción  (US$)</t>
  </si>
  <si>
    <t>V P (US$)</t>
  </si>
  <si>
    <t>F1</t>
  </si>
  <si>
    <t>F2</t>
  </si>
  <si>
    <t>F3</t>
  </si>
  <si>
    <t>Volumen Producción / Venta</t>
  </si>
  <si>
    <t xml:space="preserve">Subtotal </t>
  </si>
  <si>
    <t>DETERMINACION DEL CANON, SOBRECANON y PARTICIPACION (US$)</t>
  </si>
  <si>
    <t>VII</t>
  </si>
  <si>
    <t>F4</t>
  </si>
  <si>
    <t>88 GAS</t>
  </si>
  <si>
    <t>88 LGN</t>
  </si>
  <si>
    <t>Cusco</t>
  </si>
  <si>
    <t>Ajustes meses anteriores (4)</t>
  </si>
  <si>
    <t>V. Regalías</t>
  </si>
  <si>
    <t>31-E</t>
  </si>
  <si>
    <t>XIII Crudo</t>
  </si>
  <si>
    <t>Z1 Crudo</t>
  </si>
  <si>
    <t>Z1 Gas</t>
  </si>
  <si>
    <t>56 LGN</t>
  </si>
  <si>
    <t>56 GAS</t>
  </si>
  <si>
    <t>XX</t>
  </si>
  <si>
    <t>Z-2B - LGN</t>
  </si>
  <si>
    <t>Z-2B LGN</t>
  </si>
  <si>
    <t>II-GAS</t>
  </si>
  <si>
    <t>56 GAS-Mlocal</t>
  </si>
  <si>
    <t>Z-6</t>
  </si>
  <si>
    <t>57 LGN</t>
  </si>
  <si>
    <t>57 GAS</t>
  </si>
  <si>
    <t>88 GAS -Mlocal</t>
  </si>
  <si>
    <t>88 GAS -PM</t>
  </si>
  <si>
    <t>,</t>
  </si>
  <si>
    <t>XIII COND</t>
  </si>
  <si>
    <t>TOTAL S/</t>
  </si>
  <si>
    <t xml:space="preserve">I Trimestre </t>
  </si>
  <si>
    <t>Total S/</t>
  </si>
  <si>
    <t xml:space="preserve">II Trimestre </t>
  </si>
  <si>
    <t xml:space="preserve">III Trimestre </t>
  </si>
  <si>
    <t xml:space="preserve">IV Trimestre </t>
  </si>
  <si>
    <t>Canon Petrolero
S/</t>
  </si>
  <si>
    <t>TOTAL US$</t>
  </si>
  <si>
    <t>Dif.
S/</t>
  </si>
  <si>
    <t>XIII A</t>
  </si>
  <si>
    <t>XIII B</t>
  </si>
  <si>
    <t>XIII Gas Lantera</t>
  </si>
  <si>
    <t>XIII Gas -A</t>
  </si>
  <si>
    <t>XIII Gas -B</t>
  </si>
  <si>
    <t>XIII Gas-A</t>
  </si>
  <si>
    <t>XIII Gas-B</t>
  </si>
  <si>
    <t>CUADRE CANON 2018</t>
  </si>
  <si>
    <t>8 - Crudo Corrientes</t>
  </si>
  <si>
    <t>XIII Gas Expectativa</t>
  </si>
  <si>
    <t>IV-GAS</t>
  </si>
  <si>
    <t>Canon Memoria
 S/</t>
  </si>
  <si>
    <t>Total US$</t>
  </si>
  <si>
    <t>Canon Petrolero
 US$</t>
  </si>
  <si>
    <t>Dif. 
US$</t>
  </si>
  <si>
    <t>XIII Gas Paita</t>
  </si>
  <si>
    <t xml:space="preserve">RESUMEN POR PETROLERO Y CONDENSADOS </t>
  </si>
  <si>
    <t>RESUMEN POR GAS NATURAL</t>
  </si>
  <si>
    <t>I GAS (T)</t>
  </si>
  <si>
    <t>I (T)</t>
  </si>
  <si>
    <t>Correspondiente a  Enero 2022</t>
  </si>
  <si>
    <t>Piura / Tumbes US$</t>
  </si>
  <si>
    <t>Piura / Tumbes S/.</t>
  </si>
  <si>
    <t>Provincia Puerto Inca Huanuco US$</t>
  </si>
  <si>
    <t>Provincia Puerto Inca Huanuco S/.</t>
  </si>
  <si>
    <t>Loreto / Ucayali US$</t>
  </si>
  <si>
    <t>Loreto / Ucayali S/.</t>
  </si>
  <si>
    <t>Cusco US$</t>
  </si>
  <si>
    <t>Cusco S/.</t>
  </si>
  <si>
    <t>Correspondiente a  Febrero 2022</t>
  </si>
  <si>
    <t>=  (0.0000 * 0.00% + (0.0000 - 0.0000 - 0.0000) * (1 - 0.00%))</t>
  </si>
  <si>
    <t>Correspondiente a  Marzo 2022</t>
  </si>
  <si>
    <t>Correspondiente a  Abril 2022</t>
  </si>
  <si>
    <t>Tipo de Cambio= 3.750</t>
  </si>
  <si>
    <t>XIII Gas Efe-02</t>
  </si>
  <si>
    <t>=  (93.8323 * 57.91% + (55.0346 - 21.2630 - 0.0000) * (1 - 57.91%))</t>
  </si>
  <si>
    <t>=  (97.2892 * 55.57% + (63.5209 - 21.2630 - 0.0000) * (1 - 55.57%))</t>
  </si>
  <si>
    <t>=  (82.5802 * 54.65% + (36.6031 - 21.2630 - 0.0000) * (1 - 54.65%))</t>
  </si>
  <si>
    <t>=  (89.2458 * 60.90% + (36.6031 - 21.2630 - 0.0000) * (1 - 60.90%))</t>
  </si>
  <si>
    <t>Tipo de Cambio= 3.736</t>
  </si>
  <si>
    <t>Tipo de Cambio= 3.709</t>
  </si>
  <si>
    <t>III (T)</t>
  </si>
  <si>
    <t>IV (T)</t>
  </si>
  <si>
    <t>XIII Gas - A</t>
  </si>
  <si>
    <t>XIII Gas - B</t>
  </si>
  <si>
    <t>XIII Gas Efe-01</t>
  </si>
  <si>
    <t>Tipo de Cambio= 3.772</t>
  </si>
  <si>
    <t>Correspondiente a  Mayo 2022</t>
  </si>
  <si>
    <t>=  (108.7350 * 56.84% + (62.9665 - 21.2630 - 0.0000) * (1 - 56.84%))</t>
  </si>
  <si>
    <t>=  (115.8617 * 57.57% + (62.9522 - 21.2630 - 0.0000) * (1 - 57.57%))</t>
  </si>
  <si>
    <t>Tipo de Cambio= 3.728</t>
  </si>
  <si>
    <t>Correspondiente a  Junio 2022</t>
  </si>
  <si>
    <t>=  (124.7494 * 59.02% + (62.3943 - 21.2630 - 0.0000) * (1 - 59.02%))</t>
  </si>
  <si>
    <t>=  (116.9802 * 61.37% + (62.9048 - 21.2630 - 0.0000) * (1 - 61.37%))</t>
  </si>
  <si>
    <t>Correspondiente a  Julio 2022</t>
  </si>
  <si>
    <t>=  (108.1678 * 63.36% + (58.9135 - 0.0000 - 21.2630) * (1 - 63.36%))</t>
  </si>
  <si>
    <t>=  (107.9960 * 64.71% + (59.1002 - 0.0000 - 21.2630) * (1 - 64.71%))</t>
  </si>
  <si>
    <t>Tipo de Cambio= 3.847</t>
  </si>
  <si>
    <t>XIII Llantera</t>
  </si>
  <si>
    <t>Correspondiente a  Agosto 2022</t>
  </si>
  <si>
    <t>=  (96.6650 * 60.96% + (55.9030 - 21.2630 - 0.0000) * (1 - 60.96%))</t>
  </si>
  <si>
    <t>=  (99.4597 * 62.79% + (58.1089 - 21.2630 - 0.0000) * (1 - 62.79%))</t>
  </si>
  <si>
    <t>Correspondiente a  Setiembre 2022</t>
  </si>
  <si>
    <t>Tipo de Cambio= 3.985</t>
  </si>
  <si>
    <t>=  (91.0997 * 62.26% + (54.9327 - 21.2630 - 0.0000) * (1 - 62.26%))</t>
  </si>
  <si>
    <t>=  (87.0135 * 61.92% + (53.4104 - 21.2630 - 0.0000) * (1 - 61.92%))</t>
  </si>
  <si>
    <t>Tipo de Cambio= 3.871</t>
  </si>
  <si>
    <t>XIII Gas Expectativa - Pto Fiscalizacion</t>
  </si>
  <si>
    <t>Correspondiente a  Octubre 2022</t>
  </si>
  <si>
    <t>=  (93.3717 * 62.69% + (46.9293 - 21.2630 - 0.0000) * (1 - 62.69%))</t>
  </si>
  <si>
    <t>(*) Crudo Garantia de Interoil</t>
  </si>
  <si>
    <t>=  (115.7703 * 53.89% + (76.5879 - 21.2630 - 0.0000) * (1 - 53.89%))</t>
  </si>
  <si>
    <t>=  (113.2048 * 59.40% + (77.8771 - 21.2630 - 0.0000) * (1 - 59.40%))</t>
  </si>
  <si>
    <t>=  (103.3230 * 56.25% + (68.3100 - 21.2630 - 0.0000) * (1 - 56.25%))</t>
  </si>
  <si>
    <t>=  (104.5926 * 54.23% + (64.1201 - 21.2630 - 0.0000) * (1 - 54.23%))</t>
  </si>
  <si>
    <t>Tipo de Cambio= 3.878</t>
  </si>
  <si>
    <t>Tipo de Cambio= 3.841</t>
  </si>
  <si>
    <t>Correspondiente a  Noviembre 2022</t>
  </si>
  <si>
    <t>Tipo de Cambio= 3.839</t>
  </si>
  <si>
    <t>=  (94.3365 * 59.39% + (45.1921 - 21.2630 - 0.0000) * (1 - 59.39%))</t>
  </si>
  <si>
    <t>=  (84.6607 * 55.93% + (45.1921 - 21.2630 - 0.0000) * (1 - 55.93%))</t>
  </si>
  <si>
    <t>Correspondiente a  Diciembre 2022</t>
  </si>
  <si>
    <t>=  (79.5417 * 57.04% + (38.8534 - 21.2630 - 0.0000) * (1 - 57.04%))</t>
  </si>
  <si>
    <t>Tipo de Cambio= 3.861</t>
  </si>
  <si>
    <t>=  (79.2906 * 54.70% + (43.2947 - 21.2630 - 0.0000) * (1 - 54.70%))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</si>
</sst>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0.0%"/>
    <numFmt numFmtId="165" formatCode="0.0000"/>
    <numFmt numFmtId="166" formatCode="#,##0.0000"/>
    <numFmt numFmtId="167" formatCode="#,##0.0"/>
    <numFmt numFmtId="168" formatCode="#,##0.0_);[Red]\(#,##0.0\)"/>
    <numFmt numFmtId="169" formatCode="#,##0.0000_);[Red]\(#,##0.0000\)"/>
    <numFmt numFmtId="170" formatCode="#,##0.00_ ;[Red]\-#,##0.00\ "/>
    <numFmt numFmtId="171" formatCode="#,##0.00_);[Red]\(#,##0.00\)"/>
    <numFmt numFmtId="172" formatCode="#,##0.0000;[Red]\-#,##0.0000"/>
    <numFmt numFmtId="173" formatCode="#,##0.000_);[Red]\(#,##0.000\)"/>
    <numFmt numFmtId="174" formatCode="#,##0.000"/>
    <numFmt numFmtId="175" formatCode="#,##0.00;[Red]#,##0.00"/>
    <numFmt numFmtId="176" formatCode="#,##0.0000_ ;[Red]\-#,##0.0000\ "/>
  </numFmts>
  <fonts count="28" x14ac:knownFonts="1">
    <font>
      <sz val="12"/>
      <name val="Helv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8"/>
      <name val="Arial"/>
      <family val="2"/>
    </font>
    <font>
      <b/>
      <sz val="9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8"/>
      <name val="Helv"/>
    </font>
    <font>
      <sz val="9"/>
      <color theme="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Helv"/>
    </font>
    <font>
      <b/>
      <sz val="10"/>
      <name val="Helv"/>
    </font>
    <font>
      <b/>
      <sz val="9"/>
      <name val="Helv"/>
    </font>
    <font>
      <b/>
      <u/>
      <sz val="8"/>
      <name val="Arial"/>
      <family val="2"/>
    </font>
    <font>
      <sz val="8"/>
      <color theme="1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2"/>
      <name val="Helv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7">
    <xf numFmtId="0" fontId="0" fillId="0" borderId="0"/>
    <xf numFmtId="0" fontId="8" fillId="0" borderId="0"/>
    <xf numFmtId="0" fontId="3" fillId="0" borderId="0"/>
    <xf numFmtId="9" fontId="4" fillId="0" borderId="0" applyFont="0" applyFill="0" applyBorder="0" applyAlignment="0" applyProtection="0"/>
    <xf numFmtId="0" fontId="2" fillId="0" borderId="0"/>
    <xf numFmtId="0" fontId="1" fillId="0" borderId="0"/>
    <xf numFmtId="43" fontId="27" fillId="0" borderId="0" applyFont="0" applyFill="0" applyBorder="0" applyAlignment="0" applyProtection="0"/>
  </cellStyleXfs>
  <cellXfs count="600">
    <xf numFmtId="0" fontId="0" fillId="0" borderId="0" xfId="0"/>
    <xf numFmtId="17" fontId="3" fillId="0" borderId="0" xfId="2" applyNumberFormat="1"/>
    <xf numFmtId="0" fontId="6" fillId="0" borderId="0" xfId="2" applyFont="1"/>
    <xf numFmtId="0" fontId="3" fillId="0" borderId="0" xfId="2" applyFont="1"/>
    <xf numFmtId="0" fontId="3" fillId="0" borderId="0" xfId="2" applyBorder="1"/>
    <xf numFmtId="0" fontId="5" fillId="0" borderId="0" xfId="2" applyFont="1" applyBorder="1" applyAlignment="1">
      <alignment horizontal="center"/>
    </xf>
    <xf numFmtId="17" fontId="3" fillId="2" borderId="0" xfId="2" applyNumberFormat="1" applyFill="1"/>
    <xf numFmtId="0" fontId="5" fillId="0" borderId="1" xfId="2" applyFont="1" applyBorder="1"/>
    <xf numFmtId="0" fontId="6" fillId="0" borderId="3" xfId="2" quotePrefix="1" applyFont="1" applyBorder="1" applyAlignment="1">
      <alignment horizontal="left" vertical="center"/>
    </xf>
    <xf numFmtId="0" fontId="9" fillId="0" borderId="4" xfId="2" applyFont="1" applyBorder="1"/>
    <xf numFmtId="0" fontId="3" fillId="0" borderId="1" xfId="2" applyBorder="1"/>
    <xf numFmtId="0" fontId="3" fillId="0" borderId="8" xfId="2" applyBorder="1"/>
    <xf numFmtId="0" fontId="5" fillId="0" borderId="8" xfId="2" applyFont="1" applyBorder="1" applyAlignment="1">
      <alignment horizontal="center"/>
    </xf>
    <xf numFmtId="0" fontId="3" fillId="0" borderId="9" xfId="2" quotePrefix="1" applyFont="1" applyBorder="1"/>
    <xf numFmtId="0" fontId="3" fillId="0" borderId="10" xfId="2" applyBorder="1"/>
    <xf numFmtId="0" fontId="3" fillId="0" borderId="10" xfId="2" applyBorder="1" applyAlignment="1">
      <alignment horizontal="center"/>
    </xf>
    <xf numFmtId="0" fontId="5" fillId="0" borderId="8" xfId="2" applyFont="1" applyBorder="1"/>
    <xf numFmtId="0" fontId="3" fillId="0" borderId="11" xfId="2" applyBorder="1"/>
    <xf numFmtId="0" fontId="3" fillId="0" borderId="12" xfId="2" quotePrefix="1" applyFont="1" applyBorder="1"/>
    <xf numFmtId="0" fontId="3" fillId="0" borderId="13" xfId="2" applyBorder="1"/>
    <xf numFmtId="0" fontId="3" fillId="0" borderId="13" xfId="2" applyFont="1" applyBorder="1" applyAlignment="1">
      <alignment horizontal="center"/>
    </xf>
    <xf numFmtId="0" fontId="3" fillId="0" borderId="13" xfId="2" applyFont="1" applyBorder="1"/>
    <xf numFmtId="0" fontId="3" fillId="0" borderId="14" xfId="2" quotePrefix="1" applyFont="1" applyBorder="1"/>
    <xf numFmtId="0" fontId="3" fillId="0" borderId="15" xfId="2" applyFont="1" applyBorder="1" applyAlignment="1">
      <alignment horizontal="center"/>
    </xf>
    <xf numFmtId="0" fontId="3" fillId="0" borderId="13" xfId="2" applyBorder="1" applyAlignment="1">
      <alignment horizontal="left"/>
    </xf>
    <xf numFmtId="0" fontId="3" fillId="0" borderId="15" xfId="2" applyFont="1" applyBorder="1"/>
    <xf numFmtId="0" fontId="3" fillId="0" borderId="9" xfId="2" applyBorder="1"/>
    <xf numFmtId="0" fontId="10" fillId="0" borderId="10" xfId="2" applyFont="1" applyBorder="1"/>
    <xf numFmtId="0" fontId="6" fillId="0" borderId="17" xfId="2" applyFont="1" applyBorder="1" applyAlignment="1">
      <alignment horizontal="center" vertical="center" wrapText="1"/>
    </xf>
    <xf numFmtId="0" fontId="3" fillId="0" borderId="18" xfId="2" applyBorder="1"/>
    <xf numFmtId="0" fontId="3" fillId="0" borderId="12" xfId="2" applyFont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7" fillId="0" borderId="12" xfId="2" applyFont="1" applyBorder="1" applyAlignment="1">
      <alignment horizontal="center"/>
    </xf>
    <xf numFmtId="0" fontId="3" fillId="0" borderId="7" xfId="2" applyBorder="1"/>
    <xf numFmtId="0" fontId="6" fillId="0" borderId="19" xfId="2" applyFont="1" applyBorder="1" applyAlignment="1">
      <alignment horizontal="center" vertical="center"/>
    </xf>
    <xf numFmtId="0" fontId="3" fillId="0" borderId="9" xfId="2" applyBorder="1" applyAlignment="1">
      <alignment horizontal="center"/>
    </xf>
    <xf numFmtId="0" fontId="3" fillId="0" borderId="20" xfId="2" applyBorder="1" applyAlignment="1">
      <alignment horizontal="center"/>
    </xf>
    <xf numFmtId="4" fontId="9" fillId="0" borderId="21" xfId="2" applyNumberFormat="1" applyFont="1" applyBorder="1"/>
    <xf numFmtId="4" fontId="9" fillId="0" borderId="22" xfId="2" applyNumberFormat="1" applyFont="1" applyBorder="1"/>
    <xf numFmtId="164" fontId="9" fillId="0" borderId="22" xfId="2" applyNumberFormat="1" applyFont="1" applyBorder="1"/>
    <xf numFmtId="4" fontId="9" fillId="0" borderId="23" xfId="2" applyNumberFormat="1" applyFont="1" applyBorder="1"/>
    <xf numFmtId="0" fontId="9" fillId="0" borderId="10" xfId="2" applyFont="1" applyBorder="1"/>
    <xf numFmtId="164" fontId="9" fillId="0" borderId="20" xfId="2" applyNumberFormat="1" applyFont="1" applyBorder="1"/>
    <xf numFmtId="0" fontId="9" fillId="0" borderId="11" xfId="2" applyFont="1" applyBorder="1"/>
    <xf numFmtId="0" fontId="9" fillId="0" borderId="18" xfId="2" applyFont="1" applyBorder="1"/>
    <xf numFmtId="0" fontId="9" fillId="0" borderId="8" xfId="2" applyFont="1" applyBorder="1"/>
    <xf numFmtId="0" fontId="9" fillId="0" borderId="24" xfId="2" applyFont="1" applyBorder="1"/>
    <xf numFmtId="0" fontId="9" fillId="0" borderId="21" xfId="2" applyFont="1" applyBorder="1"/>
    <xf numFmtId="0" fontId="9" fillId="0" borderId="0" xfId="2" applyFont="1" applyBorder="1"/>
    <xf numFmtId="4" fontId="9" fillId="0" borderId="10" xfId="2" applyNumberFormat="1" applyFont="1" applyBorder="1"/>
    <xf numFmtId="166" fontId="9" fillId="0" borderId="10" xfId="2" applyNumberFormat="1" applyFont="1" applyBorder="1"/>
    <xf numFmtId="0" fontId="9" fillId="0" borderId="2" xfId="2" applyFont="1" applyBorder="1"/>
    <xf numFmtId="0" fontId="9" fillId="0" borderId="6" xfId="2" applyFont="1" applyBorder="1"/>
    <xf numFmtId="0" fontId="3" fillId="0" borderId="0" xfId="2" applyFont="1" applyBorder="1" applyAlignment="1">
      <alignment horizontal="center"/>
    </xf>
    <xf numFmtId="0" fontId="3" fillId="0" borderId="21" xfId="2" applyFont="1" applyBorder="1" applyAlignment="1">
      <alignment horizontal="center"/>
    </xf>
    <xf numFmtId="0" fontId="5" fillId="0" borderId="25" xfId="2" applyFont="1" applyBorder="1" applyAlignment="1">
      <alignment horizontal="center"/>
    </xf>
    <xf numFmtId="0" fontId="5" fillId="0" borderId="25" xfId="2" applyFont="1" applyBorder="1"/>
    <xf numFmtId="4" fontId="6" fillId="0" borderId="10" xfId="2" applyNumberFormat="1" applyFont="1" applyBorder="1"/>
    <xf numFmtId="164" fontId="6" fillId="0" borderId="20" xfId="2" applyNumberFormat="1" applyFont="1" applyBorder="1"/>
    <xf numFmtId="0" fontId="6" fillId="0" borderId="27" xfId="2" applyFont="1" applyBorder="1" applyAlignment="1">
      <alignment horizontal="centerContinuous" vertical="center" wrapText="1"/>
    </xf>
    <xf numFmtId="0" fontId="6" fillId="0" borderId="28" xfId="2" applyFont="1" applyBorder="1" applyAlignment="1">
      <alignment horizontal="centerContinuous" vertical="center" wrapText="1"/>
    </xf>
    <xf numFmtId="4" fontId="9" fillId="0" borderId="11" xfId="2" applyNumberFormat="1" applyFont="1" applyBorder="1"/>
    <xf numFmtId="4" fontId="3" fillId="0" borderId="0" xfId="2" applyNumberFormat="1"/>
    <xf numFmtId="0" fontId="9" fillId="0" borderId="0" xfId="2" applyFont="1"/>
    <xf numFmtId="3" fontId="9" fillId="2" borderId="0" xfId="2" quotePrefix="1" applyNumberFormat="1" applyFont="1" applyFill="1"/>
    <xf numFmtId="0" fontId="6" fillId="0" borderId="5" xfId="2" applyFont="1" applyBorder="1" applyAlignment="1">
      <alignment horizontal="center"/>
    </xf>
    <xf numFmtId="0" fontId="6" fillId="0" borderId="29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167" fontId="9" fillId="0" borderId="11" xfId="2" applyNumberFormat="1" applyFont="1" applyBorder="1"/>
    <xf numFmtId="165" fontId="9" fillId="0" borderId="11" xfId="2" applyNumberFormat="1" applyFont="1" applyBorder="1"/>
    <xf numFmtId="167" fontId="9" fillId="0" borderId="21" xfId="2" applyNumberFormat="1" applyFont="1" applyBorder="1"/>
    <xf numFmtId="165" fontId="9" fillId="0" borderId="21" xfId="2" applyNumberFormat="1" applyFont="1" applyBorder="1"/>
    <xf numFmtId="4" fontId="9" fillId="0" borderId="26" xfId="2" applyNumberFormat="1" applyFont="1" applyBorder="1"/>
    <xf numFmtId="167" fontId="9" fillId="0" borderId="26" xfId="2" applyNumberFormat="1" applyFont="1" applyBorder="1"/>
    <xf numFmtId="165" fontId="9" fillId="0" borderId="26" xfId="2" applyNumberFormat="1" applyFont="1" applyBorder="1"/>
    <xf numFmtId="167" fontId="9" fillId="0" borderId="24" xfId="2" applyNumberFormat="1" applyFont="1" applyBorder="1"/>
    <xf numFmtId="165" fontId="9" fillId="0" borderId="24" xfId="2" applyNumberFormat="1" applyFont="1" applyBorder="1"/>
    <xf numFmtId="167" fontId="9" fillId="0" borderId="23" xfId="2" applyNumberFormat="1" applyFont="1" applyBorder="1"/>
    <xf numFmtId="165" fontId="9" fillId="0" borderId="23" xfId="2" applyNumberFormat="1" applyFont="1" applyBorder="1"/>
    <xf numFmtId="4" fontId="9" fillId="0" borderId="5" xfId="2" applyNumberFormat="1" applyFont="1" applyBorder="1"/>
    <xf numFmtId="167" fontId="9" fillId="0" borderId="5" xfId="2" applyNumberFormat="1" applyFont="1" applyBorder="1"/>
    <xf numFmtId="165" fontId="9" fillId="0" borderId="5" xfId="2" applyNumberFormat="1" applyFont="1" applyBorder="1"/>
    <xf numFmtId="164" fontId="9" fillId="0" borderId="21" xfId="2" applyNumberFormat="1" applyFont="1" applyBorder="1"/>
    <xf numFmtId="0" fontId="3" fillId="0" borderId="21" xfId="2" applyBorder="1" applyAlignment="1">
      <alignment horizontal="center"/>
    </xf>
    <xf numFmtId="0" fontId="9" fillId="0" borderId="31" xfId="2" applyFont="1" applyBorder="1"/>
    <xf numFmtId="0" fontId="12" fillId="0" borderId="1" xfId="2" applyFont="1" applyBorder="1"/>
    <xf numFmtId="0" fontId="3" fillId="0" borderId="6" xfId="2" applyBorder="1"/>
    <xf numFmtId="0" fontId="12" fillId="0" borderId="33" xfId="2" applyFont="1" applyBorder="1"/>
    <xf numFmtId="165" fontId="12" fillId="0" borderId="34" xfId="2" applyNumberFormat="1" applyFont="1" applyBorder="1"/>
    <xf numFmtId="0" fontId="12" fillId="0" borderId="16" xfId="2" quotePrefix="1" applyFont="1" applyBorder="1"/>
    <xf numFmtId="0" fontId="3" fillId="0" borderId="17" xfId="2" applyBorder="1"/>
    <xf numFmtId="0" fontId="12" fillId="0" borderId="36" xfId="2" applyFont="1" applyBorder="1"/>
    <xf numFmtId="165" fontId="12" fillId="0" borderId="37" xfId="2" applyNumberFormat="1" applyFont="1" applyBorder="1"/>
    <xf numFmtId="0" fontId="12" fillId="0" borderId="37" xfId="2" applyFont="1" applyBorder="1"/>
    <xf numFmtId="166" fontId="10" fillId="0" borderId="3" xfId="2" applyNumberFormat="1" applyFont="1" applyBorder="1" applyAlignment="1">
      <alignment horizontal="center"/>
    </xf>
    <xf numFmtId="0" fontId="3" fillId="0" borderId="31" xfId="2" applyBorder="1"/>
    <xf numFmtId="0" fontId="3" fillId="0" borderId="4" xfId="2" applyBorder="1"/>
    <xf numFmtId="10" fontId="12" fillId="0" borderId="37" xfId="2" applyNumberFormat="1" applyFont="1" applyBorder="1"/>
    <xf numFmtId="165" fontId="3" fillId="0" borderId="2" xfId="2" applyNumberFormat="1" applyBorder="1"/>
    <xf numFmtId="168" fontId="12" fillId="0" borderId="37" xfId="2" applyNumberFormat="1" applyFont="1" applyBorder="1"/>
    <xf numFmtId="0" fontId="12" fillId="0" borderId="39" xfId="2" applyFont="1" applyBorder="1"/>
    <xf numFmtId="165" fontId="12" fillId="0" borderId="40" xfId="2" applyNumberFormat="1" applyFont="1" applyBorder="1"/>
    <xf numFmtId="165" fontId="3" fillId="0" borderId="31" xfId="2" applyNumberFormat="1" applyBorder="1"/>
    <xf numFmtId="0" fontId="10" fillId="0" borderId="5" xfId="2" applyFont="1" applyBorder="1" applyAlignment="1">
      <alignment horizontal="center"/>
    </xf>
    <xf numFmtId="0" fontId="10" fillId="0" borderId="2" xfId="2" applyFont="1" applyBorder="1" applyAlignment="1">
      <alignment horizontal="centerContinuous"/>
    </xf>
    <xf numFmtId="0" fontId="5" fillId="0" borderId="6" xfId="2" applyFont="1" applyBorder="1" applyAlignment="1">
      <alignment horizontal="centerContinuous"/>
    </xf>
    <xf numFmtId="0" fontId="10" fillId="0" borderId="6" xfId="2" applyFont="1" applyBorder="1" applyAlignment="1">
      <alignment horizontal="center"/>
    </xf>
    <xf numFmtId="4" fontId="9" fillId="0" borderId="8" xfId="2" applyNumberFormat="1" applyFont="1" applyBorder="1"/>
    <xf numFmtId="4" fontId="9" fillId="0" borderId="11" xfId="0" applyNumberFormat="1" applyFont="1" applyBorder="1"/>
    <xf numFmtId="4" fontId="9" fillId="0" borderId="21" xfId="0" applyNumberFormat="1" applyFont="1" applyBorder="1"/>
    <xf numFmtId="4" fontId="9" fillId="0" borderId="26" xfId="0" applyNumberFormat="1" applyFont="1" applyBorder="1"/>
    <xf numFmtId="0" fontId="3" fillId="0" borderId="20" xfId="2" applyBorder="1"/>
    <xf numFmtId="0" fontId="3" fillId="0" borderId="16" xfId="2" applyBorder="1"/>
    <xf numFmtId="0" fontId="10" fillId="0" borderId="0" xfId="2" applyFont="1" applyBorder="1"/>
    <xf numFmtId="0" fontId="10" fillId="0" borderId="0" xfId="2" applyFont="1" applyAlignment="1">
      <alignment horizontal="centerContinuous" vertical="center"/>
    </xf>
    <xf numFmtId="0" fontId="5" fillId="0" borderId="0" xfId="2" applyFont="1" applyAlignment="1">
      <alignment horizontal="centerContinuous" vertical="center"/>
    </xf>
    <xf numFmtId="0" fontId="3" fillId="0" borderId="0" xfId="2" applyBorder="1" applyAlignment="1">
      <alignment horizontal="center"/>
    </xf>
    <xf numFmtId="0" fontId="3" fillId="0" borderId="16" xfId="2" applyBorder="1" applyAlignment="1">
      <alignment horizontal="center"/>
    </xf>
    <xf numFmtId="4" fontId="6" fillId="0" borderId="0" xfId="2" applyNumberFormat="1" applyFont="1" applyBorder="1"/>
    <xf numFmtId="164" fontId="9" fillId="0" borderId="17" xfId="2" applyNumberFormat="1" applyFont="1" applyBorder="1"/>
    <xf numFmtId="4" fontId="9" fillId="0" borderId="29" xfId="2" applyNumberFormat="1" applyFont="1" applyBorder="1"/>
    <xf numFmtId="167" fontId="9" fillId="0" borderId="29" xfId="2" applyNumberFormat="1" applyFont="1" applyBorder="1"/>
    <xf numFmtId="165" fontId="9" fillId="0" borderId="29" xfId="2" applyNumberFormat="1" applyFont="1" applyBorder="1"/>
    <xf numFmtId="4" fontId="9" fillId="0" borderId="0" xfId="2" applyNumberFormat="1" applyFont="1" applyBorder="1"/>
    <xf numFmtId="166" fontId="9" fillId="0" borderId="0" xfId="2" applyNumberFormat="1" applyFont="1" applyBorder="1"/>
    <xf numFmtId="0" fontId="3" fillId="0" borderId="3" xfId="2" applyBorder="1"/>
    <xf numFmtId="0" fontId="10" fillId="0" borderId="31" xfId="2" applyFont="1" applyBorder="1"/>
    <xf numFmtId="4" fontId="9" fillId="0" borderId="31" xfId="2" applyNumberFormat="1" applyFont="1" applyBorder="1"/>
    <xf numFmtId="164" fontId="9" fillId="0" borderId="4" xfId="2" applyNumberFormat="1" applyFont="1" applyBorder="1"/>
    <xf numFmtId="4" fontId="9" fillId="0" borderId="30" xfId="2" applyNumberFormat="1" applyFont="1" applyBorder="1"/>
    <xf numFmtId="167" fontId="9" fillId="0" borderId="30" xfId="2" applyNumberFormat="1" applyFont="1" applyBorder="1"/>
    <xf numFmtId="165" fontId="9" fillId="0" borderId="30" xfId="2" applyNumberFormat="1" applyFont="1" applyBorder="1"/>
    <xf numFmtId="4" fontId="9" fillId="0" borderId="29" xfId="0" applyNumberFormat="1" applyFont="1" applyBorder="1"/>
    <xf numFmtId="0" fontId="10" fillId="0" borderId="10" xfId="2" applyFont="1" applyBorder="1" applyAlignment="1">
      <alignment horizontal="right"/>
    </xf>
    <xf numFmtId="3" fontId="9" fillId="0" borderId="20" xfId="2" applyNumberFormat="1" applyFont="1" applyBorder="1"/>
    <xf numFmtId="3" fontId="6" fillId="0" borderId="10" xfId="2" applyNumberFormat="1" applyFont="1" applyBorder="1"/>
    <xf numFmtId="3" fontId="6" fillId="0" borderId="5" xfId="2" applyNumberFormat="1" applyFont="1" applyBorder="1"/>
    <xf numFmtId="164" fontId="9" fillId="0" borderId="6" xfId="2" applyNumberFormat="1" applyFont="1" applyBorder="1"/>
    <xf numFmtId="0" fontId="6" fillId="0" borderId="18" xfId="2" applyFont="1" applyBorder="1" applyAlignment="1">
      <alignment horizontal="centerContinuous" vertical="center" wrapText="1"/>
    </xf>
    <xf numFmtId="0" fontId="6" fillId="0" borderId="27" xfId="2" applyFont="1" applyBorder="1" applyAlignment="1">
      <alignment horizontal="centerContinuous" vertical="center"/>
    </xf>
    <xf numFmtId="0" fontId="6" fillId="0" borderId="28" xfId="2" applyFont="1" applyBorder="1" applyAlignment="1">
      <alignment horizontal="centerContinuous" vertical="center"/>
    </xf>
    <xf numFmtId="0" fontId="6" fillId="0" borderId="1" xfId="2" applyFont="1" applyBorder="1" applyAlignment="1">
      <alignment horizontal="centerContinuous" vertical="center" wrapText="1"/>
    </xf>
    <xf numFmtId="0" fontId="6" fillId="0" borderId="2" xfId="2" applyFont="1" applyBorder="1" applyAlignment="1">
      <alignment horizontal="centerContinuous" vertical="center" wrapText="1"/>
    </xf>
    <xf numFmtId="0" fontId="6" fillId="0" borderId="8" xfId="2" applyFont="1" applyBorder="1" applyAlignment="1">
      <alignment vertical="center" wrapText="1"/>
    </xf>
    <xf numFmtId="0" fontId="6" fillId="0" borderId="18" xfId="2" applyFont="1" applyBorder="1" applyAlignment="1">
      <alignment vertical="center" wrapText="1"/>
    </xf>
    <xf numFmtId="0" fontId="3" fillId="0" borderId="41" xfId="2" quotePrefix="1" applyFont="1" applyBorder="1"/>
    <xf numFmtId="0" fontId="3" fillId="0" borderId="42" xfId="2" applyFont="1" applyBorder="1"/>
    <xf numFmtId="0" fontId="3" fillId="0" borderId="42" xfId="2" applyFont="1" applyBorder="1" applyAlignment="1">
      <alignment horizontal="center"/>
    </xf>
    <xf numFmtId="0" fontId="3" fillId="0" borderId="43" xfId="2" applyFont="1" applyBorder="1" applyAlignment="1">
      <alignment horizontal="center"/>
    </xf>
    <xf numFmtId="4" fontId="6" fillId="0" borderId="6" xfId="2" applyNumberFormat="1" applyFont="1" applyBorder="1"/>
    <xf numFmtId="164" fontId="9" fillId="0" borderId="26" xfId="3" applyNumberFormat="1" applyFont="1" applyBorder="1"/>
    <xf numFmtId="166" fontId="12" fillId="0" borderId="21" xfId="2" applyNumberFormat="1" applyFont="1" applyBorder="1"/>
    <xf numFmtId="164" fontId="12" fillId="0" borderId="22" xfId="2" applyNumberFormat="1" applyFont="1" applyBorder="1"/>
    <xf numFmtId="0" fontId="10" fillId="0" borderId="7" xfId="2" applyFont="1" applyBorder="1" applyAlignment="1">
      <alignment horizontal="centerContinuous" vertical="center" wrapText="1"/>
    </xf>
    <xf numFmtId="0" fontId="12" fillId="0" borderId="8" xfId="2" applyFont="1" applyBorder="1"/>
    <xf numFmtId="0" fontId="12" fillId="0" borderId="11" xfId="2" applyFont="1" applyBorder="1"/>
    <xf numFmtId="3" fontId="10" fillId="0" borderId="5" xfId="2" applyNumberFormat="1" applyFont="1" applyBorder="1"/>
    <xf numFmtId="0" fontId="12" fillId="0" borderId="18" xfId="2" applyFont="1" applyBorder="1"/>
    <xf numFmtId="3" fontId="10" fillId="0" borderId="31" xfId="2" applyNumberFormat="1" applyFont="1" applyBorder="1"/>
    <xf numFmtId="4" fontId="10" fillId="0" borderId="5" xfId="2" applyNumberFormat="1" applyFont="1" applyBorder="1"/>
    <xf numFmtId="0" fontId="12" fillId="0" borderId="7" xfId="2" applyFont="1" applyBorder="1"/>
    <xf numFmtId="40" fontId="12" fillId="0" borderId="21" xfId="2" applyNumberFormat="1" applyFont="1" applyBorder="1"/>
    <xf numFmtId="0" fontId="3" fillId="0" borderId="0" xfId="2" applyAlignment="1">
      <alignment horizontal="right"/>
    </xf>
    <xf numFmtId="17" fontId="3" fillId="0" borderId="0" xfId="2" applyNumberFormat="1" applyAlignment="1">
      <alignment horizontal="right"/>
    </xf>
    <xf numFmtId="40" fontId="10" fillId="0" borderId="10" xfId="2" applyNumberFormat="1" applyFont="1" applyBorder="1"/>
    <xf numFmtId="40" fontId="10" fillId="0" borderId="7" xfId="2" applyNumberFormat="1" applyFont="1" applyBorder="1" applyAlignment="1">
      <alignment horizontal="centerContinuous"/>
    </xf>
    <xf numFmtId="0" fontId="6" fillId="0" borderId="46" xfId="2" applyFont="1" applyBorder="1" applyAlignment="1">
      <alignment horizontal="centerContinuous" vertical="center" wrapText="1"/>
    </xf>
    <xf numFmtId="0" fontId="3" fillId="0" borderId="12" xfId="2" applyBorder="1" applyAlignment="1">
      <alignment horizontal="center"/>
    </xf>
    <xf numFmtId="169" fontId="12" fillId="0" borderId="47" xfId="2" applyNumberFormat="1" applyFont="1" applyFill="1" applyBorder="1" applyAlignment="1"/>
    <xf numFmtId="40" fontId="12" fillId="0" borderId="47" xfId="2" applyNumberFormat="1" applyFont="1" applyBorder="1" applyAlignment="1"/>
    <xf numFmtId="164" fontId="9" fillId="0" borderId="50" xfId="2" applyNumberFormat="1" applyFont="1" applyBorder="1"/>
    <xf numFmtId="164" fontId="9" fillId="0" borderId="47" xfId="2" applyNumberFormat="1" applyFont="1" applyBorder="1"/>
    <xf numFmtId="164" fontId="9" fillId="0" borderId="54" xfId="2" applyNumberFormat="1" applyFont="1" applyBorder="1"/>
    <xf numFmtId="40" fontId="10" fillId="0" borderId="45" xfId="2" applyNumberFormat="1" applyFont="1" applyBorder="1" applyAlignment="1">
      <alignment horizontal="centerContinuous"/>
    </xf>
    <xf numFmtId="0" fontId="6" fillId="0" borderId="50" xfId="2" applyFont="1" applyBorder="1" applyAlignment="1">
      <alignment horizontal="center" vertical="center" wrapText="1"/>
    </xf>
    <xf numFmtId="0" fontId="5" fillId="0" borderId="45" xfId="2" applyFont="1" applyBorder="1" applyAlignment="1">
      <alignment horizontal="center"/>
    </xf>
    <xf numFmtId="40" fontId="10" fillId="0" borderId="49" xfId="2" applyNumberFormat="1" applyFont="1" applyBorder="1" applyAlignment="1">
      <alignment horizontal="centerContinuous"/>
    </xf>
    <xf numFmtId="0" fontId="3" fillId="0" borderId="47" xfId="2" applyFont="1" applyBorder="1" applyAlignment="1">
      <alignment horizontal="center"/>
    </xf>
    <xf numFmtId="0" fontId="7" fillId="0" borderId="51" xfId="2" applyFont="1" applyBorder="1" applyAlignment="1">
      <alignment horizontal="center"/>
    </xf>
    <xf numFmtId="0" fontId="3" fillId="0" borderId="51" xfId="2" applyFont="1" applyBorder="1" applyAlignment="1">
      <alignment horizontal="center"/>
    </xf>
    <xf numFmtId="0" fontId="3" fillId="0" borderId="51" xfId="2" applyBorder="1" applyAlignment="1">
      <alignment horizontal="center"/>
    </xf>
    <xf numFmtId="164" fontId="6" fillId="0" borderId="54" xfId="2" applyNumberFormat="1" applyFont="1" applyBorder="1"/>
    <xf numFmtId="0" fontId="3" fillId="0" borderId="51" xfId="2" quotePrefix="1" applyFont="1" applyBorder="1"/>
    <xf numFmtId="0" fontId="3" fillId="0" borderId="52" xfId="2" applyFont="1" applyBorder="1" applyAlignment="1">
      <alignment horizontal="center"/>
    </xf>
    <xf numFmtId="0" fontId="3" fillId="0" borderId="47" xfId="2" applyBorder="1" applyAlignment="1">
      <alignment horizontal="center"/>
    </xf>
    <xf numFmtId="0" fontId="3" fillId="0" borderId="48" xfId="2" applyBorder="1" applyAlignment="1">
      <alignment horizontal="center"/>
    </xf>
    <xf numFmtId="0" fontId="3" fillId="0" borderId="52" xfId="2" applyFont="1" applyBorder="1"/>
    <xf numFmtId="0" fontId="3" fillId="0" borderId="52" xfId="2" applyBorder="1" applyAlignment="1">
      <alignment horizontal="left"/>
    </xf>
    <xf numFmtId="4" fontId="13" fillId="0" borderId="0" xfId="0" applyNumberFormat="1" applyFont="1"/>
    <xf numFmtId="0" fontId="3" fillId="0" borderId="17" xfId="2" applyFont="1" applyBorder="1" applyAlignment="1">
      <alignment horizontal="center"/>
    </xf>
    <xf numFmtId="164" fontId="9" fillId="0" borderId="56" xfId="2" applyNumberFormat="1" applyFont="1" applyBorder="1"/>
    <xf numFmtId="0" fontId="3" fillId="0" borderId="16" xfId="2" applyFont="1" applyBorder="1" applyAlignment="1">
      <alignment horizontal="center"/>
    </xf>
    <xf numFmtId="0" fontId="9" fillId="0" borderId="53" xfId="2" applyFont="1" applyBorder="1"/>
    <xf numFmtId="4" fontId="16" fillId="4" borderId="10" xfId="2" applyNumberFormat="1" applyFont="1" applyFill="1" applyBorder="1"/>
    <xf numFmtId="166" fontId="16" fillId="4" borderId="10" xfId="2" applyNumberFormat="1" applyFont="1" applyFill="1" applyBorder="1"/>
    <xf numFmtId="4" fontId="16" fillId="4" borderId="2" xfId="2" applyNumberFormat="1" applyFont="1" applyFill="1" applyBorder="1"/>
    <xf numFmtId="10" fontId="9" fillId="0" borderId="50" xfId="2" applyNumberFormat="1" applyFont="1" applyBorder="1"/>
    <xf numFmtId="0" fontId="14" fillId="0" borderId="10" xfId="2" applyFont="1" applyBorder="1"/>
    <xf numFmtId="0" fontId="14" fillId="0" borderId="31" xfId="2" applyFont="1" applyBorder="1"/>
    <xf numFmtId="4" fontId="17" fillId="0" borderId="21" xfId="2" applyNumberFormat="1" applyFont="1" applyBorder="1"/>
    <xf numFmtId="4" fontId="17" fillId="0" borderId="22" xfId="2" applyNumberFormat="1" applyFont="1" applyBorder="1"/>
    <xf numFmtId="166" fontId="17" fillId="0" borderId="21" xfId="2" applyNumberFormat="1" applyFont="1" applyBorder="1"/>
    <xf numFmtId="4" fontId="3" fillId="0" borderId="0" xfId="2" applyNumberFormat="1" applyAlignment="1">
      <alignment horizontal="right"/>
    </xf>
    <xf numFmtId="0" fontId="14" fillId="4" borderId="10" xfId="2" applyFont="1" applyFill="1" applyBorder="1"/>
    <xf numFmtId="0" fontId="14" fillId="4" borderId="31" xfId="2" applyFont="1" applyFill="1" applyBorder="1"/>
    <xf numFmtId="0" fontId="18" fillId="0" borderId="3" xfId="2" applyFont="1" applyBorder="1"/>
    <xf numFmtId="0" fontId="18" fillId="0" borderId="1" xfId="2" applyFont="1" applyBorder="1"/>
    <xf numFmtId="165" fontId="6" fillId="3" borderId="0" xfId="2" applyNumberFormat="1" applyFont="1" applyFill="1"/>
    <xf numFmtId="0" fontId="3" fillId="0" borderId="15" xfId="2" applyBorder="1" applyAlignment="1">
      <alignment horizontal="left"/>
    </xf>
    <xf numFmtId="10" fontId="9" fillId="0" borderId="22" xfId="2" applyNumberFormat="1" applyFont="1" applyBorder="1"/>
    <xf numFmtId="0" fontId="3" fillId="0" borderId="0" xfId="2"/>
    <xf numFmtId="0" fontId="3" fillId="0" borderId="2" xfId="2" applyBorder="1"/>
    <xf numFmtId="0" fontId="6" fillId="0" borderId="6" xfId="2" applyFont="1" applyBorder="1" applyAlignment="1">
      <alignment horizontal="center" vertical="center"/>
    </xf>
    <xf numFmtId="0" fontId="6" fillId="0" borderId="6" xfId="2" applyFont="1" applyBorder="1" applyAlignment="1">
      <alignment horizontal="centerContinuous" vertical="center" wrapText="1"/>
    </xf>
    <xf numFmtId="40" fontId="10" fillId="0" borderId="5" xfId="2" applyNumberFormat="1" applyFont="1" applyBorder="1"/>
    <xf numFmtId="40" fontId="12" fillId="0" borderId="47" xfId="2" applyNumberFormat="1" applyFont="1" applyFill="1" applyBorder="1" applyAlignment="1"/>
    <xf numFmtId="0" fontId="5" fillId="0" borderId="7" xfId="2" applyFont="1" applyBorder="1"/>
    <xf numFmtId="164" fontId="9" fillId="0" borderId="50" xfId="2" applyNumberFormat="1" applyFont="1" applyBorder="1" applyAlignment="1">
      <alignment horizontal="right"/>
    </xf>
    <xf numFmtId="0" fontId="3" fillId="0" borderId="13" xfId="2" applyFont="1" applyFill="1" applyBorder="1" applyAlignment="1">
      <alignment horizontal="left"/>
    </xf>
    <xf numFmtId="164" fontId="9" fillId="0" borderId="58" xfId="2" applyNumberFormat="1" applyFont="1" applyBorder="1"/>
    <xf numFmtId="0" fontId="6" fillId="0" borderId="5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/>
    </xf>
    <xf numFmtId="40" fontId="12" fillId="0" borderId="26" xfId="2" applyNumberFormat="1" applyFont="1" applyBorder="1"/>
    <xf numFmtId="170" fontId="3" fillId="0" borderId="0" xfId="2" applyNumberFormat="1"/>
    <xf numFmtId="0" fontId="17" fillId="0" borderId="10" xfId="2" applyFont="1" applyBorder="1"/>
    <xf numFmtId="0" fontId="16" fillId="4" borderId="10" xfId="2" applyFont="1" applyFill="1" applyBorder="1"/>
    <xf numFmtId="4" fontId="16" fillId="4" borderId="31" xfId="2" applyNumberFormat="1" applyFont="1" applyFill="1" applyBorder="1"/>
    <xf numFmtId="4" fontId="14" fillId="4" borderId="2" xfId="2" applyNumberFormat="1" applyFont="1" applyFill="1" applyBorder="1"/>
    <xf numFmtId="4" fontId="14" fillId="0" borderId="2" xfId="2" applyNumberFormat="1" applyFont="1" applyBorder="1"/>
    <xf numFmtId="170" fontId="5" fillId="0" borderId="5" xfId="2" applyNumberFormat="1" applyFont="1" applyBorder="1"/>
    <xf numFmtId="40" fontId="10" fillId="0" borderId="47" xfId="2" applyNumberFormat="1" applyFont="1" applyBorder="1" applyAlignment="1"/>
    <xf numFmtId="10" fontId="15" fillId="0" borderId="0" xfId="3" applyNumberFormat="1" applyFont="1" applyBorder="1"/>
    <xf numFmtId="0" fontId="18" fillId="0" borderId="0" xfId="2" applyFont="1"/>
    <xf numFmtId="0" fontId="15" fillId="0" borderId="0" xfId="2" applyFont="1"/>
    <xf numFmtId="0" fontId="19" fillId="0" borderId="0" xfId="2" applyFont="1"/>
    <xf numFmtId="164" fontId="9" fillId="0" borderId="13" xfId="2" applyNumberFormat="1" applyFont="1" applyBorder="1"/>
    <xf numFmtId="164" fontId="9" fillId="0" borderId="52" xfId="2" applyNumberFormat="1" applyFont="1" applyBorder="1"/>
    <xf numFmtId="164" fontId="9" fillId="0" borderId="12" xfId="2" applyNumberFormat="1" applyFont="1" applyBorder="1"/>
    <xf numFmtId="4" fontId="20" fillId="0" borderId="0" xfId="0" applyNumberFormat="1" applyFont="1"/>
    <xf numFmtId="4" fontId="22" fillId="0" borderId="0" xfId="0" applyNumberFormat="1" applyFont="1"/>
    <xf numFmtId="0" fontId="20" fillId="0" borderId="0" xfId="0" applyFont="1"/>
    <xf numFmtId="0" fontId="20" fillId="0" borderId="29" xfId="0" applyFont="1" applyBorder="1"/>
    <xf numFmtId="4" fontId="20" fillId="0" borderId="29" xfId="0" applyNumberFormat="1" applyFont="1" applyBorder="1"/>
    <xf numFmtId="4" fontId="22" fillId="0" borderId="29" xfId="0" applyNumberFormat="1" applyFont="1" applyBorder="1"/>
    <xf numFmtId="0" fontId="20" fillId="0" borderId="30" xfId="0" applyFont="1" applyBorder="1"/>
    <xf numFmtId="4" fontId="20" fillId="0" borderId="30" xfId="0" applyNumberFormat="1" applyFont="1" applyBorder="1"/>
    <xf numFmtId="0" fontId="22" fillId="0" borderId="29" xfId="0" applyFont="1" applyBorder="1" applyAlignment="1">
      <alignment horizontal="center"/>
    </xf>
    <xf numFmtId="0" fontId="22" fillId="0" borderId="5" xfId="0" applyFont="1" applyBorder="1" applyAlignment="1">
      <alignment horizontal="center" wrapText="1"/>
    </xf>
    <xf numFmtId="0" fontId="22" fillId="0" borderId="5" xfId="0" applyFont="1" applyBorder="1" applyAlignment="1">
      <alignment horizontal="center"/>
    </xf>
    <xf numFmtId="0" fontId="21" fillId="6" borderId="0" xfId="0" applyFont="1" applyFill="1"/>
    <xf numFmtId="4" fontId="22" fillId="6" borderId="0" xfId="0" applyNumberFormat="1" applyFont="1" applyFill="1"/>
    <xf numFmtId="0" fontId="22" fillId="0" borderId="5" xfId="0" applyFont="1" applyBorder="1" applyAlignment="1">
      <alignment horizontal="center" vertical="center" wrapText="1"/>
    </xf>
    <xf numFmtId="4" fontId="6" fillId="6" borderId="21" xfId="2" applyNumberFormat="1" applyFont="1" applyFill="1" applyBorder="1"/>
    <xf numFmtId="3" fontId="6" fillId="0" borderId="20" xfId="2" applyNumberFormat="1" applyFont="1" applyBorder="1"/>
    <xf numFmtId="4" fontId="6" fillId="0" borderId="21" xfId="2" applyNumberFormat="1" applyFont="1" applyBorder="1"/>
    <xf numFmtId="10" fontId="12" fillId="0" borderId="47" xfId="3" applyNumberFormat="1" applyFont="1" applyFill="1" applyBorder="1" applyAlignment="1"/>
    <xf numFmtId="10" fontId="3" fillId="0" borderId="0" xfId="3" applyNumberFormat="1" applyFont="1" applyBorder="1"/>
    <xf numFmtId="4" fontId="17" fillId="0" borderId="31" xfId="2" applyNumberFormat="1" applyFont="1" applyBorder="1"/>
    <xf numFmtId="170" fontId="12" fillId="0" borderId="31" xfId="2" applyNumberFormat="1" applyFont="1" applyBorder="1"/>
    <xf numFmtId="0" fontId="23" fillId="0" borderId="19" xfId="2" applyFont="1" applyBorder="1" applyAlignment="1">
      <alignment horizontal="center" vertical="center"/>
    </xf>
    <xf numFmtId="165" fontId="12" fillId="0" borderId="59" xfId="2" applyNumberFormat="1" applyFont="1" applyBorder="1"/>
    <xf numFmtId="165" fontId="12" fillId="0" borderId="32" xfId="2" applyNumberFormat="1" applyFont="1" applyBorder="1"/>
    <xf numFmtId="10" fontId="6" fillId="4" borderId="0" xfId="3" applyNumberFormat="1" applyFont="1" applyFill="1" applyBorder="1"/>
    <xf numFmtId="10" fontId="18" fillId="0" borderId="0" xfId="3" applyNumberFormat="1" applyFont="1" applyBorder="1"/>
    <xf numFmtId="3" fontId="10" fillId="5" borderId="31" xfId="2" applyNumberFormat="1" applyFont="1" applyFill="1" applyBorder="1"/>
    <xf numFmtId="4" fontId="0" fillId="0" borderId="0" xfId="0" applyNumberFormat="1"/>
    <xf numFmtId="4" fontId="10" fillId="0" borderId="0" xfId="2" applyNumberFormat="1" applyFont="1" applyAlignment="1">
      <alignment horizontal="centerContinuous" vertical="center"/>
    </xf>
    <xf numFmtId="4" fontId="24" fillId="4" borderId="2" xfId="2" applyNumberFormat="1" applyFont="1" applyFill="1" applyBorder="1"/>
    <xf numFmtId="40" fontId="10" fillId="0" borderId="31" xfId="2" applyNumberFormat="1" applyFont="1" applyBorder="1"/>
    <xf numFmtId="4" fontId="25" fillId="5" borderId="10" xfId="2" applyNumberFormat="1" applyFont="1" applyFill="1" applyBorder="1"/>
    <xf numFmtId="4" fontId="5" fillId="0" borderId="5" xfId="2" applyNumberFormat="1" applyFont="1" applyBorder="1"/>
    <xf numFmtId="3" fontId="5" fillId="0" borderId="5" xfId="2" applyNumberFormat="1" applyFont="1" applyBorder="1"/>
    <xf numFmtId="0" fontId="5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6" fillId="0" borderId="27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3" fontId="0" fillId="0" borderId="0" xfId="0" applyNumberFormat="1"/>
    <xf numFmtId="4" fontId="10" fillId="0" borderId="0" xfId="2" applyNumberFormat="1" applyFont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25" fillId="5" borderId="7" xfId="2" applyFont="1" applyFill="1" applyBorder="1" applyAlignment="1">
      <alignment horizontal="center" vertical="center" wrapText="1"/>
    </xf>
    <xf numFmtId="4" fontId="9" fillId="6" borderId="21" xfId="2" applyNumberFormat="1" applyFont="1" applyFill="1" applyBorder="1"/>
    <xf numFmtId="166" fontId="24" fillId="4" borderId="10" xfId="2" applyNumberFormat="1" applyFont="1" applyFill="1" applyBorder="1"/>
    <xf numFmtId="10" fontId="3" fillId="0" borderId="0" xfId="3" applyNumberFormat="1" applyFont="1"/>
    <xf numFmtId="40" fontId="3" fillId="0" borderId="0" xfId="2" applyNumberFormat="1"/>
    <xf numFmtId="10" fontId="18" fillId="0" borderId="0" xfId="3" applyNumberFormat="1" applyFont="1"/>
    <xf numFmtId="170" fontId="19" fillId="0" borderId="0" xfId="2" applyNumberFormat="1" applyFont="1"/>
    <xf numFmtId="164" fontId="9" fillId="4" borderId="50" xfId="2" applyNumberFormat="1" applyFont="1" applyFill="1" applyBorder="1"/>
    <xf numFmtId="165" fontId="5" fillId="3" borderId="0" xfId="2" applyNumberFormat="1" applyFont="1" applyFill="1"/>
    <xf numFmtId="170" fontId="10" fillId="0" borderId="0" xfId="2" applyNumberFormat="1" applyFont="1" applyAlignment="1">
      <alignment horizontal="centerContinuous" vertical="center"/>
    </xf>
    <xf numFmtId="0" fontId="12" fillId="0" borderId="7" xfId="2" applyFont="1" applyBorder="1" applyAlignment="1">
      <alignment horizontal="centerContinuous" vertical="center" wrapText="1"/>
    </xf>
    <xf numFmtId="0" fontId="3" fillId="0" borderId="12" xfId="2" quotePrefix="1" applyBorder="1"/>
    <xf numFmtId="0" fontId="3" fillId="0" borderId="13" xfId="2" applyBorder="1" applyAlignment="1">
      <alignment horizontal="center"/>
    </xf>
    <xf numFmtId="40" fontId="12" fillId="0" borderId="47" xfId="2" applyNumberFormat="1" applyFont="1" applyBorder="1"/>
    <xf numFmtId="40" fontId="12" fillId="0" borderId="47" xfId="0" applyNumberFormat="1" applyFont="1" applyBorder="1"/>
    <xf numFmtId="169" fontId="12" fillId="0" borderId="47" xfId="2" applyNumberFormat="1" applyFont="1" applyBorder="1"/>
    <xf numFmtId="173" fontId="12" fillId="0" borderId="47" xfId="0" applyNumberFormat="1" applyFont="1" applyBorder="1"/>
    <xf numFmtId="171" fontId="12" fillId="0" borderId="47" xfId="2" applyNumberFormat="1" applyFont="1" applyBorder="1"/>
    <xf numFmtId="169" fontId="12" fillId="0" borderId="47" xfId="0" applyNumberFormat="1" applyFont="1" applyBorder="1"/>
    <xf numFmtId="40" fontId="12" fillId="0" borderId="51" xfId="2" applyNumberFormat="1" applyFont="1" applyBorder="1"/>
    <xf numFmtId="0" fontId="3" fillId="0" borderId="51" xfId="2" quotePrefix="1" applyBorder="1"/>
    <xf numFmtId="0" fontId="3" fillId="0" borderId="52" xfId="2" applyBorder="1"/>
    <xf numFmtId="0" fontId="3" fillId="0" borderId="52" xfId="2" applyBorder="1" applyAlignment="1">
      <alignment horizontal="center"/>
    </xf>
    <xf numFmtId="40" fontId="12" fillId="4" borderId="47" xfId="0" applyNumberFormat="1" applyFont="1" applyFill="1" applyBorder="1"/>
    <xf numFmtId="40" fontId="12" fillId="4" borderId="47" xfId="2" applyNumberFormat="1" applyFont="1" applyFill="1" applyBorder="1"/>
    <xf numFmtId="171" fontId="12" fillId="4" borderId="47" xfId="2" applyNumberFormat="1" applyFont="1" applyFill="1" applyBorder="1"/>
    <xf numFmtId="169" fontId="12" fillId="0" borderId="0" xfId="2" applyNumberFormat="1" applyFont="1"/>
    <xf numFmtId="0" fontId="3" fillId="0" borderId="14" xfId="2" quotePrefix="1" applyBorder="1"/>
    <xf numFmtId="0" fontId="3" fillId="0" borderId="15" xfId="2" applyBorder="1"/>
    <xf numFmtId="0" fontId="3" fillId="0" borderId="0" xfId="2" applyAlignment="1">
      <alignment horizontal="center"/>
    </xf>
    <xf numFmtId="0" fontId="3" fillId="0" borderId="15" xfId="2" applyBorder="1" applyAlignment="1">
      <alignment horizontal="center"/>
    </xf>
    <xf numFmtId="40" fontId="12" fillId="0" borderId="48" xfId="2" applyNumberFormat="1" applyFont="1" applyBorder="1"/>
    <xf numFmtId="169" fontId="12" fillId="0" borderId="48" xfId="2" applyNumberFormat="1" applyFont="1" applyBorder="1"/>
    <xf numFmtId="40" fontId="10" fillId="0" borderId="48" xfId="2" applyNumberFormat="1" applyFont="1" applyBorder="1"/>
    <xf numFmtId="40" fontId="10" fillId="0" borderId="53" xfId="2" applyNumberFormat="1" applyFont="1" applyBorder="1"/>
    <xf numFmtId="40" fontId="10" fillId="0" borderId="55" xfId="2" applyNumberFormat="1" applyFont="1" applyBorder="1"/>
    <xf numFmtId="0" fontId="10" fillId="0" borderId="0" xfId="2" applyFont="1"/>
    <xf numFmtId="40" fontId="12" fillId="0" borderId="0" xfId="2" applyNumberFormat="1" applyFont="1"/>
    <xf numFmtId="40" fontId="10" fillId="0" borderId="0" xfId="2" applyNumberFormat="1" applyFont="1"/>
    <xf numFmtId="40" fontId="10" fillId="0" borderId="29" xfId="2" applyNumberFormat="1" applyFont="1" applyBorder="1"/>
    <xf numFmtId="40" fontId="10" fillId="5" borderId="29" xfId="2" applyNumberFormat="1" applyFont="1" applyFill="1" applyBorder="1"/>
    <xf numFmtId="40" fontId="10" fillId="5" borderId="5" xfId="2" applyNumberFormat="1" applyFont="1" applyFill="1" applyBorder="1"/>
    <xf numFmtId="40" fontId="12" fillId="0" borderId="44" xfId="2" applyNumberFormat="1" applyFont="1" applyBorder="1"/>
    <xf numFmtId="169" fontId="12" fillId="0" borderId="44" xfId="2" applyNumberFormat="1" applyFont="1" applyBorder="1"/>
    <xf numFmtId="40" fontId="12" fillId="0" borderId="49" xfId="2" applyNumberFormat="1" applyFont="1" applyBorder="1"/>
    <xf numFmtId="40" fontId="12" fillId="0" borderId="57" xfId="2" applyNumberFormat="1" applyFont="1" applyBorder="1"/>
    <xf numFmtId="40" fontId="12" fillId="0" borderId="52" xfId="2" applyNumberFormat="1" applyFont="1" applyBorder="1"/>
    <xf numFmtId="0" fontId="5" fillId="0" borderId="0" xfId="2" applyFont="1" applyAlignment="1">
      <alignment horizontal="center"/>
    </xf>
    <xf numFmtId="40" fontId="10" fillId="4" borderId="48" xfId="2" applyNumberFormat="1" applyFont="1" applyFill="1" applyBorder="1"/>
    <xf numFmtId="0" fontId="3" fillId="0" borderId="9" xfId="2" quotePrefix="1" applyBorder="1"/>
    <xf numFmtId="40" fontId="9" fillId="0" borderId="55" xfId="2" applyNumberFormat="1" applyFont="1" applyBorder="1"/>
    <xf numFmtId="169" fontId="9" fillId="0" borderId="55" xfId="2" applyNumberFormat="1" applyFont="1" applyBorder="1"/>
    <xf numFmtId="169" fontId="12" fillId="0" borderId="55" xfId="2" applyNumberFormat="1" applyFont="1" applyBorder="1"/>
    <xf numFmtId="40" fontId="12" fillId="0" borderId="55" xfId="2" applyNumberFormat="1" applyFont="1" applyBorder="1"/>
    <xf numFmtId="40" fontId="12" fillId="0" borderId="31" xfId="2" applyNumberFormat="1" applyFont="1" applyBorder="1"/>
    <xf numFmtId="169" fontId="12" fillId="0" borderId="31" xfId="2" applyNumberFormat="1" applyFont="1" applyBorder="1"/>
    <xf numFmtId="40" fontId="12" fillId="0" borderId="11" xfId="2" applyNumberFormat="1" applyFont="1" applyBorder="1"/>
    <xf numFmtId="40" fontId="12" fillId="0" borderId="18" xfId="2" applyNumberFormat="1" applyFont="1" applyBorder="1"/>
    <xf numFmtId="169" fontId="12" fillId="0" borderId="8" xfId="2" applyNumberFormat="1" applyFont="1" applyBorder="1"/>
    <xf numFmtId="169" fontId="12" fillId="0" borderId="11" xfId="2" applyNumberFormat="1" applyFont="1" applyBorder="1"/>
    <xf numFmtId="40" fontId="10" fillId="0" borderId="8" xfId="2" applyNumberFormat="1" applyFont="1" applyBorder="1"/>
    <xf numFmtId="169" fontId="12" fillId="4" borderId="47" xfId="2" applyNumberFormat="1" applyFont="1" applyFill="1" applyBorder="1"/>
    <xf numFmtId="0" fontId="26" fillId="0" borderId="12" xfId="2" quotePrefix="1" applyFont="1" applyBorder="1"/>
    <xf numFmtId="0" fontId="3" fillId="0" borderId="41" xfId="2" quotePrefix="1" applyBorder="1"/>
    <xf numFmtId="0" fontId="3" fillId="0" borderId="42" xfId="2" applyBorder="1"/>
    <xf numFmtId="0" fontId="3" fillId="0" borderId="42" xfId="2" applyBorder="1" applyAlignment="1">
      <alignment horizontal="center"/>
    </xf>
    <xf numFmtId="0" fontId="3" fillId="0" borderId="43" xfId="2" applyBorder="1" applyAlignment="1">
      <alignment horizontal="center"/>
    </xf>
    <xf numFmtId="40" fontId="10" fillId="7" borderId="10" xfId="2" applyNumberFormat="1" applyFont="1" applyFill="1" applyBorder="1"/>
    <xf numFmtId="0" fontId="3" fillId="0" borderId="0" xfId="2" quotePrefix="1"/>
    <xf numFmtId="9" fontId="3" fillId="0" borderId="0" xfId="3" applyFont="1" applyBorder="1"/>
    <xf numFmtId="4" fontId="15" fillId="0" borderId="0" xfId="2" applyNumberFormat="1" applyFont="1"/>
    <xf numFmtId="0" fontId="3" fillId="0" borderId="32" xfId="2" applyBorder="1" applyAlignment="1">
      <alignment horizontal="center"/>
    </xf>
    <xf numFmtId="0" fontId="3" fillId="0" borderId="34" xfId="2" applyBorder="1"/>
    <xf numFmtId="0" fontId="3" fillId="0" borderId="35" xfId="2" applyBorder="1" applyAlignment="1">
      <alignment horizontal="center"/>
    </xf>
    <xf numFmtId="0" fontId="3" fillId="0" borderId="37" xfId="2" applyBorder="1"/>
    <xf numFmtId="40" fontId="19" fillId="0" borderId="0" xfId="2" applyNumberFormat="1" applyFont="1"/>
    <xf numFmtId="0" fontId="3" fillId="0" borderId="38" xfId="2" applyBorder="1" applyAlignment="1">
      <alignment horizontal="center"/>
    </xf>
    <xf numFmtId="0" fontId="3" fillId="0" borderId="40" xfId="2" applyBorder="1"/>
    <xf numFmtId="0" fontId="3" fillId="4" borderId="13" xfId="2" applyFill="1" applyBorder="1"/>
    <xf numFmtId="167" fontId="9" fillId="0" borderId="0" xfId="2" applyNumberFormat="1" applyFont="1" applyBorder="1"/>
    <xf numFmtId="165" fontId="9" fillId="0" borderId="0" xfId="2" applyNumberFormat="1" applyFont="1" applyBorder="1"/>
    <xf numFmtId="4" fontId="9" fillId="0" borderId="0" xfId="0" applyNumberFormat="1" applyFont="1" applyBorder="1"/>
    <xf numFmtId="0" fontId="3" fillId="4" borderId="12" xfId="2" quotePrefix="1" applyFill="1" applyBorder="1"/>
    <xf numFmtId="0" fontId="3" fillId="4" borderId="21" xfId="2" applyFill="1" applyBorder="1" applyAlignment="1">
      <alignment horizontal="center"/>
    </xf>
    <xf numFmtId="0" fontId="3" fillId="4" borderId="13" xfId="2" applyFill="1" applyBorder="1" applyAlignment="1">
      <alignment horizontal="center"/>
    </xf>
    <xf numFmtId="0" fontId="3" fillId="4" borderId="47" xfId="2" applyFill="1" applyBorder="1" applyAlignment="1">
      <alignment horizontal="center"/>
    </xf>
    <xf numFmtId="43" fontId="12" fillId="0" borderId="0" xfId="6" applyFont="1"/>
    <xf numFmtId="4" fontId="18" fillId="0" borderId="0" xfId="2" applyNumberFormat="1" applyFont="1"/>
    <xf numFmtId="165" fontId="3" fillId="0" borderId="0" xfId="2" applyNumberFormat="1"/>
    <xf numFmtId="169" fontId="10" fillId="0" borderId="47" xfId="0" applyNumberFormat="1" applyFont="1" applyBorder="1"/>
    <xf numFmtId="4" fontId="6" fillId="0" borderId="0" xfId="2" applyNumberFormat="1" applyFont="1"/>
    <xf numFmtId="166" fontId="3" fillId="0" borderId="0" xfId="2" applyNumberFormat="1"/>
    <xf numFmtId="164" fontId="3" fillId="0" borderId="0" xfId="3" applyNumberFormat="1" applyFont="1"/>
    <xf numFmtId="4" fontId="5" fillId="0" borderId="0" xfId="2" applyNumberFormat="1" applyFont="1" applyAlignment="1">
      <alignment horizontal="centerContinuous" vertical="center"/>
    </xf>
    <xf numFmtId="166" fontId="5" fillId="0" borderId="0" xfId="2" applyNumberFormat="1" applyFont="1" applyAlignment="1">
      <alignment horizontal="centerContinuous" vertical="center"/>
    </xf>
    <xf numFmtId="164" fontId="5" fillId="0" borderId="0" xfId="3" applyNumberFormat="1" applyFont="1" applyAlignment="1">
      <alignment horizontal="centerContinuous" vertical="center"/>
    </xf>
    <xf numFmtId="10" fontId="5" fillId="0" borderId="0" xfId="3" applyNumberFormat="1" applyFont="1" applyAlignment="1">
      <alignment horizontal="centerContinuous" vertical="center"/>
    </xf>
    <xf numFmtId="166" fontId="10" fillId="0" borderId="0" xfId="2" applyNumberFormat="1" applyFont="1" applyAlignment="1">
      <alignment horizontal="centerContinuous" vertical="center"/>
    </xf>
    <xf numFmtId="164" fontId="10" fillId="0" borderId="0" xfId="3" applyNumberFormat="1" applyFont="1" applyAlignment="1">
      <alignment horizontal="centerContinuous" vertical="center"/>
    </xf>
    <xf numFmtId="10" fontId="10" fillId="0" borderId="0" xfId="3" applyNumberFormat="1" applyFont="1" applyAlignment="1">
      <alignment horizontal="centerContinuous" vertical="center"/>
    </xf>
    <xf numFmtId="4" fontId="12" fillId="0" borderId="0" xfId="6" applyNumberFormat="1" applyFont="1"/>
    <xf numFmtId="4" fontId="6" fillId="0" borderId="27" xfId="2" applyNumberFormat="1" applyFont="1" applyBorder="1" applyAlignment="1">
      <alignment horizontal="centerContinuous" vertical="center"/>
    </xf>
    <xf numFmtId="4" fontId="6" fillId="0" borderId="28" xfId="2" applyNumberFormat="1" applyFont="1" applyBorder="1" applyAlignment="1">
      <alignment horizontal="centerContinuous" vertical="center"/>
    </xf>
    <xf numFmtId="4" fontId="6" fillId="0" borderId="27" xfId="2" applyNumberFormat="1" applyFont="1" applyBorder="1" applyAlignment="1">
      <alignment horizontal="centerContinuous" vertical="center" wrapText="1"/>
    </xf>
    <xf numFmtId="4" fontId="6" fillId="0" borderId="28" xfId="2" applyNumberFormat="1" applyFont="1" applyBorder="1" applyAlignment="1">
      <alignment horizontal="centerContinuous" vertical="center" wrapText="1"/>
    </xf>
    <xf numFmtId="4" fontId="6" fillId="0" borderId="1" xfId="2" applyNumberFormat="1" applyFont="1" applyBorder="1" applyAlignment="1">
      <alignment horizontal="centerContinuous" vertical="center" wrapText="1"/>
    </xf>
    <xf numFmtId="4" fontId="6" fillId="0" borderId="2" xfId="2" applyNumberFormat="1" applyFont="1" applyBorder="1" applyAlignment="1">
      <alignment horizontal="centerContinuous" vertical="center" wrapText="1"/>
    </xf>
    <xf numFmtId="4" fontId="6" fillId="0" borderId="6" xfId="2" applyNumberFormat="1" applyFont="1" applyBorder="1" applyAlignment="1">
      <alignment horizontal="centerContinuous" vertical="center" wrapText="1"/>
    </xf>
    <xf numFmtId="166" fontId="6" fillId="0" borderId="1" xfId="2" applyNumberFormat="1" applyFont="1" applyBorder="1" applyAlignment="1">
      <alignment horizontal="centerContinuous" vertical="center" wrapText="1"/>
    </xf>
    <xf numFmtId="166" fontId="6" fillId="0" borderId="6" xfId="2" applyNumberFormat="1" applyFont="1" applyBorder="1" applyAlignment="1">
      <alignment horizontal="centerContinuous" vertical="center" wrapText="1"/>
    </xf>
    <xf numFmtId="164" fontId="6" fillId="0" borderId="2" xfId="3" applyNumberFormat="1" applyFont="1" applyBorder="1" applyAlignment="1">
      <alignment horizontal="centerContinuous" vertical="center" wrapText="1"/>
    </xf>
    <xf numFmtId="10" fontId="6" fillId="0" borderId="6" xfId="3" applyNumberFormat="1" applyFont="1" applyBorder="1" applyAlignment="1">
      <alignment horizontal="centerContinuous" vertical="center" wrapText="1"/>
    </xf>
    <xf numFmtId="4" fontId="6" fillId="0" borderId="19" xfId="2" applyNumberFormat="1" applyFont="1" applyBorder="1" applyAlignment="1">
      <alignment horizontal="center" vertical="center"/>
    </xf>
    <xf numFmtId="4" fontId="6" fillId="0" borderId="3" xfId="2" quotePrefix="1" applyNumberFormat="1" applyFont="1" applyBorder="1" applyAlignment="1">
      <alignment horizontal="left" vertical="center"/>
    </xf>
    <xf numFmtId="4" fontId="9" fillId="0" borderId="4" xfId="2" applyNumberFormat="1" applyFont="1" applyBorder="1"/>
    <xf numFmtId="4" fontId="6" fillId="0" borderId="1" xfId="2" applyNumberFormat="1" applyFont="1" applyBorder="1" applyAlignment="1">
      <alignment horizontal="center" vertical="center" wrapText="1"/>
    </xf>
    <xf numFmtId="4" fontId="6" fillId="0" borderId="5" xfId="2" applyNumberFormat="1" applyFont="1" applyBorder="1" applyAlignment="1">
      <alignment horizontal="center" vertical="center" wrapText="1"/>
    </xf>
    <xf numFmtId="4" fontId="6" fillId="0" borderId="5" xfId="2" applyNumberFormat="1" applyFont="1" applyBorder="1" applyAlignment="1">
      <alignment horizontal="center" vertical="center"/>
    </xf>
    <xf numFmtId="4" fontId="6" fillId="0" borderId="6" xfId="2" applyNumberFormat="1" applyFont="1" applyBorder="1" applyAlignment="1">
      <alignment horizontal="center" vertical="center"/>
    </xf>
    <xf numFmtId="166" fontId="6" fillId="0" borderId="6" xfId="2" applyNumberFormat="1" applyFont="1" applyBorder="1" applyAlignment="1">
      <alignment horizontal="center" vertical="center"/>
    </xf>
    <xf numFmtId="166" fontId="6" fillId="0" borderId="5" xfId="2" applyNumberFormat="1" applyFont="1" applyBorder="1" applyAlignment="1">
      <alignment horizontal="center" vertical="center"/>
    </xf>
    <xf numFmtId="164" fontId="6" fillId="0" borderId="6" xfId="3" applyNumberFormat="1" applyFont="1" applyBorder="1" applyAlignment="1">
      <alignment horizontal="centerContinuous" vertical="center" wrapText="1"/>
    </xf>
    <xf numFmtId="4" fontId="5" fillId="0" borderId="7" xfId="2" applyNumberFormat="1" applyFont="1" applyBorder="1"/>
    <xf numFmtId="4" fontId="3" fillId="0" borderId="8" xfId="2" applyNumberFormat="1" applyBorder="1"/>
    <xf numFmtId="4" fontId="5" fillId="0" borderId="25" xfId="2" applyNumberFormat="1" applyFont="1" applyBorder="1"/>
    <xf numFmtId="4" fontId="5" fillId="0" borderId="8" xfId="2" applyNumberFormat="1" applyFont="1" applyBorder="1"/>
    <xf numFmtId="4" fontId="12" fillId="0" borderId="11" xfId="2" applyNumberFormat="1" applyFont="1" applyBorder="1"/>
    <xf numFmtId="4" fontId="12" fillId="0" borderId="18" xfId="2" applyNumberFormat="1" applyFont="1" applyBorder="1"/>
    <xf numFmtId="166" fontId="12" fillId="0" borderId="8" xfId="2" applyNumberFormat="1" applyFont="1" applyBorder="1"/>
    <xf numFmtId="166" fontId="12" fillId="0" borderId="11" xfId="2" applyNumberFormat="1" applyFont="1" applyBorder="1"/>
    <xf numFmtId="4" fontId="12" fillId="0" borderId="7" xfId="2" applyNumberFormat="1" applyFont="1" applyBorder="1"/>
    <xf numFmtId="4" fontId="10" fillId="0" borderId="7" xfId="2" applyNumberFormat="1" applyFont="1" applyBorder="1" applyAlignment="1">
      <alignment horizontal="centerContinuous" vertical="center" wrapText="1"/>
    </xf>
    <xf numFmtId="164" fontId="6" fillId="0" borderId="18" xfId="3" applyNumberFormat="1" applyFont="1" applyBorder="1" applyAlignment="1">
      <alignment horizontal="centerContinuous" vertical="center" wrapText="1"/>
    </xf>
    <xf numFmtId="10" fontId="6" fillId="0" borderId="18" xfId="3" applyNumberFormat="1" applyFont="1" applyBorder="1" applyAlignment="1">
      <alignment horizontal="centerContinuous" vertical="center" wrapText="1"/>
    </xf>
    <xf numFmtId="4" fontId="3" fillId="0" borderId="12" xfId="2" quotePrefix="1" applyNumberFormat="1" applyBorder="1"/>
    <xf numFmtId="4" fontId="3" fillId="0" borderId="13" xfId="2" applyNumberFormat="1" applyBorder="1"/>
    <xf numFmtId="4" fontId="3" fillId="0" borderId="21" xfId="2" applyNumberFormat="1" applyBorder="1" applyAlignment="1">
      <alignment horizontal="center"/>
    </xf>
    <xf numFmtId="4" fontId="3" fillId="0" borderId="13" xfId="2" applyNumberFormat="1" applyBorder="1" applyAlignment="1">
      <alignment horizontal="center"/>
    </xf>
    <xf numFmtId="4" fontId="3" fillId="0" borderId="47" xfId="2" applyNumberFormat="1" applyBorder="1" applyAlignment="1">
      <alignment horizontal="center"/>
    </xf>
    <xf numFmtId="4" fontId="12" fillId="0" borderId="47" xfId="2" applyNumberFormat="1" applyFont="1" applyBorder="1"/>
    <xf numFmtId="4" fontId="12" fillId="0" borderId="47" xfId="0" applyNumberFormat="1" applyFont="1" applyBorder="1"/>
    <xf numFmtId="166" fontId="12" fillId="0" borderId="47" xfId="2" applyNumberFormat="1" applyFont="1" applyBorder="1"/>
    <xf numFmtId="166" fontId="12" fillId="0" borderId="47" xfId="0" applyNumberFormat="1" applyFont="1" applyBorder="1"/>
    <xf numFmtId="164" fontId="9" fillId="0" borderId="50" xfId="3" applyNumberFormat="1" applyFont="1" applyBorder="1"/>
    <xf numFmtId="10" fontId="9" fillId="0" borderId="50" xfId="3" applyNumberFormat="1" applyFont="1" applyBorder="1"/>
    <xf numFmtId="4" fontId="12" fillId="0" borderId="51" xfId="2" applyNumberFormat="1" applyFont="1" applyBorder="1"/>
    <xf numFmtId="4" fontId="3" fillId="0" borderId="51" xfId="2" quotePrefix="1" applyNumberFormat="1" applyBorder="1"/>
    <xf numFmtId="4" fontId="3" fillId="0" borderId="52" xfId="2" applyNumberFormat="1" applyBorder="1"/>
    <xf numFmtId="4" fontId="3" fillId="0" borderId="52" xfId="2" applyNumberFormat="1" applyBorder="1" applyAlignment="1">
      <alignment horizontal="center"/>
    </xf>
    <xf numFmtId="166" fontId="12" fillId="0" borderId="0" xfId="2" applyNumberFormat="1" applyFont="1"/>
    <xf numFmtId="4" fontId="3" fillId="0" borderId="14" xfId="2" quotePrefix="1" applyNumberFormat="1" applyBorder="1"/>
    <xf numFmtId="164" fontId="9" fillId="0" borderId="47" xfId="3" applyNumberFormat="1" applyFont="1" applyBorder="1"/>
    <xf numFmtId="164" fontId="9" fillId="0" borderId="56" xfId="3" applyNumberFormat="1" applyFont="1" applyBorder="1"/>
    <xf numFmtId="4" fontId="3" fillId="0" borderId="15" xfId="2" applyNumberFormat="1" applyBorder="1"/>
    <xf numFmtId="4" fontId="3" fillId="0" borderId="0" xfId="2" applyNumberFormat="1" applyAlignment="1">
      <alignment horizontal="center"/>
    </xf>
    <xf numFmtId="4" fontId="3" fillId="0" borderId="15" xfId="2" applyNumberFormat="1" applyBorder="1" applyAlignment="1">
      <alignment horizontal="center"/>
    </xf>
    <xf numFmtId="4" fontId="3" fillId="0" borderId="9" xfId="2" applyNumberFormat="1" applyBorder="1"/>
    <xf numFmtId="4" fontId="10" fillId="0" borderId="10" xfId="2" applyNumberFormat="1" applyFont="1" applyBorder="1" applyAlignment="1">
      <alignment horizontal="right"/>
    </xf>
    <xf numFmtId="4" fontId="10" fillId="0" borderId="10" xfId="2" applyNumberFormat="1" applyFont="1" applyBorder="1"/>
    <xf numFmtId="4" fontId="3" fillId="0" borderId="9" xfId="2" applyNumberFormat="1" applyBorder="1" applyAlignment="1">
      <alignment horizontal="center"/>
    </xf>
    <xf numFmtId="4" fontId="3" fillId="0" borderId="20" xfId="2" applyNumberFormat="1" applyBorder="1" applyAlignment="1">
      <alignment horizontal="center"/>
    </xf>
    <xf numFmtId="4" fontId="3" fillId="0" borderId="48" xfId="2" applyNumberFormat="1" applyBorder="1" applyAlignment="1">
      <alignment horizontal="center"/>
    </xf>
    <xf numFmtId="4" fontId="12" fillId="0" borderId="48" xfId="2" applyNumberFormat="1" applyFont="1" applyBorder="1"/>
    <xf numFmtId="166" fontId="12" fillId="0" borderId="48" xfId="2" applyNumberFormat="1" applyFont="1" applyBorder="1"/>
    <xf numFmtId="4" fontId="10" fillId="0" borderId="48" xfId="2" applyNumberFormat="1" applyFont="1" applyBorder="1"/>
    <xf numFmtId="4" fontId="10" fillId="0" borderId="53" xfId="2" applyNumberFormat="1" applyFont="1" applyBorder="1"/>
    <xf numFmtId="164" fontId="9" fillId="0" borderId="54" xfId="3" applyNumberFormat="1" applyFont="1" applyBorder="1"/>
    <xf numFmtId="4" fontId="10" fillId="0" borderId="55" xfId="2" applyNumberFormat="1" applyFont="1" applyBorder="1"/>
    <xf numFmtId="10" fontId="9" fillId="0" borderId="54" xfId="3" applyNumberFormat="1" applyFont="1" applyBorder="1"/>
    <xf numFmtId="4" fontId="3" fillId="0" borderId="16" xfId="2" applyNumberFormat="1" applyBorder="1"/>
    <xf numFmtId="4" fontId="10" fillId="0" borderId="0" xfId="2" applyNumberFormat="1" applyFont="1"/>
    <xf numFmtId="4" fontId="3" fillId="0" borderId="16" xfId="2" applyNumberFormat="1" applyBorder="1" applyAlignment="1">
      <alignment horizontal="center"/>
    </xf>
    <xf numFmtId="4" fontId="12" fillId="0" borderId="0" xfId="2" applyNumberFormat="1" applyFont="1"/>
    <xf numFmtId="4" fontId="10" fillId="0" borderId="29" xfId="2" applyNumberFormat="1" applyFont="1" applyBorder="1"/>
    <xf numFmtId="4" fontId="10" fillId="5" borderId="29" xfId="2" applyNumberFormat="1" applyFont="1" applyFill="1" applyBorder="1"/>
    <xf numFmtId="164" fontId="9" fillId="0" borderId="17" xfId="3" applyNumberFormat="1" applyFont="1" applyBorder="1"/>
    <xf numFmtId="4" fontId="10" fillId="5" borderId="5" xfId="2" applyNumberFormat="1" applyFont="1" applyFill="1" applyBorder="1"/>
    <xf numFmtId="10" fontId="9" fillId="0" borderId="6" xfId="3" applyNumberFormat="1" applyFont="1" applyBorder="1"/>
    <xf numFmtId="4" fontId="5" fillId="0" borderId="25" xfId="2" applyNumberFormat="1" applyFont="1" applyBorder="1" applyAlignment="1">
      <alignment horizontal="center"/>
    </xf>
    <xf numFmtId="4" fontId="5" fillId="0" borderId="8" xfId="2" applyNumberFormat="1" applyFont="1" applyBorder="1" applyAlignment="1">
      <alignment horizontal="center"/>
    </xf>
    <xf numFmtId="4" fontId="5" fillId="0" borderId="7" xfId="2" applyNumberFormat="1" applyFont="1" applyBorder="1" applyAlignment="1">
      <alignment horizontal="center"/>
    </xf>
    <xf numFmtId="4" fontId="12" fillId="0" borderId="44" xfId="2" applyNumberFormat="1" applyFont="1" applyBorder="1"/>
    <xf numFmtId="166" fontId="12" fillId="0" borderId="44" xfId="2" applyNumberFormat="1" applyFont="1" applyBorder="1"/>
    <xf numFmtId="4" fontId="12" fillId="0" borderId="49" xfId="2" applyNumberFormat="1" applyFont="1" applyBorder="1"/>
    <xf numFmtId="4" fontId="10" fillId="0" borderId="45" xfId="2" applyNumberFormat="1" applyFont="1" applyBorder="1" applyAlignment="1">
      <alignment horizontal="centerContinuous"/>
    </xf>
    <xf numFmtId="164" fontId="6" fillId="0" borderId="46" xfId="3" applyNumberFormat="1" applyFont="1" applyBorder="1" applyAlignment="1">
      <alignment horizontal="centerContinuous" vertical="center" wrapText="1"/>
    </xf>
    <xf numFmtId="4" fontId="12" fillId="0" borderId="57" xfId="2" applyNumberFormat="1" applyFont="1" applyBorder="1"/>
    <xf numFmtId="10" fontId="9" fillId="0" borderId="58" xfId="3" applyNumberFormat="1" applyFont="1" applyBorder="1"/>
    <xf numFmtId="4" fontId="3" fillId="0" borderId="12" xfId="2" applyNumberFormat="1" applyBorder="1" applyAlignment="1">
      <alignment horizontal="center"/>
    </xf>
    <xf numFmtId="4" fontId="12" fillId="0" borderId="52" xfId="2" applyNumberFormat="1" applyFont="1" applyBorder="1"/>
    <xf numFmtId="10" fontId="9" fillId="0" borderId="47" xfId="3" applyNumberFormat="1" applyFont="1" applyBorder="1"/>
    <xf numFmtId="4" fontId="3" fillId="0" borderId="13" xfId="2" applyNumberFormat="1" applyBorder="1" applyAlignment="1">
      <alignment horizontal="left"/>
    </xf>
    <xf numFmtId="4" fontId="5" fillId="0" borderId="0" xfId="2" applyNumberFormat="1" applyFont="1" applyAlignment="1">
      <alignment horizontal="center"/>
    </xf>
    <xf numFmtId="10" fontId="9" fillId="0" borderId="17" xfId="3" applyNumberFormat="1" applyFont="1" applyBorder="1"/>
    <xf numFmtId="4" fontId="5" fillId="0" borderId="45" xfId="2" applyNumberFormat="1" applyFont="1" applyBorder="1" applyAlignment="1">
      <alignment horizontal="center"/>
    </xf>
    <xf numFmtId="4" fontId="10" fillId="0" borderId="49" xfId="2" applyNumberFormat="1" applyFont="1" applyBorder="1" applyAlignment="1">
      <alignment horizontal="centerContinuous"/>
    </xf>
    <xf numFmtId="10" fontId="6" fillId="0" borderId="46" xfId="3" applyNumberFormat="1" applyFont="1" applyBorder="1" applyAlignment="1">
      <alignment horizontal="centerContinuous" vertical="center" wrapText="1"/>
    </xf>
    <xf numFmtId="4" fontId="3" fillId="0" borderId="51" xfId="2" applyNumberFormat="1" applyBorder="1" applyAlignment="1">
      <alignment horizontal="center"/>
    </xf>
    <xf numFmtId="4" fontId="3" fillId="0" borderId="52" xfId="2" applyNumberFormat="1" applyBorder="1" applyAlignment="1">
      <alignment horizontal="left"/>
    </xf>
    <xf numFmtId="4" fontId="3" fillId="0" borderId="15" xfId="2" applyNumberFormat="1" applyBorder="1" applyAlignment="1">
      <alignment horizontal="left"/>
    </xf>
    <xf numFmtId="4" fontId="3" fillId="0" borderId="9" xfId="2" quotePrefix="1" applyNumberFormat="1" applyBorder="1"/>
    <xf numFmtId="164" fontId="12" fillId="0" borderId="47" xfId="3" applyNumberFormat="1" applyFont="1" applyFill="1" applyBorder="1" applyAlignment="1"/>
    <xf numFmtId="4" fontId="3" fillId="0" borderId="10" xfId="2" applyNumberFormat="1" applyBorder="1"/>
    <xf numFmtId="4" fontId="9" fillId="0" borderId="53" xfId="2" applyNumberFormat="1" applyFont="1" applyBorder="1"/>
    <xf numFmtId="4" fontId="9" fillId="0" borderId="55" xfId="2" applyNumberFormat="1" applyFont="1" applyBorder="1"/>
    <xf numFmtId="166" fontId="9" fillId="0" borderId="55" xfId="2" applyNumberFormat="1" applyFont="1" applyBorder="1"/>
    <xf numFmtId="166" fontId="12" fillId="0" borderId="55" xfId="2" applyNumberFormat="1" applyFont="1" applyBorder="1"/>
    <xf numFmtId="4" fontId="12" fillId="0" borderId="55" xfId="2" applyNumberFormat="1" applyFont="1" applyBorder="1"/>
    <xf numFmtId="164" fontId="6" fillId="0" borderId="54" xfId="3" applyNumberFormat="1" applyFont="1" applyBorder="1"/>
    <xf numFmtId="4" fontId="3" fillId="0" borderId="3" xfId="2" applyNumberFormat="1" applyBorder="1"/>
    <xf numFmtId="4" fontId="10" fillId="0" borderId="31" xfId="2" applyNumberFormat="1" applyFont="1" applyBorder="1"/>
    <xf numFmtId="4" fontId="3" fillId="0" borderId="31" xfId="2" applyNumberFormat="1" applyBorder="1"/>
    <xf numFmtId="4" fontId="12" fillId="0" borderId="31" xfId="2" applyNumberFormat="1" applyFont="1" applyBorder="1"/>
    <xf numFmtId="166" fontId="12" fillId="0" borderId="31" xfId="2" applyNumberFormat="1" applyFont="1" applyBorder="1"/>
    <xf numFmtId="164" fontId="9" fillId="0" borderId="6" xfId="3" applyNumberFormat="1" applyFont="1" applyBorder="1"/>
    <xf numFmtId="10" fontId="9" fillId="0" borderId="4" xfId="3" applyNumberFormat="1" applyFont="1" applyBorder="1"/>
    <xf numFmtId="4" fontId="10" fillId="0" borderId="7" xfId="2" applyNumberFormat="1" applyFont="1" applyBorder="1" applyAlignment="1">
      <alignment horizontal="centerContinuous"/>
    </xf>
    <xf numFmtId="4" fontId="10" fillId="0" borderId="8" xfId="2" applyNumberFormat="1" applyFont="1" applyBorder="1"/>
    <xf numFmtId="10" fontId="6" fillId="0" borderId="18" xfId="3" applyNumberFormat="1" applyFont="1" applyBorder="1" applyAlignment="1">
      <alignment vertical="center" wrapText="1"/>
    </xf>
    <xf numFmtId="4" fontId="12" fillId="4" borderId="47" xfId="2" applyNumberFormat="1" applyFont="1" applyFill="1" applyBorder="1"/>
    <xf numFmtId="164" fontId="9" fillId="0" borderId="50" xfId="3" applyNumberFormat="1" applyFont="1" applyBorder="1" applyAlignment="1">
      <alignment horizontal="right"/>
    </xf>
    <xf numFmtId="166" fontId="10" fillId="0" borderId="47" xfId="2" applyNumberFormat="1" applyFont="1" applyBorder="1"/>
    <xf numFmtId="4" fontId="12" fillId="0" borderId="47" xfId="3" applyNumberFormat="1" applyFont="1" applyFill="1" applyBorder="1" applyAlignment="1"/>
    <xf numFmtId="4" fontId="3" fillId="0" borderId="41" xfId="2" quotePrefix="1" applyNumberFormat="1" applyBorder="1"/>
    <xf numFmtId="4" fontId="3" fillId="0" borderId="42" xfId="2" applyNumberFormat="1" applyBorder="1"/>
    <xf numFmtId="4" fontId="3" fillId="0" borderId="42" xfId="2" applyNumberFormat="1" applyBorder="1" applyAlignment="1">
      <alignment horizontal="center"/>
    </xf>
    <xf numFmtId="4" fontId="3" fillId="0" borderId="43" xfId="2" applyNumberFormat="1" applyBorder="1" applyAlignment="1">
      <alignment horizontal="center"/>
    </xf>
    <xf numFmtId="4" fontId="12" fillId="0" borderId="21" xfId="2" applyNumberFormat="1" applyFont="1" applyBorder="1"/>
    <xf numFmtId="164" fontId="9" fillId="0" borderId="4" xfId="3" applyNumberFormat="1" applyFont="1" applyBorder="1"/>
    <xf numFmtId="4" fontId="12" fillId="0" borderId="22" xfId="2" applyNumberFormat="1" applyFont="1" applyBorder="1"/>
    <xf numFmtId="4" fontId="18" fillId="0" borderId="3" xfId="2" applyNumberFormat="1" applyFont="1" applyBorder="1"/>
    <xf numFmtId="4" fontId="14" fillId="4" borderId="10" xfId="2" applyNumberFormat="1" applyFont="1" applyFill="1" applyBorder="1"/>
    <xf numFmtId="4" fontId="14" fillId="0" borderId="10" xfId="2" applyNumberFormat="1" applyFont="1" applyBorder="1"/>
    <xf numFmtId="4" fontId="17" fillId="0" borderId="10" xfId="2" applyNumberFormat="1" applyFont="1" applyBorder="1"/>
    <xf numFmtId="4" fontId="14" fillId="4" borderId="31" xfId="2" applyNumberFormat="1" applyFont="1" applyFill="1" applyBorder="1"/>
    <xf numFmtId="4" fontId="14" fillId="0" borderId="31" xfId="2" applyNumberFormat="1" applyFont="1" applyBorder="1"/>
    <xf numFmtId="164" fontId="6" fillId="0" borderId="6" xfId="3" applyNumberFormat="1" applyFont="1" applyBorder="1"/>
    <xf numFmtId="4" fontId="5" fillId="0" borderId="1" xfId="2" applyNumberFormat="1" applyFont="1" applyBorder="1"/>
    <xf numFmtId="4" fontId="3" fillId="0" borderId="2" xfId="2" applyNumberFormat="1" applyBorder="1"/>
    <xf numFmtId="4" fontId="18" fillId="0" borderId="1" xfId="2" applyNumberFormat="1" applyFont="1" applyBorder="1"/>
    <xf numFmtId="164" fontId="3" fillId="0" borderId="0" xfId="3" applyNumberFormat="1" applyFont="1" applyBorder="1"/>
    <xf numFmtId="4" fontId="3" fillId="0" borderId="0" xfId="2" quotePrefix="1" applyNumberFormat="1"/>
    <xf numFmtId="4" fontId="3" fillId="0" borderId="0" xfId="3" applyNumberFormat="1" applyFont="1" applyBorder="1"/>
    <xf numFmtId="4" fontId="10" fillId="0" borderId="5" xfId="2" applyNumberFormat="1" applyFont="1" applyBorder="1" applyAlignment="1">
      <alignment horizontal="center"/>
    </xf>
    <xf numFmtId="4" fontId="10" fillId="0" borderId="2" xfId="2" applyNumberFormat="1" applyFont="1" applyBorder="1" applyAlignment="1">
      <alignment horizontal="centerContinuous"/>
    </xf>
    <xf numFmtId="4" fontId="5" fillId="0" borderId="6" xfId="2" applyNumberFormat="1" applyFont="1" applyBorder="1" applyAlignment="1">
      <alignment horizontal="centerContinuous"/>
    </xf>
    <xf numFmtId="4" fontId="12" fillId="0" borderId="1" xfId="2" applyNumberFormat="1" applyFont="1" applyBorder="1"/>
    <xf numFmtId="4" fontId="3" fillId="0" borderId="6" xfId="2" applyNumberFormat="1" applyBorder="1"/>
    <xf numFmtId="4" fontId="3" fillId="0" borderId="32" xfId="2" applyNumberFormat="1" applyBorder="1" applyAlignment="1">
      <alignment horizontal="center"/>
    </xf>
    <xf numFmtId="4" fontId="12" fillId="0" borderId="33" xfId="2" applyNumberFormat="1" applyFont="1" applyBorder="1"/>
    <xf numFmtId="4" fontId="3" fillId="0" borderId="34" xfId="2" applyNumberFormat="1" applyBorder="1"/>
    <xf numFmtId="4" fontId="12" fillId="0" borderId="34" xfId="2" applyNumberFormat="1" applyFont="1" applyBorder="1"/>
    <xf numFmtId="166" fontId="12" fillId="0" borderId="37" xfId="2" applyNumberFormat="1" applyFont="1" applyBorder="1"/>
    <xf numFmtId="4" fontId="12" fillId="0" borderId="16" xfId="2" quotePrefix="1" applyNumberFormat="1" applyFont="1" applyBorder="1"/>
    <xf numFmtId="4" fontId="3" fillId="0" borderId="17" xfId="2" applyNumberFormat="1" applyBorder="1"/>
    <xf numFmtId="4" fontId="15" fillId="0" borderId="0" xfId="3" applyNumberFormat="1" applyFont="1" applyBorder="1"/>
    <xf numFmtId="4" fontId="3" fillId="0" borderId="35" xfId="2" applyNumberFormat="1" applyBorder="1" applyAlignment="1">
      <alignment horizontal="center"/>
    </xf>
    <xf numFmtId="4" fontId="12" fillId="0" borderId="36" xfId="2" applyNumberFormat="1" applyFont="1" applyBorder="1"/>
    <xf numFmtId="4" fontId="3" fillId="0" borderId="37" xfId="2" applyNumberFormat="1" applyBorder="1"/>
    <xf numFmtId="4" fontId="12" fillId="0" borderId="37" xfId="2" applyNumberFormat="1" applyFont="1" applyBorder="1"/>
    <xf numFmtId="4" fontId="10" fillId="0" borderId="3" xfId="2" applyNumberFormat="1" applyFont="1" applyBorder="1" applyAlignment="1">
      <alignment horizontal="center"/>
    </xf>
    <xf numFmtId="4" fontId="3" fillId="0" borderId="4" xfId="2" applyNumberFormat="1" applyBorder="1"/>
    <xf numFmtId="10" fontId="12" fillId="0" borderId="37" xfId="3" applyNumberFormat="1" applyFont="1" applyBorder="1"/>
    <xf numFmtId="4" fontId="19" fillId="0" borderId="0" xfId="2" applyNumberFormat="1" applyFont="1"/>
    <xf numFmtId="4" fontId="3" fillId="0" borderId="38" xfId="2" applyNumberFormat="1" applyBorder="1" applyAlignment="1">
      <alignment horizontal="center"/>
    </xf>
    <xf numFmtId="4" fontId="12" fillId="0" borderId="39" xfId="2" applyNumberFormat="1" applyFont="1" applyBorder="1"/>
    <xf numFmtId="4" fontId="3" fillId="0" borderId="40" xfId="2" applyNumberFormat="1" applyBorder="1"/>
    <xf numFmtId="4" fontId="12" fillId="0" borderId="40" xfId="2" applyNumberFormat="1" applyFont="1" applyBorder="1"/>
    <xf numFmtId="166" fontId="12" fillId="4" borderId="47" xfId="0" applyNumberFormat="1" applyFont="1" applyFill="1" applyBorder="1"/>
    <xf numFmtId="174" fontId="6" fillId="3" borderId="0" xfId="2" applyNumberFormat="1" applyFont="1" applyFill="1"/>
    <xf numFmtId="4" fontId="3" fillId="4" borderId="13" xfId="2" applyNumberFormat="1" applyFill="1" applyBorder="1"/>
    <xf numFmtId="175" fontId="12" fillId="0" borderId="47" xfId="0" applyNumberFormat="1" applyFont="1" applyBorder="1"/>
    <xf numFmtId="4" fontId="3" fillId="0" borderId="0" xfId="3" applyNumberFormat="1" applyFont="1"/>
    <xf numFmtId="176" fontId="18" fillId="0" borderId="0" xfId="2" applyNumberFormat="1" applyFont="1"/>
    <xf numFmtId="170" fontId="5" fillId="0" borderId="0" xfId="2" applyNumberFormat="1" applyFont="1"/>
    <xf numFmtId="169" fontId="10" fillId="0" borderId="47" xfId="2" applyNumberFormat="1" applyFont="1" applyBorder="1"/>
    <xf numFmtId="40" fontId="12" fillId="4" borderId="51" xfId="2" applyNumberFormat="1" applyFont="1" applyFill="1" applyBorder="1"/>
    <xf numFmtId="43" fontId="12" fillId="0" borderId="0" xfId="6" applyFont="1" applyFill="1"/>
    <xf numFmtId="172" fontId="12" fillId="0" borderId="47" xfId="0" applyNumberFormat="1" applyFont="1" applyBorder="1"/>
    <xf numFmtId="40" fontId="10" fillId="0" borderId="47" xfId="2" applyNumberFormat="1" applyFont="1" applyBorder="1"/>
    <xf numFmtId="10" fontId="9" fillId="4" borderId="50" xfId="2" applyNumberFormat="1" applyFont="1" applyFill="1" applyBorder="1"/>
    <xf numFmtId="0" fontId="3" fillId="4" borderId="0" xfId="2" applyFill="1"/>
    <xf numFmtId="0" fontId="3" fillId="4" borderId="51" xfId="2" applyFill="1" applyBorder="1" applyAlignment="1">
      <alignment horizontal="center"/>
    </xf>
    <xf numFmtId="164" fontId="9" fillId="4" borderId="50" xfId="2" applyNumberFormat="1" applyFont="1" applyFill="1" applyBorder="1" applyAlignment="1">
      <alignment horizontal="right"/>
    </xf>
    <xf numFmtId="40" fontId="18" fillId="0" borderId="0" xfId="2" applyNumberFormat="1" applyFont="1"/>
    <xf numFmtId="40" fontId="10" fillId="0" borderId="47" xfId="0" applyNumberFormat="1" applyFont="1" applyBorder="1"/>
    <xf numFmtId="40" fontId="10" fillId="0" borderId="51" xfId="2" applyNumberFormat="1" applyFont="1" applyBorder="1"/>
    <xf numFmtId="0" fontId="3" fillId="5" borderId="13" xfId="2" applyFill="1" applyBorder="1"/>
    <xf numFmtId="169" fontId="10" fillId="4" borderId="47" xfId="2" applyNumberFormat="1" applyFont="1" applyFill="1" applyBorder="1"/>
    <xf numFmtId="172" fontId="12" fillId="0" borderId="47" xfId="2" applyNumberFormat="1" applyFont="1" applyBorder="1"/>
    <xf numFmtId="4" fontId="10" fillId="0" borderId="6" xfId="2" applyNumberFormat="1" applyFont="1" applyBorder="1" applyAlignment="1">
      <alignment horizontal="center"/>
    </xf>
    <xf numFmtId="166" fontId="12" fillId="4" borderId="47" xfId="2" applyNumberFormat="1" applyFont="1" applyFill="1" applyBorder="1"/>
    <xf numFmtId="40" fontId="12" fillId="5" borderId="47" xfId="2" applyNumberFormat="1" applyFont="1" applyFill="1" applyBorder="1"/>
    <xf numFmtId="40" fontId="17" fillId="4" borderId="47" xfId="2" applyNumberFormat="1" applyFont="1" applyFill="1" applyBorder="1"/>
    <xf numFmtId="40" fontId="10" fillId="4" borderId="47" xfId="2" applyNumberFormat="1" applyFont="1" applyFill="1" applyBorder="1"/>
    <xf numFmtId="0" fontId="5" fillId="0" borderId="0" xfId="2" quotePrefix="1" applyFont="1"/>
    <xf numFmtId="170" fontId="18" fillId="0" borderId="0" xfId="2" applyNumberFormat="1" applyFont="1"/>
    <xf numFmtId="170" fontId="9" fillId="0" borderId="0" xfId="2" applyNumberFormat="1" applyFont="1"/>
    <xf numFmtId="40" fontId="10" fillId="4" borderId="29" xfId="2" applyNumberFormat="1" applyFont="1" applyFill="1" applyBorder="1"/>
    <xf numFmtId="40" fontId="10" fillId="4" borderId="5" xfId="2" applyNumberFormat="1" applyFont="1" applyFill="1" applyBorder="1"/>
    <xf numFmtId="172" fontId="3" fillId="0" borderId="0" xfId="2" applyNumberFormat="1"/>
    <xf numFmtId="0" fontId="6" fillId="0" borderId="19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  <xf numFmtId="4" fontId="6" fillId="0" borderId="19" xfId="2" applyNumberFormat="1" applyFont="1" applyBorder="1" applyAlignment="1">
      <alignment horizontal="center" vertical="center" wrapText="1"/>
    </xf>
    <xf numFmtId="4" fontId="6" fillId="0" borderId="30" xfId="2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6" xfId="0" applyFont="1" applyBorder="1" applyAlignment="1">
      <alignment horizontal="center"/>
    </xf>
  </cellXfs>
  <cellStyles count="7">
    <cellStyle name="Millares" xfId="6" builtinId="3"/>
    <cellStyle name="No-definido" xfId="1" xr:uid="{00000000-0005-0000-0000-000000000000}"/>
    <cellStyle name="Normal" xfId="0" builtinId="0"/>
    <cellStyle name="Normal 2" xfId="4" xr:uid="{00000000-0005-0000-0000-000002000000}"/>
    <cellStyle name="Normal 3" xfId="5" xr:uid="{00000000-0005-0000-0000-000003000000}"/>
    <cellStyle name="Normal_determinación del Canon-dic01" xfId="2" xr:uid="{00000000-0005-0000-0000-000004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/GFTE/ESTADISTICAS/Canon/Portal/2020/Canon%20Memoria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/GFTE/ESTADISTICAS/Canon/Canon%20Reportes/Canon%20Memoria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s Cusco"/>
      <sheetName val="Graficos"/>
      <sheetName val="Memoria"/>
      <sheetName val="Hoja1"/>
      <sheetName val="2020"/>
      <sheetName val="2019"/>
      <sheetName val="2018"/>
      <sheetName val="Hoja3"/>
      <sheetName val="2017"/>
      <sheetName val="2016"/>
      <sheetName val="2015"/>
      <sheetName val="2014"/>
      <sheetName val="2013"/>
      <sheetName val="12"/>
      <sheetName val="11"/>
      <sheetName val="10"/>
      <sheetName val="09"/>
      <sheetName val="08"/>
      <sheetName val="07"/>
      <sheetName val="06"/>
      <sheetName val="05"/>
      <sheetName val="04"/>
      <sheetName val="03"/>
      <sheetName val="02"/>
      <sheetName val="01"/>
      <sheetName val="00"/>
      <sheetName val="99"/>
      <sheetName val="98"/>
      <sheetName val="97"/>
      <sheetName val="96"/>
      <sheetName val="95"/>
      <sheetName val="94"/>
      <sheetName val="93"/>
    </sheetNames>
    <sheetDataSet>
      <sheetData sheetId="0"/>
      <sheetData sheetId="1"/>
      <sheetData sheetId="2">
        <row r="49">
          <cell r="AG49">
            <v>1151842.4938700001</v>
          </cell>
        </row>
        <row r="104">
          <cell r="AG104">
            <v>325987.02988040505</v>
          </cell>
        </row>
      </sheetData>
      <sheetData sheetId="3"/>
      <sheetData sheetId="4">
        <row r="50">
          <cell r="F50">
            <v>140920302.31999999</v>
          </cell>
          <cell r="G50">
            <v>122150954.68000001</v>
          </cell>
          <cell r="H50">
            <v>63234887.829999998</v>
          </cell>
          <cell r="I50">
            <v>32648935.550000004</v>
          </cell>
          <cell r="J50">
            <v>51143720.519999996</v>
          </cell>
          <cell r="K50">
            <v>67262096.74000001</v>
          </cell>
          <cell r="L50">
            <v>87660588.36999999</v>
          </cell>
          <cell r="M50">
            <v>95405379.439999998</v>
          </cell>
          <cell r="N50">
            <v>96189266.699999988</v>
          </cell>
          <cell r="O50">
            <v>110796489.56999999</v>
          </cell>
          <cell r="P50">
            <v>126008034.23</v>
          </cell>
          <cell r="Q50">
            <v>158421837.92000002</v>
          </cell>
        </row>
        <row r="53">
          <cell r="I53">
            <v>3430</v>
          </cell>
          <cell r="J53">
            <v>3493</v>
          </cell>
          <cell r="K53">
            <v>3511</v>
          </cell>
          <cell r="L53">
            <v>3564</v>
          </cell>
          <cell r="M53">
            <v>3538</v>
          </cell>
          <cell r="N53">
            <v>3590</v>
          </cell>
          <cell r="O53">
            <v>3582</v>
          </cell>
          <cell r="P53">
            <v>3597</v>
          </cell>
          <cell r="Q53">
            <v>3615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s Cusco"/>
      <sheetName val="Graficos"/>
      <sheetName val="Memoria"/>
      <sheetName val="Hoja1"/>
      <sheetName val="2020"/>
      <sheetName val="2019"/>
      <sheetName val="2018"/>
      <sheetName val="Hoja3"/>
      <sheetName val="2017"/>
      <sheetName val="2016"/>
      <sheetName val="2015"/>
      <sheetName val="2014"/>
      <sheetName val="2013"/>
      <sheetName val="12"/>
      <sheetName val="11"/>
      <sheetName val="10"/>
      <sheetName val="09"/>
      <sheetName val="08"/>
      <sheetName val="07"/>
      <sheetName val="06"/>
      <sheetName val="05"/>
      <sheetName val="04"/>
      <sheetName val="03"/>
      <sheetName val="02"/>
      <sheetName val="01"/>
      <sheetName val="00"/>
      <sheetName val="99"/>
      <sheetName val="98"/>
      <sheetName val="97"/>
      <sheetName val="96"/>
      <sheetName val="95"/>
      <sheetName val="94"/>
      <sheetName val="93"/>
    </sheetNames>
    <sheetDataSet>
      <sheetData sheetId="0"/>
      <sheetData sheetId="1"/>
      <sheetData sheetId="2"/>
      <sheetData sheetId="3"/>
      <sheetData sheetId="4">
        <row r="50">
          <cell r="F50">
            <v>140920302.31999999</v>
          </cell>
          <cell r="G50">
            <v>122150954.68000001</v>
          </cell>
          <cell r="H50">
            <v>63234887.829999998</v>
          </cell>
        </row>
        <row r="53">
          <cell r="F53">
            <v>3386</v>
          </cell>
          <cell r="G53">
            <v>3554</v>
          </cell>
          <cell r="H53">
            <v>3411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4"/>
  <sheetViews>
    <sheetView view="pageBreakPreview" topLeftCell="A49" zoomScale="115" zoomScaleNormal="95" zoomScaleSheetLayoutView="115" workbookViewId="0">
      <pane xSplit="6" topLeftCell="G1" activePane="topRight" state="frozen"/>
      <selection pane="topRight" activeCell="F31" sqref="F31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4" width="7.109375" style="212" customWidth="1"/>
    <col min="5" max="5" width="9.33203125" style="212" customWidth="1"/>
    <col min="6" max="6" width="9.88671875" style="212" customWidth="1"/>
    <col min="7" max="10" width="10.44140625" style="164" customWidth="1"/>
    <col min="11" max="11" width="10.44140625" style="164" hidden="1" customWidth="1"/>
    <col min="12" max="13" width="10.44140625" style="212" hidden="1" customWidth="1"/>
    <col min="14" max="14" width="10.44140625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44562</v>
      </c>
      <c r="F1" s="209">
        <v>3.75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155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168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E6" s="62"/>
      <c r="F6" s="62"/>
      <c r="G6" s="204"/>
      <c r="H6" s="165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6"/>
      <c r="H10" s="306">
        <v>826</v>
      </c>
      <c r="I10" s="310"/>
      <c r="J10" s="310">
        <v>84.478200000000001</v>
      </c>
      <c r="K10" s="305"/>
      <c r="L10" s="305"/>
      <c r="M10" s="305"/>
      <c r="N10" s="305"/>
      <c r="O10" s="311">
        <v>69778.990000000005</v>
      </c>
      <c r="P10" s="305">
        <v>13083.56</v>
      </c>
      <c r="Q10" s="305">
        <v>10466.85</v>
      </c>
      <c r="R10" s="172">
        <v>0.15</v>
      </c>
      <c r="S10" s="305">
        <v>2616.71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6"/>
      <c r="H11" s="306"/>
      <c r="I11" s="310"/>
      <c r="J11" s="310"/>
      <c r="K11" s="305"/>
      <c r="L11" s="305"/>
      <c r="M11" s="305"/>
      <c r="N11" s="305"/>
      <c r="O11" s="311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29</v>
      </c>
      <c r="D12" s="304" t="s">
        <v>21</v>
      </c>
      <c r="E12" s="85" t="s">
        <v>95</v>
      </c>
      <c r="F12" s="186" t="s">
        <v>37</v>
      </c>
      <c r="G12" s="306">
        <v>4539</v>
      </c>
      <c r="H12" s="306">
        <v>10172</v>
      </c>
      <c r="I12" s="310">
        <v>80.980900000000005</v>
      </c>
      <c r="J12" s="310">
        <v>87.339500000000001</v>
      </c>
      <c r="K12" s="305"/>
      <c r="L12" s="305"/>
      <c r="M12" s="305"/>
      <c r="N12" s="305">
        <v>333.0138</v>
      </c>
      <c r="O12" s="311">
        <v>1255656.6861999999</v>
      </c>
      <c r="P12" s="305">
        <v>235435.63</v>
      </c>
      <c r="Q12" s="305">
        <v>188348.5</v>
      </c>
      <c r="R12" s="172">
        <v>0.15</v>
      </c>
      <c r="S12" s="305">
        <v>47087.13</v>
      </c>
      <c r="T12" s="198">
        <v>3.7499999999999999E-2</v>
      </c>
    </row>
    <row r="13" spans="1:20" ht="14.1" customHeight="1" x14ac:dyDescent="0.2">
      <c r="A13" s="303" t="s">
        <v>28</v>
      </c>
      <c r="B13" s="19" t="s">
        <v>153</v>
      </c>
      <c r="C13" s="85" t="s">
        <v>29</v>
      </c>
      <c r="D13" s="304" t="s">
        <v>21</v>
      </c>
      <c r="E13" s="85" t="s">
        <v>95</v>
      </c>
      <c r="F13" s="186" t="s">
        <v>56</v>
      </c>
      <c r="G13" s="306">
        <v>45049.67</v>
      </c>
      <c r="H13" s="306">
        <v>51899.89</v>
      </c>
      <c r="I13" s="310">
        <v>3</v>
      </c>
      <c r="J13" s="310">
        <v>3</v>
      </c>
      <c r="K13" s="305"/>
      <c r="L13" s="305"/>
      <c r="M13" s="305"/>
      <c r="N13" s="305">
        <v>932.43960000000004</v>
      </c>
      <c r="O13" s="311">
        <v>289916.24040000007</v>
      </c>
      <c r="P13" s="305">
        <v>54359.3</v>
      </c>
      <c r="Q13" s="305">
        <v>43487.44</v>
      </c>
      <c r="R13" s="172">
        <v>0.15</v>
      </c>
      <c r="S13" s="305">
        <v>10871.86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6">
        <v>12091</v>
      </c>
      <c r="H14" s="306">
        <v>10787</v>
      </c>
      <c r="I14" s="310">
        <v>81.219499999999996</v>
      </c>
      <c r="J14" s="310">
        <v>87.174300000000002</v>
      </c>
      <c r="K14" s="305"/>
      <c r="L14" s="305"/>
      <c r="M14" s="305"/>
      <c r="N14" s="305">
        <v>856.32370000000003</v>
      </c>
      <c r="O14" s="311">
        <v>1921517.8163000001</v>
      </c>
      <c r="P14" s="305">
        <v>360284.59</v>
      </c>
      <c r="Q14" s="305">
        <v>288227.67</v>
      </c>
      <c r="R14" s="172">
        <v>0.15</v>
      </c>
      <c r="S14" s="305">
        <v>72056.92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6">
        <v>18897.16</v>
      </c>
      <c r="H15" s="306">
        <v>8771.5</v>
      </c>
      <c r="I15" s="310">
        <v>2.6775000000000002</v>
      </c>
      <c r="J15" s="310">
        <v>2.6775000000000002</v>
      </c>
      <c r="K15" s="305"/>
      <c r="L15" s="305"/>
      <c r="M15" s="305"/>
      <c r="N15" s="305">
        <v>918.16579999999999</v>
      </c>
      <c r="O15" s="311">
        <v>73164.674199999994</v>
      </c>
      <c r="P15" s="305">
        <v>13718.38</v>
      </c>
      <c r="Q15" s="305">
        <v>10974.7</v>
      </c>
      <c r="R15" s="172">
        <v>0.15</v>
      </c>
      <c r="S15" s="305">
        <v>2743.68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6">
        <v>6634</v>
      </c>
      <c r="H16" s="306">
        <v>7572</v>
      </c>
      <c r="I16" s="310">
        <v>80.980900000000005</v>
      </c>
      <c r="J16" s="310">
        <v>87.339500000000001</v>
      </c>
      <c r="K16" s="305"/>
      <c r="L16" s="305"/>
      <c r="M16" s="305"/>
      <c r="N16" s="305">
        <v>613.69709999999998</v>
      </c>
      <c r="O16" s="311">
        <v>1197948.2829</v>
      </c>
      <c r="P16" s="305">
        <v>224615.3</v>
      </c>
      <c r="Q16" s="305">
        <v>179692.24</v>
      </c>
      <c r="R16" s="172">
        <v>0.15</v>
      </c>
      <c r="S16" s="305">
        <v>44923.06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6">
        <v>29703</v>
      </c>
      <c r="H17" s="306">
        <v>33545</v>
      </c>
      <c r="I17" s="310">
        <v>80.980900000000005</v>
      </c>
      <c r="J17" s="310">
        <v>87.339500000000001</v>
      </c>
      <c r="K17" s="305"/>
      <c r="L17" s="305"/>
      <c r="M17" s="305"/>
      <c r="N17" s="305">
        <v>1579.4387999999999</v>
      </c>
      <c r="O17" s="311">
        <v>5333599.7611999996</v>
      </c>
      <c r="P17" s="305">
        <v>1000049.96</v>
      </c>
      <c r="Q17" s="305">
        <v>800039.96</v>
      </c>
      <c r="R17" s="172">
        <v>0.15</v>
      </c>
      <c r="S17" s="305">
        <v>200009.99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6"/>
      <c r="H18" s="306"/>
      <c r="I18" s="310"/>
      <c r="J18" s="310"/>
      <c r="K18" s="305"/>
      <c r="L18" s="305"/>
      <c r="M18" s="305"/>
      <c r="N18" s="305"/>
      <c r="O18" s="311"/>
      <c r="P18" s="305"/>
      <c r="Q18" s="305"/>
      <c r="R18" s="172">
        <v>0.15</v>
      </c>
      <c r="S18" s="305"/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6"/>
      <c r="H19" s="306"/>
      <c r="I19" s="310"/>
      <c r="J19" s="310"/>
      <c r="K19" s="305"/>
      <c r="L19" s="305"/>
      <c r="M19" s="305"/>
      <c r="N19" s="305"/>
      <c r="O19" s="311"/>
      <c r="P19" s="305"/>
      <c r="Q19" s="305"/>
      <c r="R19" s="172">
        <v>0.15</v>
      </c>
      <c r="S19" s="305"/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56</v>
      </c>
      <c r="G20" s="306">
        <v>4831.53</v>
      </c>
      <c r="H20" s="306">
        <v>5157.51</v>
      </c>
      <c r="I20" s="310">
        <v>6.1078000000000001</v>
      </c>
      <c r="J20" s="310">
        <v>6.1078000000000001</v>
      </c>
      <c r="K20" s="305"/>
      <c r="L20" s="305"/>
      <c r="M20" s="305"/>
      <c r="N20" s="305"/>
      <c r="O20" s="311">
        <v>61011.06</v>
      </c>
      <c r="P20" s="305">
        <v>11439.57</v>
      </c>
      <c r="Q20" s="305">
        <v>9151.66</v>
      </c>
      <c r="R20" s="172">
        <v>0.15</v>
      </c>
      <c r="S20" s="305">
        <v>2287.91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6"/>
      <c r="H21" s="306">
        <v>2388</v>
      </c>
      <c r="I21" s="310"/>
      <c r="J21" s="310">
        <v>84.478200000000001</v>
      </c>
      <c r="K21" s="305"/>
      <c r="L21" s="305"/>
      <c r="M21" s="305"/>
      <c r="N21" s="305">
        <v>723.11509999999998</v>
      </c>
      <c r="O21" s="311">
        <v>201010.82490000001</v>
      </c>
      <c r="P21" s="305">
        <v>37689.53</v>
      </c>
      <c r="Q21" s="305">
        <v>30151.62</v>
      </c>
      <c r="R21" s="172">
        <v>0.15</v>
      </c>
      <c r="S21" s="305">
        <v>7537.91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6">
        <v>51473</v>
      </c>
      <c r="H22" s="306">
        <v>67682</v>
      </c>
      <c r="I22" s="310">
        <v>80.430899999999994</v>
      </c>
      <c r="J22" s="310">
        <v>86.789500000000004</v>
      </c>
      <c r="K22" s="305"/>
      <c r="L22" s="305"/>
      <c r="M22" s="305"/>
      <c r="N22" s="305">
        <v>4405.3001000000004</v>
      </c>
      <c r="O22" s="311">
        <v>10009701.3599</v>
      </c>
      <c r="P22" s="305">
        <v>1876819</v>
      </c>
      <c r="Q22" s="305">
        <v>1501455.2</v>
      </c>
      <c r="R22" s="172">
        <v>0.15</v>
      </c>
      <c r="S22" s="305">
        <v>375363.8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6"/>
      <c r="H23" s="306"/>
      <c r="I23" s="310"/>
      <c r="J23" s="310"/>
      <c r="K23" s="305"/>
      <c r="L23" s="305"/>
      <c r="M23" s="305"/>
      <c r="N23" s="305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6">
        <v>64211.16</v>
      </c>
      <c r="H24" s="306">
        <v>84856.960000000006</v>
      </c>
      <c r="I24" s="310">
        <v>0.8</v>
      </c>
      <c r="J24" s="310">
        <v>0.8</v>
      </c>
      <c r="K24" s="305"/>
      <c r="L24" s="305"/>
      <c r="M24" s="305"/>
      <c r="N24" s="305">
        <v>1032.3434999999999</v>
      </c>
      <c r="O24" s="311">
        <v>118222.1565</v>
      </c>
      <c r="P24" s="305">
        <v>22166.65</v>
      </c>
      <c r="Q24" s="305">
        <v>17733.32</v>
      </c>
      <c r="R24" s="172">
        <v>0.15</v>
      </c>
      <c r="S24" s="305">
        <v>4433.33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6">
        <v>2085</v>
      </c>
      <c r="H25" s="306">
        <v>2729</v>
      </c>
      <c r="I25" s="310">
        <v>80.980900000000005</v>
      </c>
      <c r="J25" s="310">
        <v>87.339500000000001</v>
      </c>
      <c r="K25" s="305"/>
      <c r="L25" s="305"/>
      <c r="M25" s="305"/>
      <c r="N25" s="305">
        <v>356.80180000000001</v>
      </c>
      <c r="O25" s="311">
        <v>406837.87819999998</v>
      </c>
      <c r="P25" s="305">
        <v>76282.100000000006</v>
      </c>
      <c r="Q25" s="305">
        <v>61025.68</v>
      </c>
      <c r="R25" s="172">
        <v>0.15</v>
      </c>
      <c r="S25" s="305">
        <v>15256.42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6">
        <v>181294</v>
      </c>
      <c r="H26" s="306">
        <v>191491</v>
      </c>
      <c r="I26" s="310">
        <v>80.980900000000005</v>
      </c>
      <c r="J26" s="310">
        <v>87.339500000000001</v>
      </c>
      <c r="K26" s="305"/>
      <c r="L26" s="305"/>
      <c r="M26" s="305"/>
      <c r="N26" s="305">
        <v>5513.7619999999997</v>
      </c>
      <c r="O26" s="311">
        <v>31400565.708000001</v>
      </c>
      <c r="P26" s="305">
        <v>5887606.0700000003</v>
      </c>
      <c r="Q26" s="305">
        <v>4710084.8600000003</v>
      </c>
      <c r="R26" s="172">
        <v>0.15</v>
      </c>
      <c r="S26" s="305">
        <v>1177521.21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6">
        <v>256592.52</v>
      </c>
      <c r="H27" s="306">
        <v>266130.64</v>
      </c>
      <c r="I27" s="310">
        <v>2.3041999999999998</v>
      </c>
      <c r="J27" s="310">
        <v>2.3041999999999998</v>
      </c>
      <c r="K27" s="305"/>
      <c r="L27" s="305"/>
      <c r="M27" s="305"/>
      <c r="N27" s="305">
        <v>1089.431</v>
      </c>
      <c r="O27" s="311">
        <v>1203369.2689999999</v>
      </c>
      <c r="P27" s="305">
        <v>225631.74</v>
      </c>
      <c r="Q27" s="305">
        <v>180505.39</v>
      </c>
      <c r="R27" s="172">
        <v>0.15</v>
      </c>
      <c r="S27" s="305">
        <v>45126.35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6"/>
      <c r="H28" s="306"/>
      <c r="I28" s="310"/>
      <c r="J28" s="310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6">
        <v>438</v>
      </c>
      <c r="H29" s="306">
        <v>473</v>
      </c>
      <c r="I29" s="310">
        <v>81.274600000000007</v>
      </c>
      <c r="J29" s="310">
        <v>86.923299999999998</v>
      </c>
      <c r="K29" s="305"/>
      <c r="L29" s="305"/>
      <c r="M29" s="305"/>
      <c r="N29" s="305">
        <v>390.10129999999998</v>
      </c>
      <c r="O29" s="311">
        <v>76322.888699999996</v>
      </c>
      <c r="P29" s="305">
        <v>14310.54</v>
      </c>
      <c r="Q29" s="305">
        <v>11448.43</v>
      </c>
      <c r="R29" s="172">
        <v>0.15</v>
      </c>
      <c r="S29" s="305">
        <v>2862.11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6">
        <v>19415</v>
      </c>
      <c r="H30" s="306">
        <v>29002</v>
      </c>
      <c r="I30" s="310">
        <v>78.820899999999995</v>
      </c>
      <c r="J30" s="310">
        <v>85.179500000000004</v>
      </c>
      <c r="K30" s="305"/>
      <c r="L30" s="305"/>
      <c r="M30" s="305"/>
      <c r="N30" s="305">
        <v>3701.2132999999999</v>
      </c>
      <c r="O30" s="311">
        <v>3996982.4166999999</v>
      </c>
      <c r="P30" s="305">
        <v>749434.2</v>
      </c>
      <c r="Q30" s="305">
        <v>599547.36</v>
      </c>
      <c r="R30" s="172">
        <v>0.15</v>
      </c>
      <c r="S30" s="305">
        <v>149886.84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6"/>
      <c r="H31" s="306"/>
      <c r="I31" s="310"/>
      <c r="J31" s="310"/>
      <c r="K31" s="305"/>
      <c r="L31" s="305"/>
      <c r="M31" s="305"/>
      <c r="N31" s="305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138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6">
        <v>116255.91</v>
      </c>
      <c r="H32" s="306">
        <v>176845.03</v>
      </c>
      <c r="I32" s="310">
        <v>1.5</v>
      </c>
      <c r="J32" s="310">
        <v>1.5</v>
      </c>
      <c r="K32" s="305"/>
      <c r="L32" s="305"/>
      <c r="M32" s="305"/>
      <c r="N32" s="305">
        <v>1536.6224999999999</v>
      </c>
      <c r="O32" s="311">
        <v>438114.79749999999</v>
      </c>
      <c r="P32" s="305">
        <v>82146.52</v>
      </c>
      <c r="Q32" s="305">
        <v>65717.22</v>
      </c>
      <c r="R32" s="172">
        <v>0.15</v>
      </c>
      <c r="S32" s="305">
        <v>16429.3</v>
      </c>
      <c r="T32" s="198">
        <v>3.7499999999999999E-2</v>
      </c>
    </row>
    <row r="33" spans="1:20" x14ac:dyDescent="0.2">
      <c r="A33" s="303" t="s">
        <v>28</v>
      </c>
      <c r="B33" s="19" t="s">
        <v>139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6">
        <v>105118.14</v>
      </c>
      <c r="H33" s="306">
        <v>98915.22</v>
      </c>
      <c r="I33" s="310">
        <v>3.3980999999999999</v>
      </c>
      <c r="J33" s="310">
        <v>3.4270999999999998</v>
      </c>
      <c r="K33" s="305"/>
      <c r="L33" s="305"/>
      <c r="M33" s="305"/>
      <c r="N33" s="305"/>
      <c r="O33" s="311">
        <v>696194.3</v>
      </c>
      <c r="P33" s="305">
        <v>130536.43</v>
      </c>
      <c r="Q33" s="305">
        <v>104429.15</v>
      </c>
      <c r="R33" s="172">
        <v>0.15</v>
      </c>
      <c r="S33" s="305">
        <v>26107.29</v>
      </c>
      <c r="T33" s="198">
        <v>3.7499999999999999E-2</v>
      </c>
    </row>
    <row r="34" spans="1:20" x14ac:dyDescent="0.2">
      <c r="A34" s="303" t="s">
        <v>28</v>
      </c>
      <c r="B34" s="19" t="s">
        <v>137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6"/>
      <c r="H34" s="306"/>
      <c r="I34" s="310"/>
      <c r="J34" s="310"/>
      <c r="K34" s="305"/>
      <c r="L34" s="305"/>
      <c r="M34" s="305"/>
      <c r="N34" s="305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144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6"/>
      <c r="I35" s="310"/>
      <c r="J35" s="310"/>
      <c r="K35" s="305"/>
      <c r="L35" s="305"/>
      <c r="M35" s="305"/>
      <c r="N35" s="305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6">
        <v>11015.53</v>
      </c>
      <c r="H36" s="306">
        <v>14257.29</v>
      </c>
      <c r="I36" s="310">
        <v>3.2604000000000002</v>
      </c>
      <c r="J36" s="310">
        <v>3.14</v>
      </c>
      <c r="K36" s="305"/>
      <c r="L36" s="305"/>
      <c r="M36" s="305"/>
      <c r="N36" s="306"/>
      <c r="O36" s="311">
        <v>80682.92</v>
      </c>
      <c r="P36" s="305">
        <v>15128.05</v>
      </c>
      <c r="Q36" s="305">
        <v>12102.44</v>
      </c>
      <c r="R36" s="172">
        <v>0.15</v>
      </c>
      <c r="S36" s="305">
        <v>3025.61</v>
      </c>
      <c r="T36" s="198">
        <v>3.7499999999999999E-2</v>
      </c>
    </row>
    <row r="37" spans="1:20" x14ac:dyDescent="0.2">
      <c r="A37" s="303"/>
      <c r="B37" s="19"/>
      <c r="C37" s="85"/>
      <c r="D37" s="304"/>
      <c r="E37" s="85"/>
      <c r="F37" s="186"/>
      <c r="G37" s="306"/>
      <c r="H37" s="306"/>
      <c r="I37" s="310"/>
      <c r="J37" s="310"/>
      <c r="K37" s="305"/>
      <c r="L37" s="305"/>
      <c r="M37" s="305"/>
      <c r="N37" s="306"/>
      <c r="O37" s="311"/>
      <c r="P37" s="305"/>
      <c r="Q37" s="305"/>
      <c r="R37" s="172"/>
      <c r="S37" s="305"/>
      <c r="T37" s="198"/>
    </row>
    <row r="38" spans="1:20" x14ac:dyDescent="0.2">
      <c r="A38" s="303"/>
      <c r="B38" s="19"/>
      <c r="C38" s="85"/>
      <c r="D38" s="304"/>
      <c r="E38" s="85"/>
      <c r="F38" s="186"/>
      <c r="G38" s="306"/>
      <c r="H38" s="306"/>
      <c r="I38" s="381"/>
      <c r="J38" s="310"/>
      <c r="K38" s="305"/>
      <c r="L38" s="305"/>
      <c r="M38" s="305"/>
      <c r="N38" s="306"/>
      <c r="O38" s="311"/>
      <c r="P38" s="305"/>
      <c r="Q38" s="305"/>
      <c r="R38" s="172"/>
      <c r="S38" s="305"/>
      <c r="T38" s="198"/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6"/>
      <c r="H39" s="305">
        <v>172371</v>
      </c>
      <c r="I39" s="310"/>
      <c r="J39" s="310">
        <v>85.572400000000002</v>
      </c>
      <c r="K39" s="305"/>
      <c r="L39" s="305"/>
      <c r="M39" s="305"/>
      <c r="N39" s="305">
        <v>1189.3375000000001</v>
      </c>
      <c r="O39" s="311">
        <v>14749010.8225</v>
      </c>
      <c r="P39" s="305">
        <v>2765439.53</v>
      </c>
      <c r="Q39" s="305">
        <v>2212351.62</v>
      </c>
      <c r="R39" s="172">
        <v>0.15</v>
      </c>
      <c r="S39" s="305">
        <v>553087.91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6"/>
      <c r="H40" s="306">
        <v>350250.76</v>
      </c>
      <c r="I40" s="310"/>
      <c r="J40" s="310">
        <v>7.9798999999999998</v>
      </c>
      <c r="K40" s="305"/>
      <c r="L40" s="305"/>
      <c r="M40" s="305"/>
      <c r="N40" s="305">
        <v>1051.3743999999999</v>
      </c>
      <c r="O40" s="311">
        <v>2793914.6655999999</v>
      </c>
      <c r="P40" s="305">
        <v>523859</v>
      </c>
      <c r="Q40" s="305">
        <v>419087.2</v>
      </c>
      <c r="R40" s="172">
        <v>0.15</v>
      </c>
      <c r="S40" s="305">
        <v>104771.8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6">
        <v>128</v>
      </c>
      <c r="H41" s="306">
        <v>163</v>
      </c>
      <c r="I41" s="310">
        <v>80.980900000000005</v>
      </c>
      <c r="J41" s="310">
        <v>87.339500000000001</v>
      </c>
      <c r="K41" s="305"/>
      <c r="L41" s="305"/>
      <c r="M41" s="305"/>
      <c r="N41" s="305">
        <v>228.3528</v>
      </c>
      <c r="O41" s="311">
        <v>24373.547200000001</v>
      </c>
      <c r="P41" s="305">
        <v>4570.04</v>
      </c>
      <c r="Q41" s="305">
        <v>914.01</v>
      </c>
      <c r="R41" s="198">
        <v>3.7499999999999999E-2</v>
      </c>
      <c r="S41" s="305">
        <v>3656.03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5"/>
      <c r="L42" s="305"/>
      <c r="M42" s="305"/>
      <c r="N42" s="305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10"/>
      <c r="K43" s="305"/>
      <c r="L43" s="305"/>
      <c r="M43" s="305"/>
      <c r="N43" s="305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6">
        <v>24491</v>
      </c>
      <c r="I44" s="310"/>
      <c r="J44" s="310">
        <v>74.835499999999996</v>
      </c>
      <c r="K44" s="305"/>
      <c r="L44" s="305"/>
      <c r="M44" s="305"/>
      <c r="N44" s="305">
        <v>1141.7615000000001</v>
      </c>
      <c r="O44" s="311">
        <v>1831654.4685</v>
      </c>
      <c r="P44" s="305">
        <v>343435.21</v>
      </c>
      <c r="Q44" s="305">
        <v>274748.17</v>
      </c>
      <c r="R44" s="173">
        <v>0.15</v>
      </c>
      <c r="S44" s="305">
        <v>68687.039999999994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5"/>
      <c r="L45" s="305"/>
      <c r="M45" s="305"/>
      <c r="N45" s="305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-108690.09999999989</v>
      </c>
      <c r="P46" s="311">
        <v>-20379.379999999997</v>
      </c>
      <c r="Q46" s="311">
        <v>-16303.52</v>
      </c>
      <c r="R46" s="311"/>
      <c r="S46" s="311">
        <v>-4075.8599999999979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78120861.434400007</v>
      </c>
      <c r="P47" s="325">
        <v>14647661.519999998</v>
      </c>
      <c r="Q47" s="326">
        <v>11715387.169999998</v>
      </c>
      <c r="R47" s="174"/>
      <c r="S47" s="327">
        <v>2932274.3499999996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54928730.700000003</v>
      </c>
      <c r="Q48" s="332">
        <v>43932701.890000001</v>
      </c>
      <c r="R48" s="121"/>
      <c r="S48" s="333">
        <v>10996028.810000001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23594</v>
      </c>
      <c r="H51" s="306">
        <v>27554</v>
      </c>
      <c r="I51" s="310">
        <v>72.030900000000003</v>
      </c>
      <c r="J51" s="310">
        <v>78.135199999999998</v>
      </c>
      <c r="K51" s="305"/>
      <c r="L51" s="305"/>
      <c r="M51" s="305"/>
      <c r="N51" s="305">
        <v>4595.5963000000002</v>
      </c>
      <c r="O51" s="311">
        <v>3847838.7536999998</v>
      </c>
      <c r="P51" s="305">
        <v>577175.81000000006</v>
      </c>
      <c r="Q51" s="305">
        <v>577175.81000000006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3847838.7536999998</v>
      </c>
      <c r="P53" s="325">
        <v>577175.81000000006</v>
      </c>
      <c r="Q53" s="325">
        <v>577175.81000000006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2164409.29</v>
      </c>
      <c r="Q54" s="332">
        <v>2164409.29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10"/>
      <c r="J58" s="310"/>
      <c r="K58" s="305"/>
      <c r="L58" s="305"/>
      <c r="M58" s="305"/>
      <c r="N58" s="311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/>
      <c r="H61" s="306">
        <v>180.71</v>
      </c>
      <c r="I61" s="310"/>
      <c r="J61" s="310">
        <v>3.66</v>
      </c>
      <c r="K61" s="305"/>
      <c r="L61" s="305"/>
      <c r="M61" s="305"/>
      <c r="N61" s="305">
        <v>575.6404</v>
      </c>
      <c r="O61" s="311">
        <v>85.759599999999978</v>
      </c>
      <c r="P61" s="305">
        <v>16.079999999999998</v>
      </c>
      <c r="Q61" s="305">
        <v>3.22</v>
      </c>
      <c r="R61" s="198">
        <v>3.7499999999999999E-2</v>
      </c>
      <c r="S61" s="305">
        <v>12.86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1641</v>
      </c>
      <c r="H62" s="306">
        <v>4464</v>
      </c>
      <c r="I62" s="310">
        <v>48.176299999999998</v>
      </c>
      <c r="J62" s="310">
        <v>55.421799999999998</v>
      </c>
      <c r="K62" s="305"/>
      <c r="L62" s="305"/>
      <c r="M62" s="305"/>
      <c r="N62" s="305">
        <v>2607.0252</v>
      </c>
      <c r="O62" s="311">
        <v>323853.20480000001</v>
      </c>
      <c r="P62" s="305">
        <v>60722.48</v>
      </c>
      <c r="Q62" s="305">
        <v>12144.5</v>
      </c>
      <c r="R62" s="198">
        <v>3.7499999999999999E-2</v>
      </c>
      <c r="S62" s="305">
        <v>48577.98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125936</v>
      </c>
      <c r="H65" s="306">
        <v>304184</v>
      </c>
      <c r="I65" s="310">
        <v>65.055800000000005</v>
      </c>
      <c r="J65" s="310">
        <v>70.712400000000002</v>
      </c>
      <c r="K65" s="306"/>
      <c r="L65" s="305"/>
      <c r="M65" s="305"/>
      <c r="N65" s="311">
        <v>6146.49</v>
      </c>
      <c r="O65" s="311">
        <v>29696301.420000002</v>
      </c>
      <c r="P65" s="305">
        <v>5568056.5199999996</v>
      </c>
      <c r="Q65" s="305">
        <v>4454445.21</v>
      </c>
      <c r="R65" s="172">
        <v>0.15</v>
      </c>
      <c r="S65" s="305">
        <v>1113611.3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/>
      <c r="H66" s="306"/>
      <c r="I66" s="310"/>
      <c r="J66" s="310"/>
      <c r="K66" s="306"/>
      <c r="L66" s="305"/>
      <c r="M66" s="305"/>
      <c r="N66" s="311"/>
      <c r="O66" s="311">
        <v>0</v>
      </c>
      <c r="P66" s="305">
        <v>0</v>
      </c>
      <c r="Q66" s="305">
        <v>0</v>
      </c>
      <c r="R66" s="172">
        <v>0.15</v>
      </c>
      <c r="S66" s="305">
        <v>0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11"/>
      <c r="P67" s="305"/>
      <c r="Q67" s="305"/>
      <c r="R67" s="305"/>
      <c r="S67" s="305"/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30020240.384400003</v>
      </c>
      <c r="P68" s="325">
        <v>5628795.0799999991</v>
      </c>
      <c r="Q68" s="325">
        <v>4466592.93</v>
      </c>
      <c r="R68" s="183"/>
      <c r="S68" s="325">
        <v>1162202.1400000001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21107981.550000001</v>
      </c>
      <c r="Q69" s="333">
        <v>16749723.49</v>
      </c>
      <c r="R69" s="139"/>
      <c r="S69" s="333">
        <v>4358258.03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779345</v>
      </c>
      <c r="H71" s="305">
        <v>824991</v>
      </c>
      <c r="I71" s="307">
        <v>58.369500000000002</v>
      </c>
      <c r="J71" s="307">
        <v>61.381900000000002</v>
      </c>
      <c r="K71" s="305"/>
      <c r="L71" s="305"/>
      <c r="M71" s="305"/>
      <c r="N71" s="305"/>
      <c r="O71" s="311">
        <v>96129493.040399998</v>
      </c>
      <c r="P71" s="586">
        <v>35798623.210000001</v>
      </c>
      <c r="Q71" s="305">
        <v>17899311.609999999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10266312.640000001</v>
      </c>
      <c r="H72" s="305">
        <v>9198105.0800000001</v>
      </c>
      <c r="I72" s="307">
        <v>2.0125999999999999</v>
      </c>
      <c r="J72" s="307">
        <v>2.0125999999999999</v>
      </c>
      <c r="K72" s="305"/>
      <c r="L72" s="305"/>
      <c r="M72" s="305"/>
      <c r="N72" s="305"/>
      <c r="O72" s="311">
        <v>39174087.103272006</v>
      </c>
      <c r="P72" s="316">
        <v>14588430.039999999</v>
      </c>
      <c r="Q72" s="305">
        <v>7294215.0199999996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31915.85</v>
      </c>
      <c r="H73" s="305">
        <v>29223.62</v>
      </c>
      <c r="I73" s="307">
        <v>2.5895000000000001</v>
      </c>
      <c r="J73" s="307">
        <v>2.5895000000000001</v>
      </c>
      <c r="K73" s="305"/>
      <c r="L73" s="305"/>
      <c r="M73" s="305"/>
      <c r="N73" s="305"/>
      <c r="O73" s="311">
        <v>158320.657565</v>
      </c>
      <c r="P73" s="316">
        <v>58958.61</v>
      </c>
      <c r="Q73" s="305">
        <v>29479.31</v>
      </c>
      <c r="R73" s="172">
        <v>0.5</v>
      </c>
      <c r="S73" s="305"/>
      <c r="T73" s="172"/>
    </row>
    <row r="74" spans="1:20" ht="12" customHeight="1" x14ac:dyDescent="0.2">
      <c r="A74" s="303" t="s">
        <v>28</v>
      </c>
      <c r="B74" s="19" t="s">
        <v>123</v>
      </c>
      <c r="C74" s="85" t="s">
        <v>31</v>
      </c>
      <c r="D74" s="85" t="s">
        <v>30</v>
      </c>
      <c r="E74" s="85" t="s">
        <v>102</v>
      </c>
      <c r="F74" s="182" t="s">
        <v>56</v>
      </c>
      <c r="G74" s="305">
        <v>947221.33</v>
      </c>
      <c r="H74" s="305">
        <v>1000068.23</v>
      </c>
      <c r="I74" s="567">
        <v>14.507</v>
      </c>
      <c r="J74" s="307">
        <v>12.275</v>
      </c>
      <c r="K74" s="305"/>
      <c r="L74" s="305"/>
      <c r="M74" s="305"/>
      <c r="N74" s="305"/>
      <c r="O74" s="311">
        <v>26017177.357560001</v>
      </c>
      <c r="P74" s="316">
        <v>9886527.3999999985</v>
      </c>
      <c r="Q74" s="305">
        <v>4943263.7</v>
      </c>
      <c r="R74" s="219">
        <v>0.5</v>
      </c>
      <c r="S74" s="305"/>
      <c r="T74" s="172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259289</v>
      </c>
      <c r="H75" s="305">
        <v>326240</v>
      </c>
      <c r="I75" s="307">
        <v>58.368200000000002</v>
      </c>
      <c r="J75" s="307">
        <v>61.371499999999997</v>
      </c>
      <c r="K75" s="305"/>
      <c r="L75" s="305"/>
      <c r="M75" s="305"/>
      <c r="N75" s="305"/>
      <c r="O75" s="311">
        <v>35156070.369800001</v>
      </c>
      <c r="P75" s="316">
        <v>14062428.140000001</v>
      </c>
      <c r="Q75" s="305">
        <v>7031214.0700000003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6536203.4800000004</v>
      </c>
      <c r="H76" s="305">
        <v>7764066.79</v>
      </c>
      <c r="I76" s="567">
        <v>14.507</v>
      </c>
      <c r="J76" s="307">
        <v>12.275</v>
      </c>
      <c r="K76" s="305"/>
      <c r="L76" s="305"/>
      <c r="M76" s="305"/>
      <c r="N76" s="305"/>
      <c r="O76" s="311">
        <v>190124623.73161</v>
      </c>
      <c r="P76" s="316">
        <v>72247357.019999996</v>
      </c>
      <c r="Q76" s="305">
        <v>36123678.509999998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274722.40000000002</v>
      </c>
      <c r="H77" s="305">
        <v>295208.15999999997</v>
      </c>
      <c r="I77" s="307">
        <v>2.0373999999999999</v>
      </c>
      <c r="J77" s="307">
        <v>2.0373999999999999</v>
      </c>
      <c r="K77" s="306"/>
      <c r="L77" s="305"/>
      <c r="M77" s="305"/>
      <c r="N77" s="306"/>
      <c r="O77" s="311">
        <v>1161176.5229439999</v>
      </c>
      <c r="P77" s="316">
        <v>432422.14</v>
      </c>
      <c r="Q77" s="305">
        <v>216211.07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234294</v>
      </c>
      <c r="H78" s="305">
        <v>202390</v>
      </c>
      <c r="I78" s="307">
        <v>53.001100000000001</v>
      </c>
      <c r="J78" s="307">
        <v>56.020699999999998</v>
      </c>
      <c r="K78" s="306"/>
      <c r="L78" s="305"/>
      <c r="M78" s="305"/>
      <c r="N78" s="306"/>
      <c r="O78" s="311">
        <v>23755869.196400002</v>
      </c>
      <c r="P78" s="316">
        <v>1533603.3233830002</v>
      </c>
      <c r="Q78" s="305">
        <v>766801.66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3677380.13</v>
      </c>
      <c r="H79" s="305">
        <v>3178830.29</v>
      </c>
      <c r="I79" s="307">
        <v>14.763</v>
      </c>
      <c r="J79" s="307">
        <v>14.763</v>
      </c>
      <c r="K79" s="258"/>
      <c r="L79" s="305"/>
      <c r="M79" s="305"/>
      <c r="N79" s="306"/>
      <c r="O79" s="311">
        <v>101218234.43046001</v>
      </c>
      <c r="P79" s="316">
        <v>10222758.033369999</v>
      </c>
      <c r="Q79" s="305">
        <v>5111379.0199999996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225">
        <v>5605276.3193395538</v>
      </c>
      <c r="P80" s="225">
        <v>799568.62447000074</v>
      </c>
      <c r="Q80" s="225">
        <v>399784.30000000185</v>
      </c>
      <c r="R80" s="130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/>
      <c r="H81" s="195"/>
      <c r="I81" s="228"/>
      <c r="J81" s="195"/>
      <c r="K81" s="205"/>
      <c r="L81" s="199"/>
      <c r="M81" s="227"/>
      <c r="N81" s="166"/>
      <c r="O81" s="271">
        <v>518500328.72935051</v>
      </c>
      <c r="P81" s="271">
        <v>159630676.54122299</v>
      </c>
      <c r="Q81" s="271">
        <v>79815338.269999981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>
        <v>14.004031901477687</v>
      </c>
      <c r="H82" s="196">
        <v>11.900000626288845</v>
      </c>
      <c r="I82" s="229"/>
      <c r="J82" s="195"/>
      <c r="K82" s="206"/>
      <c r="L82" s="200"/>
      <c r="M82" s="260"/>
      <c r="N82" s="261"/>
      <c r="O82" s="261"/>
      <c r="P82" s="160"/>
      <c r="Q82" s="267">
        <v>299307518.51249993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270"/>
      <c r="H83" s="197">
        <v>0</v>
      </c>
      <c r="I83" s="195">
        <v>0</v>
      </c>
      <c r="J83" s="195">
        <v>191285800.254554</v>
      </c>
      <c r="K83" s="230">
        <v>-191285800.254554</v>
      </c>
      <c r="L83" s="231"/>
      <c r="M83" s="216">
        <v>0</v>
      </c>
      <c r="N83" s="216">
        <v>41517.347499999996</v>
      </c>
      <c r="O83" s="216">
        <v>630489269.30185056</v>
      </c>
      <c r="P83" s="216">
        <v>100668970.67999998</v>
      </c>
      <c r="Q83" s="161">
        <v>377508640.02249992</v>
      </c>
      <c r="R83" s="52"/>
      <c r="S83" s="161"/>
      <c r="T83" s="52"/>
    </row>
    <row r="84" spans="1:20" x14ac:dyDescent="0.2">
      <c r="G84" s="212"/>
      <c r="H84" s="212"/>
      <c r="I84" s="212"/>
      <c r="J84" s="212"/>
      <c r="K84" s="212"/>
      <c r="O84" s="236"/>
      <c r="S84" s="226"/>
    </row>
    <row r="85" spans="1:20" x14ac:dyDescent="0.2">
      <c r="A85" s="360" t="s">
        <v>90</v>
      </c>
      <c r="B85" s="212" t="s">
        <v>73</v>
      </c>
      <c r="G85" s="212"/>
      <c r="H85" s="360" t="s">
        <v>74</v>
      </c>
      <c r="I85" s="212"/>
      <c r="J85" s="62"/>
      <c r="K85" s="62"/>
      <c r="N85" s="296"/>
      <c r="O85" s="236">
        <v>309943823.04999995</v>
      </c>
      <c r="P85" s="226"/>
      <c r="Q85" s="296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G86" s="212"/>
      <c r="H86" s="87" t="s">
        <v>35</v>
      </c>
      <c r="I86" s="213"/>
      <c r="J86" s="213"/>
      <c r="K86" s="213"/>
      <c r="L86" s="88"/>
      <c r="N86" s="361"/>
      <c r="O86" s="362">
        <v>-320545446.25185061</v>
      </c>
      <c r="P86" s="226"/>
    </row>
    <row r="87" spans="1:20" x14ac:dyDescent="0.2">
      <c r="B87" s="363" t="s">
        <v>78</v>
      </c>
      <c r="C87" s="89" t="s">
        <v>79</v>
      </c>
      <c r="D87" s="364"/>
      <c r="E87" s="90">
        <v>82.580200000000005</v>
      </c>
      <c r="F87" s="90">
        <v>89.245800000000003</v>
      </c>
      <c r="G87" s="212"/>
      <c r="H87" s="91" t="s">
        <v>172</v>
      </c>
      <c r="I87" s="212"/>
      <c r="J87" s="212"/>
      <c r="K87" s="212"/>
      <c r="L87" s="92"/>
      <c r="M87" s="234">
        <v>6.2200000337121024E-2</v>
      </c>
      <c r="N87" s="234">
        <v>6.4199999463479832E-2</v>
      </c>
      <c r="O87" s="236"/>
      <c r="P87" s="259"/>
    </row>
    <row r="88" spans="1:20" x14ac:dyDescent="0.2">
      <c r="B88" s="365" t="s">
        <v>80</v>
      </c>
      <c r="C88" s="93" t="s">
        <v>81</v>
      </c>
      <c r="D88" s="366"/>
      <c r="E88" s="94">
        <v>36.603099999999998</v>
      </c>
      <c r="F88" s="94">
        <v>36.603099999999998</v>
      </c>
      <c r="G88" s="212"/>
      <c r="H88" s="96">
        <v>48.176255182139997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367"/>
      <c r="P88" s="296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G89" s="212"/>
      <c r="H89" s="212"/>
      <c r="I89" s="380"/>
      <c r="J89" s="212"/>
      <c r="K89" s="212"/>
      <c r="M89" s="234">
        <v>0.39999999969547706</v>
      </c>
      <c r="N89" s="234">
        <v>0.39999999979093542</v>
      </c>
      <c r="O89" s="237"/>
    </row>
    <row r="90" spans="1:20" x14ac:dyDescent="0.2">
      <c r="B90" s="365" t="s">
        <v>84</v>
      </c>
      <c r="C90" s="93" t="s">
        <v>85</v>
      </c>
      <c r="D90" s="366"/>
      <c r="E90" s="99">
        <v>0.54649999999999999</v>
      </c>
      <c r="F90" s="99">
        <v>0.60899999999999999</v>
      </c>
      <c r="G90" s="212"/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237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G91" s="212"/>
      <c r="H91" s="91" t="s">
        <v>173</v>
      </c>
      <c r="I91" s="380"/>
      <c r="J91" s="212"/>
      <c r="K91" s="212"/>
      <c r="L91" s="92"/>
      <c r="N91" s="259"/>
      <c r="O91" s="237"/>
    </row>
    <row r="92" spans="1:20" x14ac:dyDescent="0.2">
      <c r="B92" s="368" t="s">
        <v>88</v>
      </c>
      <c r="C92" s="102" t="s">
        <v>89</v>
      </c>
      <c r="D92" s="369"/>
      <c r="E92" s="103">
        <v>0</v>
      </c>
      <c r="F92" s="103">
        <v>0</v>
      </c>
      <c r="G92" s="212"/>
      <c r="H92" s="96">
        <v>55.421763153560008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G93" s="212"/>
      <c r="H93" s="329"/>
      <c r="I93" s="212"/>
      <c r="J93" s="212"/>
      <c r="K93" s="212"/>
      <c r="M93" s="237"/>
      <c r="N93" s="237"/>
      <c r="O93" s="237"/>
    </row>
    <row r="94" spans="1:20" x14ac:dyDescent="0.2">
      <c r="A94" s="587" t="s">
        <v>205</v>
      </c>
      <c r="G94" s="212"/>
      <c r="H94" s="212"/>
      <c r="I94" s="212"/>
      <c r="J94" s="212"/>
      <c r="K94" s="212"/>
    </row>
  </sheetData>
  <mergeCells count="2">
    <mergeCell ref="C7:C8"/>
    <mergeCell ref="O7:O8"/>
  </mergeCells>
  <printOptions horizontalCentered="1" verticalCentered="1"/>
  <pageMargins left="0.23622047244094491" right="0.23622047244094491" top="0.51181102362204722" bottom="0.51181102362204722" header="0" footer="0"/>
  <pageSetup paperSize="9" scale="4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T97"/>
  <sheetViews>
    <sheetView view="pageBreakPreview" topLeftCell="A40" zoomScale="95" zoomScaleNormal="95" zoomScaleSheetLayoutView="95" workbookViewId="0">
      <selection activeCell="P37" sqref="P37:P38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4" width="7.109375" style="212" customWidth="1"/>
    <col min="5" max="5" width="8.88671875" style="212" customWidth="1"/>
    <col min="6" max="6" width="9.88671875" style="212" customWidth="1"/>
    <col min="7" max="10" width="10.44140625" style="164" customWidth="1"/>
    <col min="11" max="11" width="10.44140625" style="164" hidden="1" customWidth="1"/>
    <col min="12" max="13" width="10.44140625" style="212" hidden="1" customWidth="1"/>
    <col min="14" max="14" width="10.44140625" style="212" customWidth="1"/>
    <col min="15" max="15" width="12.44140625" style="212" customWidth="1"/>
    <col min="16" max="17" width="11.5546875" style="212" customWidth="1"/>
    <col min="18" max="18" width="5.44140625" style="212" customWidth="1"/>
    <col min="19" max="19" width="11.5546875" style="212" customWidth="1"/>
    <col min="20" max="20" width="5.10937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44593</v>
      </c>
      <c r="F1" s="209">
        <v>3.7360000000000002</v>
      </c>
      <c r="S1" s="212" t="s">
        <v>124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164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174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269"/>
      <c r="R5" s="116"/>
      <c r="S5" s="116"/>
      <c r="T5" s="116"/>
    </row>
    <row r="6" spans="1:20" x14ac:dyDescent="0.2">
      <c r="E6" s="62"/>
      <c r="F6" s="62"/>
      <c r="G6" s="204"/>
      <c r="H6" s="165"/>
      <c r="Q6" s="269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9"/>
      <c r="I10" s="307"/>
      <c r="J10" s="307"/>
      <c r="K10" s="305"/>
      <c r="L10" s="305"/>
      <c r="M10" s="305"/>
      <c r="O10" s="311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9"/>
      <c r="I11" s="307"/>
      <c r="J11" s="307"/>
      <c r="K11" s="305"/>
      <c r="L11" s="305"/>
      <c r="M11" s="305"/>
      <c r="O11" s="311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4575</v>
      </c>
      <c r="H12" s="309">
        <v>9569</v>
      </c>
      <c r="I12" s="310">
        <v>92.245699999999999</v>
      </c>
      <c r="J12" s="310">
        <v>94.222800000000007</v>
      </c>
      <c r="K12" s="305"/>
      <c r="L12" s="305"/>
      <c r="M12" s="305"/>
      <c r="N12" s="212">
        <v>339.93</v>
      </c>
      <c r="O12" s="311">
        <v>1323302.1200000001</v>
      </c>
      <c r="P12" s="305">
        <v>248119.15</v>
      </c>
      <c r="Q12" s="305">
        <v>198495.32</v>
      </c>
      <c r="R12" s="172">
        <v>0.15</v>
      </c>
      <c r="S12" s="305">
        <v>49623.83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45119.926399999997</v>
      </c>
      <c r="H13" s="309">
        <v>41908.219499999999</v>
      </c>
      <c r="I13" s="310">
        <v>3</v>
      </c>
      <c r="J13" s="310">
        <v>3</v>
      </c>
      <c r="K13" s="305"/>
      <c r="L13" s="305"/>
      <c r="M13" s="305"/>
      <c r="N13" s="212">
        <v>945.89</v>
      </c>
      <c r="O13" s="311">
        <v>260138.55</v>
      </c>
      <c r="P13" s="305">
        <v>48775.98</v>
      </c>
      <c r="Q13" s="305">
        <v>39020.78</v>
      </c>
      <c r="R13" s="172">
        <v>0.15</v>
      </c>
      <c r="S13" s="305">
        <v>9755.2000000000007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9">
        <v>6115</v>
      </c>
      <c r="H14" s="309">
        <v>8168</v>
      </c>
      <c r="I14" s="310">
        <v>91.471100000000007</v>
      </c>
      <c r="J14" s="307">
        <v>94.747299999999996</v>
      </c>
      <c r="K14" s="305"/>
      <c r="L14" s="305"/>
      <c r="M14" s="305"/>
      <c r="N14" s="311">
        <v>871.98990000000003</v>
      </c>
      <c r="O14" s="311">
        <v>1332369.7401000001</v>
      </c>
      <c r="P14" s="305">
        <v>249819.33</v>
      </c>
      <c r="Q14" s="305">
        <v>199855.46</v>
      </c>
      <c r="R14" s="172">
        <v>0.15</v>
      </c>
      <c r="S14" s="305">
        <v>49963.87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9">
        <v>18346.435799999999</v>
      </c>
      <c r="H15" s="309">
        <v>15010.972100000001</v>
      </c>
      <c r="I15" s="567">
        <v>2.6775000000000002</v>
      </c>
      <c r="J15" s="307">
        <v>2.6775000000000002</v>
      </c>
      <c r="K15" s="305"/>
      <c r="L15" s="305"/>
      <c r="M15" s="305"/>
      <c r="N15" s="305">
        <v>931.10670000000005</v>
      </c>
      <c r="O15" s="311">
        <v>88383.353299999988</v>
      </c>
      <c r="P15" s="305">
        <v>16571.88</v>
      </c>
      <c r="Q15" s="305">
        <v>13257.5</v>
      </c>
      <c r="R15" s="172">
        <v>0.15</v>
      </c>
      <c r="S15" s="305">
        <v>3314.380000000001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9">
        <v>7450</v>
      </c>
      <c r="H16" s="309">
        <v>5393</v>
      </c>
      <c r="I16" s="307">
        <v>92.245699999999999</v>
      </c>
      <c r="J16" s="307">
        <v>94.222800000000007</v>
      </c>
      <c r="K16" s="305"/>
      <c r="L16" s="305"/>
      <c r="M16" s="305"/>
      <c r="N16" s="311">
        <v>620.73689999999999</v>
      </c>
      <c r="O16" s="311">
        <v>1194753.2931000001</v>
      </c>
      <c r="P16" s="305">
        <v>224016.24</v>
      </c>
      <c r="Q16" s="305">
        <v>179212.99</v>
      </c>
      <c r="R16" s="172">
        <v>0.15</v>
      </c>
      <c r="S16" s="305">
        <v>44803.25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9">
        <v>31149</v>
      </c>
      <c r="H17" s="309">
        <v>25735</v>
      </c>
      <c r="I17" s="307">
        <v>92.245699999999999</v>
      </c>
      <c r="J17" s="307">
        <v>94.222800000000007</v>
      </c>
      <c r="K17" s="305"/>
      <c r="L17" s="305"/>
      <c r="M17" s="305"/>
      <c r="N17" s="311">
        <v>1606.0388</v>
      </c>
      <c r="O17" s="311">
        <v>5296579.0312000001</v>
      </c>
      <c r="P17" s="305">
        <v>993108.57</v>
      </c>
      <c r="Q17" s="305">
        <v>794486.85</v>
      </c>
      <c r="R17" s="172">
        <v>0.15</v>
      </c>
      <c r="S17" s="305">
        <v>198621.71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9"/>
      <c r="H18" s="309"/>
      <c r="I18" s="307"/>
      <c r="J18" s="307"/>
      <c r="K18" s="305"/>
      <c r="L18" s="305"/>
      <c r="M18" s="305"/>
      <c r="N18" s="311"/>
      <c r="O18" s="311"/>
      <c r="P18" s="305"/>
      <c r="Q18" s="305"/>
      <c r="R18" s="172">
        <v>0.15</v>
      </c>
      <c r="S18" s="305"/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9"/>
      <c r="H19" s="309"/>
      <c r="I19" s="307"/>
      <c r="J19" s="307"/>
      <c r="K19" s="305"/>
      <c r="L19" s="305"/>
      <c r="M19" s="305"/>
      <c r="N19" s="311"/>
      <c r="O19" s="311"/>
      <c r="P19" s="305"/>
      <c r="Q19" s="305"/>
      <c r="R19" s="172">
        <v>0.15</v>
      </c>
      <c r="S19" s="305"/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9">
        <v>4541.1349</v>
      </c>
      <c r="H20" s="309">
        <v>3370.7184000000002</v>
      </c>
      <c r="I20" s="307">
        <v>9.94</v>
      </c>
      <c r="J20" s="307">
        <v>9.94</v>
      </c>
      <c r="K20" s="305"/>
      <c r="L20" s="305"/>
      <c r="M20" s="305"/>
      <c r="N20" s="306"/>
      <c r="O20" s="311">
        <v>78643.820000000007</v>
      </c>
      <c r="P20" s="305">
        <v>14745.72</v>
      </c>
      <c r="Q20" s="305">
        <v>11796.57</v>
      </c>
      <c r="R20" s="172">
        <v>0.15</v>
      </c>
      <c r="S20" s="305">
        <v>2949.14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9"/>
      <c r="H21" s="309">
        <v>1703</v>
      </c>
      <c r="I21" s="307"/>
      <c r="J21" s="307">
        <v>93.234300000000005</v>
      </c>
      <c r="K21" s="305"/>
      <c r="L21" s="305"/>
      <c r="M21" s="305"/>
      <c r="N21" s="311">
        <v>734.0489</v>
      </c>
      <c r="O21" s="311">
        <v>158043.96110000001</v>
      </c>
      <c r="P21" s="305">
        <v>29633.24</v>
      </c>
      <c r="Q21" s="305">
        <v>23706.59</v>
      </c>
      <c r="R21" s="172">
        <v>0.15</v>
      </c>
      <c r="S21" s="305">
        <v>5926.65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9">
        <v>49836</v>
      </c>
      <c r="H22" s="309">
        <v>52502</v>
      </c>
      <c r="I22" s="307">
        <v>91.695700000000002</v>
      </c>
      <c r="J22" s="307">
        <v>93.672799999999995</v>
      </c>
      <c r="K22" s="305"/>
      <c r="L22" s="305"/>
      <c r="M22" s="305"/>
      <c r="N22" s="311">
        <v>4473.2561999999998</v>
      </c>
      <c r="O22" s="311">
        <v>9483283.0037999991</v>
      </c>
      <c r="P22" s="305">
        <v>1778115.56</v>
      </c>
      <c r="Q22" s="305">
        <v>1422492.45</v>
      </c>
      <c r="R22" s="172">
        <v>0.15</v>
      </c>
      <c r="S22" s="305">
        <v>355623.11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9"/>
      <c r="H23" s="305"/>
      <c r="I23" s="307"/>
      <c r="J23" s="307"/>
      <c r="K23" s="305"/>
      <c r="L23" s="305"/>
      <c r="M23" s="305"/>
      <c r="N23" s="305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9">
        <v>79232.06</v>
      </c>
      <c r="H24" s="305">
        <v>69839.98</v>
      </c>
      <c r="I24" s="307">
        <v>0.8</v>
      </c>
      <c r="J24" s="307">
        <v>0.8</v>
      </c>
      <c r="K24" s="305"/>
      <c r="L24" s="305"/>
      <c r="M24" s="305"/>
      <c r="N24" s="305">
        <v>1049.3456000000001</v>
      </c>
      <c r="O24" s="311">
        <v>118208.2844</v>
      </c>
      <c r="P24" s="305">
        <v>22164.05</v>
      </c>
      <c r="Q24" s="305">
        <v>17731.240000000002</v>
      </c>
      <c r="R24" s="172">
        <v>0.15</v>
      </c>
      <c r="S24" s="305">
        <v>4432.8100000000004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9">
        <v>2015</v>
      </c>
      <c r="H25" s="309">
        <v>2427</v>
      </c>
      <c r="I25" s="310">
        <v>92.245699999999999</v>
      </c>
      <c r="J25" s="307">
        <v>94.222800000000007</v>
      </c>
      <c r="K25" s="305"/>
      <c r="L25" s="305"/>
      <c r="M25" s="305"/>
      <c r="N25" s="311">
        <v>364.55970000000002</v>
      </c>
      <c r="O25" s="311">
        <v>414189.27029999997</v>
      </c>
      <c r="P25" s="305">
        <v>77660.490000000005</v>
      </c>
      <c r="Q25" s="305">
        <v>62128.39</v>
      </c>
      <c r="R25" s="172">
        <v>0.15</v>
      </c>
      <c r="S25" s="305">
        <v>15532.1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9">
        <v>164988</v>
      </c>
      <c r="H26" s="309">
        <v>165480</v>
      </c>
      <c r="I26" s="310">
        <v>92.245699999999999</v>
      </c>
      <c r="J26" s="307">
        <v>94.222800000000007</v>
      </c>
      <c r="K26" s="305"/>
      <c r="L26" s="305"/>
      <c r="M26" s="305"/>
      <c r="N26" s="311">
        <v>5606.3527999999997</v>
      </c>
      <c r="O26" s="311">
        <v>30805816.137200002</v>
      </c>
      <c r="P26" s="305">
        <v>5776090.5300000003</v>
      </c>
      <c r="Q26" s="305">
        <v>4620872.42</v>
      </c>
      <c r="R26" s="172">
        <v>0.15</v>
      </c>
      <c r="S26" s="305">
        <v>1155218.1100000001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9">
        <v>249423.79</v>
      </c>
      <c r="H27" s="309">
        <v>211941.04</v>
      </c>
      <c r="I27" s="310">
        <v>2.1890000000000001</v>
      </c>
      <c r="J27" s="307">
        <v>2.1890000000000001</v>
      </c>
      <c r="K27" s="305"/>
      <c r="L27" s="305"/>
      <c r="M27" s="305"/>
      <c r="N27" s="305">
        <v>1103.5328999999999</v>
      </c>
      <c r="O27" s="311">
        <v>1008824.0871000001</v>
      </c>
      <c r="P27" s="305">
        <v>189154.52</v>
      </c>
      <c r="Q27" s="305">
        <v>151323.60999999999</v>
      </c>
      <c r="R27" s="172">
        <v>0.15</v>
      </c>
      <c r="S27" s="305">
        <v>37830.9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9"/>
      <c r="I28" s="307"/>
      <c r="J28" s="307"/>
      <c r="K28" s="305"/>
      <c r="L28" s="305"/>
      <c r="M28" s="305"/>
      <c r="N28" s="311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9">
        <v>150</v>
      </c>
      <c r="H29" s="309">
        <v>643</v>
      </c>
      <c r="I29" s="307">
        <v>90.359899999999996</v>
      </c>
      <c r="J29" s="307">
        <v>93.545699999999997</v>
      </c>
      <c r="K29" s="305"/>
      <c r="L29" s="305"/>
      <c r="M29" s="305"/>
      <c r="N29" s="311">
        <v>394.11810000000003</v>
      </c>
      <c r="O29" s="311">
        <v>73309.761899999998</v>
      </c>
      <c r="P29" s="305">
        <v>13745.58</v>
      </c>
      <c r="Q29" s="305">
        <v>10996.46</v>
      </c>
      <c r="R29" s="172">
        <v>0.15</v>
      </c>
      <c r="S29" s="305">
        <v>2749.12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9">
        <v>17487</v>
      </c>
      <c r="H30" s="309">
        <v>22293</v>
      </c>
      <c r="I30" s="310">
        <v>89.895700000000005</v>
      </c>
      <c r="J30" s="307">
        <v>91.872799999999998</v>
      </c>
      <c r="K30" s="305"/>
      <c r="L30" s="305"/>
      <c r="M30" s="305"/>
      <c r="N30" s="311">
        <v>3758.9146000000001</v>
      </c>
      <c r="O30" s="311">
        <v>3616367.5254000006</v>
      </c>
      <c r="P30" s="305">
        <v>678068.91</v>
      </c>
      <c r="Q30" s="305">
        <v>542455.13</v>
      </c>
      <c r="R30" s="172">
        <v>0.15</v>
      </c>
      <c r="S30" s="305">
        <v>135613.78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6"/>
      <c r="H31" s="305"/>
      <c r="I31" s="307"/>
      <c r="J31" s="307"/>
      <c r="K31" s="305"/>
      <c r="L31" s="305"/>
      <c r="M31" s="305"/>
      <c r="N31" s="305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140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6">
        <v>163708.76550000001</v>
      </c>
      <c r="H32" s="305">
        <v>143775.38380000001</v>
      </c>
      <c r="I32" s="307">
        <v>1.61</v>
      </c>
      <c r="J32" s="307">
        <v>1.61</v>
      </c>
      <c r="K32" s="305"/>
      <c r="L32" s="305"/>
      <c r="M32" s="305"/>
      <c r="N32" s="305">
        <v>1561.6999000000001</v>
      </c>
      <c r="O32" s="311">
        <v>493487.78009999997</v>
      </c>
      <c r="P32" s="305">
        <v>92528.960000000006</v>
      </c>
      <c r="Q32" s="305">
        <v>74023.17</v>
      </c>
      <c r="R32" s="172">
        <v>0.15</v>
      </c>
      <c r="S32" s="305">
        <v>18505.79</v>
      </c>
      <c r="T32" s="198">
        <v>3.7499999999999999E-2</v>
      </c>
    </row>
    <row r="33" spans="1:20" x14ac:dyDescent="0.2">
      <c r="A33" s="303" t="s">
        <v>28</v>
      </c>
      <c r="B33" s="19" t="s">
        <v>141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6">
        <v>83801.806100000002</v>
      </c>
      <c r="H33" s="305">
        <v>102606.0876</v>
      </c>
      <c r="I33" s="307">
        <v>3.6149</v>
      </c>
      <c r="J33" s="307">
        <v>3.3344999999999998</v>
      </c>
      <c r="K33" s="305"/>
      <c r="L33" s="305"/>
      <c r="M33" s="305"/>
      <c r="N33" s="306"/>
      <c r="O33" s="311">
        <v>645075.15</v>
      </c>
      <c r="P33" s="305">
        <v>120951.59</v>
      </c>
      <c r="Q33" s="305">
        <v>96761.27</v>
      </c>
      <c r="R33" s="172">
        <v>0.15</v>
      </c>
      <c r="S33" s="305">
        <v>24190.32</v>
      </c>
      <c r="T33" s="198">
        <v>3.7499999999999999E-2</v>
      </c>
    </row>
    <row r="34" spans="1:20" x14ac:dyDescent="0.2">
      <c r="A34" s="303" t="s">
        <v>28</v>
      </c>
      <c r="B34" s="19" t="s">
        <v>137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9"/>
      <c r="H34" s="305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144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9"/>
      <c r="H35" s="309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6">
        <v>14995.04</v>
      </c>
      <c r="H36" s="309">
        <v>15559.33</v>
      </c>
      <c r="I36" s="307">
        <v>3.1749000000000001</v>
      </c>
      <c r="J36" s="307">
        <v>3.2336</v>
      </c>
      <c r="K36" s="305"/>
      <c r="L36" s="305"/>
      <c r="M36" s="305"/>
      <c r="N36" s="306"/>
      <c r="O36" s="311">
        <v>97920.4</v>
      </c>
      <c r="P36" s="305">
        <v>18360.080000000002</v>
      </c>
      <c r="Q36" s="305">
        <v>14688.06</v>
      </c>
      <c r="R36" s="172">
        <v>0.15</v>
      </c>
      <c r="S36" s="305">
        <v>3672.02</v>
      </c>
      <c r="T36" s="198">
        <v>3.7499999999999999E-2</v>
      </c>
    </row>
    <row r="37" spans="1:20" x14ac:dyDescent="0.2">
      <c r="A37" s="303" t="s">
        <v>28</v>
      </c>
      <c r="B37" s="19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06"/>
      <c r="H37" s="309"/>
      <c r="I37" s="307"/>
      <c r="J37" s="307"/>
      <c r="K37" s="305"/>
      <c r="L37" s="305"/>
      <c r="M37" s="305"/>
      <c r="N37" s="306"/>
      <c r="O37" s="311"/>
      <c r="P37" s="305">
        <v>0</v>
      </c>
      <c r="Q37" s="305">
        <v>0</v>
      </c>
      <c r="R37" s="172">
        <v>0.15</v>
      </c>
      <c r="S37" s="305">
        <v>0</v>
      </c>
      <c r="T37" s="198">
        <v>3.7499999999999999E-2</v>
      </c>
    </row>
    <row r="38" spans="1:20" x14ac:dyDescent="0.2">
      <c r="A38" s="303" t="s">
        <v>28</v>
      </c>
      <c r="B38" s="19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06">
        <v>588.84</v>
      </c>
      <c r="H38" s="309">
        <v>567.24</v>
      </c>
      <c r="I38" s="307">
        <v>3</v>
      </c>
      <c r="J38" s="307">
        <v>3</v>
      </c>
      <c r="K38" s="305"/>
      <c r="L38" s="305"/>
      <c r="M38" s="305"/>
      <c r="N38" s="306"/>
      <c r="O38" s="311">
        <v>3468.24</v>
      </c>
      <c r="P38" s="305">
        <v>650.29999999999995</v>
      </c>
      <c r="Q38" s="305">
        <v>520.24</v>
      </c>
      <c r="R38" s="172">
        <v>0.15</v>
      </c>
      <c r="S38" s="305">
        <v>130.06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5"/>
      <c r="H39" s="309">
        <v>159846</v>
      </c>
      <c r="I39" s="307"/>
      <c r="J39" s="307">
        <v>94.101500000000001</v>
      </c>
      <c r="K39" s="305"/>
      <c r="L39" s="305"/>
      <c r="M39" s="305"/>
      <c r="N39" s="306">
        <v>1206.9911999999999</v>
      </c>
      <c r="O39" s="311">
        <v>15040541.378799999</v>
      </c>
      <c r="P39" s="305">
        <v>2820101.51</v>
      </c>
      <c r="Q39" s="305">
        <v>2256081.21</v>
      </c>
      <c r="R39" s="172">
        <v>0.15</v>
      </c>
      <c r="S39" s="305">
        <v>564020.30000000005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5"/>
      <c r="H40" s="309">
        <v>185166.58</v>
      </c>
      <c r="I40" s="307"/>
      <c r="J40" s="307">
        <v>8.6913</v>
      </c>
      <c r="K40" s="305"/>
      <c r="L40" s="305"/>
      <c r="M40" s="305"/>
      <c r="N40" s="306">
        <v>1064.1233999999999</v>
      </c>
      <c r="O40" s="311">
        <v>1608274.1766000001</v>
      </c>
      <c r="P40" s="305">
        <v>301551.40999999997</v>
      </c>
      <c r="Q40" s="305">
        <v>241241.13</v>
      </c>
      <c r="R40" s="172">
        <v>0.15</v>
      </c>
      <c r="S40" s="305">
        <v>60310.28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9"/>
      <c r="H41" s="309">
        <v>310</v>
      </c>
      <c r="I41" s="307"/>
      <c r="J41" s="307">
        <v>94.222800000000007</v>
      </c>
      <c r="K41" s="305"/>
      <c r="L41" s="305"/>
      <c r="M41" s="305"/>
      <c r="N41" s="311">
        <v>231.54300000000001</v>
      </c>
      <c r="O41" s="311">
        <v>28977.526999999998</v>
      </c>
      <c r="P41" s="305">
        <v>5433.29</v>
      </c>
      <c r="Q41" s="305">
        <v>1086.6600000000001</v>
      </c>
      <c r="R41" s="198">
        <v>3.7499999999999999E-2</v>
      </c>
      <c r="S41" s="305">
        <v>4346.63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9"/>
      <c r="I42" s="310"/>
      <c r="J42" s="307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9"/>
      <c r="I43" s="310"/>
      <c r="J43" s="307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9">
        <v>24070</v>
      </c>
      <c r="I44" s="310"/>
      <c r="J44" s="310">
        <v>79.684100000000001</v>
      </c>
      <c r="K44" s="306"/>
      <c r="L44" s="305"/>
      <c r="M44" s="305"/>
      <c r="N44" s="306">
        <v>1162.6523</v>
      </c>
      <c r="O44" s="311">
        <v>1916833.6377000001</v>
      </c>
      <c r="P44" s="305">
        <v>359406.31</v>
      </c>
      <c r="Q44" s="305">
        <v>287525.05</v>
      </c>
      <c r="R44" s="173">
        <v>0.15</v>
      </c>
      <c r="S44" s="305">
        <v>71881.259999999995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36865.749999999942</v>
      </c>
      <c r="P46" s="311">
        <v>6912.3300000000163</v>
      </c>
      <c r="Q46" s="311">
        <v>5529.8600000000006</v>
      </c>
      <c r="R46" s="192"/>
      <c r="S46" s="311">
        <v>1382.4599999999991</v>
      </c>
      <c r="T46" s="198">
        <v>3.7499999999999999E-2</v>
      </c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75123655.979100004</v>
      </c>
      <c r="P47" s="325">
        <v>14085685.530000001</v>
      </c>
      <c r="Q47" s="326">
        <v>11265288.410000002</v>
      </c>
      <c r="R47" s="174"/>
      <c r="S47" s="327">
        <v>2820397.0799999996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52624121.140000001</v>
      </c>
      <c r="Q48" s="332">
        <v>42087117.5</v>
      </c>
      <c r="R48" s="121"/>
      <c r="S48" s="333">
        <v>10537003.49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20507</v>
      </c>
      <c r="H51" s="306">
        <v>20118</v>
      </c>
      <c r="I51" s="310">
        <v>82.448800000000006</v>
      </c>
      <c r="J51" s="310">
        <v>86.157700000000006</v>
      </c>
      <c r="K51" s="305"/>
      <c r="L51" s="305"/>
      <c r="M51" s="305"/>
      <c r="N51" s="305">
        <v>4665.3923999999997</v>
      </c>
      <c r="O51" s="311">
        <v>3419432.7576000006</v>
      </c>
      <c r="P51" s="305">
        <v>512914.91</v>
      </c>
      <c r="Q51" s="305">
        <v>512914.91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3419432.7576000006</v>
      </c>
      <c r="P53" s="325">
        <v>512914.91</v>
      </c>
      <c r="Q53" s="325">
        <v>512914.91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1916250.1</v>
      </c>
      <c r="Q54" s="332">
        <v>1916250.1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10"/>
      <c r="J58" s="581"/>
      <c r="K58" s="305"/>
      <c r="L58" s="305"/>
      <c r="M58" s="305"/>
      <c r="N58" s="311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52831.6728</v>
      </c>
      <c r="H61" s="306">
        <v>39847.285100000001</v>
      </c>
      <c r="I61" s="310">
        <v>3.6608000000000001</v>
      </c>
      <c r="J61" s="307">
        <v>3.6613000000000002</v>
      </c>
      <c r="K61" s="305"/>
      <c r="L61" s="305"/>
      <c r="M61" s="305"/>
      <c r="N61" s="305">
        <v>586.25429999999994</v>
      </c>
      <c r="O61" s="311">
        <v>338712.79570000002</v>
      </c>
      <c r="P61" s="305">
        <v>63508.65</v>
      </c>
      <c r="Q61" s="305">
        <v>12701.73</v>
      </c>
      <c r="R61" s="198">
        <v>3.7499999999999999E-2</v>
      </c>
      <c r="S61" s="305">
        <v>50806.92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3952</v>
      </c>
      <c r="H62" s="306">
        <v>4162</v>
      </c>
      <c r="I62" s="310">
        <v>63.495399999999997</v>
      </c>
      <c r="J62" s="307">
        <v>67.716399999999993</v>
      </c>
      <c r="K62" s="305"/>
      <c r="L62" s="305"/>
      <c r="M62" s="305"/>
      <c r="N62" s="305">
        <v>2650.4549000000002</v>
      </c>
      <c r="O62" s="311">
        <v>530119.02509999997</v>
      </c>
      <c r="P62" s="305">
        <v>99397.32</v>
      </c>
      <c r="Q62" s="305">
        <v>19879.46</v>
      </c>
      <c r="R62" s="198">
        <v>3.7499999999999999E-2</v>
      </c>
      <c r="S62" s="305">
        <v>79517.850000000006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304397</v>
      </c>
      <c r="H65" s="306">
        <v>287000</v>
      </c>
      <c r="I65" s="310">
        <v>74.467100000000002</v>
      </c>
      <c r="J65" s="570">
        <v>76.508799999999994</v>
      </c>
      <c r="K65" s="306"/>
      <c r="L65" s="305"/>
      <c r="M65" s="305"/>
      <c r="N65" s="311">
        <v>6261.5855000000001</v>
      </c>
      <c r="O65" s="311">
        <v>44619325.854499996</v>
      </c>
      <c r="P65" s="305">
        <v>8366123.5999999996</v>
      </c>
      <c r="Q65" s="305">
        <v>6692898.8799999999</v>
      </c>
      <c r="R65" s="172">
        <v>0.15</v>
      </c>
      <c r="S65" s="305">
        <v>1673224.72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/>
      <c r="H66" s="306">
        <v>9023</v>
      </c>
      <c r="I66" s="310"/>
      <c r="J66" s="570">
        <v>56.38</v>
      </c>
      <c r="K66" s="306"/>
      <c r="L66" s="305"/>
      <c r="M66" s="305"/>
      <c r="N66" s="311">
        <v>926.1825</v>
      </c>
      <c r="O66" s="311">
        <v>507790.5575</v>
      </c>
      <c r="P66" s="305">
        <v>95210.73</v>
      </c>
      <c r="Q66" s="305">
        <v>76168.579999999987</v>
      </c>
      <c r="R66" s="172">
        <v>0.15</v>
      </c>
      <c r="S66" s="305">
        <v>19042.150000000001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05">
        <v>0</v>
      </c>
      <c r="P67" s="305">
        <v>0</v>
      </c>
      <c r="Q67" s="305">
        <v>0</v>
      </c>
      <c r="R67" s="305"/>
      <c r="S67" s="305">
        <v>0</v>
      </c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45995948.232799992</v>
      </c>
      <c r="P68" s="325">
        <v>8624240.3000000007</v>
      </c>
      <c r="Q68" s="325">
        <v>6801648.6500000004</v>
      </c>
      <c r="R68" s="183"/>
      <c r="S68" s="325">
        <v>1822591.64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32220161.760000002</v>
      </c>
      <c r="Q69" s="333">
        <v>25410959.359999999</v>
      </c>
      <c r="R69" s="139"/>
      <c r="S69" s="333">
        <v>6809202.3700000001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780206</v>
      </c>
      <c r="H71" s="305">
        <v>670982</v>
      </c>
      <c r="I71" s="307">
        <v>63.996099999999998</v>
      </c>
      <c r="J71" s="307">
        <v>66.912899999999993</v>
      </c>
      <c r="K71" s="305"/>
      <c r="L71" s="305"/>
      <c r="M71" s="305"/>
      <c r="N71" s="305"/>
      <c r="O71" s="311">
        <v>94827492.664399996</v>
      </c>
      <c r="P71" s="316">
        <v>35313758.270000003</v>
      </c>
      <c r="Q71" s="305">
        <v>17656879.140000001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9245554.4266999997</v>
      </c>
      <c r="H72" s="305">
        <v>8426086.5753000006</v>
      </c>
      <c r="I72" s="307">
        <v>2.2757000000000001</v>
      </c>
      <c r="J72" s="307">
        <v>2.2757000000000001</v>
      </c>
      <c r="K72" s="305"/>
      <c r="L72" s="305"/>
      <c r="M72" s="305"/>
      <c r="N72" s="305"/>
      <c r="O72" s="311">
        <v>40215353.428251401</v>
      </c>
      <c r="P72" s="316">
        <v>14976197.619999999</v>
      </c>
      <c r="Q72" s="305">
        <v>7488098.8099999996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24684.273499999999</v>
      </c>
      <c r="H73" s="305">
        <v>28206.4686</v>
      </c>
      <c r="I73" s="307">
        <v>3.0285000000000002</v>
      </c>
      <c r="J73" s="307">
        <v>3.0285000000000002</v>
      </c>
      <c r="K73" s="305"/>
      <c r="L73" s="305"/>
      <c r="M73" s="305"/>
      <c r="N73" s="305"/>
      <c r="O73" s="311">
        <v>160179.61244985001</v>
      </c>
      <c r="P73" s="316">
        <v>59650.89</v>
      </c>
      <c r="Q73" s="305">
        <v>29825.45</v>
      </c>
      <c r="R73" s="172">
        <v>0.5</v>
      </c>
      <c r="S73" s="305"/>
      <c r="T73" s="172"/>
    </row>
    <row r="74" spans="1:20" ht="12" customHeight="1" x14ac:dyDescent="0.2">
      <c r="A74" s="303" t="s">
        <v>28</v>
      </c>
      <c r="B74" s="19" t="s">
        <v>123</v>
      </c>
      <c r="C74" s="85" t="s">
        <v>31</v>
      </c>
      <c r="D74" s="85" t="s">
        <v>30</v>
      </c>
      <c r="E74" s="85" t="s">
        <v>102</v>
      </c>
      <c r="F74" s="182" t="s">
        <v>56</v>
      </c>
      <c r="G74" s="305">
        <v>940011.01679999998</v>
      </c>
      <c r="H74" s="305">
        <v>793503.84290000005</v>
      </c>
      <c r="I74" s="567">
        <v>12.676</v>
      </c>
      <c r="J74" s="307">
        <v>14.427</v>
      </c>
      <c r="K74" s="305"/>
      <c r="L74" s="305"/>
      <c r="M74" s="305"/>
      <c r="N74" s="305"/>
      <c r="O74" s="311">
        <v>23363459.590475101</v>
      </c>
      <c r="P74" s="316">
        <v>8878114.6499999985</v>
      </c>
      <c r="Q74" s="305">
        <v>4439057.33</v>
      </c>
      <c r="R74" s="219">
        <v>0.5</v>
      </c>
      <c r="S74" s="305"/>
      <c r="T74" s="172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306806</v>
      </c>
      <c r="H75" s="305">
        <v>208275</v>
      </c>
      <c r="I75" s="307">
        <v>63.981299999999997</v>
      </c>
      <c r="J75" s="307">
        <v>66.914199999999994</v>
      </c>
      <c r="K75" s="305"/>
      <c r="L75" s="305"/>
      <c r="M75" s="305"/>
      <c r="N75" s="305"/>
      <c r="O75" s="311">
        <v>33566401.732799999</v>
      </c>
      <c r="P75" s="316">
        <v>13426560.690000001</v>
      </c>
      <c r="Q75" s="305">
        <v>6713280.3499999996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7361598.9797999999</v>
      </c>
      <c r="H76" s="305">
        <v>5303095.0732000005</v>
      </c>
      <c r="I76" s="567">
        <v>12.676</v>
      </c>
      <c r="J76" s="307">
        <v>14.427</v>
      </c>
      <c r="K76" s="305"/>
      <c r="L76" s="305"/>
      <c r="M76" s="305"/>
      <c r="N76" s="305"/>
      <c r="O76" s="311">
        <v>169823381.28900123</v>
      </c>
      <c r="P76" s="316">
        <v>64532884.890000001</v>
      </c>
      <c r="Q76" s="305">
        <v>32266442.449999999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274016.78649999999</v>
      </c>
      <c r="H77" s="305">
        <v>228600.8346</v>
      </c>
      <c r="I77" s="307">
        <v>2.0508999999999999</v>
      </c>
      <c r="J77" s="307">
        <v>2.0508999999999999</v>
      </c>
      <c r="K77" s="306"/>
      <c r="L77" s="305"/>
      <c r="M77" s="305"/>
      <c r="N77" s="306"/>
      <c r="O77" s="311">
        <v>1030818.47911399</v>
      </c>
      <c r="P77" s="316">
        <v>383876.8</v>
      </c>
      <c r="Q77" s="305">
        <v>191938.4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178587</v>
      </c>
      <c r="H78" s="305">
        <v>204713</v>
      </c>
      <c r="I78" s="353">
        <v>58.561399999999999</v>
      </c>
      <c r="J78" s="307">
        <v>61.4572</v>
      </c>
      <c r="K78" s="306"/>
      <c r="L78" s="305"/>
      <c r="M78" s="305"/>
      <c r="N78" s="306"/>
      <c r="O78" s="311">
        <v>23039392.525399998</v>
      </c>
      <c r="P78" s="316">
        <v>1479843.639926</v>
      </c>
      <c r="Q78" s="305">
        <v>739921.82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2789821.6603999999</v>
      </c>
      <c r="H79" s="305">
        <v>3219684.3084</v>
      </c>
      <c r="I79" s="307">
        <v>13.353999999999999</v>
      </c>
      <c r="J79" s="307">
        <v>13.353999999999999</v>
      </c>
      <c r="K79" s="258"/>
      <c r="L79" s="305"/>
      <c r="M79" s="305"/>
      <c r="N79" s="306"/>
      <c r="O79" s="311">
        <v>80250942.707355201</v>
      </c>
      <c r="P79" s="316">
        <v>8007390.6408200003</v>
      </c>
      <c r="Q79" s="305">
        <v>4003695.32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163">
        <v>-4085577.1540982891</v>
      </c>
      <c r="P80" s="163">
        <v>1111828.423933001</v>
      </c>
      <c r="Q80" s="163">
        <v>555914.22000000125</v>
      </c>
      <c r="R80" s="130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/>
      <c r="H81" s="195"/>
      <c r="I81" s="228"/>
      <c r="J81" s="195"/>
      <c r="K81" s="205"/>
      <c r="L81" s="199"/>
      <c r="M81" s="227"/>
      <c r="N81" s="166"/>
      <c r="O81" s="166">
        <v>462191844.87514848</v>
      </c>
      <c r="P81" s="166">
        <v>148170106.51467898</v>
      </c>
      <c r="Q81" s="166">
        <v>74085053.289999992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>
        <v>12.294700593724091</v>
      </c>
      <c r="H82" s="196">
        <v>13.915549834219242</v>
      </c>
      <c r="I82" s="229"/>
      <c r="J82" s="195"/>
      <c r="K82" s="206"/>
      <c r="L82" s="200"/>
      <c r="M82" s="260"/>
      <c r="N82" s="261"/>
      <c r="O82" s="261"/>
      <c r="P82" s="160"/>
      <c r="Q82" s="267">
        <v>276781759.09143996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>
        <v>0</v>
      </c>
      <c r="H83" s="270"/>
      <c r="I83" s="195">
        <v>0</v>
      </c>
      <c r="J83" s="195">
        <v>170854199.76811522</v>
      </c>
      <c r="K83" s="230">
        <v>-170854199.76811522</v>
      </c>
      <c r="L83" s="231"/>
      <c r="M83" s="216">
        <v>0</v>
      </c>
      <c r="N83" s="216">
        <v>43116.700499999999</v>
      </c>
      <c r="O83" s="216">
        <v>586730881.84464848</v>
      </c>
      <c r="P83" s="232">
        <v>97307894.030000001</v>
      </c>
      <c r="Q83" s="161">
        <v>363542291.91143996</v>
      </c>
      <c r="R83" s="52"/>
      <c r="S83" s="161"/>
      <c r="T83" s="52"/>
    </row>
    <row r="84" spans="1:20" x14ac:dyDescent="0.2">
      <c r="G84" s="212"/>
      <c r="H84" s="212"/>
      <c r="I84" s="212"/>
      <c r="J84" s="212"/>
      <c r="K84" s="212"/>
      <c r="O84" s="236"/>
      <c r="S84" s="226"/>
    </row>
    <row r="85" spans="1:20" x14ac:dyDescent="0.2">
      <c r="A85" s="360" t="s">
        <v>90</v>
      </c>
      <c r="B85" s="212" t="s">
        <v>73</v>
      </c>
      <c r="G85" s="212"/>
      <c r="H85" s="360" t="s">
        <v>74</v>
      </c>
      <c r="I85" s="212"/>
      <c r="J85" s="62"/>
      <c r="K85" s="62"/>
      <c r="N85" s="296"/>
      <c r="O85" s="379"/>
      <c r="P85" s="588"/>
      <c r="Q85" s="296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G86" s="212"/>
      <c r="H86" s="87" t="s">
        <v>35</v>
      </c>
      <c r="I86" s="213"/>
      <c r="J86" s="213"/>
      <c r="K86" s="213"/>
      <c r="L86" s="88"/>
      <c r="N86" s="361"/>
      <c r="O86" s="266"/>
      <c r="P86" s="235"/>
      <c r="Q86" s="226"/>
    </row>
    <row r="87" spans="1:20" x14ac:dyDescent="0.2">
      <c r="B87" s="363" t="s">
        <v>78</v>
      </c>
      <c r="C87" s="89" t="s">
        <v>79</v>
      </c>
      <c r="D87" s="364"/>
      <c r="E87" s="264">
        <v>93.832300000000004</v>
      </c>
      <c r="F87" s="90">
        <v>97.289199999999994</v>
      </c>
      <c r="G87" s="212"/>
      <c r="H87" s="91" t="s">
        <v>170</v>
      </c>
      <c r="I87" s="212"/>
      <c r="J87" s="212"/>
      <c r="K87" s="212"/>
      <c r="L87" s="92"/>
      <c r="M87" s="234">
        <v>6.2200000337121024E-2</v>
      </c>
      <c r="N87" s="234">
        <v>6.4199999463479832E-2</v>
      </c>
      <c r="O87" s="235"/>
      <c r="P87" s="576"/>
      <c r="Q87" s="589"/>
    </row>
    <row r="88" spans="1:20" x14ac:dyDescent="0.2">
      <c r="B88" s="365" t="s">
        <v>80</v>
      </c>
      <c r="C88" s="93" t="s">
        <v>81</v>
      </c>
      <c r="D88" s="366"/>
      <c r="E88" s="263">
        <v>55.034599999999998</v>
      </c>
      <c r="F88" s="95">
        <v>63.520899999999997</v>
      </c>
      <c r="G88" s="212"/>
      <c r="H88" s="96">
        <v>63.495361932814006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266"/>
      <c r="P88" s="576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G89" s="212"/>
      <c r="H89" s="212"/>
      <c r="I89" s="380"/>
      <c r="J89" s="212"/>
      <c r="K89" s="212"/>
      <c r="M89" s="234">
        <v>0.39999999969547706</v>
      </c>
      <c r="N89" s="234">
        <v>0.39999999979093542</v>
      </c>
      <c r="O89" s="235"/>
      <c r="P89" s="235"/>
    </row>
    <row r="90" spans="1:20" x14ac:dyDescent="0.2">
      <c r="B90" s="365" t="s">
        <v>84</v>
      </c>
      <c r="C90" s="93" t="s">
        <v>85</v>
      </c>
      <c r="D90" s="366"/>
      <c r="E90" s="99">
        <v>0.57909999999999995</v>
      </c>
      <c r="F90" s="99">
        <v>0.55569999999999997</v>
      </c>
      <c r="G90" s="212"/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235"/>
      <c r="P90" s="235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G91" s="212"/>
      <c r="H91" s="91" t="s">
        <v>171</v>
      </c>
      <c r="I91" s="380"/>
      <c r="J91" s="212"/>
      <c r="K91" s="212"/>
      <c r="L91" s="92"/>
      <c r="N91" s="259"/>
      <c r="O91" s="237"/>
    </row>
    <row r="92" spans="1:20" x14ac:dyDescent="0.2">
      <c r="B92" s="368" t="s">
        <v>88</v>
      </c>
      <c r="C92" s="102" t="s">
        <v>89</v>
      </c>
      <c r="D92" s="369"/>
      <c r="E92" s="103">
        <v>0</v>
      </c>
      <c r="F92" s="103">
        <v>0</v>
      </c>
      <c r="G92" s="212"/>
      <c r="H92" s="96">
        <v>67.716436476712005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G93" s="212"/>
      <c r="H93" s="329"/>
      <c r="I93" s="212"/>
      <c r="J93" s="212"/>
      <c r="K93" s="212"/>
      <c r="M93" s="237"/>
      <c r="N93" s="237"/>
      <c r="O93" s="237"/>
    </row>
    <row r="94" spans="1:20" x14ac:dyDescent="0.2">
      <c r="A94" s="587" t="s">
        <v>205</v>
      </c>
      <c r="G94" s="212"/>
      <c r="H94" s="212"/>
      <c r="I94" s="212"/>
      <c r="J94" s="212"/>
      <c r="K94" s="212"/>
    </row>
    <row r="95" spans="1:20" x14ac:dyDescent="0.2">
      <c r="G95" s="212"/>
      <c r="H95" s="212"/>
      <c r="I95" s="212"/>
      <c r="J95" s="212"/>
      <c r="K95" s="212"/>
    </row>
    <row r="97" spans="15:19" x14ac:dyDescent="0.2">
      <c r="O97" s="226"/>
      <c r="P97" s="226"/>
      <c r="Q97" s="226"/>
      <c r="S97" s="226"/>
    </row>
  </sheetData>
  <mergeCells count="2">
    <mergeCell ref="O7:O8"/>
    <mergeCell ref="C7:C8"/>
  </mergeCells>
  <phoneticPr fontId="0" type="noConversion"/>
  <printOptions horizontalCentered="1" verticalCentered="1"/>
  <pageMargins left="0.25" right="0.25" top="0.5" bottom="0.5" header="0" footer="0"/>
  <pageSetup paperSize="9" scale="46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T93"/>
  <sheetViews>
    <sheetView view="pageBreakPreview" topLeftCell="N52" zoomScaleNormal="100" zoomScaleSheetLayoutView="100" workbookViewId="0">
      <selection activeCell="U73" sqref="U1:AG1048576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3" width="7.6640625" style="212" customWidth="1"/>
    <col min="4" max="4" width="8.88671875" style="212" customWidth="1"/>
    <col min="5" max="5" width="11.109375" style="212" customWidth="1"/>
    <col min="6" max="6" width="9.88671875" style="212" customWidth="1"/>
    <col min="7" max="10" width="10.44140625" style="212" customWidth="1"/>
    <col min="11" max="11" width="10.44140625" style="212" hidden="1" customWidth="1"/>
    <col min="12" max="13" width="11" style="212" hidden="1" customWidth="1"/>
    <col min="14" max="14" width="11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44621</v>
      </c>
      <c r="F1" s="300">
        <v>3.7090000000000001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166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175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A6" s="116"/>
      <c r="B6" s="116"/>
      <c r="C6" s="116"/>
      <c r="D6" s="116"/>
      <c r="E6" s="116"/>
      <c r="F6" s="116"/>
      <c r="G6" s="116"/>
      <c r="H6" s="116"/>
      <c r="I6" s="116"/>
      <c r="J6" s="62"/>
      <c r="N6" s="62"/>
      <c r="O6" s="62"/>
      <c r="P6" s="62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6"/>
      <c r="I10" s="307"/>
      <c r="J10" s="307"/>
      <c r="K10" s="305"/>
      <c r="L10" s="305"/>
      <c r="M10" s="305"/>
      <c r="N10" s="306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6"/>
      <c r="I11" s="307"/>
      <c r="J11" s="307"/>
      <c r="K11" s="305"/>
      <c r="L11" s="305"/>
      <c r="M11" s="305"/>
      <c r="N11" s="306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5023</v>
      </c>
      <c r="H12" s="309">
        <v>10690</v>
      </c>
      <c r="I12" s="310">
        <v>107.5241</v>
      </c>
      <c r="J12" s="310">
        <v>102.0001</v>
      </c>
      <c r="K12" s="305"/>
      <c r="L12" s="305"/>
      <c r="M12" s="305"/>
      <c r="N12" s="306">
        <v>355.73770000000002</v>
      </c>
      <c r="O12" s="311">
        <v>1630118.8823000002</v>
      </c>
      <c r="P12" s="305">
        <v>305647.28999999998</v>
      </c>
      <c r="Q12" s="305">
        <v>244517.83</v>
      </c>
      <c r="R12" s="172">
        <v>0.15</v>
      </c>
      <c r="S12" s="305">
        <v>61129.46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50111.66</v>
      </c>
      <c r="H13" s="309">
        <v>55425.88</v>
      </c>
      <c r="I13" s="310">
        <v>3</v>
      </c>
      <c r="J13" s="310">
        <v>3</v>
      </c>
      <c r="K13" s="305"/>
      <c r="L13" s="305"/>
      <c r="M13" s="305"/>
      <c r="N13" s="306">
        <v>1000.515</v>
      </c>
      <c r="O13" s="311">
        <v>315612.10499999998</v>
      </c>
      <c r="P13" s="305">
        <v>59177.27</v>
      </c>
      <c r="Q13" s="305">
        <v>47341.82</v>
      </c>
      <c r="R13" s="172">
        <v>0.15</v>
      </c>
      <c r="S13" s="305">
        <v>11835.45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6">
        <v>6499</v>
      </c>
      <c r="H14" s="306">
        <v>7353</v>
      </c>
      <c r="I14" s="310">
        <v>112.47450000000001</v>
      </c>
      <c r="J14" s="307">
        <v>109.4624</v>
      </c>
      <c r="K14" s="305"/>
      <c r="L14" s="305"/>
      <c r="M14" s="305"/>
      <c r="N14" s="306">
        <v>922.69579999999996</v>
      </c>
      <c r="O14" s="306">
        <v>1534926.1142</v>
      </c>
      <c r="P14" s="305">
        <v>287798.65000000002</v>
      </c>
      <c r="Q14" s="305">
        <v>230238.92</v>
      </c>
      <c r="R14" s="172">
        <v>0.15</v>
      </c>
      <c r="S14" s="305">
        <v>57559.73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6">
        <v>18406.43</v>
      </c>
      <c r="H15" s="306">
        <v>17992.919999999998</v>
      </c>
      <c r="I15" s="310">
        <v>2.6775000000000002</v>
      </c>
      <c r="J15" s="307">
        <v>2.6775000000000002</v>
      </c>
      <c r="K15" s="305"/>
      <c r="L15" s="305"/>
      <c r="M15" s="305"/>
      <c r="N15" s="306">
        <v>983.83849999999995</v>
      </c>
      <c r="O15" s="306">
        <v>96475.421500000011</v>
      </c>
      <c r="P15" s="305">
        <v>18089.14</v>
      </c>
      <c r="Q15" s="305">
        <v>14471.31</v>
      </c>
      <c r="R15" s="172">
        <v>0.15</v>
      </c>
      <c r="S15" s="305">
        <v>3617.83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6">
        <v>6084</v>
      </c>
      <c r="H16" s="306">
        <v>7711</v>
      </c>
      <c r="I16" s="307">
        <v>107.5241</v>
      </c>
      <c r="J16" s="307">
        <v>102.0001</v>
      </c>
      <c r="K16" s="305"/>
      <c r="L16" s="305"/>
      <c r="M16" s="305"/>
      <c r="N16" s="306">
        <v>655.89319999999998</v>
      </c>
      <c r="O16" s="306">
        <v>1440043.4968000001</v>
      </c>
      <c r="P16" s="571">
        <v>270008.15999999997</v>
      </c>
      <c r="Q16" s="305">
        <v>216006.52</v>
      </c>
      <c r="R16" s="172">
        <v>0.15</v>
      </c>
      <c r="S16" s="305">
        <v>54001.63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6">
        <v>29912</v>
      </c>
      <c r="H17" s="306">
        <v>30160</v>
      </c>
      <c r="I17" s="307">
        <v>107.5241</v>
      </c>
      <c r="J17" s="307">
        <v>102.0001</v>
      </c>
      <c r="K17" s="305"/>
      <c r="L17" s="305"/>
      <c r="M17" s="305"/>
      <c r="N17" s="306">
        <v>1695.3137999999999</v>
      </c>
      <c r="O17" s="306">
        <v>6290888.5862000007</v>
      </c>
      <c r="P17" s="305">
        <v>1179541.6100000001</v>
      </c>
      <c r="Q17" s="305">
        <v>943633.29</v>
      </c>
      <c r="R17" s="172">
        <v>0.15</v>
      </c>
      <c r="S17" s="305">
        <v>235908.32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6"/>
      <c r="H18" s="306"/>
      <c r="I18" s="307"/>
      <c r="J18" s="307"/>
      <c r="K18" s="305"/>
      <c r="L18" s="305"/>
      <c r="M18" s="305"/>
      <c r="N18" s="306"/>
      <c r="O18" s="306"/>
      <c r="P18" s="305"/>
      <c r="Q18" s="305"/>
      <c r="R18" s="172"/>
      <c r="S18" s="305"/>
      <c r="T18" s="198"/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6"/>
      <c r="H19" s="306"/>
      <c r="I19" s="307"/>
      <c r="J19" s="307"/>
      <c r="K19" s="305"/>
      <c r="L19" s="305"/>
      <c r="M19" s="305"/>
      <c r="N19" s="306"/>
      <c r="O19" s="306"/>
      <c r="P19" s="305"/>
      <c r="Q19" s="305"/>
      <c r="R19" s="172"/>
      <c r="S19" s="305"/>
      <c r="T19" s="198"/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6">
        <v>3240.59</v>
      </c>
      <c r="H20" s="306">
        <v>4599.55</v>
      </c>
      <c r="I20" s="307">
        <v>10.9575</v>
      </c>
      <c r="J20" s="307">
        <v>10.9575</v>
      </c>
      <c r="K20" s="305"/>
      <c r="L20" s="305"/>
      <c r="M20" s="305"/>
      <c r="N20" s="306"/>
      <c r="O20" s="306">
        <v>85908.33</v>
      </c>
      <c r="P20" s="305">
        <v>16107.81</v>
      </c>
      <c r="Q20" s="305">
        <v>12886.25</v>
      </c>
      <c r="R20" s="172">
        <v>0.15</v>
      </c>
      <c r="S20" s="305">
        <v>3221.56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5"/>
      <c r="H21" s="306">
        <v>2740</v>
      </c>
      <c r="I21" s="307"/>
      <c r="J21" s="307">
        <v>104.642</v>
      </c>
      <c r="K21" s="305"/>
      <c r="L21" s="305"/>
      <c r="M21" s="305"/>
      <c r="N21" s="306">
        <v>778.17600000000004</v>
      </c>
      <c r="O21" s="311">
        <v>285940.90400000004</v>
      </c>
      <c r="P21" s="305">
        <v>53613.919999999998</v>
      </c>
      <c r="Q21" s="305">
        <v>42891.14</v>
      </c>
      <c r="R21" s="172">
        <v>0.15</v>
      </c>
      <c r="S21" s="305">
        <v>10722.78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6">
        <v>49542</v>
      </c>
      <c r="H22" s="306">
        <v>63337</v>
      </c>
      <c r="I22" s="307">
        <v>106.97410000000001</v>
      </c>
      <c r="J22" s="307">
        <v>101.45010000000001</v>
      </c>
      <c r="K22" s="305"/>
      <c r="L22" s="305"/>
      <c r="M22" s="305"/>
      <c r="N22" s="306">
        <v>4724.6459000000004</v>
      </c>
      <c r="O22" s="311">
        <v>11720531.1941</v>
      </c>
      <c r="P22" s="305">
        <v>2197599.6</v>
      </c>
      <c r="Q22" s="305">
        <v>1758079.68</v>
      </c>
      <c r="R22" s="172">
        <v>0.15</v>
      </c>
      <c r="S22" s="305">
        <v>439519.92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5"/>
      <c r="H23" s="305"/>
      <c r="I23" s="307"/>
      <c r="J23" s="305"/>
      <c r="K23" s="305"/>
      <c r="L23" s="305"/>
      <c r="M23" s="305"/>
      <c r="N23" s="305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5">
        <v>78135.509999999995</v>
      </c>
      <c r="H24" s="305">
        <v>83426.5</v>
      </c>
      <c r="I24" s="307">
        <v>0.8</v>
      </c>
      <c r="J24" s="307">
        <v>0.8</v>
      </c>
      <c r="K24" s="305"/>
      <c r="L24" s="305"/>
      <c r="M24" s="305"/>
      <c r="N24" s="305">
        <v>1106.1239</v>
      </c>
      <c r="O24" s="311">
        <v>128143.48609999999</v>
      </c>
      <c r="P24" s="305">
        <v>24026.9</v>
      </c>
      <c r="Q24" s="305">
        <v>19221.52</v>
      </c>
      <c r="R24" s="172">
        <v>0.15</v>
      </c>
      <c r="S24" s="305">
        <v>4805.38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5">
        <v>2091</v>
      </c>
      <c r="H25" s="305">
        <v>2747</v>
      </c>
      <c r="I25" s="310">
        <v>107.5241</v>
      </c>
      <c r="J25" s="307">
        <v>102.0001</v>
      </c>
      <c r="K25" s="305"/>
      <c r="L25" s="305"/>
      <c r="M25" s="305"/>
      <c r="N25" s="306">
        <v>383.53</v>
      </c>
      <c r="O25" s="311">
        <v>504643.63</v>
      </c>
      <c r="P25" s="305">
        <v>94620.68</v>
      </c>
      <c r="Q25" s="305">
        <v>75696.539999999994</v>
      </c>
      <c r="R25" s="172">
        <v>0.15</v>
      </c>
      <c r="S25" s="305">
        <v>18924.14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5">
        <v>177288</v>
      </c>
      <c r="H26" s="305">
        <v>187760</v>
      </c>
      <c r="I26" s="310">
        <v>107.5241</v>
      </c>
      <c r="J26" s="307">
        <v>102.0001</v>
      </c>
      <c r="K26" s="305"/>
      <c r="L26" s="305"/>
      <c r="M26" s="305"/>
      <c r="N26" s="306">
        <v>5914.1442999999999</v>
      </c>
      <c r="O26" s="311">
        <v>38208357.275700003</v>
      </c>
      <c r="P26" s="305">
        <v>7164066.9900000002</v>
      </c>
      <c r="Q26" s="305">
        <v>5731253.5899999999</v>
      </c>
      <c r="R26" s="172">
        <v>0.15</v>
      </c>
      <c r="S26" s="305">
        <v>1432813.4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5">
        <v>245814.06</v>
      </c>
      <c r="H27" s="306">
        <v>260565.77</v>
      </c>
      <c r="I27" s="381">
        <v>2.2618999999999998</v>
      </c>
      <c r="J27" s="307">
        <v>2.2618999999999998</v>
      </c>
      <c r="K27" s="305"/>
      <c r="L27" s="305"/>
      <c r="M27" s="305"/>
      <c r="N27" s="306">
        <v>1167.2665999999999</v>
      </c>
      <c r="O27" s="311">
        <v>1144213.2734000001</v>
      </c>
      <c r="P27" s="305">
        <v>214539.99</v>
      </c>
      <c r="Q27" s="305">
        <v>171631.99</v>
      </c>
      <c r="R27" s="172">
        <v>0.15</v>
      </c>
      <c r="S27" s="305">
        <v>42908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07"/>
      <c r="J28" s="307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5">
        <v>460</v>
      </c>
      <c r="H29" s="305">
        <v>425</v>
      </c>
      <c r="I29" s="310">
        <v>109.79</v>
      </c>
      <c r="J29" s="307">
        <v>108.9004</v>
      </c>
      <c r="K29" s="305"/>
      <c r="L29" s="305"/>
      <c r="M29" s="305"/>
      <c r="N29" s="305">
        <v>416.88040000000001</v>
      </c>
      <c r="O29" s="311">
        <v>96369.189600000012</v>
      </c>
      <c r="P29" s="305">
        <v>18069.22</v>
      </c>
      <c r="Q29" s="305">
        <v>14455.38</v>
      </c>
      <c r="R29" s="172">
        <v>0.15</v>
      </c>
      <c r="S29" s="305">
        <v>3613.84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6">
        <v>16970</v>
      </c>
      <c r="H30" s="306">
        <v>41143</v>
      </c>
      <c r="I30" s="310">
        <v>105.44410000000001</v>
      </c>
      <c r="J30" s="307">
        <v>99.920100000000005</v>
      </c>
      <c r="K30" s="305"/>
      <c r="L30" s="305"/>
      <c r="M30" s="305"/>
      <c r="N30" s="306">
        <v>3974.2597000000001</v>
      </c>
      <c r="O30" s="311">
        <v>5896424.7902999995</v>
      </c>
      <c r="P30" s="305">
        <v>1105579.6499999999</v>
      </c>
      <c r="Q30" s="305">
        <v>884463.72</v>
      </c>
      <c r="R30" s="172">
        <v>0.15</v>
      </c>
      <c r="S30" s="305">
        <v>221115.93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6"/>
      <c r="H31" s="305"/>
      <c r="I31" s="307"/>
      <c r="J31" s="307"/>
      <c r="K31" s="305"/>
      <c r="L31" s="305"/>
      <c r="M31" s="305"/>
      <c r="N31" s="306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140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6">
        <v>165650.16</v>
      </c>
      <c r="H32" s="305">
        <v>158800.18</v>
      </c>
      <c r="I32" s="307">
        <v>1.61</v>
      </c>
      <c r="J32" s="307">
        <v>1.61</v>
      </c>
      <c r="K32" s="305"/>
      <c r="L32" s="305"/>
      <c r="M32" s="305"/>
      <c r="N32" s="306">
        <v>1650.8476000000001</v>
      </c>
      <c r="O32" s="311">
        <v>520714.20240000007</v>
      </c>
      <c r="P32" s="305">
        <v>97633.91</v>
      </c>
      <c r="Q32" s="305">
        <v>78107.13</v>
      </c>
      <c r="R32" s="172">
        <v>0.15</v>
      </c>
      <c r="S32" s="305">
        <v>19526.78</v>
      </c>
      <c r="T32" s="198">
        <v>3.7499999999999999E-2</v>
      </c>
    </row>
    <row r="33" spans="1:20" x14ac:dyDescent="0.2">
      <c r="A33" s="303" t="s">
        <v>28</v>
      </c>
      <c r="B33" s="19" t="s">
        <v>141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6">
        <v>80673.990000000005</v>
      </c>
      <c r="H33" s="305">
        <v>119330.17</v>
      </c>
      <c r="I33" s="307">
        <v>3.7166999999999999</v>
      </c>
      <c r="J33" s="307">
        <v>3.5840000000000001</v>
      </c>
      <c r="K33" s="305"/>
      <c r="L33" s="305"/>
      <c r="M33" s="305"/>
      <c r="N33" s="306"/>
      <c r="O33" s="311">
        <v>727520.35000000009</v>
      </c>
      <c r="P33" s="305">
        <v>136410.07</v>
      </c>
      <c r="Q33" s="305">
        <v>109128.05</v>
      </c>
      <c r="R33" s="172">
        <v>0.15</v>
      </c>
      <c r="S33" s="305">
        <v>27282.01</v>
      </c>
      <c r="T33" s="198">
        <v>3.7499999999999999E-2</v>
      </c>
    </row>
    <row r="34" spans="1:20" x14ac:dyDescent="0.2">
      <c r="A34" s="303" t="s">
        <v>28</v>
      </c>
      <c r="B34" s="19" t="s">
        <v>137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6"/>
      <c r="H34" s="305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144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5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6">
        <v>21258.19</v>
      </c>
      <c r="H36" s="305">
        <v>24809.69</v>
      </c>
      <c r="I36" s="307">
        <v>3.2705000000000002</v>
      </c>
      <c r="J36" s="307">
        <v>3.4106000000000001</v>
      </c>
      <c r="K36" s="305"/>
      <c r="L36" s="305"/>
      <c r="M36" s="305"/>
      <c r="N36" s="306"/>
      <c r="O36" s="311">
        <v>154140.84</v>
      </c>
      <c r="P36" s="305">
        <v>28901.41</v>
      </c>
      <c r="Q36" s="305">
        <v>23121.13</v>
      </c>
      <c r="R36" s="172">
        <v>0.15</v>
      </c>
      <c r="S36" s="305">
        <v>5780.28</v>
      </c>
      <c r="T36" s="198">
        <v>3.7499999999999999E-2</v>
      </c>
    </row>
    <row r="37" spans="1:20" x14ac:dyDescent="0.2">
      <c r="A37" s="303"/>
      <c r="B37" s="579" t="s">
        <v>180</v>
      </c>
      <c r="C37" s="85"/>
      <c r="D37" s="304"/>
      <c r="E37" s="85"/>
      <c r="F37" s="186"/>
      <c r="G37" s="306"/>
      <c r="H37" s="305"/>
      <c r="I37" s="307"/>
      <c r="J37" s="307"/>
      <c r="K37" s="305"/>
      <c r="L37" s="305"/>
      <c r="M37" s="305"/>
      <c r="N37" s="306"/>
      <c r="O37" s="311"/>
      <c r="P37" s="305"/>
      <c r="Q37" s="305"/>
      <c r="R37" s="172">
        <v>0.15</v>
      </c>
      <c r="S37" s="305"/>
      <c r="T37" s="198">
        <v>3.7499999999999999E-2</v>
      </c>
    </row>
    <row r="38" spans="1:20" x14ac:dyDescent="0.2">
      <c r="A38" s="303" t="s">
        <v>28</v>
      </c>
      <c r="B38" s="579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06">
        <v>728.76</v>
      </c>
      <c r="H38" s="309">
        <v>907.37</v>
      </c>
      <c r="I38" s="307">
        <v>3</v>
      </c>
      <c r="J38" s="307">
        <v>3</v>
      </c>
      <c r="K38" s="305"/>
      <c r="L38" s="305"/>
      <c r="M38" s="305"/>
      <c r="N38" s="306"/>
      <c r="O38" s="311">
        <v>4908.3900000000003</v>
      </c>
      <c r="P38" s="305">
        <v>920.32</v>
      </c>
      <c r="Q38" s="584">
        <v>736.26</v>
      </c>
      <c r="R38" s="172">
        <v>0.15</v>
      </c>
      <c r="S38" s="584">
        <v>184.06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5"/>
      <c r="H39" s="306">
        <v>166905</v>
      </c>
      <c r="I39" s="307"/>
      <c r="J39" s="310">
        <v>112.46299999999999</v>
      </c>
      <c r="K39" s="305"/>
      <c r="L39" s="305"/>
      <c r="M39" s="305"/>
      <c r="N39" s="306">
        <v>1278.4335000000001</v>
      </c>
      <c r="O39" s="311">
        <v>18769358.5865</v>
      </c>
      <c r="P39" s="305">
        <v>3519254.73</v>
      </c>
      <c r="Q39" s="305">
        <v>2815403.79</v>
      </c>
      <c r="R39" s="172">
        <v>0.15</v>
      </c>
      <c r="S39" s="305">
        <v>703850.95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5"/>
      <c r="H40" s="306">
        <v>181131.3</v>
      </c>
      <c r="I40" s="307"/>
      <c r="J40" s="318">
        <v>9.9552999999999994</v>
      </c>
      <c r="K40" s="305"/>
      <c r="L40" s="305"/>
      <c r="M40" s="305"/>
      <c r="N40" s="306">
        <v>1122.8004000000001</v>
      </c>
      <c r="O40" s="311">
        <v>1802093.6295999999</v>
      </c>
      <c r="P40" s="305">
        <v>337892.56</v>
      </c>
      <c r="Q40" s="305">
        <v>270314.03999999998</v>
      </c>
      <c r="R40" s="172">
        <v>0.15</v>
      </c>
      <c r="S40" s="305">
        <v>67578.509999999995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5">
        <v>159</v>
      </c>
      <c r="H41" s="306">
        <v>171</v>
      </c>
      <c r="I41" s="310">
        <v>107.5241</v>
      </c>
      <c r="J41" s="310">
        <v>102.0001</v>
      </c>
      <c r="K41" s="305"/>
      <c r="L41" s="305"/>
      <c r="M41" s="305"/>
      <c r="N41" s="306">
        <v>244.57079999999999</v>
      </c>
      <c r="O41" s="311">
        <v>34293.779200000004</v>
      </c>
      <c r="P41" s="305">
        <v>6430.08</v>
      </c>
      <c r="Q41" s="305">
        <v>1286.02</v>
      </c>
      <c r="R41" s="198">
        <v>3.7499999999999999E-2</v>
      </c>
      <c r="S41" s="305">
        <v>5144.07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10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6">
        <v>27307</v>
      </c>
      <c r="I44" s="310"/>
      <c r="J44" s="310">
        <v>85.090800000000002</v>
      </c>
      <c r="K44" s="306"/>
      <c r="L44" s="305"/>
      <c r="M44" s="305"/>
      <c r="N44" s="306">
        <v>1222.8487</v>
      </c>
      <c r="O44" s="311">
        <v>2322351.6313</v>
      </c>
      <c r="P44" s="305">
        <v>435440.93</v>
      </c>
      <c r="Q44" s="305">
        <v>348352.74</v>
      </c>
      <c r="R44" s="173">
        <v>0.15</v>
      </c>
      <c r="S44" s="305">
        <v>87088.19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-15564.950000000084</v>
      </c>
      <c r="P46" s="311">
        <v>-2918.429999999993</v>
      </c>
      <c r="Q46" s="311">
        <v>-2334.7400000000061</v>
      </c>
      <c r="R46" s="192"/>
      <c r="S46" s="311">
        <v>-583.67999999999915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93698413.1382</v>
      </c>
      <c r="P47" s="325">
        <v>17568452.459999997</v>
      </c>
      <c r="Q47" s="326">
        <v>14050903.920000002</v>
      </c>
      <c r="R47" s="174"/>
      <c r="S47" s="327">
        <v>3517548.5399999986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65161390.170000002</v>
      </c>
      <c r="Q48" s="590">
        <v>52114802.640000001</v>
      </c>
      <c r="R48" s="121"/>
      <c r="S48" s="591">
        <v>13046587.529999999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19755</v>
      </c>
      <c r="H51" s="306">
        <v>23821</v>
      </c>
      <c r="I51" s="310">
        <v>105.4145</v>
      </c>
      <c r="J51" s="310">
        <v>103.1298</v>
      </c>
      <c r="K51" s="305"/>
      <c r="L51" s="305"/>
      <c r="M51" s="305"/>
      <c r="N51" s="306">
        <v>4924.7479000000003</v>
      </c>
      <c r="O51" s="311">
        <v>4534193.6721000001</v>
      </c>
      <c r="P51" s="305">
        <v>680129.05</v>
      </c>
      <c r="Q51" s="305">
        <v>680129.05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>
        <v>263352.37000000011</v>
      </c>
      <c r="P52" s="305">
        <v>39502.869999999937</v>
      </c>
      <c r="Q52" s="305">
        <v>39502.869999999937</v>
      </c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4797546.0421000002</v>
      </c>
      <c r="P53" s="325">
        <v>719631.91999999993</v>
      </c>
      <c r="Q53" s="325">
        <v>719631.91999999993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2669114.79</v>
      </c>
      <c r="Q54" s="590">
        <v>2669114.79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10"/>
      <c r="J58" s="310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84292.93</v>
      </c>
      <c r="H61" s="306">
        <v>44464.23</v>
      </c>
      <c r="I61" s="581">
        <v>3.6574</v>
      </c>
      <c r="J61" s="581">
        <v>3.6583000000000001</v>
      </c>
      <c r="K61" s="305"/>
      <c r="L61" s="305"/>
      <c r="M61" s="305"/>
      <c r="N61" s="306">
        <v>616.98230000000001</v>
      </c>
      <c r="O61" s="311">
        <v>470339.46770000004</v>
      </c>
      <c r="P61" s="305">
        <v>88188.65</v>
      </c>
      <c r="Q61" s="305">
        <v>17637.73</v>
      </c>
      <c r="R61" s="198">
        <v>3.7499999999999999E-2</v>
      </c>
      <c r="S61" s="305">
        <v>70550.92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4003</v>
      </c>
      <c r="H62" s="306">
        <v>3607</v>
      </c>
      <c r="I62" s="581">
        <v>81.5351</v>
      </c>
      <c r="J62" s="581">
        <v>83.428100000000001</v>
      </c>
      <c r="K62" s="305"/>
      <c r="L62" s="305"/>
      <c r="M62" s="305"/>
      <c r="N62" s="306">
        <v>2795.8798000000002</v>
      </c>
      <c r="O62" s="311">
        <v>624514.29019999993</v>
      </c>
      <c r="P62" s="305">
        <v>117096.43</v>
      </c>
      <c r="Q62" s="305">
        <v>23419.29</v>
      </c>
      <c r="R62" s="198">
        <v>3.7499999999999999E-2</v>
      </c>
      <c r="S62" s="305">
        <v>93677.14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570"/>
      <c r="K63" s="305"/>
      <c r="L63" s="305"/>
      <c r="M63" s="305"/>
      <c r="N63" s="306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/>
      <c r="H65" s="306"/>
      <c r="I65" s="310"/>
      <c r="J65" s="570"/>
      <c r="K65" s="306"/>
      <c r="L65" s="305"/>
      <c r="M65" s="305"/>
      <c r="N65" s="306">
        <v>6592.2638999999999</v>
      </c>
      <c r="O65" s="311">
        <v>-6592.2638999999999</v>
      </c>
      <c r="P65" s="305">
        <v>-1236.05</v>
      </c>
      <c r="Q65" s="305">
        <v>-988.83999999999992</v>
      </c>
      <c r="R65" s="172">
        <v>0.15</v>
      </c>
      <c r="S65" s="305">
        <v>-247.21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>
        <v>28475</v>
      </c>
      <c r="H66" s="306">
        <v>9751</v>
      </c>
      <c r="I66" s="310">
        <v>71.6768</v>
      </c>
      <c r="J66" s="570">
        <v>70.508200000000002</v>
      </c>
      <c r="K66" s="306"/>
      <c r="L66" s="305"/>
      <c r="M66" s="305"/>
      <c r="N66" s="306">
        <v>4563.4522999999999</v>
      </c>
      <c r="O66" s="311">
        <v>2723958.8876999998</v>
      </c>
      <c r="P66" s="305">
        <v>510742.29</v>
      </c>
      <c r="Q66" s="305">
        <v>408593.82999999996</v>
      </c>
      <c r="R66" s="172">
        <v>0.15</v>
      </c>
      <c r="S66" s="305">
        <v>102148.46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05"/>
      <c r="P67" s="305"/>
      <c r="Q67" s="305"/>
      <c r="R67" s="305"/>
      <c r="S67" s="305"/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3812220.3816999998</v>
      </c>
      <c r="P68" s="325">
        <v>714791.32</v>
      </c>
      <c r="Q68" s="325">
        <v>448662.00999999995</v>
      </c>
      <c r="R68" s="183"/>
      <c r="S68" s="325">
        <v>266129.31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2651161.0099999998</v>
      </c>
      <c r="Q69" s="591">
        <v>1664087.4</v>
      </c>
      <c r="R69" s="139"/>
      <c r="S69" s="591">
        <v>987073.61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790321</v>
      </c>
      <c r="H71" s="305">
        <v>857917</v>
      </c>
      <c r="I71" s="307">
        <v>77.736699999999999</v>
      </c>
      <c r="J71" s="307">
        <v>78.39</v>
      </c>
      <c r="K71" s="305"/>
      <c r="L71" s="305"/>
      <c r="M71" s="305"/>
      <c r="N71" s="305"/>
      <c r="O71" s="311">
        <v>128689060.1107</v>
      </c>
      <c r="P71" s="316">
        <v>47923805.990000002</v>
      </c>
      <c r="Q71" s="316">
        <v>23961903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9056618.0800000001</v>
      </c>
      <c r="H72" s="305">
        <v>9638628.9600000009</v>
      </c>
      <c r="I72" s="307">
        <v>2.3656999999999999</v>
      </c>
      <c r="J72" s="307">
        <v>2.3656999999999999</v>
      </c>
      <c r="K72" s="305"/>
      <c r="L72" s="305"/>
      <c r="M72" s="305"/>
      <c r="N72" s="305"/>
      <c r="O72" s="311">
        <v>44227345.922527999</v>
      </c>
      <c r="P72" s="316">
        <v>16470263.619999999</v>
      </c>
      <c r="Q72" s="316">
        <v>8235131.8099999996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29851.94</v>
      </c>
      <c r="H73" s="305">
        <v>25910.58</v>
      </c>
      <c r="I73" s="307">
        <v>3.0813000000000001</v>
      </c>
      <c r="J73" s="307">
        <v>3.0813000000000001</v>
      </c>
      <c r="K73" s="305"/>
      <c r="L73" s="305"/>
      <c r="M73" s="305"/>
      <c r="N73" s="305"/>
      <c r="O73" s="311">
        <v>171821.052876</v>
      </c>
      <c r="P73" s="316">
        <v>63986.16</v>
      </c>
      <c r="Q73" s="316">
        <v>31993.08</v>
      </c>
      <c r="R73" s="172">
        <v>0.5</v>
      </c>
      <c r="S73" s="305"/>
      <c r="T73" s="172"/>
    </row>
    <row r="74" spans="1:20" ht="12" customHeight="1" x14ac:dyDescent="0.2">
      <c r="A74" s="303" t="s">
        <v>28</v>
      </c>
      <c r="B74" s="19" t="s">
        <v>123</v>
      </c>
      <c r="C74" s="85" t="s">
        <v>31</v>
      </c>
      <c r="D74" s="85" t="s">
        <v>30</v>
      </c>
      <c r="E74" s="85" t="s">
        <v>102</v>
      </c>
      <c r="F74" s="182" t="s">
        <v>56</v>
      </c>
      <c r="G74" s="305">
        <v>883928.63</v>
      </c>
      <c r="H74" s="305">
        <v>974149.08</v>
      </c>
      <c r="I74" s="307">
        <v>25.192</v>
      </c>
      <c r="J74" s="307">
        <v>18.529</v>
      </c>
      <c r="K74" s="305"/>
      <c r="L74" s="305"/>
      <c r="M74" s="305"/>
      <c r="N74" s="305"/>
      <c r="O74" s="311">
        <v>40317938.350280002</v>
      </c>
      <c r="P74" s="316">
        <v>15320816.57</v>
      </c>
      <c r="Q74" s="316">
        <v>7660408.29</v>
      </c>
      <c r="R74" s="219">
        <v>0.5</v>
      </c>
      <c r="S74" s="305"/>
      <c r="T74" s="172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260378</v>
      </c>
      <c r="H75" s="305">
        <v>277517</v>
      </c>
      <c r="I75" s="307">
        <v>77.690600000000003</v>
      </c>
      <c r="J75" s="307">
        <v>78.292400000000001</v>
      </c>
      <c r="K75" s="305"/>
      <c r="L75" s="305"/>
      <c r="M75" s="305"/>
      <c r="N75" s="305"/>
      <c r="O75" s="311">
        <v>41956395.0176</v>
      </c>
      <c r="P75" s="316">
        <v>16782558.009999998</v>
      </c>
      <c r="Q75" s="316">
        <v>8391279.0099999998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6640774.5999999996</v>
      </c>
      <c r="H76" s="305">
        <v>5929196.7300000004</v>
      </c>
      <c r="I76" s="307">
        <v>25.192</v>
      </c>
      <c r="J76" s="307">
        <v>18.529</v>
      </c>
      <c r="K76" s="305"/>
      <c r="L76" s="305"/>
      <c r="M76" s="305"/>
      <c r="N76" s="305"/>
      <c r="O76" s="311">
        <v>277156479.93336999</v>
      </c>
      <c r="P76" s="316">
        <v>105319462.37</v>
      </c>
      <c r="Q76" s="305">
        <v>52659731.189999998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278705.17</v>
      </c>
      <c r="H77" s="305">
        <v>241885.1</v>
      </c>
      <c r="I77" s="307">
        <v>2.0710999999999999</v>
      </c>
      <c r="J77" s="307">
        <v>2.0710999999999999</v>
      </c>
      <c r="K77" s="306"/>
      <c r="L77" s="305"/>
      <c r="M77" s="305"/>
      <c r="N77" s="306"/>
      <c r="O77" s="311">
        <v>1078194.5081969998</v>
      </c>
      <c r="P77" s="316">
        <v>401519.63</v>
      </c>
      <c r="Q77" s="305">
        <v>200759.82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216527</v>
      </c>
      <c r="H78" s="305">
        <v>182653</v>
      </c>
      <c r="I78" s="307">
        <v>71.101200000000006</v>
      </c>
      <c r="J78" s="307">
        <v>69.501800000000003</v>
      </c>
      <c r="K78" s="306"/>
      <c r="L78" s="305"/>
      <c r="M78" s="305"/>
      <c r="N78" s="306"/>
      <c r="O78" s="311">
        <v>28090041.807800002</v>
      </c>
      <c r="P78" s="585">
        <v>1762109.0945250001</v>
      </c>
      <c r="Q78" s="305">
        <v>881054.55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3388040.53</v>
      </c>
      <c r="H79" s="305">
        <v>2891509.63</v>
      </c>
      <c r="I79" s="307">
        <v>13.675000000000001</v>
      </c>
      <c r="J79" s="307">
        <v>13.675000000000001</v>
      </c>
      <c r="K79" s="258"/>
      <c r="L79" s="305"/>
      <c r="M79" s="305"/>
      <c r="N79" s="306"/>
      <c r="O79" s="311">
        <v>85872848.437999994</v>
      </c>
      <c r="P79" s="585">
        <v>8254138.8106429996</v>
      </c>
      <c r="Q79" s="305">
        <v>4127069.41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163">
        <v>3905256.3610179173</v>
      </c>
      <c r="P80" s="163">
        <v>1075762.1746019991</v>
      </c>
      <c r="Q80" s="163">
        <v>537881.07999999961</v>
      </c>
      <c r="R80" s="130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/>
      <c r="H81" s="195"/>
      <c r="I81" s="228"/>
      <c r="J81" s="195"/>
      <c r="K81" s="205"/>
      <c r="L81" s="199"/>
      <c r="M81" s="227"/>
      <c r="N81" s="166"/>
      <c r="O81" s="166">
        <v>651465381.50236893</v>
      </c>
      <c r="P81" s="166">
        <v>213374422.42976999</v>
      </c>
      <c r="Q81" s="166">
        <v>106687211.23999998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294"/>
      <c r="H82" s="294"/>
      <c r="I82" s="229"/>
      <c r="J82" s="195"/>
      <c r="K82" s="206"/>
      <c r="L82" s="200"/>
      <c r="M82" s="260"/>
      <c r="N82" s="261"/>
      <c r="O82" s="261"/>
      <c r="P82" s="160"/>
      <c r="Q82" s="267">
        <v>395702866.48915994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270"/>
      <c r="H83" s="270"/>
      <c r="I83" s="195"/>
      <c r="J83" s="195"/>
      <c r="K83" s="230"/>
      <c r="L83" s="231"/>
      <c r="M83" s="216">
        <v>0</v>
      </c>
      <c r="N83" s="216">
        <v>49091.848000000005</v>
      </c>
      <c r="O83" s="216">
        <v>753773561.06436896</v>
      </c>
      <c r="P83" s="216">
        <v>125690086.93999997</v>
      </c>
      <c r="Q83" s="161">
        <v>466184532.45915997</v>
      </c>
      <c r="R83" s="52"/>
      <c r="S83" s="161"/>
      <c r="T83" s="52"/>
    </row>
    <row r="84" spans="1:20" x14ac:dyDescent="0.2">
      <c r="O84" s="296"/>
      <c r="S84" s="226"/>
    </row>
    <row r="85" spans="1:20" x14ac:dyDescent="0.2">
      <c r="A85" s="360" t="s">
        <v>90</v>
      </c>
      <c r="B85" s="212" t="s">
        <v>73</v>
      </c>
      <c r="H85" s="360"/>
      <c r="J85" s="62"/>
      <c r="K85" s="62"/>
      <c r="N85" s="296"/>
      <c r="O85" s="296"/>
      <c r="P85" s="226"/>
      <c r="Q85" s="296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592"/>
      <c r="O86" s="296"/>
      <c r="P86" s="295"/>
      <c r="Q86" s="296"/>
    </row>
    <row r="87" spans="1:20" x14ac:dyDescent="0.2">
      <c r="B87" s="363" t="s">
        <v>78</v>
      </c>
      <c r="C87" s="89" t="s">
        <v>79</v>
      </c>
      <c r="D87" s="364"/>
      <c r="E87" s="90">
        <v>115.77030000000001</v>
      </c>
      <c r="F87" s="90">
        <v>113.20480000000001</v>
      </c>
      <c r="H87" s="91" t="s">
        <v>206</v>
      </c>
      <c r="L87" s="92"/>
      <c r="M87" s="234">
        <v>6.2200000337121024E-2</v>
      </c>
      <c r="N87" s="296"/>
      <c r="O87" s="297"/>
      <c r="P87" s="226"/>
    </row>
    <row r="88" spans="1:20" x14ac:dyDescent="0.2">
      <c r="B88" s="365" t="s">
        <v>80</v>
      </c>
      <c r="C88" s="93" t="s">
        <v>81</v>
      </c>
      <c r="D88" s="366"/>
      <c r="E88" s="95">
        <v>76.587900000000005</v>
      </c>
      <c r="F88" s="95">
        <v>77.877099999999999</v>
      </c>
      <c r="H88" s="96">
        <v>81.535111973266012</v>
      </c>
      <c r="I88" s="97"/>
      <c r="J88" s="97"/>
      <c r="K88" s="97"/>
      <c r="L88" s="98"/>
      <c r="M88" s="234">
        <v>9.4199999857272176E-2</v>
      </c>
      <c r="O88" s="367"/>
      <c r="P88" s="296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I89" s="380"/>
      <c r="M89" s="234">
        <v>0.39999999969547706</v>
      </c>
      <c r="N89" s="296"/>
      <c r="O89" s="296"/>
    </row>
    <row r="90" spans="1:20" x14ac:dyDescent="0.2">
      <c r="B90" s="365" t="s">
        <v>84</v>
      </c>
      <c r="C90" s="93" t="s">
        <v>85</v>
      </c>
      <c r="D90" s="366"/>
      <c r="E90" s="99">
        <v>0.53890000000000005</v>
      </c>
      <c r="F90" s="99">
        <v>0.59399999999999997</v>
      </c>
      <c r="H90" s="87" t="s">
        <v>77</v>
      </c>
      <c r="I90" s="100"/>
      <c r="J90" s="213"/>
      <c r="K90" s="213"/>
      <c r="L90" s="88"/>
      <c r="M90" s="234">
        <v>0.38000000287019686</v>
      </c>
      <c r="N90" s="592"/>
      <c r="O90" s="226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207</v>
      </c>
      <c r="I91" s="380"/>
      <c r="L91" s="92"/>
      <c r="N91" s="296"/>
      <c r="O91" s="297"/>
    </row>
    <row r="92" spans="1:20" x14ac:dyDescent="0.2">
      <c r="B92" s="368" t="s">
        <v>88</v>
      </c>
      <c r="C92" s="102" t="s">
        <v>89</v>
      </c>
      <c r="D92" s="369"/>
      <c r="E92" s="103">
        <v>0</v>
      </c>
      <c r="F92" s="103">
        <v>0</v>
      </c>
      <c r="H92" s="96">
        <v>83.428143301760002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H93" s="329"/>
      <c r="M93" s="237"/>
      <c r="N93" s="298"/>
      <c r="O93" s="237"/>
    </row>
  </sheetData>
  <mergeCells count="2">
    <mergeCell ref="C7:C8"/>
    <mergeCell ref="O7:O8"/>
  </mergeCells>
  <phoneticPr fontId="0" type="noConversion"/>
  <printOptions horizontalCentered="1" verticalCentered="1"/>
  <pageMargins left="0.25" right="0.25" top="0.5" bottom="0.5" header="0" footer="0"/>
  <pageSetup paperSize="9" scale="47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4"/>
  <sheetViews>
    <sheetView view="pageBreakPreview" topLeftCell="A55" zoomScaleNormal="100" zoomScaleSheetLayoutView="100" workbookViewId="0">
      <pane xSplit="2" topLeftCell="C1" activePane="topRight" state="frozen"/>
      <selection activeCell="A4" sqref="A4"/>
      <selection pane="topRight" activeCell="A94" sqref="A94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3" width="7.109375" style="212" customWidth="1"/>
    <col min="4" max="4" width="8.6640625" style="212" customWidth="1"/>
    <col min="5" max="5" width="8.88671875" style="212" customWidth="1"/>
    <col min="6" max="6" width="9.88671875" style="212" customWidth="1"/>
    <col min="7" max="7" width="10.44140625" style="212" customWidth="1"/>
    <col min="8" max="8" width="10.109375" style="212" customWidth="1"/>
    <col min="9" max="9" width="10.44140625" style="212" customWidth="1"/>
    <col min="10" max="10" width="10.21875" style="212" customWidth="1"/>
    <col min="11" max="14" width="10.44140625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1">
        <v>44652</v>
      </c>
      <c r="F1" s="209">
        <v>3.7719999999999998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167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181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301"/>
      <c r="P5" s="116"/>
      <c r="Q5" s="116"/>
      <c r="R5" s="116"/>
      <c r="S5" s="116"/>
      <c r="T5" s="116"/>
    </row>
    <row r="6" spans="1:20" x14ac:dyDescent="0.2">
      <c r="A6" s="116"/>
      <c r="B6" s="116"/>
      <c r="C6" s="116"/>
      <c r="D6" s="116"/>
      <c r="E6" s="116"/>
      <c r="F6" s="116"/>
      <c r="G6" s="116"/>
      <c r="H6" s="116"/>
      <c r="I6" s="116"/>
      <c r="J6" s="62"/>
      <c r="N6" s="62"/>
      <c r="O6" s="62"/>
      <c r="P6" s="62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302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6"/>
      <c r="I10" s="307"/>
      <c r="J10" s="308"/>
      <c r="K10" s="305"/>
      <c r="L10" s="305"/>
      <c r="M10" s="305"/>
      <c r="N10" s="306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6"/>
      <c r="I11" s="307"/>
      <c r="J11" s="308"/>
      <c r="K11" s="305"/>
      <c r="L11" s="305"/>
      <c r="M11" s="305"/>
      <c r="N11" s="306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5274</v>
      </c>
      <c r="H12" s="309">
        <v>10117</v>
      </c>
      <c r="I12" s="310">
        <v>90.645300000000006</v>
      </c>
      <c r="J12" s="310">
        <v>91.819599999999994</v>
      </c>
      <c r="K12" s="305"/>
      <c r="L12" s="305"/>
      <c r="M12" s="305"/>
      <c r="N12" s="310">
        <v>409.18</v>
      </c>
      <c r="O12" s="311">
        <v>1406593.02</v>
      </c>
      <c r="P12" s="305">
        <v>263736.19</v>
      </c>
      <c r="Q12" s="305">
        <v>210988.95</v>
      </c>
      <c r="R12" s="172">
        <v>0.15</v>
      </c>
      <c r="S12" s="305">
        <v>52747.24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51146.02</v>
      </c>
      <c r="H13" s="309">
        <v>50668.5</v>
      </c>
      <c r="I13" s="310">
        <v>3</v>
      </c>
      <c r="J13" s="310">
        <v>3</v>
      </c>
      <c r="K13" s="305"/>
      <c r="L13" s="305"/>
      <c r="M13" s="305"/>
      <c r="N13" s="310">
        <v>1150.83</v>
      </c>
      <c r="O13" s="311">
        <v>304292.73</v>
      </c>
      <c r="P13" s="305">
        <v>57054.89</v>
      </c>
      <c r="Q13" s="305">
        <v>45643.91</v>
      </c>
      <c r="R13" s="172">
        <v>0.15</v>
      </c>
      <c r="S13" s="305">
        <v>11410.98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6">
        <v>6862</v>
      </c>
      <c r="H14" s="306">
        <v>7519</v>
      </c>
      <c r="I14" s="310">
        <v>102.6472</v>
      </c>
      <c r="J14" s="310">
        <v>104.61020000000001</v>
      </c>
      <c r="K14" s="305"/>
      <c r="L14" s="305"/>
      <c r="M14" s="305"/>
      <c r="N14" s="306">
        <v>1061.3209999999999</v>
      </c>
      <c r="O14" s="306">
        <v>1489867.8589999999</v>
      </c>
      <c r="P14" s="305">
        <v>279350.21999999997</v>
      </c>
      <c r="Q14" s="305">
        <v>223480.18</v>
      </c>
      <c r="R14" s="172">
        <v>0.15</v>
      </c>
      <c r="S14" s="305">
        <v>55870.04</v>
      </c>
      <c r="T14" s="198">
        <v>3.7499999999999999E-2</v>
      </c>
    </row>
    <row r="15" spans="1:20" ht="14.45" customHeight="1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6">
        <v>14960.26</v>
      </c>
      <c r="H15" s="306">
        <v>19748.05</v>
      </c>
      <c r="I15" s="310">
        <v>2.6775000000000002</v>
      </c>
      <c r="J15" s="310">
        <v>2.6775000000000002</v>
      </c>
      <c r="K15" s="305"/>
      <c r="L15" s="305"/>
      <c r="M15" s="305"/>
      <c r="N15" s="306">
        <v>1131.6493</v>
      </c>
      <c r="O15" s="306">
        <v>91799.850699999995</v>
      </c>
      <c r="P15" s="305">
        <v>17212.47</v>
      </c>
      <c r="Q15" s="305">
        <v>13769.98</v>
      </c>
      <c r="R15" s="172">
        <v>0.15</v>
      </c>
      <c r="S15" s="305">
        <v>3442.4900000000016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6">
        <v>3487</v>
      </c>
      <c r="H16" s="306">
        <v>6701</v>
      </c>
      <c r="I16" s="310">
        <v>90.645300000000006</v>
      </c>
      <c r="J16" s="307">
        <v>91.819599999999994</v>
      </c>
      <c r="K16" s="305"/>
      <c r="L16" s="305"/>
      <c r="M16" s="305"/>
      <c r="N16" s="306">
        <v>754.43200000000002</v>
      </c>
      <c r="O16" s="306">
        <v>930608.86800000002</v>
      </c>
      <c r="P16" s="305">
        <v>174489.16</v>
      </c>
      <c r="Q16" s="305">
        <v>139591.32999999999</v>
      </c>
      <c r="R16" s="172">
        <v>0.15</v>
      </c>
      <c r="S16" s="305">
        <v>34897.83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6">
        <v>29703</v>
      </c>
      <c r="H17" s="306">
        <v>30424</v>
      </c>
      <c r="I17" s="310">
        <v>90.645300000000006</v>
      </c>
      <c r="J17" s="307">
        <v>91.819599999999994</v>
      </c>
      <c r="K17" s="305"/>
      <c r="L17" s="305"/>
      <c r="M17" s="305"/>
      <c r="N17" s="306">
        <v>1950.0182</v>
      </c>
      <c r="O17" s="306">
        <v>5484006.8417999996</v>
      </c>
      <c r="P17" s="305">
        <v>1028251.28</v>
      </c>
      <c r="Q17" s="305">
        <v>822601.03</v>
      </c>
      <c r="R17" s="172">
        <v>0.15</v>
      </c>
      <c r="S17" s="305">
        <v>205650.26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6"/>
      <c r="H18" s="306">
        <v>3149</v>
      </c>
      <c r="I18" s="310"/>
      <c r="J18" s="307">
        <v>90.165300000000002</v>
      </c>
      <c r="K18" s="305"/>
      <c r="L18" s="305"/>
      <c r="M18" s="305"/>
      <c r="N18" s="306"/>
      <c r="O18" s="306">
        <v>283930.53000000003</v>
      </c>
      <c r="P18" s="305">
        <v>53236.97</v>
      </c>
      <c r="Q18" s="305">
        <v>42589.58</v>
      </c>
      <c r="R18" s="172">
        <v>0.15</v>
      </c>
      <c r="S18" s="305">
        <v>10647.39</v>
      </c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6"/>
      <c r="H19" s="306">
        <v>1297</v>
      </c>
      <c r="I19" s="310"/>
      <c r="J19" s="307">
        <v>101.5201</v>
      </c>
      <c r="K19" s="305"/>
      <c r="L19" s="305"/>
      <c r="M19" s="305"/>
      <c r="N19" s="306"/>
      <c r="O19" s="306">
        <v>131671.57</v>
      </c>
      <c r="P19" s="305">
        <v>24688.42</v>
      </c>
      <c r="Q19" s="305">
        <v>19750.740000000002</v>
      </c>
      <c r="R19" s="172">
        <v>0.15</v>
      </c>
      <c r="S19" s="305">
        <v>4937.68</v>
      </c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6">
        <v>32143.78</v>
      </c>
      <c r="H20" s="306">
        <v>31410.17</v>
      </c>
      <c r="I20" s="310">
        <v>12.510300000000001</v>
      </c>
      <c r="J20" s="307">
        <v>12.510300000000001</v>
      </c>
      <c r="K20" s="305"/>
      <c r="L20" s="305"/>
      <c r="M20" s="305"/>
      <c r="N20" s="306"/>
      <c r="O20" s="306">
        <v>795078.98</v>
      </c>
      <c r="P20" s="305">
        <v>149077.31</v>
      </c>
      <c r="Q20" s="305">
        <v>119261.85</v>
      </c>
      <c r="R20" s="172">
        <v>0.15</v>
      </c>
      <c r="S20" s="305">
        <v>29815.46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5"/>
      <c r="H21" s="306">
        <v>3761</v>
      </c>
      <c r="I21" s="307"/>
      <c r="J21" s="310">
        <v>91.201599999999999</v>
      </c>
      <c r="K21" s="305"/>
      <c r="L21" s="305"/>
      <c r="M21" s="305"/>
      <c r="N21" s="306">
        <v>895.09119999999996</v>
      </c>
      <c r="O21" s="311">
        <v>342114.12879999995</v>
      </c>
      <c r="P21" s="305">
        <v>64146.400000000001</v>
      </c>
      <c r="Q21" s="305">
        <v>51317.120000000003</v>
      </c>
      <c r="R21" s="172">
        <v>0.15</v>
      </c>
      <c r="S21" s="305">
        <v>12829.28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6">
        <v>49608</v>
      </c>
      <c r="H22" s="306">
        <v>61686</v>
      </c>
      <c r="I22" s="310">
        <v>90.095299999999995</v>
      </c>
      <c r="J22" s="307">
        <v>91.269599999999997</v>
      </c>
      <c r="K22" s="305"/>
      <c r="L22" s="305"/>
      <c r="M22" s="305"/>
      <c r="N22" s="306">
        <v>5434.4814999999999</v>
      </c>
      <c r="O22" s="311">
        <v>10094069.7085</v>
      </c>
      <c r="P22" s="305">
        <v>1892638.07</v>
      </c>
      <c r="Q22" s="305">
        <v>1514110.46</v>
      </c>
      <c r="R22" s="172">
        <v>0.15</v>
      </c>
      <c r="S22" s="305">
        <v>378527.61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5"/>
      <c r="H23" s="305"/>
      <c r="I23" s="307"/>
      <c r="J23" s="307"/>
      <c r="K23" s="305"/>
      <c r="L23" s="305"/>
      <c r="M23" s="305"/>
      <c r="N23" s="305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5">
        <v>70506.210000000006</v>
      </c>
      <c r="H24" s="305">
        <v>77681.179999999993</v>
      </c>
      <c r="I24" s="307">
        <v>0.8</v>
      </c>
      <c r="J24" s="567">
        <v>0.8</v>
      </c>
      <c r="K24" s="305"/>
      <c r="L24" s="305"/>
      <c r="M24" s="305"/>
      <c r="N24" s="305">
        <v>1272.3085000000001</v>
      </c>
      <c r="O24" s="311">
        <v>117277.6015</v>
      </c>
      <c r="P24" s="305">
        <v>21989.55</v>
      </c>
      <c r="Q24" s="305">
        <v>17591.64</v>
      </c>
      <c r="R24" s="172">
        <v>0.15</v>
      </c>
      <c r="S24" s="305">
        <v>4397.91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5">
        <v>2079</v>
      </c>
      <c r="H25" s="305">
        <v>2522</v>
      </c>
      <c r="I25" s="307">
        <v>90.645300000000006</v>
      </c>
      <c r="J25" s="307">
        <v>91.819599999999994</v>
      </c>
      <c r="K25" s="305"/>
      <c r="L25" s="305"/>
      <c r="M25" s="305"/>
      <c r="N25" s="306">
        <v>441.15159999999997</v>
      </c>
      <c r="O25" s="311">
        <v>419579.4584</v>
      </c>
      <c r="P25" s="305">
        <v>78671.149999999994</v>
      </c>
      <c r="Q25" s="305">
        <v>62936.92</v>
      </c>
      <c r="R25" s="172">
        <v>0.15</v>
      </c>
      <c r="S25" s="305">
        <v>15734.23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5">
        <v>175665</v>
      </c>
      <c r="H26" s="306">
        <v>171678</v>
      </c>
      <c r="I26" s="307">
        <v>90.645300000000006</v>
      </c>
      <c r="J26" s="310">
        <v>91.819599999999994</v>
      </c>
      <c r="K26" s="305"/>
      <c r="L26" s="305"/>
      <c r="M26" s="305"/>
      <c r="N26" s="306">
        <v>6802.6914999999999</v>
      </c>
      <c r="O26" s="311">
        <v>31679809.218499996</v>
      </c>
      <c r="P26" s="305">
        <v>5939964.2300000004</v>
      </c>
      <c r="Q26" s="305">
        <v>4751971.38</v>
      </c>
      <c r="R26" s="172">
        <v>0.15</v>
      </c>
      <c r="S26" s="305">
        <v>1187992.8500000001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5">
        <v>246240.45</v>
      </c>
      <c r="H27" s="305">
        <v>247734.71</v>
      </c>
      <c r="I27" s="307">
        <v>2.3273999999999999</v>
      </c>
      <c r="J27" s="381">
        <v>2.3273999999999999</v>
      </c>
      <c r="K27" s="305"/>
      <c r="L27" s="305"/>
      <c r="M27" s="305"/>
      <c r="N27" s="306">
        <v>1342.6368</v>
      </c>
      <c r="O27" s="311">
        <v>1148335.1432</v>
      </c>
      <c r="P27" s="305">
        <v>215312.84</v>
      </c>
      <c r="Q27" s="305">
        <v>172250.27</v>
      </c>
      <c r="R27" s="172">
        <v>0.15</v>
      </c>
      <c r="S27" s="305">
        <v>43062.57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07"/>
      <c r="J28" s="307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5">
        <v>456</v>
      </c>
      <c r="H29" s="305">
        <v>415</v>
      </c>
      <c r="I29" s="307">
        <v>102.8385</v>
      </c>
      <c r="J29" s="310">
        <v>104.9242</v>
      </c>
      <c r="K29" s="305"/>
      <c r="L29" s="305"/>
      <c r="M29" s="305"/>
      <c r="N29" s="305">
        <v>479.51280000000003</v>
      </c>
      <c r="O29" s="311">
        <v>89958.387199999997</v>
      </c>
      <c r="P29" s="305">
        <v>16867.2</v>
      </c>
      <c r="Q29" s="305">
        <v>13493.76</v>
      </c>
      <c r="R29" s="172">
        <v>0.15</v>
      </c>
      <c r="S29" s="305">
        <v>3373.44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15">
        <v>31482</v>
      </c>
      <c r="H30" s="315">
        <v>43287</v>
      </c>
      <c r="I30" s="381">
        <v>88.7453</v>
      </c>
      <c r="J30" s="310">
        <v>89.919600000000003</v>
      </c>
      <c r="K30" s="305"/>
      <c r="L30" s="305"/>
      <c r="M30" s="305"/>
      <c r="N30" s="306">
        <v>4571.3600999999999</v>
      </c>
      <c r="O30" s="311">
        <v>6681657.8998999996</v>
      </c>
      <c r="P30" s="305">
        <v>1252810.8600000001</v>
      </c>
      <c r="Q30" s="305">
        <v>1002248.68</v>
      </c>
      <c r="R30" s="172">
        <v>0.15</v>
      </c>
      <c r="S30" s="305">
        <v>250562.17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15"/>
      <c r="H31" s="316"/>
      <c r="I31" s="307"/>
      <c r="J31" s="307"/>
      <c r="K31" s="305"/>
      <c r="L31" s="305"/>
      <c r="M31" s="305"/>
      <c r="N31" s="306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178</v>
      </c>
      <c r="C32" s="85" t="s">
        <v>31</v>
      </c>
      <c r="D32" s="304" t="s">
        <v>30</v>
      </c>
      <c r="E32" s="85" t="s">
        <v>96</v>
      </c>
      <c r="F32" s="186" t="s">
        <v>56</v>
      </c>
      <c r="G32" s="315">
        <v>160804.44</v>
      </c>
      <c r="H32" s="316">
        <v>164798.6</v>
      </c>
      <c r="I32" s="307">
        <v>1.61</v>
      </c>
      <c r="J32" s="307">
        <v>1.61</v>
      </c>
      <c r="K32" s="305"/>
      <c r="L32" s="305"/>
      <c r="M32" s="305"/>
      <c r="N32" s="306">
        <v>1898.8692000000001</v>
      </c>
      <c r="O32" s="311">
        <v>522322.03080000001</v>
      </c>
      <c r="P32" s="305">
        <v>97935.38</v>
      </c>
      <c r="Q32" s="305">
        <v>78348.3</v>
      </c>
      <c r="R32" s="172">
        <v>0.15</v>
      </c>
      <c r="S32" s="305">
        <v>19587.080000000002</v>
      </c>
      <c r="T32" s="198">
        <v>3.7499999999999999E-2</v>
      </c>
    </row>
    <row r="33" spans="1:20" x14ac:dyDescent="0.2">
      <c r="A33" s="303" t="s">
        <v>28</v>
      </c>
      <c r="B33" s="19" t="s">
        <v>179</v>
      </c>
      <c r="C33" s="85" t="s">
        <v>31</v>
      </c>
      <c r="D33" s="304" t="s">
        <v>30</v>
      </c>
      <c r="E33" s="85" t="s">
        <v>96</v>
      </c>
      <c r="F33" s="186" t="s">
        <v>56</v>
      </c>
      <c r="G33" s="315">
        <v>93348.49</v>
      </c>
      <c r="H33" s="316">
        <v>87836.3</v>
      </c>
      <c r="I33" s="307">
        <v>3.5889000000000002</v>
      </c>
      <c r="J33" s="307">
        <v>3.6594000000000002</v>
      </c>
      <c r="K33" s="305"/>
      <c r="L33" s="305"/>
      <c r="M33" s="305"/>
      <c r="N33" s="306"/>
      <c r="O33" s="311">
        <v>656446.56000000006</v>
      </c>
      <c r="P33" s="305">
        <v>123083.73</v>
      </c>
      <c r="Q33" s="305">
        <v>98466.98</v>
      </c>
      <c r="R33" s="172">
        <v>0.15</v>
      </c>
      <c r="S33" s="305">
        <v>24616.75</v>
      </c>
      <c r="T33" s="198">
        <v>3.7499999999999999E-2</v>
      </c>
    </row>
    <row r="34" spans="1:20" x14ac:dyDescent="0.2">
      <c r="A34" s="303" t="s">
        <v>28</v>
      </c>
      <c r="B34" s="19" t="s">
        <v>137</v>
      </c>
      <c r="C34" s="85" t="s">
        <v>31</v>
      </c>
      <c r="D34" s="304" t="s">
        <v>30</v>
      </c>
      <c r="E34" s="85" t="s">
        <v>96</v>
      </c>
      <c r="F34" s="186" t="s">
        <v>56</v>
      </c>
      <c r="G34" s="315"/>
      <c r="H34" s="316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144</v>
      </c>
      <c r="C35" s="85" t="s">
        <v>31</v>
      </c>
      <c r="D35" s="304" t="s">
        <v>30</v>
      </c>
      <c r="E35" s="85" t="s">
        <v>96</v>
      </c>
      <c r="F35" s="186" t="s">
        <v>56</v>
      </c>
      <c r="G35" s="315"/>
      <c r="H35" s="316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15">
        <v>21410.95</v>
      </c>
      <c r="H36" s="316">
        <v>19263.650000000001</v>
      </c>
      <c r="I36" s="307">
        <v>3.4</v>
      </c>
      <c r="J36" s="307">
        <v>3.3969999999999998</v>
      </c>
      <c r="K36" s="305"/>
      <c r="L36" s="305"/>
      <c r="M36" s="305"/>
      <c r="N36" s="306"/>
      <c r="O36" s="311">
        <v>138235.85</v>
      </c>
      <c r="P36" s="305">
        <v>25919.22</v>
      </c>
      <c r="Q36" s="305">
        <v>20735.38</v>
      </c>
      <c r="R36" s="172">
        <v>0.15</v>
      </c>
      <c r="S36" s="305">
        <v>5183.84</v>
      </c>
      <c r="T36" s="198">
        <v>3.7499999999999999E-2</v>
      </c>
    </row>
    <row r="37" spans="1:20" x14ac:dyDescent="0.2">
      <c r="A37" s="303" t="s">
        <v>28</v>
      </c>
      <c r="B37" s="579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15">
        <v>348.32</v>
      </c>
      <c r="H37" s="317"/>
      <c r="I37" s="307">
        <v>2.2999999999999998</v>
      </c>
      <c r="J37" s="307"/>
      <c r="K37" s="305"/>
      <c r="L37" s="305"/>
      <c r="M37" s="305"/>
      <c r="N37" s="306"/>
      <c r="O37" s="311">
        <v>801.14</v>
      </c>
      <c r="P37" s="305">
        <v>150.21</v>
      </c>
      <c r="Q37" s="305">
        <v>120.17</v>
      </c>
      <c r="R37" s="172">
        <v>0.15</v>
      </c>
      <c r="S37" s="305">
        <v>30.04</v>
      </c>
      <c r="T37" s="198">
        <v>3.7499999999999999E-2</v>
      </c>
    </row>
    <row r="38" spans="1:20" x14ac:dyDescent="0.2">
      <c r="A38" s="303" t="s">
        <v>28</v>
      </c>
      <c r="B38" s="579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15">
        <v>896.44</v>
      </c>
      <c r="H38" s="317">
        <v>997.36689999999999</v>
      </c>
      <c r="I38" s="307">
        <v>3</v>
      </c>
      <c r="J38" s="307">
        <v>3</v>
      </c>
      <c r="K38" s="305"/>
      <c r="L38" s="305"/>
      <c r="M38" s="305"/>
      <c r="N38" s="306"/>
      <c r="O38" s="311">
        <v>5681.42</v>
      </c>
      <c r="P38" s="305">
        <v>1065.27</v>
      </c>
      <c r="Q38" s="305">
        <v>852.21</v>
      </c>
      <c r="R38" s="172">
        <v>0.15</v>
      </c>
      <c r="S38" s="305">
        <v>213.05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5"/>
      <c r="H39" s="306">
        <v>160288</v>
      </c>
      <c r="I39" s="307"/>
      <c r="J39" s="310">
        <v>105.917</v>
      </c>
      <c r="K39" s="305"/>
      <c r="L39" s="305"/>
      <c r="M39" s="305"/>
      <c r="N39" s="306">
        <v>1470.5055</v>
      </c>
      <c r="O39" s="311">
        <v>16975753.594500002</v>
      </c>
      <c r="P39" s="305">
        <v>3182953.8</v>
      </c>
      <c r="Q39" s="305">
        <v>2546363.04</v>
      </c>
      <c r="R39" s="172">
        <v>0.15</v>
      </c>
      <c r="S39" s="305">
        <v>636590.76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5"/>
      <c r="H40" s="306">
        <v>331873.65000000002</v>
      </c>
      <c r="I40" s="307"/>
      <c r="J40" s="318">
        <v>9.3633000000000006</v>
      </c>
      <c r="K40" s="305"/>
      <c r="L40" s="305"/>
      <c r="M40" s="305"/>
      <c r="N40" s="306">
        <v>1291.4878000000001</v>
      </c>
      <c r="O40" s="311">
        <v>3106141.0622</v>
      </c>
      <c r="P40" s="305">
        <v>582401.44999999995</v>
      </c>
      <c r="Q40" s="305">
        <v>465921.16</v>
      </c>
      <c r="R40" s="172">
        <v>0.15</v>
      </c>
      <c r="S40" s="305">
        <v>116480.29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5">
        <v>151</v>
      </c>
      <c r="H41" s="306">
        <v>149</v>
      </c>
      <c r="I41" s="310">
        <v>90.645300000000006</v>
      </c>
      <c r="J41" s="310">
        <v>91.819599999999994</v>
      </c>
      <c r="K41" s="305"/>
      <c r="L41" s="305"/>
      <c r="M41" s="305"/>
      <c r="N41" s="306">
        <v>281.31580000000002</v>
      </c>
      <c r="O41" s="311">
        <v>27087.244200000001</v>
      </c>
      <c r="P41" s="305">
        <v>5078.8599999999997</v>
      </c>
      <c r="Q41" s="305">
        <v>1015.77</v>
      </c>
      <c r="R41" s="198">
        <v>3.7499999999999999E-2</v>
      </c>
      <c r="S41" s="305">
        <v>4063.09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10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6">
        <v>18906</v>
      </c>
      <c r="I44" s="310"/>
      <c r="J44" s="310">
        <v>92.945700000000002</v>
      </c>
      <c r="K44" s="306"/>
      <c r="L44" s="305"/>
      <c r="M44" s="305"/>
      <c r="N44" s="306">
        <v>1406.5736999999999</v>
      </c>
      <c r="O44" s="311">
        <v>1755824.8262999998</v>
      </c>
      <c r="P44" s="305">
        <v>329217.15000000002</v>
      </c>
      <c r="Q44" s="305">
        <v>263373.71999999997</v>
      </c>
      <c r="R44" s="173">
        <v>0.15</v>
      </c>
      <c r="S44" s="305">
        <v>65843.429999999993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-83931.960000000123</v>
      </c>
      <c r="P46" s="311">
        <v>-15737.240000000036</v>
      </c>
      <c r="Q46" s="311">
        <v>-12589.790000000072</v>
      </c>
      <c r="R46" s="192"/>
      <c r="S46" s="311">
        <v>-3147.4500000000176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84595013.563500002</v>
      </c>
      <c r="P47" s="325">
        <v>15861565.039999999</v>
      </c>
      <c r="Q47" s="326">
        <v>12686204.720000003</v>
      </c>
      <c r="R47" s="174"/>
      <c r="S47" s="327">
        <v>3175360.31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59829823.329999998</v>
      </c>
      <c r="Q48" s="332">
        <v>47852364.200000003</v>
      </c>
      <c r="R48" s="121"/>
      <c r="S48" s="333">
        <v>11977459.09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17800</v>
      </c>
      <c r="H51" s="306">
        <v>22935</v>
      </c>
      <c r="I51" s="310">
        <v>94.266999999999996</v>
      </c>
      <c r="J51" s="310">
        <v>95.389300000000006</v>
      </c>
      <c r="K51" s="305"/>
      <c r="L51" s="305"/>
      <c r="M51" s="305"/>
      <c r="N51" s="306">
        <v>5664.6482999999998</v>
      </c>
      <c r="O51" s="311">
        <v>3860041.5517000002</v>
      </c>
      <c r="P51" s="305">
        <v>579006.23</v>
      </c>
      <c r="Q51" s="305">
        <v>579006.23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3860041.5517000002</v>
      </c>
      <c r="P53" s="325">
        <v>579006.23</v>
      </c>
      <c r="Q53" s="340">
        <v>579006.23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2184011.5</v>
      </c>
      <c r="Q54" s="332">
        <v>2184011.5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24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16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07"/>
      <c r="J58" s="310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66124.460000000006</v>
      </c>
      <c r="H61" s="306">
        <v>81903.149999999994</v>
      </c>
      <c r="I61" s="310">
        <v>3.6594000000000002</v>
      </c>
      <c r="J61" s="310">
        <v>3.6608000000000001</v>
      </c>
      <c r="K61" s="305"/>
      <c r="L61" s="305"/>
      <c r="M61" s="305"/>
      <c r="N61" s="306">
        <v>709.68</v>
      </c>
      <c r="O61" s="311">
        <v>541097.22</v>
      </c>
      <c r="P61" s="305">
        <v>101455.73</v>
      </c>
      <c r="Q61" s="305">
        <v>20291.150000000001</v>
      </c>
      <c r="R61" s="198">
        <v>3.7499999999999999E-2</v>
      </c>
      <c r="S61" s="305">
        <v>81164.58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3581</v>
      </c>
      <c r="H62" s="306">
        <v>3549</v>
      </c>
      <c r="I62" s="310">
        <v>73.041399999999996</v>
      </c>
      <c r="J62" s="310">
        <v>70.7821</v>
      </c>
      <c r="K62" s="305"/>
      <c r="L62" s="305"/>
      <c r="M62" s="305"/>
      <c r="N62" s="305">
        <v>3215.94</v>
      </c>
      <c r="O62" s="311">
        <v>509550.98000000004</v>
      </c>
      <c r="P62" s="305">
        <v>95540.81</v>
      </c>
      <c r="Q62" s="305">
        <v>19108.16</v>
      </c>
      <c r="R62" s="198">
        <v>3.7499999999999999E-2</v>
      </c>
      <c r="S62" s="305">
        <v>76432.649999999994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147593</v>
      </c>
      <c r="H65" s="306">
        <v>262201</v>
      </c>
      <c r="I65" s="310">
        <v>86.617500000000007</v>
      </c>
      <c r="J65" s="310">
        <v>89.288799999999995</v>
      </c>
      <c r="K65" s="306"/>
      <c r="L65" s="305"/>
      <c r="M65" s="305"/>
      <c r="N65" s="306">
        <v>7582.69</v>
      </c>
      <c r="O65" s="311">
        <v>36188166.640000001</v>
      </c>
      <c r="P65" s="305">
        <v>6785281.25</v>
      </c>
      <c r="Q65" s="305">
        <v>5428225</v>
      </c>
      <c r="R65" s="172">
        <v>0.15</v>
      </c>
      <c r="S65" s="305">
        <v>1357056.25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/>
      <c r="H66" s="306"/>
      <c r="I66" s="310"/>
      <c r="J66" s="310"/>
      <c r="K66" s="306"/>
      <c r="L66" s="305"/>
      <c r="M66" s="305"/>
      <c r="N66" s="306">
        <v>5249.07</v>
      </c>
      <c r="O66" s="311">
        <v>-5249.07</v>
      </c>
      <c r="P66" s="305">
        <v>-984.2</v>
      </c>
      <c r="Q66" s="305">
        <v>-787.36</v>
      </c>
      <c r="R66" s="172">
        <v>0.15</v>
      </c>
      <c r="S66" s="305">
        <v>-196.84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05"/>
      <c r="P67" s="305"/>
      <c r="Q67" s="305"/>
      <c r="R67" s="305"/>
      <c r="S67" s="305"/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37233565.770000003</v>
      </c>
      <c r="P68" s="325">
        <v>6981293.5899999999</v>
      </c>
      <c r="Q68" s="340">
        <v>5466836.9499999993</v>
      </c>
      <c r="R68" s="183"/>
      <c r="S68" s="340">
        <v>1514456.64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26333439.420000002</v>
      </c>
      <c r="Q69" s="333">
        <v>20620908.98</v>
      </c>
      <c r="R69" s="139"/>
      <c r="S69" s="333">
        <v>5712530.4500000002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16">
        <v>772474</v>
      </c>
      <c r="H71" s="316">
        <v>774601</v>
      </c>
      <c r="I71" s="353">
        <v>72.207499999999996</v>
      </c>
      <c r="J71" s="353">
        <v>72.320400000000006</v>
      </c>
      <c r="K71" s="305"/>
      <c r="L71" s="305"/>
      <c r="M71" s="305"/>
      <c r="N71" s="305"/>
      <c r="O71" s="311">
        <v>111797870.51539999</v>
      </c>
      <c r="P71" s="316">
        <v>41633526.979999997</v>
      </c>
      <c r="Q71" s="305">
        <v>20816763.489999998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16">
        <v>8347790.8600000003</v>
      </c>
      <c r="H72" s="316">
        <v>9163367.9700000007</v>
      </c>
      <c r="I72" s="353">
        <v>2.3816000000000002</v>
      </c>
      <c r="J72" s="353">
        <v>2.3816000000000002</v>
      </c>
      <c r="K72" s="305"/>
      <c r="L72" s="305"/>
      <c r="M72" s="305"/>
      <c r="N72" s="305"/>
      <c r="O72" s="311">
        <v>41704575.86952801</v>
      </c>
      <c r="P72" s="316">
        <v>15530784.050000001</v>
      </c>
      <c r="Q72" s="305">
        <v>7765392.0300000003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16">
        <v>32532.18</v>
      </c>
      <c r="H73" s="316">
        <v>20676.259999999998</v>
      </c>
      <c r="I73" s="353">
        <v>3.093</v>
      </c>
      <c r="J73" s="353">
        <v>3.093</v>
      </c>
      <c r="K73" s="305"/>
      <c r="L73" s="305"/>
      <c r="M73" s="305"/>
      <c r="N73" s="305"/>
      <c r="O73" s="311">
        <v>164573.70491999999</v>
      </c>
      <c r="P73" s="316">
        <v>61287.25</v>
      </c>
      <c r="Q73" s="305">
        <v>30643.63</v>
      </c>
      <c r="R73" s="172">
        <v>0.5</v>
      </c>
      <c r="S73" s="305"/>
      <c r="T73" s="172"/>
    </row>
    <row r="74" spans="1:20" ht="12" customHeight="1" x14ac:dyDescent="0.2">
      <c r="A74" s="354" t="s">
        <v>28</v>
      </c>
      <c r="B74" s="19" t="s">
        <v>123</v>
      </c>
      <c r="C74" s="85" t="s">
        <v>31</v>
      </c>
      <c r="D74" s="85" t="s">
        <v>30</v>
      </c>
      <c r="E74" s="85" t="s">
        <v>102</v>
      </c>
      <c r="F74" s="182" t="s">
        <v>56</v>
      </c>
      <c r="G74" s="316">
        <v>909094.62</v>
      </c>
      <c r="H74" s="316">
        <v>893198.48</v>
      </c>
      <c r="I74" s="353">
        <v>13.95</v>
      </c>
      <c r="J74" s="353">
        <v>10.768000000000001</v>
      </c>
      <c r="K74" s="305"/>
      <c r="L74" s="305"/>
      <c r="M74" s="305"/>
      <c r="N74" s="305"/>
      <c r="O74" s="311">
        <v>22299831.181639999</v>
      </c>
      <c r="P74" s="316">
        <v>8473935.8499999996</v>
      </c>
      <c r="Q74" s="305">
        <v>4236967.93</v>
      </c>
      <c r="R74" s="219">
        <v>0.5</v>
      </c>
      <c r="S74" s="305"/>
      <c r="T74" s="172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16">
        <v>235483</v>
      </c>
      <c r="H75" s="316">
        <v>314107</v>
      </c>
      <c r="I75" s="353">
        <v>72.204400000000007</v>
      </c>
      <c r="J75" s="353">
        <v>72.298400000000001</v>
      </c>
      <c r="K75" s="305"/>
      <c r="L75" s="305"/>
      <c r="M75" s="305"/>
      <c r="N75" s="305"/>
      <c r="O75" s="311">
        <v>39712342.254000001</v>
      </c>
      <c r="P75" s="316">
        <v>15884936.9</v>
      </c>
      <c r="Q75" s="305">
        <v>7942468.4500000002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16">
        <v>6004894.29</v>
      </c>
      <c r="H76" s="316">
        <v>7400022.6399999997</v>
      </c>
      <c r="I76" s="353">
        <v>13.95</v>
      </c>
      <c r="J76" s="353">
        <v>10.768000000000001</v>
      </c>
      <c r="K76" s="305"/>
      <c r="L76" s="305"/>
      <c r="M76" s="305"/>
      <c r="N76" s="305"/>
      <c r="O76" s="311">
        <v>163451719.13301998</v>
      </c>
      <c r="P76" s="316">
        <v>62111653.269999996</v>
      </c>
      <c r="Q76" s="305">
        <v>31055826.640000001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16">
        <v>273811.46000000002</v>
      </c>
      <c r="H77" s="316">
        <v>269281.63</v>
      </c>
      <c r="I77" s="353">
        <v>2.0871</v>
      </c>
      <c r="J77" s="353">
        <v>2.0871</v>
      </c>
      <c r="K77" s="306"/>
      <c r="L77" s="305"/>
      <c r="M77" s="305"/>
      <c r="N77" s="306"/>
      <c r="O77" s="311">
        <v>1133489.5881389999</v>
      </c>
      <c r="P77" s="316">
        <v>422111.52</v>
      </c>
      <c r="Q77" s="305">
        <v>211055.76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16">
        <v>243606</v>
      </c>
      <c r="H78" s="316">
        <v>143158</v>
      </c>
      <c r="I78" s="353">
        <v>63.080599999999997</v>
      </c>
      <c r="J78" s="353">
        <v>61.903100000000002</v>
      </c>
      <c r="K78" s="306"/>
      <c r="L78" s="305"/>
      <c r="M78" s="305"/>
      <c r="N78" s="306"/>
      <c r="O78" s="311">
        <v>24228736.633400001</v>
      </c>
      <c r="P78" s="316">
        <v>1556983.3843450001</v>
      </c>
      <c r="Q78" s="305">
        <v>778491.69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16">
        <v>3857989.71</v>
      </c>
      <c r="H79" s="316">
        <v>2300150.75</v>
      </c>
      <c r="I79" s="353">
        <v>21.611000000000001</v>
      </c>
      <c r="J79" s="353">
        <v>21.611000000000001</v>
      </c>
      <c r="K79" s="258"/>
      <c r="L79" s="305"/>
      <c r="M79" s="305"/>
      <c r="N79" s="306"/>
      <c r="O79" s="311">
        <v>133083573.48106</v>
      </c>
      <c r="P79" s="316">
        <v>13403054.202096</v>
      </c>
      <c r="Q79" s="305">
        <v>6701527.0999999996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163">
        <v>43503683.226576939</v>
      </c>
      <c r="P80" s="163">
        <v>2375338.2348520039</v>
      </c>
      <c r="Q80" s="163">
        <v>1187669.1199999996</v>
      </c>
      <c r="R80" s="130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/>
      <c r="H81" s="195"/>
      <c r="I81" s="228"/>
      <c r="J81" s="195"/>
      <c r="K81" s="205"/>
      <c r="L81" s="199"/>
      <c r="M81" s="227"/>
      <c r="N81" s="166"/>
      <c r="O81" s="166">
        <v>581080395.58768392</v>
      </c>
      <c r="P81" s="166">
        <v>161453611.64129305</v>
      </c>
      <c r="Q81" s="359">
        <v>80726805.840000004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/>
      <c r="H82" s="196"/>
      <c r="I82" s="229"/>
      <c r="J82" s="195"/>
      <c r="K82" s="206"/>
      <c r="L82" s="200"/>
      <c r="M82" s="260"/>
      <c r="N82" s="261"/>
      <c r="O82" s="261"/>
      <c r="P82" s="160"/>
      <c r="Q82" s="160">
        <v>304501511.62848002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/>
      <c r="H83" s="197"/>
      <c r="I83" s="195"/>
      <c r="J83" s="195"/>
      <c r="K83" s="230"/>
      <c r="L83" s="231"/>
      <c r="M83" s="216"/>
      <c r="N83" s="216">
        <v>0</v>
      </c>
      <c r="O83" s="216">
        <v>706769016.47288394</v>
      </c>
      <c r="P83" s="216">
        <v>104148670.70000002</v>
      </c>
      <c r="Q83" s="161">
        <v>392848785.84848005</v>
      </c>
      <c r="R83" s="52"/>
      <c r="S83" s="161"/>
      <c r="T83" s="52"/>
    </row>
    <row r="84" spans="1:20" x14ac:dyDescent="0.2">
      <c r="O84" s="236"/>
      <c r="S84" s="226"/>
    </row>
    <row r="85" spans="1:20" x14ac:dyDescent="0.2">
      <c r="A85" s="360" t="s">
        <v>90</v>
      </c>
      <c r="B85" s="212" t="s">
        <v>73</v>
      </c>
      <c r="H85" s="360" t="s">
        <v>74</v>
      </c>
      <c r="J85" s="62"/>
      <c r="K85" s="62"/>
      <c r="N85" s="296"/>
      <c r="O85" s="236">
        <v>309943823.04999995</v>
      </c>
      <c r="P85" s="226"/>
      <c r="Q85" s="296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361"/>
      <c r="O86" s="362">
        <v>-396825193.42288399</v>
      </c>
      <c r="Q86" s="226"/>
    </row>
    <row r="87" spans="1:20" x14ac:dyDescent="0.2">
      <c r="B87" s="363" t="s">
        <v>78</v>
      </c>
      <c r="C87" s="89" t="s">
        <v>79</v>
      </c>
      <c r="D87" s="364"/>
      <c r="E87" s="90">
        <v>103.32299999999999</v>
      </c>
      <c r="F87" s="90">
        <v>104.5926</v>
      </c>
      <c r="H87" s="91" t="s">
        <v>208</v>
      </c>
      <c r="L87" s="92"/>
      <c r="M87" s="234">
        <v>6.2200000337121024E-2</v>
      </c>
      <c r="N87" s="234">
        <v>6.4199999463479832E-2</v>
      </c>
      <c r="O87" s="236"/>
      <c r="P87" s="296"/>
    </row>
    <row r="88" spans="1:20" x14ac:dyDescent="0.2">
      <c r="B88" s="365" t="s">
        <v>80</v>
      </c>
      <c r="C88" s="93" t="s">
        <v>81</v>
      </c>
      <c r="D88" s="366"/>
      <c r="E88" s="94">
        <v>68.31</v>
      </c>
      <c r="F88" s="95">
        <v>64.120099999999994</v>
      </c>
      <c r="H88" s="96">
        <v>73.041371162499999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367"/>
      <c r="P88" s="296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I89" s="380"/>
      <c r="M89" s="234">
        <v>0.39999999969547706</v>
      </c>
      <c r="N89" s="234">
        <v>0.39999999979093542</v>
      </c>
      <c r="O89" s="237"/>
    </row>
    <row r="90" spans="1:20" x14ac:dyDescent="0.2">
      <c r="B90" s="365" t="s">
        <v>84</v>
      </c>
      <c r="C90" s="93" t="s">
        <v>85</v>
      </c>
      <c r="D90" s="366"/>
      <c r="E90" s="99">
        <v>0.5625</v>
      </c>
      <c r="F90" s="99">
        <v>0.5423</v>
      </c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237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209</v>
      </c>
      <c r="I91" s="380"/>
      <c r="L91" s="92"/>
      <c r="N91" s="259"/>
      <c r="O91" s="237"/>
    </row>
    <row r="92" spans="1:20" x14ac:dyDescent="0.2">
      <c r="B92" s="368" t="s">
        <v>88</v>
      </c>
      <c r="C92" s="102" t="s">
        <v>89</v>
      </c>
      <c r="D92" s="369"/>
      <c r="E92" s="103"/>
      <c r="F92" s="103"/>
      <c r="H92" s="96">
        <v>70.782142989403994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H93" s="329"/>
      <c r="M93" s="237"/>
      <c r="N93" s="237"/>
      <c r="O93" s="237"/>
    </row>
    <row r="94" spans="1:20" x14ac:dyDescent="0.2">
      <c r="A94" s="587" t="s">
        <v>205</v>
      </c>
    </row>
  </sheetData>
  <mergeCells count="2">
    <mergeCell ref="C7:C8"/>
    <mergeCell ref="O7:O8"/>
  </mergeCells>
  <printOptions horizontalCentered="1" verticalCentered="1"/>
  <pageMargins left="0.23622047244094491" right="0.23622047244094491" top="0.51181102362204722" bottom="0.51181102362204722" header="0" footer="0"/>
  <pageSetup paperSize="9" scale="47" fitToWidth="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T94"/>
  <sheetViews>
    <sheetView view="pageBreakPreview" topLeftCell="A60" zoomScale="95" zoomScaleNormal="95" zoomScaleSheetLayoutView="95" workbookViewId="0">
      <pane xSplit="2" topLeftCell="C1" activePane="topRight" state="frozen"/>
      <selection pane="topRight" activeCell="A95" sqref="A95:XFD228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4" width="7.109375" style="212" customWidth="1"/>
    <col min="5" max="5" width="8.6640625" style="212" customWidth="1"/>
    <col min="6" max="6" width="9.88671875" style="212" customWidth="1"/>
    <col min="7" max="8" width="10.44140625" style="212" customWidth="1"/>
    <col min="9" max="9" width="11.109375" style="212" customWidth="1"/>
    <col min="10" max="10" width="10.44140625" style="212" customWidth="1"/>
    <col min="11" max="12" width="10.44140625" style="212" hidden="1" customWidth="1"/>
    <col min="13" max="13" width="10.44140625" style="212" customWidth="1"/>
    <col min="14" max="14" width="12.88671875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44682</v>
      </c>
      <c r="F1" s="209">
        <v>3.7280000000000002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182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185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H6" s="1"/>
      <c r="P6" s="378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6"/>
      <c r="I10" s="307"/>
      <c r="J10" s="310"/>
      <c r="K10" s="305"/>
      <c r="L10" s="305"/>
      <c r="M10" s="305"/>
      <c r="N10" s="306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6"/>
      <c r="I11" s="307"/>
      <c r="J11" s="310"/>
      <c r="K11" s="305"/>
      <c r="L11" s="305"/>
      <c r="M11" s="305"/>
      <c r="N11" s="306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5302</v>
      </c>
      <c r="H12" s="309">
        <v>10459</v>
      </c>
      <c r="I12" s="310">
        <v>95.317099999999996</v>
      </c>
      <c r="J12" s="310">
        <v>101.63</v>
      </c>
      <c r="K12" s="305"/>
      <c r="L12" s="305"/>
      <c r="M12" s="305"/>
      <c r="N12" s="306">
        <v>345.34930000000003</v>
      </c>
      <c r="O12" s="311">
        <v>1567974.0807</v>
      </c>
      <c r="P12" s="305">
        <v>293995.14</v>
      </c>
      <c r="Q12" s="305">
        <v>235196.11</v>
      </c>
      <c r="R12" s="172">
        <v>0.15</v>
      </c>
      <c r="S12" s="305">
        <v>58799.03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51905.16</v>
      </c>
      <c r="H13" s="309">
        <v>54127.44</v>
      </c>
      <c r="I13" s="310">
        <v>3</v>
      </c>
      <c r="J13" s="310">
        <v>3</v>
      </c>
      <c r="K13" s="305"/>
      <c r="L13" s="305"/>
      <c r="M13" s="305"/>
      <c r="N13" s="306">
        <v>971.29480000000001</v>
      </c>
      <c r="O13" s="311">
        <v>317126.50520000007</v>
      </c>
      <c r="P13" s="305">
        <v>59461.22</v>
      </c>
      <c r="Q13" s="305">
        <v>47568.98</v>
      </c>
      <c r="R13" s="172">
        <v>0.15</v>
      </c>
      <c r="S13" s="305">
        <v>11892.24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6">
        <v>6160</v>
      </c>
      <c r="H14" s="306">
        <v>6575</v>
      </c>
      <c r="I14" s="310">
        <v>107.42610000000001</v>
      </c>
      <c r="J14" s="310">
        <v>112.1093</v>
      </c>
      <c r="K14" s="305"/>
      <c r="L14" s="305"/>
      <c r="M14" s="305"/>
      <c r="N14" s="306">
        <v>895.75130000000001</v>
      </c>
      <c r="O14" s="306">
        <v>1397967.6787000003</v>
      </c>
      <c r="P14" s="305">
        <v>262118.94</v>
      </c>
      <c r="Q14" s="305">
        <v>209695.15</v>
      </c>
      <c r="R14" s="172">
        <v>0.15</v>
      </c>
      <c r="S14" s="305">
        <v>52423.79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6">
        <v>36706.9</v>
      </c>
      <c r="H15" s="306">
        <v>42658.01</v>
      </c>
      <c r="I15" s="310">
        <v>2.6775000000000002</v>
      </c>
      <c r="J15" s="310">
        <v>2.6775000000000002</v>
      </c>
      <c r="K15" s="305"/>
      <c r="L15" s="305"/>
      <c r="M15" s="305"/>
      <c r="N15" s="306">
        <v>955.10929999999996</v>
      </c>
      <c r="O15" s="306">
        <v>211544.4307</v>
      </c>
      <c r="P15" s="305">
        <v>39664.58</v>
      </c>
      <c r="Q15" s="305">
        <v>31731.66</v>
      </c>
      <c r="R15" s="172">
        <v>0.15</v>
      </c>
      <c r="S15" s="305">
        <v>7932.9200000000019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6">
        <v>6500</v>
      </c>
      <c r="H16" s="306">
        <v>7956</v>
      </c>
      <c r="I16" s="310">
        <v>95.317099999999996</v>
      </c>
      <c r="J16" s="307">
        <v>101.63</v>
      </c>
      <c r="K16" s="305"/>
      <c r="L16" s="305"/>
      <c r="M16" s="305"/>
      <c r="N16" s="306">
        <v>636.73860000000002</v>
      </c>
      <c r="O16" s="306">
        <v>1427492.6914000001</v>
      </c>
      <c r="P16" s="305">
        <v>267654.88</v>
      </c>
      <c r="Q16" s="305">
        <v>214123.9</v>
      </c>
      <c r="R16" s="172">
        <v>0.15</v>
      </c>
      <c r="S16" s="305">
        <v>53530.98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6">
        <v>31685</v>
      </c>
      <c r="H17" s="306">
        <v>35935</v>
      </c>
      <c r="I17" s="310">
        <v>95.317099999999996</v>
      </c>
      <c r="J17" s="307">
        <v>101.63</v>
      </c>
      <c r="K17" s="305"/>
      <c r="L17" s="305"/>
      <c r="M17" s="305"/>
      <c r="N17" s="306">
        <v>1645.8079</v>
      </c>
      <c r="O17" s="306">
        <v>6670550.552099999</v>
      </c>
      <c r="P17" s="305">
        <v>1250728.23</v>
      </c>
      <c r="Q17" s="305">
        <v>1000582.58</v>
      </c>
      <c r="R17" s="172">
        <v>0.15</v>
      </c>
      <c r="S17" s="305">
        <v>250145.65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6"/>
      <c r="H18" s="306"/>
      <c r="I18" s="310"/>
      <c r="J18" s="307"/>
      <c r="K18" s="305"/>
      <c r="L18" s="305"/>
      <c r="M18" s="305"/>
      <c r="N18" s="306"/>
      <c r="O18" s="306"/>
      <c r="P18" s="305"/>
      <c r="Q18" s="305"/>
      <c r="R18" s="172">
        <v>0.15</v>
      </c>
      <c r="S18" s="305"/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6"/>
      <c r="H19" s="306"/>
      <c r="I19" s="310"/>
      <c r="J19" s="307"/>
      <c r="K19" s="305"/>
      <c r="L19" s="305"/>
      <c r="M19" s="305"/>
      <c r="N19" s="306"/>
      <c r="O19" s="306"/>
      <c r="P19" s="305"/>
      <c r="Q19" s="305"/>
      <c r="R19" s="172">
        <v>0.15</v>
      </c>
      <c r="S19" s="305"/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6">
        <v>33719.550000000003</v>
      </c>
      <c r="H20" s="306">
        <v>48700.62</v>
      </c>
      <c r="I20" s="310">
        <v>4.5180999999999996</v>
      </c>
      <c r="J20" s="307">
        <v>4.5180999999999996</v>
      </c>
      <c r="K20" s="305"/>
      <c r="L20" s="305"/>
      <c r="M20" s="305"/>
      <c r="N20" s="306"/>
      <c r="O20" s="306">
        <v>372382.56999999995</v>
      </c>
      <c r="P20" s="305">
        <v>69821.73</v>
      </c>
      <c r="Q20" s="305">
        <v>55857.39</v>
      </c>
      <c r="R20" s="172">
        <v>0.15</v>
      </c>
      <c r="S20" s="305">
        <v>13964.35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5"/>
      <c r="H21" s="306">
        <v>4255</v>
      </c>
      <c r="I21" s="307"/>
      <c r="J21" s="310">
        <v>98.971900000000005</v>
      </c>
      <c r="K21" s="305"/>
      <c r="L21" s="305"/>
      <c r="M21" s="305"/>
      <c r="N21" s="306">
        <v>755.45180000000005</v>
      </c>
      <c r="O21" s="311">
        <v>420369.97820000001</v>
      </c>
      <c r="P21" s="305">
        <v>78819.37</v>
      </c>
      <c r="Q21" s="305">
        <v>63055.5</v>
      </c>
      <c r="R21" s="172">
        <v>0.15</v>
      </c>
      <c r="S21" s="305">
        <v>15763.87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6">
        <v>50318</v>
      </c>
      <c r="H22" s="306">
        <v>65226</v>
      </c>
      <c r="I22" s="310">
        <v>94.767099999999999</v>
      </c>
      <c r="J22" s="307">
        <v>101.08</v>
      </c>
      <c r="K22" s="305"/>
      <c r="L22" s="305"/>
      <c r="M22" s="305"/>
      <c r="N22" s="306">
        <v>4586.6765999999998</v>
      </c>
      <c r="O22" s="311">
        <v>11356948.3434</v>
      </c>
      <c r="P22" s="305">
        <v>2129427.81</v>
      </c>
      <c r="Q22" s="305">
        <v>1703542.25</v>
      </c>
      <c r="R22" s="172">
        <v>0.15</v>
      </c>
      <c r="S22" s="305">
        <v>425885.56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5"/>
      <c r="H23" s="305"/>
      <c r="I23" s="307"/>
      <c r="J23" s="307"/>
      <c r="K23" s="305"/>
      <c r="L23" s="305"/>
      <c r="M23" s="305"/>
      <c r="N23" s="305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5">
        <v>75957.009999999995</v>
      </c>
      <c r="H24" s="305">
        <v>84035.1</v>
      </c>
      <c r="I24" s="307">
        <v>0.8</v>
      </c>
      <c r="J24" s="307">
        <v>0.8</v>
      </c>
      <c r="K24" s="305"/>
      <c r="L24" s="305"/>
      <c r="M24" s="305"/>
      <c r="N24" s="305">
        <v>1073.8225</v>
      </c>
      <c r="O24" s="311">
        <v>126919.86750000001</v>
      </c>
      <c r="P24" s="305">
        <v>23797.48</v>
      </c>
      <c r="Q24" s="305">
        <v>19037.98</v>
      </c>
      <c r="R24" s="172">
        <v>0.15</v>
      </c>
      <c r="S24" s="305">
        <v>4759.5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5">
        <v>2063</v>
      </c>
      <c r="H25" s="305">
        <v>2671</v>
      </c>
      <c r="I25" s="307">
        <v>95.317099999999996</v>
      </c>
      <c r="J25" s="310">
        <v>101.63</v>
      </c>
      <c r="K25" s="305"/>
      <c r="L25" s="305"/>
      <c r="M25" s="305"/>
      <c r="N25" s="306">
        <v>372.33069999999998</v>
      </c>
      <c r="O25" s="311">
        <v>467720.57929999998</v>
      </c>
      <c r="P25" s="305">
        <v>87697.61</v>
      </c>
      <c r="Q25" s="305">
        <v>70158.09</v>
      </c>
      <c r="R25" s="172">
        <v>0.15</v>
      </c>
      <c r="S25" s="305">
        <v>17539.52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5">
        <v>170657</v>
      </c>
      <c r="H26" s="305">
        <v>181222</v>
      </c>
      <c r="I26" s="307">
        <v>95.317099999999996</v>
      </c>
      <c r="J26" s="310">
        <v>101.63</v>
      </c>
      <c r="K26" s="305"/>
      <c r="L26" s="305"/>
      <c r="M26" s="305"/>
      <c r="N26" s="306">
        <v>5741.4404999999997</v>
      </c>
      <c r="O26" s="311">
        <v>34678380.749499999</v>
      </c>
      <c r="P26" s="305">
        <v>6502196.3899999997</v>
      </c>
      <c r="Q26" s="305">
        <v>5201757.1100000003</v>
      </c>
      <c r="R26" s="172">
        <v>0.15</v>
      </c>
      <c r="S26" s="305">
        <v>1300439.28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5">
        <v>252146.13</v>
      </c>
      <c r="H27" s="305">
        <v>263478.45</v>
      </c>
      <c r="I27" s="381">
        <v>2.4748000000000001</v>
      </c>
      <c r="J27" s="310">
        <v>2.4748000000000001</v>
      </c>
      <c r="K27" s="305"/>
      <c r="L27" s="305"/>
      <c r="M27" s="305"/>
      <c r="N27" s="306">
        <v>1133.1804999999999</v>
      </c>
      <c r="O27" s="311">
        <v>1274934.5294999999</v>
      </c>
      <c r="P27" s="305">
        <v>239050.22</v>
      </c>
      <c r="Q27" s="305">
        <v>191240.18</v>
      </c>
      <c r="R27" s="172">
        <v>0.15</v>
      </c>
      <c r="S27" s="305">
        <v>47810.04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07"/>
      <c r="J28" s="307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5">
        <v>420</v>
      </c>
      <c r="H29" s="305">
        <v>469</v>
      </c>
      <c r="I29" s="307">
        <v>106.93819999999999</v>
      </c>
      <c r="J29" s="310">
        <v>111.7698</v>
      </c>
      <c r="K29" s="305"/>
      <c r="L29" s="305"/>
      <c r="M29" s="305"/>
      <c r="N29" s="305">
        <v>404.70729999999998</v>
      </c>
      <c r="O29" s="311">
        <v>96929.372700000007</v>
      </c>
      <c r="P29" s="305">
        <v>18174.259999999998</v>
      </c>
      <c r="Q29" s="305">
        <v>14539.41</v>
      </c>
      <c r="R29" s="172">
        <v>0.15</v>
      </c>
      <c r="S29" s="305">
        <v>3634.85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6">
        <v>30675</v>
      </c>
      <c r="H30" s="306">
        <v>43364</v>
      </c>
      <c r="I30" s="381">
        <v>93.347099999999998</v>
      </c>
      <c r="J30" s="310">
        <v>99.66</v>
      </c>
      <c r="K30" s="305"/>
      <c r="L30" s="305"/>
      <c r="M30" s="305"/>
      <c r="N30" s="306">
        <v>3858.2033999999999</v>
      </c>
      <c r="O30" s="311">
        <v>7181220.3266000003</v>
      </c>
      <c r="P30" s="305">
        <v>1346478.81</v>
      </c>
      <c r="Q30" s="305">
        <v>1077183.05</v>
      </c>
      <c r="R30" s="172">
        <v>0.15</v>
      </c>
      <c r="S30" s="305">
        <v>269295.76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6"/>
      <c r="H31" s="305"/>
      <c r="I31" s="307"/>
      <c r="J31" s="307"/>
      <c r="K31" s="305"/>
      <c r="L31" s="305"/>
      <c r="M31" s="305"/>
      <c r="N31" s="306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178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6">
        <v>160977.09020000001</v>
      </c>
      <c r="H32" s="305">
        <v>178576.12119999999</v>
      </c>
      <c r="I32" s="307">
        <v>1.61</v>
      </c>
      <c r="J32" s="307">
        <v>1.61</v>
      </c>
      <c r="K32" s="305"/>
      <c r="L32" s="305"/>
      <c r="M32" s="305"/>
      <c r="N32" s="306">
        <v>1602.6409000000001</v>
      </c>
      <c r="O32" s="311">
        <v>545078.03909999994</v>
      </c>
      <c r="P32" s="305">
        <v>102202.13</v>
      </c>
      <c r="Q32" s="305">
        <v>81761.710000000006</v>
      </c>
      <c r="R32" s="172">
        <v>0.15</v>
      </c>
      <c r="S32" s="305">
        <v>20440.43</v>
      </c>
      <c r="T32" s="198">
        <v>3.7499999999999999E-2</v>
      </c>
    </row>
    <row r="33" spans="1:20" x14ac:dyDescent="0.2">
      <c r="A33" s="303" t="s">
        <v>28</v>
      </c>
      <c r="B33" s="19" t="s">
        <v>179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6">
        <v>57251.251199999999</v>
      </c>
      <c r="H33" s="305">
        <v>89598.703399999999</v>
      </c>
      <c r="I33" s="307">
        <v>3.6642000000000001</v>
      </c>
      <c r="J33" s="307">
        <v>3.62</v>
      </c>
      <c r="K33" s="305"/>
      <c r="L33" s="305"/>
      <c r="M33" s="305"/>
      <c r="N33" s="306"/>
      <c r="O33" s="311">
        <v>534127.34</v>
      </c>
      <c r="P33" s="305">
        <v>100148.88</v>
      </c>
      <c r="Q33" s="305">
        <v>80119.100000000006</v>
      </c>
      <c r="R33" s="172">
        <v>0.15</v>
      </c>
      <c r="S33" s="305">
        <v>20029.78</v>
      </c>
      <c r="T33" s="198">
        <v>3.7499999999999999E-2</v>
      </c>
    </row>
    <row r="34" spans="1:20" x14ac:dyDescent="0.2">
      <c r="A34" s="303" t="s">
        <v>28</v>
      </c>
      <c r="B34" s="19" t="s">
        <v>137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6"/>
      <c r="H34" s="305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144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5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6">
        <v>19087.1492</v>
      </c>
      <c r="H36" s="305">
        <v>23496.5923</v>
      </c>
      <c r="I36" s="307">
        <v>3.3952</v>
      </c>
      <c r="J36" s="307">
        <v>3.3877000000000002</v>
      </c>
      <c r="K36" s="305"/>
      <c r="L36" s="305"/>
      <c r="M36" s="305"/>
      <c r="N36" s="306"/>
      <c r="O36" s="311">
        <v>144404.1</v>
      </c>
      <c r="P36" s="305">
        <v>27075.77</v>
      </c>
      <c r="Q36" s="305">
        <v>21660.62</v>
      </c>
      <c r="R36" s="172">
        <v>0.15</v>
      </c>
      <c r="S36" s="305">
        <v>5415.15</v>
      </c>
      <c r="T36" s="198">
        <v>3.7499999999999999E-2</v>
      </c>
    </row>
    <row r="37" spans="1:20" x14ac:dyDescent="0.2">
      <c r="A37" s="303"/>
      <c r="B37" s="579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06"/>
      <c r="H37" s="306">
        <v>1804.8142</v>
      </c>
      <c r="I37" s="307"/>
      <c r="J37" s="307">
        <v>2.2999999999999998</v>
      </c>
      <c r="K37" s="305"/>
      <c r="L37" s="305"/>
      <c r="M37" s="305"/>
      <c r="N37" s="306"/>
      <c r="O37" s="311">
        <v>4151.07</v>
      </c>
      <c r="P37" s="305">
        <v>778.33</v>
      </c>
      <c r="Q37" s="305">
        <v>622.66</v>
      </c>
      <c r="R37" s="172">
        <v>0.15</v>
      </c>
      <c r="S37" s="305">
        <v>155.66999999999999</v>
      </c>
      <c r="T37" s="198">
        <v>3.7499999999999999E-2</v>
      </c>
    </row>
    <row r="38" spans="1:20" x14ac:dyDescent="0.2">
      <c r="A38" s="303" t="s">
        <v>28</v>
      </c>
      <c r="B38" s="579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06">
        <v>1083.367</v>
      </c>
      <c r="H38" s="305">
        <v>1304.8214</v>
      </c>
      <c r="I38" s="307">
        <v>3</v>
      </c>
      <c r="J38" s="307">
        <v>3</v>
      </c>
      <c r="K38" s="305"/>
      <c r="L38" s="305"/>
      <c r="M38" s="305"/>
      <c r="N38" s="306"/>
      <c r="O38" s="311">
        <v>7164.5599999999995</v>
      </c>
      <c r="P38" s="305">
        <v>1343.36</v>
      </c>
      <c r="Q38" s="305">
        <v>1074.68</v>
      </c>
      <c r="R38" s="172">
        <v>0.15</v>
      </c>
      <c r="S38" s="305">
        <v>268.67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5"/>
      <c r="H39" s="306">
        <v>155802</v>
      </c>
      <c r="I39" s="307"/>
      <c r="J39" s="310">
        <v>111.95950000000001</v>
      </c>
      <c r="K39" s="305"/>
      <c r="L39" s="305"/>
      <c r="M39" s="305"/>
      <c r="N39" s="306">
        <v>1241.1006</v>
      </c>
      <c r="O39" s="311">
        <v>17442272.919399999</v>
      </c>
      <c r="P39" s="305">
        <v>3270426.17</v>
      </c>
      <c r="Q39" s="305">
        <v>2616340.94</v>
      </c>
      <c r="R39" s="172">
        <v>0.15</v>
      </c>
      <c r="S39" s="305">
        <v>654085.23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5"/>
      <c r="H40" s="306">
        <v>386604.63</v>
      </c>
      <c r="I40" s="307"/>
      <c r="J40" s="318">
        <v>9.6363000000000003</v>
      </c>
      <c r="K40" s="305"/>
      <c r="L40" s="305"/>
      <c r="M40" s="305"/>
      <c r="N40" s="306">
        <v>1090.0108</v>
      </c>
      <c r="O40" s="311">
        <v>3724348.1892000004</v>
      </c>
      <c r="P40" s="305">
        <v>698315.29</v>
      </c>
      <c r="Q40" s="305">
        <v>558652.23</v>
      </c>
      <c r="R40" s="172">
        <v>0.15</v>
      </c>
      <c r="S40" s="305">
        <v>139663.06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5">
        <v>136</v>
      </c>
      <c r="H41" s="306">
        <v>153</v>
      </c>
      <c r="I41" s="310">
        <v>95.317099999999996</v>
      </c>
      <c r="J41" s="310">
        <v>101.63</v>
      </c>
      <c r="K41" s="305"/>
      <c r="L41" s="305"/>
      <c r="M41" s="305"/>
      <c r="N41" s="306">
        <v>237.43</v>
      </c>
      <c r="O41" s="311">
        <v>28275.089999999997</v>
      </c>
      <c r="P41" s="305">
        <v>5301.58</v>
      </c>
      <c r="Q41" s="305">
        <v>1060.32</v>
      </c>
      <c r="R41" s="198">
        <v>3.7499999999999999E-2</v>
      </c>
      <c r="S41" s="305">
        <v>4241.26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10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6">
        <v>17716</v>
      </c>
      <c r="I44" s="310"/>
      <c r="J44" s="310">
        <v>92.5471</v>
      </c>
      <c r="K44" s="306"/>
      <c r="L44" s="305"/>
      <c r="M44" s="305"/>
      <c r="N44" s="306">
        <v>1187.1378</v>
      </c>
      <c r="O44" s="311">
        <v>1638377.2822</v>
      </c>
      <c r="P44" s="305">
        <v>307195.74</v>
      </c>
      <c r="Q44" s="305">
        <v>245756.59</v>
      </c>
      <c r="R44" s="173">
        <v>0.15</v>
      </c>
      <c r="S44" s="305">
        <v>61439.15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-631667.18999999855</v>
      </c>
      <c r="P46" s="311">
        <v>-118437.60000000028</v>
      </c>
      <c r="Q46" s="311">
        <v>-94750.079999999827</v>
      </c>
      <c r="R46" s="192"/>
      <c r="S46" s="311">
        <v>-23687.520000000004</v>
      </c>
      <c r="T46" s="198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91004993.655399978</v>
      </c>
      <c r="P47" s="325">
        <v>17063436.319999997</v>
      </c>
      <c r="Q47" s="326">
        <v>13647568.109999999</v>
      </c>
      <c r="R47" s="174"/>
      <c r="S47" s="327">
        <v>3415868.2199999993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63612490.600000001</v>
      </c>
      <c r="Q48" s="332">
        <v>50878133.909999996</v>
      </c>
      <c r="R48" s="121"/>
      <c r="S48" s="333">
        <v>12734356.720000001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>
        <v>1162090.6299999997</v>
      </c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20194</v>
      </c>
      <c r="H51" s="306">
        <v>21150</v>
      </c>
      <c r="I51" s="310">
        <v>99.559100000000001</v>
      </c>
      <c r="J51" s="310">
        <v>107.07299999999999</v>
      </c>
      <c r="K51" s="305"/>
      <c r="L51" s="305"/>
      <c r="M51" s="305"/>
      <c r="N51" s="306">
        <v>4780.9360999999999</v>
      </c>
      <c r="O51" s="311">
        <v>4270309.4839000003</v>
      </c>
      <c r="P51" s="305">
        <v>640546.42000000004</v>
      </c>
      <c r="Q51" s="305">
        <v>640546.42000000004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4270309.4839000003</v>
      </c>
      <c r="P53" s="325">
        <v>640546.42000000004</v>
      </c>
      <c r="Q53" s="325">
        <v>640546.42000000004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2387957.0499999998</v>
      </c>
      <c r="Q54" s="332">
        <v>2387957.0499999998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07"/>
      <c r="J58" s="310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43583.51</v>
      </c>
      <c r="H61" s="306">
        <v>79385.5</v>
      </c>
      <c r="I61" s="310">
        <v>3.6616</v>
      </c>
      <c r="J61" s="310">
        <v>3.6631</v>
      </c>
      <c r="K61" s="305"/>
      <c r="L61" s="305"/>
      <c r="M61" s="305"/>
      <c r="N61" s="306">
        <v>598.96680000000003</v>
      </c>
      <c r="O61" s="311">
        <v>449783.44320000004</v>
      </c>
      <c r="P61" s="305">
        <v>84334.399999999994</v>
      </c>
      <c r="Q61" s="305">
        <v>16866.88</v>
      </c>
      <c r="R61" s="198">
        <v>3.7499999999999999E-2</v>
      </c>
      <c r="S61" s="305">
        <v>67467.520000000004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3702</v>
      </c>
      <c r="H62" s="306">
        <v>4055</v>
      </c>
      <c r="I62" s="310">
        <v>73.652699999999996</v>
      </c>
      <c r="J62" s="310">
        <v>77.584500000000006</v>
      </c>
      <c r="K62" s="305"/>
      <c r="L62" s="305"/>
      <c r="M62" s="305"/>
      <c r="N62" s="305">
        <v>2714.2352000000001</v>
      </c>
      <c r="O62" s="311">
        <v>584553.21479999996</v>
      </c>
      <c r="P62" s="305">
        <v>109603.73</v>
      </c>
      <c r="Q62" s="305">
        <v>21920.75</v>
      </c>
      <c r="R62" s="198">
        <v>3.7499999999999999E-2</v>
      </c>
      <c r="S62" s="305">
        <v>87682.98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258238</v>
      </c>
      <c r="H65" s="306">
        <v>196612</v>
      </c>
      <c r="I65" s="310">
        <v>89.419300000000007</v>
      </c>
      <c r="J65" s="310">
        <v>93.303700000000006</v>
      </c>
      <c r="K65" s="306"/>
      <c r="L65" s="305"/>
      <c r="M65" s="305"/>
      <c r="N65" s="306">
        <v>6399.7599</v>
      </c>
      <c r="O65" s="311">
        <v>41429688.490099996</v>
      </c>
      <c r="P65" s="305">
        <v>7768066.5899999999</v>
      </c>
      <c r="Q65" s="305">
        <v>6214453.2699999996</v>
      </c>
      <c r="R65" s="172">
        <v>0.15</v>
      </c>
      <c r="S65" s="305">
        <v>1553613.32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>
        <v>42831</v>
      </c>
      <c r="H66" s="306">
        <v>50074</v>
      </c>
      <c r="I66" s="310">
        <v>68.675399999999996</v>
      </c>
      <c r="J66" s="310">
        <v>72.919899999999998</v>
      </c>
      <c r="K66" s="306"/>
      <c r="L66" s="305"/>
      <c r="M66" s="305"/>
      <c r="N66" s="306">
        <v>4430.1914999999999</v>
      </c>
      <c r="O66" s="311">
        <v>6588396.9385000002</v>
      </c>
      <c r="P66" s="305">
        <v>1235324.43</v>
      </c>
      <c r="Q66" s="305">
        <v>988259.53999999992</v>
      </c>
      <c r="R66" s="172">
        <v>0.15</v>
      </c>
      <c r="S66" s="305">
        <v>247064.89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05">
        <v>0</v>
      </c>
      <c r="P67" s="305">
        <v>0</v>
      </c>
      <c r="Q67" s="305">
        <v>0</v>
      </c>
      <c r="R67" s="305"/>
      <c r="S67" s="305">
        <v>0</v>
      </c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49052422.086599998</v>
      </c>
      <c r="P68" s="325">
        <v>9197329.1500000004</v>
      </c>
      <c r="Q68" s="325">
        <v>7241500.4399999995</v>
      </c>
      <c r="R68" s="183"/>
      <c r="S68" s="325">
        <v>1955828.71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34287643.07</v>
      </c>
      <c r="Q69" s="333">
        <v>26996313.640000001</v>
      </c>
      <c r="R69" s="139"/>
      <c r="S69" s="333">
        <v>7291329.4299999997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815718</v>
      </c>
      <c r="H71" s="305">
        <v>841202</v>
      </c>
      <c r="I71" s="307">
        <v>71.292000000000002</v>
      </c>
      <c r="J71" s="307">
        <v>67.868200000000002</v>
      </c>
      <c r="K71" s="305"/>
      <c r="L71" s="305"/>
      <c r="M71" s="305"/>
      <c r="N71" s="305"/>
      <c r="O71" s="311">
        <v>115245033.2324</v>
      </c>
      <c r="P71" s="316">
        <v>42917250.380000003</v>
      </c>
      <c r="Q71" s="305">
        <v>21458625.190000001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10281098.1</v>
      </c>
      <c r="H72" s="305">
        <v>12647945.58</v>
      </c>
      <c r="I72" s="307">
        <v>2.4087999999999998</v>
      </c>
      <c r="J72" s="307">
        <v>2.4087999999999998</v>
      </c>
      <c r="K72" s="305"/>
      <c r="L72" s="305"/>
      <c r="M72" s="305"/>
      <c r="N72" s="305"/>
      <c r="O72" s="311">
        <v>55231480.416383997</v>
      </c>
      <c r="P72" s="316">
        <v>20568203.309999999</v>
      </c>
      <c r="Q72" s="305">
        <v>10284101.66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31803.75</v>
      </c>
      <c r="H73" s="305">
        <v>33809.440000000002</v>
      </c>
      <c r="I73" s="307">
        <v>3.0929000000000002</v>
      </c>
      <c r="J73" s="307">
        <v>3.0929000000000002</v>
      </c>
      <c r="K73" s="305"/>
      <c r="L73" s="305"/>
      <c r="M73" s="305"/>
      <c r="N73" s="305"/>
      <c r="O73" s="311">
        <v>202935.03535100003</v>
      </c>
      <c r="P73" s="316">
        <v>75573.009999999995</v>
      </c>
      <c r="Q73" s="305">
        <v>37786.51</v>
      </c>
      <c r="R73" s="172">
        <v>0.5</v>
      </c>
      <c r="S73" s="305"/>
      <c r="T73" s="172"/>
    </row>
    <row r="74" spans="1:20" ht="12" customHeight="1" x14ac:dyDescent="0.2">
      <c r="A74" s="303" t="s">
        <v>28</v>
      </c>
      <c r="B74" s="19" t="s">
        <v>123</v>
      </c>
      <c r="C74" s="85" t="s">
        <v>31</v>
      </c>
      <c r="D74" s="85" t="s">
        <v>30</v>
      </c>
      <c r="E74" s="85" t="s">
        <v>102</v>
      </c>
      <c r="F74" s="182" t="s">
        <v>56</v>
      </c>
      <c r="G74" s="305">
        <v>878146.75</v>
      </c>
      <c r="H74" s="305">
        <v>942159.58</v>
      </c>
      <c r="I74" s="307">
        <v>2.3860000000000001</v>
      </c>
      <c r="J74" s="307">
        <v>5.8010000000000002</v>
      </c>
      <c r="K74" s="305"/>
      <c r="L74" s="305"/>
      <c r="M74" s="305"/>
      <c r="N74" s="305"/>
      <c r="O74" s="311">
        <v>7560725.8690799996</v>
      </c>
      <c r="P74" s="316">
        <v>2873075.83</v>
      </c>
      <c r="Q74" s="305">
        <v>1436537.92</v>
      </c>
      <c r="R74" s="219">
        <v>0.5</v>
      </c>
      <c r="S74" s="305"/>
      <c r="T74" s="172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198225</v>
      </c>
      <c r="H75" s="305">
        <v>218840</v>
      </c>
      <c r="I75" s="307">
        <v>71.289400000000001</v>
      </c>
      <c r="J75" s="307">
        <v>67.854200000000006</v>
      </c>
      <c r="K75" s="305"/>
      <c r="L75" s="305"/>
      <c r="M75" s="305"/>
      <c r="N75" s="305"/>
      <c r="O75" s="311">
        <v>28980554.443</v>
      </c>
      <c r="P75" s="316">
        <v>11592221.780000001</v>
      </c>
      <c r="Q75" s="305">
        <v>5796110.8899999997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5610913.8700000001</v>
      </c>
      <c r="H76" s="305">
        <v>6169593.6200000001</v>
      </c>
      <c r="I76" s="307">
        <v>2.3860000000000001</v>
      </c>
      <c r="J76" s="307">
        <v>5.8010000000000002</v>
      </c>
      <c r="K76" s="305"/>
      <c r="L76" s="305"/>
      <c r="M76" s="305"/>
      <c r="N76" s="305"/>
      <c r="O76" s="311">
        <v>49177453.083440006</v>
      </c>
      <c r="P76" s="316">
        <v>18687432.169999998</v>
      </c>
      <c r="Q76" s="305">
        <v>9343716.0899999999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249222.25</v>
      </c>
      <c r="H77" s="305">
        <v>273209.31</v>
      </c>
      <c r="I77" s="307">
        <v>2.1051000000000002</v>
      </c>
      <c r="J77" s="307">
        <v>2.1051000000000002</v>
      </c>
      <c r="K77" s="306"/>
      <c r="L77" s="305"/>
      <c r="M77" s="305"/>
      <c r="N77" s="306"/>
      <c r="O77" s="311">
        <v>1099770.676956</v>
      </c>
      <c r="P77" s="316">
        <v>409554.6</v>
      </c>
      <c r="Q77" s="305">
        <v>204777.3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230503</v>
      </c>
      <c r="H78" s="305">
        <v>246368</v>
      </c>
      <c r="I78" s="307">
        <v>60.395899999999997</v>
      </c>
      <c r="J78" s="307">
        <v>58.234099999999998</v>
      </c>
      <c r="K78" s="306"/>
      <c r="L78" s="305"/>
      <c r="M78" s="305"/>
      <c r="N78" s="306"/>
      <c r="O78" s="311">
        <v>28268454.886500001</v>
      </c>
      <c r="P78" s="316">
        <v>1877025.404696</v>
      </c>
      <c r="Q78" s="305">
        <v>938512.7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3665424.95</v>
      </c>
      <c r="H79" s="305">
        <v>3907946.53</v>
      </c>
      <c r="I79" s="307">
        <v>11.106</v>
      </c>
      <c r="J79" s="307">
        <v>11.106</v>
      </c>
      <c r="K79" s="258"/>
      <c r="L79" s="305"/>
      <c r="M79" s="305"/>
      <c r="N79" s="306"/>
      <c r="O79" s="311">
        <v>84109863.656879991</v>
      </c>
      <c r="P79" s="316">
        <v>8949289.4923600014</v>
      </c>
      <c r="Q79" s="305">
        <v>4474644.75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163">
        <v>-83580677.890816376</v>
      </c>
      <c r="P80" s="163">
        <v>-13687972.802582001</v>
      </c>
      <c r="Q80" s="163">
        <v>-6843986.3999999966</v>
      </c>
      <c r="R80" s="172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/>
      <c r="H81" s="195"/>
      <c r="I81" s="228"/>
      <c r="J81" s="195"/>
      <c r="K81" s="205"/>
      <c r="L81" s="199"/>
      <c r="M81" s="227"/>
      <c r="N81" s="166"/>
      <c r="O81" s="166">
        <v>286295593.40917462</v>
      </c>
      <c r="P81" s="166">
        <v>94261653.174474001</v>
      </c>
      <c r="Q81" s="166">
        <v>47130826.610000007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/>
      <c r="H82" s="196"/>
      <c r="I82" s="229"/>
      <c r="J82" s="195"/>
      <c r="K82" s="206"/>
      <c r="L82" s="200"/>
      <c r="M82" s="260"/>
      <c r="N82" s="261"/>
      <c r="O82" s="261"/>
      <c r="P82" s="160"/>
      <c r="Q82" s="160">
        <v>175703721.60208005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/>
      <c r="H83" s="197"/>
      <c r="I83" s="195"/>
      <c r="J83" s="195"/>
      <c r="K83" s="230"/>
      <c r="L83" s="231"/>
      <c r="M83" s="216">
        <v>0</v>
      </c>
      <c r="N83" s="216">
        <v>47658.274100000002</v>
      </c>
      <c r="O83" s="216">
        <v>430623318.63507462</v>
      </c>
      <c r="P83" s="216">
        <v>74032138.5</v>
      </c>
      <c r="Q83" s="161">
        <v>275991812.35208005</v>
      </c>
      <c r="R83" s="52"/>
      <c r="S83" s="161"/>
      <c r="T83" s="52"/>
    </row>
    <row r="84" spans="1:20" x14ac:dyDescent="0.2">
      <c r="O84" s="236"/>
      <c r="S84" s="226"/>
    </row>
    <row r="85" spans="1:20" x14ac:dyDescent="0.2">
      <c r="A85" s="360" t="s">
        <v>90</v>
      </c>
      <c r="B85" s="212" t="s">
        <v>73</v>
      </c>
      <c r="H85" s="360" t="s">
        <v>74</v>
      </c>
      <c r="J85" s="62"/>
      <c r="K85" s="62"/>
      <c r="N85" s="296"/>
      <c r="O85" s="236">
        <v>309943823.04999995</v>
      </c>
      <c r="P85" s="226"/>
      <c r="Q85" s="296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361"/>
      <c r="O86" s="379"/>
      <c r="P86" s="226"/>
      <c r="Q86" s="62"/>
    </row>
    <row r="87" spans="1:20" x14ac:dyDescent="0.2">
      <c r="B87" s="363" t="s">
        <v>78</v>
      </c>
      <c r="C87" s="89" t="s">
        <v>79</v>
      </c>
      <c r="D87" s="364"/>
      <c r="E87" s="90">
        <v>108.735</v>
      </c>
      <c r="F87" s="90">
        <v>115.8617</v>
      </c>
      <c r="H87" s="91" t="s">
        <v>183</v>
      </c>
      <c r="L87" s="92"/>
      <c r="M87" s="234">
        <v>6.2200000337121024E-2</v>
      </c>
      <c r="N87" s="234">
        <v>6.4199999463479832E-2</v>
      </c>
      <c r="O87" s="379"/>
      <c r="P87" s="296"/>
      <c r="Q87" s="226"/>
    </row>
    <row r="88" spans="1:20" x14ac:dyDescent="0.2">
      <c r="B88" s="365" t="s">
        <v>80</v>
      </c>
      <c r="C88" s="93" t="s">
        <v>81</v>
      </c>
      <c r="D88" s="366"/>
      <c r="E88" s="94">
        <v>62.966500000000003</v>
      </c>
      <c r="F88" s="95">
        <v>62.952199999999998</v>
      </c>
      <c r="H88" s="96">
        <v>73.652668885200001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367"/>
      <c r="P88" s="296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I89" s="380"/>
      <c r="M89" s="234">
        <v>0.39999999969547706</v>
      </c>
      <c r="N89" s="234">
        <v>0.39999999979093542</v>
      </c>
      <c r="O89" s="237"/>
    </row>
    <row r="90" spans="1:20" x14ac:dyDescent="0.2">
      <c r="B90" s="365" t="s">
        <v>84</v>
      </c>
      <c r="C90" s="93" t="s">
        <v>85</v>
      </c>
      <c r="D90" s="366"/>
      <c r="E90" s="99">
        <v>0.56840000000000002</v>
      </c>
      <c r="F90" s="99">
        <v>0.57569999999999999</v>
      </c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237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184</v>
      </c>
      <c r="I91" s="380"/>
      <c r="L91" s="92"/>
      <c r="N91" s="259"/>
      <c r="O91" s="237"/>
    </row>
    <row r="92" spans="1:20" x14ac:dyDescent="0.2">
      <c r="B92" s="368" t="s">
        <v>88</v>
      </c>
      <c r="C92" s="102" t="s">
        <v>89</v>
      </c>
      <c r="D92" s="369"/>
      <c r="E92" s="103">
        <v>0</v>
      </c>
      <c r="F92" s="103">
        <v>0</v>
      </c>
      <c r="H92" s="96">
        <v>77.584549607262005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H93" s="329"/>
      <c r="M93" s="237"/>
      <c r="N93" s="237"/>
      <c r="O93" s="237"/>
    </row>
    <row r="94" spans="1:20" x14ac:dyDescent="0.2">
      <c r="A94" s="587" t="s">
        <v>205</v>
      </c>
    </row>
  </sheetData>
  <mergeCells count="2">
    <mergeCell ref="C7:C8"/>
    <mergeCell ref="O7:O8"/>
  </mergeCells>
  <phoneticPr fontId="0" type="noConversion"/>
  <printOptions horizontalCentered="1" verticalCentered="1"/>
  <pageMargins left="0.25" right="0.25" top="0.5" bottom="0.5" header="0" footer="0"/>
  <pageSetup paperSize="9" scale="4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T94"/>
  <sheetViews>
    <sheetView view="pageBreakPreview" topLeftCell="A72" zoomScale="95" zoomScaleNormal="95" zoomScaleSheetLayoutView="95" workbookViewId="0">
      <selection activeCell="J112" sqref="J112"/>
    </sheetView>
  </sheetViews>
  <sheetFormatPr baseColWidth="10" defaultColWidth="8.88671875" defaultRowHeight="12.75" x14ac:dyDescent="0.2"/>
  <cols>
    <col min="1" max="1" width="3" style="62" customWidth="1"/>
    <col min="2" max="2" width="11" style="62" customWidth="1"/>
    <col min="3" max="4" width="7.109375" style="62" customWidth="1"/>
    <col min="5" max="5" width="7.5546875" style="62" customWidth="1"/>
    <col min="6" max="6" width="8.44140625" style="62" customWidth="1"/>
    <col min="7" max="10" width="10.44140625" style="62" customWidth="1"/>
    <col min="11" max="13" width="10.44140625" style="62" hidden="1" customWidth="1"/>
    <col min="14" max="14" width="10.44140625" style="62" customWidth="1"/>
    <col min="15" max="15" width="12.44140625" style="62" customWidth="1"/>
    <col min="16" max="17" width="11.5546875" style="62" customWidth="1"/>
    <col min="18" max="18" width="5.6640625" style="384" customWidth="1"/>
    <col min="19" max="19" width="11.5546875" style="62" customWidth="1"/>
    <col min="20" max="20" width="5.6640625" style="295" customWidth="1"/>
    <col min="21" max="16384" width="8.88671875" style="62"/>
  </cols>
  <sheetData>
    <row r="1" spans="1:20" x14ac:dyDescent="0.2">
      <c r="A1" s="62" t="s">
        <v>51</v>
      </c>
      <c r="C1" s="382"/>
      <c r="D1" s="382"/>
      <c r="E1" s="6">
        <v>44713</v>
      </c>
      <c r="F1" s="561">
        <v>3.8780000000000001</v>
      </c>
      <c r="I1" s="383"/>
      <c r="J1" s="383"/>
    </row>
    <row r="2" spans="1:20" x14ac:dyDescent="0.2">
      <c r="A2" s="382" t="s">
        <v>0</v>
      </c>
      <c r="I2" s="383"/>
      <c r="J2" s="383"/>
    </row>
    <row r="3" spans="1:20" x14ac:dyDescent="0.2">
      <c r="A3" s="385" t="s">
        <v>100</v>
      </c>
      <c r="B3" s="385"/>
      <c r="C3" s="385"/>
      <c r="D3" s="385"/>
      <c r="E3" s="385"/>
      <c r="F3" s="385"/>
      <c r="G3" s="385"/>
      <c r="H3" s="385"/>
      <c r="I3" s="386"/>
      <c r="J3" s="386"/>
      <c r="K3" s="385"/>
      <c r="L3" s="385"/>
      <c r="M3" s="385"/>
      <c r="N3" s="385"/>
      <c r="O3" s="385"/>
      <c r="P3" s="385"/>
      <c r="Q3" s="385"/>
      <c r="R3" s="387"/>
      <c r="S3" s="385"/>
      <c r="T3" s="388"/>
    </row>
    <row r="4" spans="1:20" x14ac:dyDescent="0.2">
      <c r="A4" s="269" t="s">
        <v>186</v>
      </c>
      <c r="B4" s="269"/>
      <c r="C4" s="269"/>
      <c r="D4" s="269"/>
      <c r="E4" s="269"/>
      <c r="F4" s="269"/>
      <c r="G4" s="269"/>
      <c r="H4" s="269"/>
      <c r="I4" s="389"/>
      <c r="J4" s="389"/>
      <c r="K4" s="269"/>
      <c r="L4" s="269"/>
      <c r="M4" s="269"/>
      <c r="N4" s="269"/>
      <c r="O4" s="269"/>
      <c r="P4" s="269"/>
      <c r="Q4" s="269"/>
      <c r="R4" s="390"/>
      <c r="S4" s="269"/>
      <c r="T4" s="391"/>
    </row>
    <row r="5" spans="1:20" x14ac:dyDescent="0.2">
      <c r="A5" s="269" t="s">
        <v>210</v>
      </c>
      <c r="B5" s="269"/>
      <c r="C5" s="269"/>
      <c r="D5" s="269"/>
      <c r="E5" s="269"/>
      <c r="F5" s="269"/>
      <c r="G5" s="269"/>
      <c r="H5" s="269"/>
      <c r="I5" s="389"/>
      <c r="J5" s="389"/>
      <c r="K5" s="269"/>
      <c r="L5" s="269"/>
      <c r="M5" s="269"/>
      <c r="N5" s="269"/>
      <c r="O5" s="269"/>
      <c r="P5" s="269"/>
      <c r="Q5" s="269"/>
      <c r="R5" s="390"/>
      <c r="S5" s="269"/>
      <c r="T5" s="391"/>
    </row>
    <row r="6" spans="1:20" x14ac:dyDescent="0.2">
      <c r="I6" s="383"/>
      <c r="J6" s="383"/>
      <c r="P6" s="392"/>
    </row>
    <row r="7" spans="1:20" ht="21.75" customHeight="1" x14ac:dyDescent="0.2">
      <c r="A7" s="393" t="s">
        <v>25</v>
      </c>
      <c r="B7" s="394"/>
      <c r="C7" s="595" t="s">
        <v>33</v>
      </c>
      <c r="D7" s="395" t="s">
        <v>58</v>
      </c>
      <c r="E7" s="396"/>
      <c r="F7" s="397" t="s">
        <v>98</v>
      </c>
      <c r="G7" s="398"/>
      <c r="H7" s="399"/>
      <c r="I7" s="400" t="s">
        <v>38</v>
      </c>
      <c r="J7" s="401"/>
      <c r="K7" s="397" t="s">
        <v>41</v>
      </c>
      <c r="L7" s="398"/>
      <c r="M7" s="398"/>
      <c r="N7" s="399"/>
      <c r="O7" s="595" t="s">
        <v>93</v>
      </c>
      <c r="P7" s="397" t="s">
        <v>50</v>
      </c>
      <c r="Q7" s="398"/>
      <c r="R7" s="402"/>
      <c r="S7" s="398"/>
      <c r="T7" s="403"/>
    </row>
    <row r="8" spans="1:20" ht="14.25" customHeight="1" x14ac:dyDescent="0.2">
      <c r="A8" s="405" t="s">
        <v>26</v>
      </c>
      <c r="B8" s="406"/>
      <c r="C8" s="596"/>
      <c r="D8" s="407" t="s">
        <v>19</v>
      </c>
      <c r="E8" s="408" t="s">
        <v>59</v>
      </c>
      <c r="F8" s="407" t="s">
        <v>27</v>
      </c>
      <c r="G8" s="409" t="s">
        <v>35</v>
      </c>
      <c r="H8" s="410" t="s">
        <v>36</v>
      </c>
      <c r="I8" s="411" t="s">
        <v>35</v>
      </c>
      <c r="J8" s="412" t="s">
        <v>36</v>
      </c>
      <c r="K8" s="409" t="s">
        <v>39</v>
      </c>
      <c r="L8" s="409" t="s">
        <v>40</v>
      </c>
      <c r="M8" s="409" t="s">
        <v>42</v>
      </c>
      <c r="N8" s="409" t="s">
        <v>2</v>
      </c>
      <c r="O8" s="596"/>
      <c r="P8" s="404" t="s">
        <v>1</v>
      </c>
      <c r="Q8" s="397" t="s">
        <v>45</v>
      </c>
      <c r="R8" s="413"/>
      <c r="S8" s="397" t="s">
        <v>46</v>
      </c>
      <c r="T8" s="403"/>
    </row>
    <row r="9" spans="1:20" x14ac:dyDescent="0.2">
      <c r="A9" s="414" t="s">
        <v>23</v>
      </c>
      <c r="B9" s="415"/>
      <c r="C9" s="416"/>
      <c r="D9" s="417"/>
      <c r="E9" s="417"/>
      <c r="F9" s="414"/>
      <c r="G9" s="418"/>
      <c r="H9" s="419"/>
      <c r="I9" s="420"/>
      <c r="J9" s="421"/>
      <c r="K9" s="418"/>
      <c r="L9" s="418"/>
      <c r="M9" s="418"/>
      <c r="N9" s="418"/>
      <c r="O9" s="422"/>
      <c r="P9" s="418"/>
      <c r="Q9" s="423" t="s">
        <v>43</v>
      </c>
      <c r="R9" s="424"/>
      <c r="S9" s="423" t="s">
        <v>44</v>
      </c>
      <c r="T9" s="425"/>
    </row>
    <row r="10" spans="1:20" x14ac:dyDescent="0.2">
      <c r="A10" s="426" t="s">
        <v>28</v>
      </c>
      <c r="B10" s="427" t="s">
        <v>13</v>
      </c>
      <c r="C10" s="428" t="s">
        <v>29</v>
      </c>
      <c r="D10" s="429" t="s">
        <v>21</v>
      </c>
      <c r="E10" s="428" t="s">
        <v>95</v>
      </c>
      <c r="F10" s="430" t="s">
        <v>37</v>
      </c>
      <c r="G10" s="431"/>
      <c r="H10" s="432"/>
      <c r="I10" s="433"/>
      <c r="J10" s="434"/>
      <c r="K10" s="431"/>
      <c r="L10" s="431"/>
      <c r="M10" s="431"/>
      <c r="N10" s="432"/>
      <c r="O10" s="432">
        <v>0</v>
      </c>
      <c r="P10" s="431">
        <v>0</v>
      </c>
      <c r="Q10" s="431">
        <v>0</v>
      </c>
      <c r="R10" s="435">
        <v>0.15</v>
      </c>
      <c r="S10" s="431">
        <v>0</v>
      </c>
      <c r="T10" s="436">
        <v>3.7499999999999999E-2</v>
      </c>
    </row>
    <row r="11" spans="1:20" x14ac:dyDescent="0.2">
      <c r="A11" s="426" t="s">
        <v>28</v>
      </c>
      <c r="B11" s="427" t="s">
        <v>14</v>
      </c>
      <c r="C11" s="428" t="s">
        <v>29</v>
      </c>
      <c r="D11" s="429" t="s">
        <v>21</v>
      </c>
      <c r="E11" s="428" t="s">
        <v>95</v>
      </c>
      <c r="F11" s="430" t="s">
        <v>56</v>
      </c>
      <c r="G11" s="431"/>
      <c r="H11" s="432"/>
      <c r="I11" s="433"/>
      <c r="J11" s="434"/>
      <c r="K11" s="431"/>
      <c r="L11" s="431"/>
      <c r="M11" s="431"/>
      <c r="N11" s="432"/>
      <c r="O11" s="432">
        <v>0</v>
      </c>
      <c r="P11" s="431">
        <v>0</v>
      </c>
      <c r="Q11" s="431">
        <v>0</v>
      </c>
      <c r="R11" s="435">
        <v>0.15</v>
      </c>
      <c r="S11" s="431">
        <v>0</v>
      </c>
      <c r="T11" s="436">
        <v>3.7499999999999999E-2</v>
      </c>
    </row>
    <row r="12" spans="1:20" ht="14.1" customHeight="1" x14ac:dyDescent="0.2">
      <c r="A12" s="426" t="s">
        <v>28</v>
      </c>
      <c r="B12" s="427" t="s">
        <v>154</v>
      </c>
      <c r="C12" s="428" t="s">
        <v>31</v>
      </c>
      <c r="D12" s="429" t="s">
        <v>30</v>
      </c>
      <c r="E12" s="428" t="s">
        <v>95</v>
      </c>
      <c r="F12" s="430" t="s">
        <v>37</v>
      </c>
      <c r="G12" s="431">
        <v>5626</v>
      </c>
      <c r="H12" s="431">
        <v>9335</v>
      </c>
      <c r="I12" s="434">
        <v>109.91289999999999</v>
      </c>
      <c r="J12" s="434">
        <v>103.11669999999999</v>
      </c>
      <c r="K12" s="431"/>
      <c r="L12" s="431"/>
      <c r="M12" s="431"/>
      <c r="N12" s="432">
        <v>315.99</v>
      </c>
      <c r="O12" s="437">
        <v>1580648.3800000001</v>
      </c>
      <c r="P12" s="431">
        <v>296371.57</v>
      </c>
      <c r="Q12" s="431">
        <v>237097.26</v>
      </c>
      <c r="R12" s="435">
        <v>0.15</v>
      </c>
      <c r="S12" s="431">
        <v>59274.31</v>
      </c>
      <c r="T12" s="436">
        <v>3.7499999999999999E-2</v>
      </c>
    </row>
    <row r="13" spans="1:20" x14ac:dyDescent="0.2">
      <c r="A13" s="426" t="s">
        <v>28</v>
      </c>
      <c r="B13" s="427" t="s">
        <v>153</v>
      </c>
      <c r="C13" s="428" t="s">
        <v>31</v>
      </c>
      <c r="D13" s="429" t="s">
        <v>30</v>
      </c>
      <c r="E13" s="428" t="s">
        <v>95</v>
      </c>
      <c r="F13" s="430" t="s">
        <v>56</v>
      </c>
      <c r="G13" s="431">
        <v>49723.37</v>
      </c>
      <c r="H13" s="431">
        <v>48547.65</v>
      </c>
      <c r="I13" s="434">
        <v>3</v>
      </c>
      <c r="J13" s="434">
        <v>3</v>
      </c>
      <c r="K13" s="431"/>
      <c r="L13" s="431"/>
      <c r="M13" s="431"/>
      <c r="N13" s="432">
        <v>888.72</v>
      </c>
      <c r="O13" s="437">
        <v>293924.34000000003</v>
      </c>
      <c r="P13" s="431">
        <v>55110.81</v>
      </c>
      <c r="Q13" s="431">
        <v>44088.65</v>
      </c>
      <c r="R13" s="435">
        <v>0.15</v>
      </c>
      <c r="S13" s="431">
        <v>11022.16</v>
      </c>
      <c r="T13" s="436">
        <v>3.7499999999999999E-2</v>
      </c>
    </row>
    <row r="14" spans="1:20" x14ac:dyDescent="0.2">
      <c r="A14" s="426" t="s">
        <v>28</v>
      </c>
      <c r="B14" s="427" t="s">
        <v>3</v>
      </c>
      <c r="C14" s="428" t="s">
        <v>31</v>
      </c>
      <c r="D14" s="429" t="s">
        <v>30</v>
      </c>
      <c r="E14" s="428" t="s">
        <v>96</v>
      </c>
      <c r="F14" s="430" t="s">
        <v>37</v>
      </c>
      <c r="G14" s="432">
        <v>7265</v>
      </c>
      <c r="H14" s="432">
        <v>6338</v>
      </c>
      <c r="I14" s="434">
        <v>120.0363</v>
      </c>
      <c r="J14" s="434">
        <v>112.483</v>
      </c>
      <c r="K14" s="431"/>
      <c r="L14" s="431"/>
      <c r="M14" s="431"/>
      <c r="N14" s="432">
        <v>819.59789999999998</v>
      </c>
      <c r="O14" s="432">
        <v>1584161.3721</v>
      </c>
      <c r="P14" s="431">
        <v>297030.26</v>
      </c>
      <c r="Q14" s="431">
        <v>237624.21</v>
      </c>
      <c r="R14" s="435">
        <v>0.15</v>
      </c>
      <c r="S14" s="431">
        <v>59406.05</v>
      </c>
      <c r="T14" s="436">
        <v>3.7499999999999999E-2</v>
      </c>
    </row>
    <row r="15" spans="1:20" x14ac:dyDescent="0.2">
      <c r="A15" s="438" t="s">
        <v>28</v>
      </c>
      <c r="B15" s="439" t="s">
        <v>117</v>
      </c>
      <c r="C15" s="430" t="s">
        <v>29</v>
      </c>
      <c r="D15" s="440" t="s">
        <v>21</v>
      </c>
      <c r="E15" s="430" t="s">
        <v>95</v>
      </c>
      <c r="F15" s="430" t="s">
        <v>56</v>
      </c>
      <c r="G15" s="432">
        <v>35672.07</v>
      </c>
      <c r="H15" s="432">
        <v>21786.86</v>
      </c>
      <c r="I15" s="434">
        <v>2.6775000000000002</v>
      </c>
      <c r="J15" s="434">
        <v>2.6775000000000002</v>
      </c>
      <c r="K15" s="431"/>
      <c r="L15" s="431"/>
      <c r="M15" s="431"/>
      <c r="N15" s="432">
        <v>873.91120000000001</v>
      </c>
      <c r="O15" s="432">
        <v>152972.37880000001</v>
      </c>
      <c r="P15" s="431">
        <v>28682.32</v>
      </c>
      <c r="Q15" s="431">
        <v>22945.86</v>
      </c>
      <c r="R15" s="435">
        <v>0.15</v>
      </c>
      <c r="S15" s="431">
        <v>5736.4599999999991</v>
      </c>
      <c r="T15" s="436">
        <v>3.7499999999999999E-2</v>
      </c>
    </row>
    <row r="16" spans="1:20" x14ac:dyDescent="0.2">
      <c r="A16" s="426" t="s">
        <v>28</v>
      </c>
      <c r="B16" s="427" t="s">
        <v>4</v>
      </c>
      <c r="C16" s="428" t="s">
        <v>31</v>
      </c>
      <c r="D16" s="429" t="s">
        <v>30</v>
      </c>
      <c r="E16" s="428" t="s">
        <v>96</v>
      </c>
      <c r="F16" s="430" t="s">
        <v>37</v>
      </c>
      <c r="G16" s="432">
        <v>7791</v>
      </c>
      <c r="H16" s="432">
        <v>7679</v>
      </c>
      <c r="I16" s="434">
        <v>109.91289999999999</v>
      </c>
      <c r="J16" s="433">
        <v>103.11669999999999</v>
      </c>
      <c r="K16" s="431"/>
      <c r="L16" s="431"/>
      <c r="M16" s="431"/>
      <c r="N16" s="432">
        <v>582.60569999999996</v>
      </c>
      <c r="O16" s="432">
        <v>1647581.9343000001</v>
      </c>
      <c r="P16" s="431">
        <v>308921.61</v>
      </c>
      <c r="Q16" s="431">
        <v>247137.29</v>
      </c>
      <c r="R16" s="435">
        <v>0.15</v>
      </c>
      <c r="S16" s="431">
        <v>61784.32</v>
      </c>
      <c r="T16" s="436">
        <v>3.7499999999999999E-2</v>
      </c>
    </row>
    <row r="17" spans="1:20" x14ac:dyDescent="0.2">
      <c r="A17" s="426" t="s">
        <v>28</v>
      </c>
      <c r="B17" s="427" t="s">
        <v>5</v>
      </c>
      <c r="C17" s="428" t="s">
        <v>31</v>
      </c>
      <c r="D17" s="429" t="s">
        <v>30</v>
      </c>
      <c r="E17" s="428" t="s">
        <v>96</v>
      </c>
      <c r="F17" s="430" t="s">
        <v>37</v>
      </c>
      <c r="G17" s="432">
        <v>33895</v>
      </c>
      <c r="H17" s="432">
        <v>36390</v>
      </c>
      <c r="I17" s="434">
        <v>109.91289999999999</v>
      </c>
      <c r="J17" s="433">
        <v>103.11669999999999</v>
      </c>
      <c r="K17" s="431"/>
      <c r="L17" s="431"/>
      <c r="M17" s="431"/>
      <c r="N17" s="432">
        <v>1505.8903</v>
      </c>
      <c r="O17" s="432">
        <v>7476408.5696999999</v>
      </c>
      <c r="P17" s="431">
        <v>1401826.61</v>
      </c>
      <c r="Q17" s="431">
        <v>1121461.29</v>
      </c>
      <c r="R17" s="435">
        <v>0.15</v>
      </c>
      <c r="S17" s="431">
        <v>280365.32</v>
      </c>
      <c r="T17" s="436">
        <v>3.7499999999999999E-2</v>
      </c>
    </row>
    <row r="18" spans="1:20" x14ac:dyDescent="0.2">
      <c r="A18" s="426" t="s">
        <v>28</v>
      </c>
      <c r="B18" s="427" t="s">
        <v>176</v>
      </c>
      <c r="C18" s="428" t="s">
        <v>31</v>
      </c>
      <c r="D18" s="429" t="s">
        <v>30</v>
      </c>
      <c r="E18" s="428" t="s">
        <v>96</v>
      </c>
      <c r="F18" s="430" t="s">
        <v>37</v>
      </c>
      <c r="G18" s="432"/>
      <c r="H18" s="432"/>
      <c r="I18" s="434"/>
      <c r="J18" s="433"/>
      <c r="K18" s="431"/>
      <c r="L18" s="431"/>
      <c r="M18" s="431"/>
      <c r="N18" s="432"/>
      <c r="O18" s="432">
        <v>0</v>
      </c>
      <c r="P18" s="431">
        <v>0</v>
      </c>
      <c r="Q18" s="431">
        <v>0</v>
      </c>
      <c r="R18" s="435">
        <v>0.15</v>
      </c>
      <c r="S18" s="431">
        <v>0</v>
      </c>
      <c r="T18" s="436">
        <v>3.7499999999999999E-2</v>
      </c>
    </row>
    <row r="19" spans="1:20" x14ac:dyDescent="0.2">
      <c r="A19" s="426" t="s">
        <v>28</v>
      </c>
      <c r="B19" s="427" t="s">
        <v>177</v>
      </c>
      <c r="C19" s="428" t="s">
        <v>31</v>
      </c>
      <c r="D19" s="429" t="s">
        <v>30</v>
      </c>
      <c r="E19" s="428" t="s">
        <v>96</v>
      </c>
      <c r="F19" s="430" t="s">
        <v>37</v>
      </c>
      <c r="G19" s="432"/>
      <c r="H19" s="432"/>
      <c r="I19" s="434"/>
      <c r="J19" s="433"/>
      <c r="K19" s="431"/>
      <c r="L19" s="431"/>
      <c r="M19" s="431"/>
      <c r="N19" s="432"/>
      <c r="O19" s="432">
        <v>0</v>
      </c>
      <c r="P19" s="431">
        <v>0</v>
      </c>
      <c r="Q19" s="431">
        <v>0</v>
      </c>
      <c r="R19" s="435">
        <v>0.15</v>
      </c>
      <c r="S19" s="431">
        <v>0</v>
      </c>
      <c r="T19" s="436">
        <v>3.7499999999999999E-2</v>
      </c>
    </row>
    <row r="20" spans="1:20" x14ac:dyDescent="0.2">
      <c r="A20" s="426" t="s">
        <v>28</v>
      </c>
      <c r="B20" s="427" t="s">
        <v>145</v>
      </c>
      <c r="C20" s="428" t="s">
        <v>31</v>
      </c>
      <c r="D20" s="429" t="s">
        <v>30</v>
      </c>
      <c r="E20" s="428" t="s">
        <v>96</v>
      </c>
      <c r="F20" s="430" t="s">
        <v>37</v>
      </c>
      <c r="G20" s="432">
        <v>41673.4</v>
      </c>
      <c r="H20" s="432">
        <v>44743.49</v>
      </c>
      <c r="I20" s="434">
        <v>4.3501000000000003</v>
      </c>
      <c r="J20" s="434">
        <v>4.3501000000000003</v>
      </c>
      <c r="K20" s="431"/>
      <c r="L20" s="431"/>
      <c r="M20" s="431"/>
      <c r="N20" s="432"/>
      <c r="O20" s="432">
        <v>375922.12</v>
      </c>
      <c r="P20" s="431">
        <v>70485.399999999994</v>
      </c>
      <c r="Q20" s="431">
        <v>56388.32</v>
      </c>
      <c r="R20" s="435">
        <v>0.15</v>
      </c>
      <c r="S20" s="431">
        <v>14097.08</v>
      </c>
      <c r="T20" s="436">
        <v>3.7499999999999999E-2</v>
      </c>
    </row>
    <row r="21" spans="1:20" x14ac:dyDescent="0.2">
      <c r="A21" s="426" t="s">
        <v>28</v>
      </c>
      <c r="B21" s="427" t="s">
        <v>17</v>
      </c>
      <c r="C21" s="428" t="s">
        <v>29</v>
      </c>
      <c r="D21" s="429" t="s">
        <v>21</v>
      </c>
      <c r="E21" s="428" t="s">
        <v>95</v>
      </c>
      <c r="F21" s="430" t="s">
        <v>37</v>
      </c>
      <c r="G21" s="431"/>
      <c r="H21" s="432">
        <v>3582</v>
      </c>
      <c r="I21" s="433"/>
      <c r="J21" s="434">
        <v>106.175</v>
      </c>
      <c r="K21" s="431"/>
      <c r="L21" s="431"/>
      <c r="M21" s="431"/>
      <c r="N21" s="432">
        <v>691.22720000000004</v>
      </c>
      <c r="O21" s="437">
        <v>379627.62279999995</v>
      </c>
      <c r="P21" s="431">
        <v>71180.179999999993</v>
      </c>
      <c r="Q21" s="431">
        <v>56944.14</v>
      </c>
      <c r="R21" s="435">
        <v>0.15</v>
      </c>
      <c r="S21" s="431">
        <v>14236.04</v>
      </c>
      <c r="T21" s="436">
        <v>3.7499999999999999E-2</v>
      </c>
    </row>
    <row r="22" spans="1:20" x14ac:dyDescent="0.2">
      <c r="A22" s="426" t="s">
        <v>28</v>
      </c>
      <c r="B22" s="427" t="s">
        <v>6</v>
      </c>
      <c r="C22" s="428" t="s">
        <v>31</v>
      </c>
      <c r="D22" s="429" t="s">
        <v>30</v>
      </c>
      <c r="E22" s="428" t="s">
        <v>96</v>
      </c>
      <c r="F22" s="430" t="s">
        <v>37</v>
      </c>
      <c r="G22" s="432">
        <v>48602</v>
      </c>
      <c r="H22" s="432">
        <v>61078</v>
      </c>
      <c r="I22" s="434">
        <v>109.3629</v>
      </c>
      <c r="J22" s="433">
        <v>102.5667</v>
      </c>
      <c r="K22" s="431"/>
      <c r="L22" s="431"/>
      <c r="M22" s="431"/>
      <c r="N22" s="432">
        <v>4196.7415000000001</v>
      </c>
      <c r="O22" s="437">
        <v>11575627.828500001</v>
      </c>
      <c r="P22" s="431">
        <v>2170430.2200000002</v>
      </c>
      <c r="Q22" s="431">
        <v>1736344.17</v>
      </c>
      <c r="R22" s="435">
        <v>0.15</v>
      </c>
      <c r="S22" s="431">
        <v>434086.04</v>
      </c>
      <c r="T22" s="436">
        <v>3.7499999999999999E-2</v>
      </c>
    </row>
    <row r="23" spans="1:20" x14ac:dyDescent="0.2">
      <c r="A23" s="426" t="s">
        <v>28</v>
      </c>
      <c r="B23" s="427" t="s">
        <v>101</v>
      </c>
      <c r="C23" s="428" t="s">
        <v>29</v>
      </c>
      <c r="D23" s="429" t="s">
        <v>21</v>
      </c>
      <c r="E23" s="428" t="s">
        <v>95</v>
      </c>
      <c r="F23" s="430" t="s">
        <v>37</v>
      </c>
      <c r="G23" s="431"/>
      <c r="H23" s="431"/>
      <c r="I23" s="433"/>
      <c r="J23" s="433"/>
      <c r="K23" s="431"/>
      <c r="L23" s="431"/>
      <c r="M23" s="431"/>
      <c r="N23" s="431"/>
      <c r="O23" s="437">
        <v>0</v>
      </c>
      <c r="P23" s="431">
        <v>0</v>
      </c>
      <c r="Q23" s="431">
        <v>0</v>
      </c>
      <c r="R23" s="435">
        <v>0.15</v>
      </c>
      <c r="S23" s="431">
        <v>0</v>
      </c>
      <c r="T23" s="436">
        <v>3.7499999999999999E-2</v>
      </c>
    </row>
    <row r="24" spans="1:20" x14ac:dyDescent="0.2">
      <c r="A24" s="426" t="s">
        <v>28</v>
      </c>
      <c r="B24" s="427" t="s">
        <v>7</v>
      </c>
      <c r="C24" s="428" t="s">
        <v>31</v>
      </c>
      <c r="D24" s="429" t="s">
        <v>30</v>
      </c>
      <c r="E24" s="428" t="s">
        <v>96</v>
      </c>
      <c r="F24" s="430" t="s">
        <v>56</v>
      </c>
      <c r="G24" s="431">
        <v>78477.740000000005</v>
      </c>
      <c r="H24" s="431">
        <v>77612.89</v>
      </c>
      <c r="I24" s="433">
        <v>0.8</v>
      </c>
      <c r="J24" s="433">
        <v>1.0932999999999999</v>
      </c>
      <c r="K24" s="431"/>
      <c r="L24" s="431"/>
      <c r="M24" s="431"/>
      <c r="N24" s="431">
        <v>982.5326</v>
      </c>
      <c r="O24" s="437">
        <v>146653.82739999998</v>
      </c>
      <c r="P24" s="431">
        <v>27497.59</v>
      </c>
      <c r="Q24" s="431">
        <v>21998.07</v>
      </c>
      <c r="R24" s="435">
        <v>0.15</v>
      </c>
      <c r="S24" s="431">
        <v>5499.52</v>
      </c>
      <c r="T24" s="436">
        <v>3.7499999999999999E-2</v>
      </c>
    </row>
    <row r="25" spans="1:20" x14ac:dyDescent="0.2">
      <c r="A25" s="426" t="s">
        <v>28</v>
      </c>
      <c r="B25" s="427" t="s">
        <v>18</v>
      </c>
      <c r="C25" s="428" t="s">
        <v>31</v>
      </c>
      <c r="D25" s="429" t="s">
        <v>30</v>
      </c>
      <c r="E25" s="428" t="s">
        <v>96</v>
      </c>
      <c r="F25" s="430" t="s">
        <v>37</v>
      </c>
      <c r="G25" s="431">
        <v>2081</v>
      </c>
      <c r="H25" s="431">
        <v>2408</v>
      </c>
      <c r="I25" s="583">
        <v>109.91289999999999</v>
      </c>
      <c r="J25" s="434">
        <v>103.11669999999999</v>
      </c>
      <c r="K25" s="431"/>
      <c r="L25" s="431"/>
      <c r="M25" s="431"/>
      <c r="N25" s="432">
        <v>340.67619999999999</v>
      </c>
      <c r="O25" s="437">
        <v>476693.07380000001</v>
      </c>
      <c r="P25" s="431">
        <v>89379.95</v>
      </c>
      <c r="Q25" s="431">
        <v>71503.960000000006</v>
      </c>
      <c r="R25" s="435">
        <v>0.15</v>
      </c>
      <c r="S25" s="431">
        <v>17875.990000000002</v>
      </c>
      <c r="T25" s="436">
        <v>3.7499999999999999E-2</v>
      </c>
    </row>
    <row r="26" spans="1:20" x14ac:dyDescent="0.2">
      <c r="A26" s="426" t="s">
        <v>28</v>
      </c>
      <c r="B26" s="427" t="s">
        <v>20</v>
      </c>
      <c r="C26" s="428" t="s">
        <v>31</v>
      </c>
      <c r="D26" s="429" t="s">
        <v>30</v>
      </c>
      <c r="E26" s="428" t="s">
        <v>96</v>
      </c>
      <c r="F26" s="430" t="s">
        <v>37</v>
      </c>
      <c r="G26" s="431">
        <v>146880</v>
      </c>
      <c r="H26" s="431">
        <v>187167</v>
      </c>
      <c r="I26" s="583">
        <v>109.91289999999999</v>
      </c>
      <c r="J26" s="434">
        <v>103.11669999999999</v>
      </c>
      <c r="K26" s="431"/>
      <c r="L26" s="431"/>
      <c r="M26" s="431"/>
      <c r="N26" s="432">
        <v>5253.3393999999998</v>
      </c>
      <c r="O26" s="437">
        <v>35438796.8006</v>
      </c>
      <c r="P26" s="431">
        <v>6644774.4000000004</v>
      </c>
      <c r="Q26" s="431">
        <v>5315819.5199999996</v>
      </c>
      <c r="R26" s="435">
        <v>0.15</v>
      </c>
      <c r="S26" s="431">
        <v>1328954.8799999999</v>
      </c>
      <c r="T26" s="436">
        <v>3.7499999999999999E-2</v>
      </c>
    </row>
    <row r="27" spans="1:20" x14ac:dyDescent="0.2">
      <c r="A27" s="426" t="s">
        <v>28</v>
      </c>
      <c r="B27" s="427" t="s">
        <v>8</v>
      </c>
      <c r="C27" s="428" t="s">
        <v>31</v>
      </c>
      <c r="D27" s="429" t="s">
        <v>21</v>
      </c>
      <c r="E27" s="428" t="s">
        <v>96</v>
      </c>
      <c r="F27" s="430" t="s">
        <v>56</v>
      </c>
      <c r="G27" s="431">
        <v>243978.27</v>
      </c>
      <c r="H27" s="432">
        <v>248076.24</v>
      </c>
      <c r="I27" s="560">
        <v>2.4702000000000002</v>
      </c>
      <c r="J27" s="434">
        <v>2.4702000000000002</v>
      </c>
      <c r="K27" s="431"/>
      <c r="L27" s="431"/>
      <c r="M27" s="431"/>
      <c r="N27" s="432">
        <v>1036.8433</v>
      </c>
      <c r="O27" s="437">
        <v>1214436.2067</v>
      </c>
      <c r="P27" s="431">
        <v>227706.79</v>
      </c>
      <c r="Q27" s="431">
        <v>182165.43</v>
      </c>
      <c r="R27" s="435">
        <v>0.15</v>
      </c>
      <c r="S27" s="431">
        <v>45541.36</v>
      </c>
      <c r="T27" s="436">
        <v>3.7499999999999999E-2</v>
      </c>
    </row>
    <row r="28" spans="1:20" x14ac:dyDescent="0.2">
      <c r="A28" s="426" t="s">
        <v>28</v>
      </c>
      <c r="B28" s="427" t="s">
        <v>57</v>
      </c>
      <c r="C28" s="428" t="s">
        <v>31</v>
      </c>
      <c r="D28" s="429" t="s">
        <v>21</v>
      </c>
      <c r="E28" s="428" t="s">
        <v>96</v>
      </c>
      <c r="F28" s="430" t="s">
        <v>37</v>
      </c>
      <c r="G28" s="431"/>
      <c r="H28" s="432"/>
      <c r="I28" s="583"/>
      <c r="J28" s="433"/>
      <c r="K28" s="431"/>
      <c r="L28" s="431"/>
      <c r="M28" s="431"/>
      <c r="N28" s="431"/>
      <c r="O28" s="437">
        <v>0</v>
      </c>
      <c r="P28" s="431">
        <v>0</v>
      </c>
      <c r="Q28" s="431">
        <v>0</v>
      </c>
      <c r="R28" s="435">
        <v>0.15</v>
      </c>
      <c r="S28" s="431">
        <v>0</v>
      </c>
      <c r="T28" s="436">
        <v>3.7499999999999999E-2</v>
      </c>
    </row>
    <row r="29" spans="1:20" x14ac:dyDescent="0.2">
      <c r="A29" s="426" t="s">
        <v>28</v>
      </c>
      <c r="B29" s="427" t="s">
        <v>9</v>
      </c>
      <c r="C29" s="428" t="s">
        <v>31</v>
      </c>
      <c r="D29" s="429" t="s">
        <v>30</v>
      </c>
      <c r="E29" s="428" t="s">
        <v>96</v>
      </c>
      <c r="F29" s="430" t="s">
        <v>37</v>
      </c>
      <c r="G29" s="431">
        <v>349</v>
      </c>
      <c r="H29" s="431">
        <v>468</v>
      </c>
      <c r="I29" s="583">
        <v>119.0874</v>
      </c>
      <c r="J29" s="434">
        <v>111.33669999999999</v>
      </c>
      <c r="K29" s="431"/>
      <c r="L29" s="431"/>
      <c r="M29" s="431"/>
      <c r="N29" s="431">
        <v>370.30029999999999</v>
      </c>
      <c r="O29" s="437">
        <v>93296.779699999999</v>
      </c>
      <c r="P29" s="431">
        <v>17493.150000000001</v>
      </c>
      <c r="Q29" s="431">
        <v>13994.52</v>
      </c>
      <c r="R29" s="435">
        <v>0.15</v>
      </c>
      <c r="S29" s="431">
        <v>3498.63</v>
      </c>
      <c r="T29" s="436">
        <v>3.7499999999999999E-2</v>
      </c>
    </row>
    <row r="30" spans="1:20" x14ac:dyDescent="0.2">
      <c r="A30" s="426" t="s">
        <v>28</v>
      </c>
      <c r="B30" s="427" t="s">
        <v>109</v>
      </c>
      <c r="C30" s="428" t="s">
        <v>31</v>
      </c>
      <c r="D30" s="429" t="s">
        <v>30</v>
      </c>
      <c r="E30" s="428" t="s">
        <v>96</v>
      </c>
      <c r="F30" s="430" t="s">
        <v>37</v>
      </c>
      <c r="G30" s="431">
        <v>31905</v>
      </c>
      <c r="H30" s="431">
        <v>30231</v>
      </c>
      <c r="I30" s="560">
        <v>107.8929</v>
      </c>
      <c r="J30" s="434">
        <v>101.0967</v>
      </c>
      <c r="K30" s="431"/>
      <c r="L30" s="431"/>
      <c r="M30" s="431"/>
      <c r="N30" s="432">
        <v>3530.2037</v>
      </c>
      <c r="O30" s="437">
        <v>6495047.1063000001</v>
      </c>
      <c r="P30" s="431">
        <v>1217821.33</v>
      </c>
      <c r="Q30" s="431">
        <v>974257.07</v>
      </c>
      <c r="R30" s="435">
        <v>0.15</v>
      </c>
      <c r="S30" s="431">
        <v>243564.27</v>
      </c>
      <c r="T30" s="436">
        <v>3.7499999999999999E-2</v>
      </c>
    </row>
    <row r="31" spans="1:20" x14ac:dyDescent="0.2">
      <c r="A31" s="426" t="s">
        <v>28</v>
      </c>
      <c r="B31" s="427" t="s">
        <v>125</v>
      </c>
      <c r="C31" s="428" t="s">
        <v>31</v>
      </c>
      <c r="D31" s="429" t="s">
        <v>30</v>
      </c>
      <c r="E31" s="428" t="s">
        <v>96</v>
      </c>
      <c r="F31" s="430" t="s">
        <v>37</v>
      </c>
      <c r="G31" s="432"/>
      <c r="H31" s="431"/>
      <c r="I31" s="433"/>
      <c r="J31" s="433"/>
      <c r="K31" s="431"/>
      <c r="L31" s="431"/>
      <c r="M31" s="431"/>
      <c r="N31" s="432"/>
      <c r="O31" s="437">
        <v>0</v>
      </c>
      <c r="P31" s="431">
        <v>0</v>
      </c>
      <c r="Q31" s="431">
        <v>0</v>
      </c>
      <c r="R31" s="435">
        <v>0.15</v>
      </c>
      <c r="S31" s="431">
        <v>0</v>
      </c>
      <c r="T31" s="436">
        <v>3.7499999999999999E-2</v>
      </c>
    </row>
    <row r="32" spans="1:20" x14ac:dyDescent="0.2">
      <c r="A32" s="426" t="s">
        <v>28</v>
      </c>
      <c r="B32" s="427" t="s">
        <v>178</v>
      </c>
      <c r="C32" s="428" t="s">
        <v>31</v>
      </c>
      <c r="D32" s="429" t="s">
        <v>30</v>
      </c>
      <c r="E32" s="428" t="s">
        <v>96</v>
      </c>
      <c r="F32" s="430" t="s">
        <v>56</v>
      </c>
      <c r="G32" s="432">
        <v>167367.88</v>
      </c>
      <c r="H32" s="431">
        <v>166626.10999999999</v>
      </c>
      <c r="I32" s="433">
        <v>1.61</v>
      </c>
      <c r="J32" s="433">
        <v>1.61</v>
      </c>
      <c r="K32" s="431"/>
      <c r="L32" s="431"/>
      <c r="M32" s="431"/>
      <c r="N32" s="432">
        <v>1466.3915999999999</v>
      </c>
      <c r="O32" s="437">
        <v>536263.93839999998</v>
      </c>
      <c r="P32" s="431">
        <v>100549.49</v>
      </c>
      <c r="Q32" s="431">
        <v>80439.59</v>
      </c>
      <c r="R32" s="435">
        <v>0.15</v>
      </c>
      <c r="S32" s="431">
        <v>20109.900000000001</v>
      </c>
      <c r="T32" s="436">
        <v>3.7499999999999999E-2</v>
      </c>
    </row>
    <row r="33" spans="1:20" x14ac:dyDescent="0.2">
      <c r="A33" s="426" t="s">
        <v>28</v>
      </c>
      <c r="B33" s="427" t="s">
        <v>179</v>
      </c>
      <c r="C33" s="428" t="s">
        <v>31</v>
      </c>
      <c r="D33" s="429" t="s">
        <v>30</v>
      </c>
      <c r="E33" s="428" t="s">
        <v>96</v>
      </c>
      <c r="F33" s="430" t="s">
        <v>56</v>
      </c>
      <c r="G33" s="432">
        <v>103826.52</v>
      </c>
      <c r="H33" s="431">
        <v>87816.35</v>
      </c>
      <c r="I33" s="433">
        <v>3.5988000000000002</v>
      </c>
      <c r="J33" s="433">
        <v>3.5735000000000001</v>
      </c>
      <c r="K33" s="431"/>
      <c r="L33" s="431"/>
      <c r="M33" s="431"/>
      <c r="N33" s="432"/>
      <c r="O33" s="437">
        <v>687462.61</v>
      </c>
      <c r="P33" s="431">
        <v>128899.24</v>
      </c>
      <c r="Q33" s="431">
        <v>103119.39</v>
      </c>
      <c r="R33" s="435">
        <v>0.15</v>
      </c>
      <c r="S33" s="431">
        <v>25779.85</v>
      </c>
      <c r="T33" s="436">
        <v>3.7499999999999999E-2</v>
      </c>
    </row>
    <row r="34" spans="1:20" x14ac:dyDescent="0.2">
      <c r="A34" s="426" t="s">
        <v>28</v>
      </c>
      <c r="B34" s="427" t="s">
        <v>137</v>
      </c>
      <c r="C34" s="428" t="s">
        <v>31</v>
      </c>
      <c r="D34" s="429" t="s">
        <v>30</v>
      </c>
      <c r="E34" s="428" t="s">
        <v>96</v>
      </c>
      <c r="F34" s="430" t="s">
        <v>56</v>
      </c>
      <c r="G34" s="432"/>
      <c r="H34" s="431"/>
      <c r="I34" s="433"/>
      <c r="J34" s="433"/>
      <c r="K34" s="431"/>
      <c r="L34" s="431"/>
      <c r="M34" s="431"/>
      <c r="N34" s="432"/>
      <c r="O34" s="437">
        <v>0</v>
      </c>
      <c r="P34" s="431">
        <v>0</v>
      </c>
      <c r="Q34" s="431">
        <v>0</v>
      </c>
      <c r="R34" s="435">
        <v>0.15</v>
      </c>
      <c r="S34" s="431">
        <v>0</v>
      </c>
      <c r="T34" s="436">
        <v>3.7499999999999999E-2</v>
      </c>
    </row>
    <row r="35" spans="1:20" x14ac:dyDescent="0.2">
      <c r="A35" s="426" t="s">
        <v>28</v>
      </c>
      <c r="B35" s="427" t="s">
        <v>144</v>
      </c>
      <c r="C35" s="428" t="s">
        <v>31</v>
      </c>
      <c r="D35" s="429" t="s">
        <v>30</v>
      </c>
      <c r="E35" s="428" t="s">
        <v>96</v>
      </c>
      <c r="F35" s="430" t="s">
        <v>56</v>
      </c>
      <c r="G35" s="432"/>
      <c r="H35" s="431"/>
      <c r="I35" s="433"/>
      <c r="J35" s="433"/>
      <c r="K35" s="431"/>
      <c r="L35" s="431"/>
      <c r="M35" s="431"/>
      <c r="N35" s="432"/>
      <c r="O35" s="437">
        <v>0</v>
      </c>
      <c r="P35" s="431">
        <v>0</v>
      </c>
      <c r="Q35" s="431">
        <v>0</v>
      </c>
      <c r="R35" s="435">
        <v>0.15</v>
      </c>
      <c r="S35" s="431">
        <v>0</v>
      </c>
      <c r="T35" s="436">
        <v>3.7499999999999999E-2</v>
      </c>
    </row>
    <row r="36" spans="1:20" x14ac:dyDescent="0.2">
      <c r="A36" s="426" t="s">
        <v>28</v>
      </c>
      <c r="B36" s="562" t="s">
        <v>150</v>
      </c>
      <c r="C36" s="428" t="s">
        <v>31</v>
      </c>
      <c r="D36" s="429" t="s">
        <v>30</v>
      </c>
      <c r="E36" s="428" t="s">
        <v>96</v>
      </c>
      <c r="F36" s="430" t="s">
        <v>56</v>
      </c>
      <c r="G36" s="432">
        <v>23748.880000000001</v>
      </c>
      <c r="H36" s="431">
        <v>25263.38</v>
      </c>
      <c r="I36" s="433">
        <v>3.3875000000000002</v>
      </c>
      <c r="J36" s="433">
        <v>3.3835999999999999</v>
      </c>
      <c r="K36" s="431"/>
      <c r="L36" s="431"/>
      <c r="M36" s="431"/>
      <c r="N36" s="432"/>
      <c r="O36" s="437">
        <v>165930.5</v>
      </c>
      <c r="P36" s="431">
        <v>31111.97</v>
      </c>
      <c r="Q36" s="431">
        <v>24889.58</v>
      </c>
      <c r="R36" s="435">
        <v>0.15</v>
      </c>
      <c r="S36" s="431">
        <v>6222.39</v>
      </c>
      <c r="T36" s="436">
        <v>3.7499999999999999E-2</v>
      </c>
    </row>
    <row r="37" spans="1:20" x14ac:dyDescent="0.2">
      <c r="A37" s="426"/>
      <c r="B37" s="562" t="s">
        <v>180</v>
      </c>
      <c r="C37" s="428" t="s">
        <v>31</v>
      </c>
      <c r="D37" s="429" t="s">
        <v>30</v>
      </c>
      <c r="E37" s="428" t="s">
        <v>96</v>
      </c>
      <c r="F37" s="430" t="s">
        <v>56</v>
      </c>
      <c r="G37" s="432">
        <v>5437.95</v>
      </c>
      <c r="H37" s="431">
        <v>641.21</v>
      </c>
      <c r="I37" s="433">
        <v>2.2999999999999998</v>
      </c>
      <c r="J37" s="433">
        <v>2.3001</v>
      </c>
      <c r="K37" s="431"/>
      <c r="L37" s="431"/>
      <c r="M37" s="431"/>
      <c r="N37" s="432"/>
      <c r="O37" s="437">
        <v>13982.140000000001</v>
      </c>
      <c r="P37" s="431">
        <v>2621.65</v>
      </c>
      <c r="Q37" s="431">
        <v>2097.3200000000002</v>
      </c>
      <c r="R37" s="435">
        <v>0.15</v>
      </c>
      <c r="S37" s="431">
        <v>524.33000000000004</v>
      </c>
      <c r="T37" s="436">
        <v>3.7499999999999999E-2</v>
      </c>
    </row>
    <row r="38" spans="1:20" x14ac:dyDescent="0.2">
      <c r="A38" s="426" t="s">
        <v>28</v>
      </c>
      <c r="B38" s="562" t="s">
        <v>169</v>
      </c>
      <c r="C38" s="428" t="s">
        <v>31</v>
      </c>
      <c r="D38" s="429" t="s">
        <v>30</v>
      </c>
      <c r="E38" s="428" t="s">
        <v>96</v>
      </c>
      <c r="F38" s="430" t="s">
        <v>56</v>
      </c>
      <c r="G38" s="432">
        <v>1323.08</v>
      </c>
      <c r="H38" s="431">
        <v>1426.8667</v>
      </c>
      <c r="I38" s="433">
        <v>3</v>
      </c>
      <c r="J38" s="433">
        <v>3</v>
      </c>
      <c r="K38" s="431"/>
      <c r="L38" s="431"/>
      <c r="M38" s="431"/>
      <c r="N38" s="432"/>
      <c r="O38" s="437">
        <v>8249.84</v>
      </c>
      <c r="P38" s="431">
        <v>1546.85</v>
      </c>
      <c r="Q38" s="431">
        <v>1237.48</v>
      </c>
      <c r="R38" s="435">
        <v>0.15</v>
      </c>
      <c r="S38" s="431">
        <v>309.37</v>
      </c>
      <c r="T38" s="436">
        <v>3.7499999999999999E-2</v>
      </c>
    </row>
    <row r="39" spans="1:20" x14ac:dyDescent="0.2">
      <c r="A39" s="426" t="s">
        <v>28</v>
      </c>
      <c r="B39" s="562" t="s">
        <v>15</v>
      </c>
      <c r="C39" s="428" t="s">
        <v>29</v>
      </c>
      <c r="D39" s="429" t="s">
        <v>21</v>
      </c>
      <c r="E39" s="428" t="s">
        <v>95</v>
      </c>
      <c r="F39" s="430" t="s">
        <v>37</v>
      </c>
      <c r="G39" s="431"/>
      <c r="H39" s="432">
        <v>170949</v>
      </c>
      <c r="I39" s="433"/>
      <c r="J39" s="434">
        <v>117.50320000000001</v>
      </c>
      <c r="K39" s="431"/>
      <c r="L39" s="431"/>
      <c r="M39" s="431"/>
      <c r="N39" s="432">
        <v>1135.5900999999999</v>
      </c>
      <c r="O39" s="437">
        <v>20085918.949899998</v>
      </c>
      <c r="P39" s="431">
        <v>3766109.8</v>
      </c>
      <c r="Q39" s="431">
        <v>3012887.84</v>
      </c>
      <c r="R39" s="435">
        <v>0.15</v>
      </c>
      <c r="S39" s="431">
        <v>753221.96</v>
      </c>
      <c r="T39" s="436">
        <v>3.7499999999999999E-2</v>
      </c>
    </row>
    <row r="40" spans="1:20" x14ac:dyDescent="0.2">
      <c r="A40" s="426" t="s">
        <v>28</v>
      </c>
      <c r="B40" s="427" t="s">
        <v>16</v>
      </c>
      <c r="C40" s="428" t="s">
        <v>29</v>
      </c>
      <c r="D40" s="429" t="s">
        <v>21</v>
      </c>
      <c r="E40" s="428" t="s">
        <v>95</v>
      </c>
      <c r="F40" s="430" t="s">
        <v>56</v>
      </c>
      <c r="G40" s="431"/>
      <c r="H40" s="432">
        <v>424150.64</v>
      </c>
      <c r="I40" s="433"/>
      <c r="J40" s="441">
        <v>10.065099999999999</v>
      </c>
      <c r="K40" s="431"/>
      <c r="L40" s="431"/>
      <c r="M40" s="431"/>
      <c r="N40" s="432">
        <v>997.34199999999998</v>
      </c>
      <c r="O40" s="437">
        <v>4268121.2680000002</v>
      </c>
      <c r="P40" s="431">
        <v>800272.74</v>
      </c>
      <c r="Q40" s="431">
        <v>640218.18999999994</v>
      </c>
      <c r="R40" s="435">
        <v>0.15</v>
      </c>
      <c r="S40" s="431">
        <v>160054.54999999999</v>
      </c>
      <c r="T40" s="436">
        <v>3.7499999999999999E-2</v>
      </c>
    </row>
    <row r="41" spans="1:20" x14ac:dyDescent="0.2">
      <c r="A41" s="426" t="s">
        <v>28</v>
      </c>
      <c r="B41" s="427" t="s">
        <v>114</v>
      </c>
      <c r="C41" s="428" t="s">
        <v>31</v>
      </c>
      <c r="D41" s="429" t="s">
        <v>30</v>
      </c>
      <c r="E41" s="428" t="s">
        <v>96</v>
      </c>
      <c r="F41" s="430" t="s">
        <v>37</v>
      </c>
      <c r="G41" s="431">
        <v>154</v>
      </c>
      <c r="H41" s="432">
        <v>145</v>
      </c>
      <c r="I41" s="434">
        <v>109.91289999999999</v>
      </c>
      <c r="J41" s="434">
        <v>103.11669999999999</v>
      </c>
      <c r="K41" s="431"/>
      <c r="L41" s="431"/>
      <c r="M41" s="431"/>
      <c r="N41" s="432">
        <v>217.24279999999999</v>
      </c>
      <c r="O41" s="437">
        <v>31661.267200000002</v>
      </c>
      <c r="P41" s="431">
        <v>5936.49</v>
      </c>
      <c r="Q41" s="431">
        <v>1187.3</v>
      </c>
      <c r="R41" s="435">
        <v>3.7499999999999999E-2</v>
      </c>
      <c r="S41" s="431">
        <v>4749.1899999999996</v>
      </c>
      <c r="T41" s="436">
        <v>0.15</v>
      </c>
    </row>
    <row r="42" spans="1:20" x14ac:dyDescent="0.2">
      <c r="A42" s="426" t="s">
        <v>28</v>
      </c>
      <c r="B42" s="427" t="s">
        <v>110</v>
      </c>
      <c r="C42" s="428" t="s">
        <v>31</v>
      </c>
      <c r="D42" s="429" t="s">
        <v>30</v>
      </c>
      <c r="E42" s="428" t="s">
        <v>96</v>
      </c>
      <c r="F42" s="430" t="s">
        <v>37</v>
      </c>
      <c r="G42" s="432"/>
      <c r="H42" s="432"/>
      <c r="I42" s="434"/>
      <c r="J42" s="434"/>
      <c r="K42" s="432"/>
      <c r="L42" s="431"/>
      <c r="M42" s="431"/>
      <c r="N42" s="432"/>
      <c r="O42" s="437">
        <v>0</v>
      </c>
      <c r="P42" s="431">
        <v>0</v>
      </c>
      <c r="Q42" s="431">
        <v>0</v>
      </c>
      <c r="R42" s="435">
        <v>3.7499999999999999E-2</v>
      </c>
      <c r="S42" s="431">
        <v>0</v>
      </c>
      <c r="T42" s="436">
        <v>0.15</v>
      </c>
    </row>
    <row r="43" spans="1:20" x14ac:dyDescent="0.2">
      <c r="A43" s="426" t="s">
        <v>28</v>
      </c>
      <c r="B43" s="427" t="s">
        <v>111</v>
      </c>
      <c r="C43" s="428" t="s">
        <v>31</v>
      </c>
      <c r="D43" s="429" t="s">
        <v>30</v>
      </c>
      <c r="E43" s="428" t="s">
        <v>96</v>
      </c>
      <c r="F43" s="430" t="s">
        <v>56</v>
      </c>
      <c r="G43" s="432"/>
      <c r="H43" s="432"/>
      <c r="I43" s="434"/>
      <c r="J43" s="434"/>
      <c r="K43" s="432"/>
      <c r="L43" s="431"/>
      <c r="M43" s="431"/>
      <c r="N43" s="432"/>
      <c r="O43" s="437">
        <v>0</v>
      </c>
      <c r="P43" s="431">
        <v>0</v>
      </c>
      <c r="Q43" s="431">
        <v>0</v>
      </c>
      <c r="R43" s="435">
        <v>3.7499999999999999E-2</v>
      </c>
      <c r="S43" s="431">
        <v>0</v>
      </c>
      <c r="T43" s="436">
        <v>0.15</v>
      </c>
    </row>
    <row r="44" spans="1:20" x14ac:dyDescent="0.2">
      <c r="A44" s="442" t="s">
        <v>28</v>
      </c>
      <c r="B44" s="439" t="s">
        <v>115</v>
      </c>
      <c r="C44" s="430" t="s">
        <v>29</v>
      </c>
      <c r="D44" s="440" t="s">
        <v>21</v>
      </c>
      <c r="E44" s="430" t="s">
        <v>95</v>
      </c>
      <c r="F44" s="430" t="s">
        <v>37</v>
      </c>
      <c r="G44" s="432"/>
      <c r="H44" s="432">
        <v>17511</v>
      </c>
      <c r="I44" s="434"/>
      <c r="J44" s="434">
        <v>96.441500000000005</v>
      </c>
      <c r="K44" s="432"/>
      <c r="L44" s="431"/>
      <c r="M44" s="431"/>
      <c r="N44" s="432">
        <v>1086.2166999999999</v>
      </c>
      <c r="O44" s="437">
        <v>1687700.8933000001</v>
      </c>
      <c r="P44" s="431">
        <v>316443.92</v>
      </c>
      <c r="Q44" s="431">
        <v>253155.13</v>
      </c>
      <c r="R44" s="443">
        <v>0.15</v>
      </c>
      <c r="S44" s="431">
        <v>63288.78</v>
      </c>
      <c r="T44" s="436">
        <v>3.7499999999999999E-2</v>
      </c>
    </row>
    <row r="45" spans="1:20" x14ac:dyDescent="0.2">
      <c r="A45" s="442" t="s">
        <v>28</v>
      </c>
      <c r="B45" s="427" t="s">
        <v>119</v>
      </c>
      <c r="C45" s="428" t="s">
        <v>31</v>
      </c>
      <c r="D45" s="429" t="s">
        <v>30</v>
      </c>
      <c r="E45" s="428" t="s">
        <v>96</v>
      </c>
      <c r="F45" s="430" t="s">
        <v>56</v>
      </c>
      <c r="G45" s="432"/>
      <c r="H45" s="432"/>
      <c r="I45" s="434"/>
      <c r="J45" s="434"/>
      <c r="K45" s="432"/>
      <c r="L45" s="431"/>
      <c r="M45" s="431"/>
      <c r="N45" s="432"/>
      <c r="O45" s="437">
        <v>0</v>
      </c>
      <c r="P45" s="431">
        <v>0</v>
      </c>
      <c r="Q45" s="431">
        <v>0</v>
      </c>
      <c r="R45" s="444">
        <v>0.15</v>
      </c>
      <c r="S45" s="431">
        <v>0</v>
      </c>
      <c r="T45" s="436">
        <v>3.7499999999999999E-2</v>
      </c>
    </row>
    <row r="46" spans="1:20" x14ac:dyDescent="0.2">
      <c r="A46" s="442" t="s">
        <v>28</v>
      </c>
      <c r="B46" s="445" t="s">
        <v>52</v>
      </c>
      <c r="C46" s="446"/>
      <c r="D46" s="446"/>
      <c r="E46" s="447"/>
      <c r="F46" s="430"/>
      <c r="G46" s="431"/>
      <c r="H46" s="431"/>
      <c r="I46" s="433"/>
      <c r="J46" s="433"/>
      <c r="K46" s="431"/>
      <c r="L46" s="431"/>
      <c r="M46" s="431"/>
      <c r="N46" s="431"/>
      <c r="O46" s="437">
        <v>-9393.3299999999799</v>
      </c>
      <c r="P46" s="437">
        <v>-1761.2399999999961</v>
      </c>
      <c r="Q46" s="437">
        <v>-1408.9999999999982</v>
      </c>
      <c r="R46" s="444"/>
      <c r="S46" s="437">
        <v>-352.24999999999955</v>
      </c>
      <c r="T46" s="436"/>
    </row>
    <row r="47" spans="1:20" x14ac:dyDescent="0.2">
      <c r="A47" s="448"/>
      <c r="B47" s="449" t="s">
        <v>99</v>
      </c>
      <c r="C47" s="450" t="s">
        <v>156</v>
      </c>
      <c r="D47" s="451"/>
      <c r="E47" s="452"/>
      <c r="F47" s="453"/>
      <c r="G47" s="454"/>
      <c r="H47" s="454"/>
      <c r="I47" s="455"/>
      <c r="J47" s="455"/>
      <c r="K47" s="454"/>
      <c r="L47" s="454"/>
      <c r="M47" s="454"/>
      <c r="N47" s="456"/>
      <c r="O47" s="456">
        <v>96407696.417500004</v>
      </c>
      <c r="P47" s="456">
        <v>18076443.100000001</v>
      </c>
      <c r="Q47" s="457">
        <v>14457592.58</v>
      </c>
      <c r="R47" s="458"/>
      <c r="S47" s="459">
        <v>3618850.4999999995</v>
      </c>
      <c r="T47" s="460"/>
    </row>
    <row r="48" spans="1:20" x14ac:dyDescent="0.2">
      <c r="A48" s="461"/>
      <c r="B48" s="462"/>
      <c r="C48" s="450" t="s">
        <v>157</v>
      </c>
      <c r="D48" s="446"/>
      <c r="E48" s="446"/>
      <c r="F48" s="463"/>
      <c r="G48" s="464"/>
      <c r="H48" s="464"/>
      <c r="I48" s="441"/>
      <c r="J48" s="441"/>
      <c r="K48" s="464"/>
      <c r="L48" s="464"/>
      <c r="M48" s="464"/>
      <c r="N48" s="464"/>
      <c r="O48" s="462"/>
      <c r="P48" s="465">
        <v>70100446.340000004</v>
      </c>
      <c r="Q48" s="466">
        <v>56066544.030000001</v>
      </c>
      <c r="R48" s="467"/>
      <c r="S48" s="468">
        <v>14033902.24</v>
      </c>
      <c r="T48" s="469"/>
    </row>
    <row r="49" spans="1:20" x14ac:dyDescent="0.2">
      <c r="A49" s="414" t="s">
        <v>22</v>
      </c>
      <c r="B49" s="415"/>
      <c r="C49" s="470"/>
      <c r="D49" s="470"/>
      <c r="E49" s="471"/>
      <c r="F49" s="472"/>
      <c r="G49" s="473"/>
      <c r="H49" s="473"/>
      <c r="I49" s="474"/>
      <c r="J49" s="474"/>
      <c r="K49" s="473"/>
      <c r="L49" s="473"/>
      <c r="M49" s="473"/>
      <c r="N49" s="473"/>
      <c r="O49" s="475"/>
      <c r="P49" s="473"/>
      <c r="Q49" s="476" t="s">
        <v>49</v>
      </c>
      <c r="R49" s="477"/>
      <c r="S49" s="478"/>
      <c r="T49" s="479"/>
    </row>
    <row r="50" spans="1:20" x14ac:dyDescent="0.2">
      <c r="A50" s="442" t="s">
        <v>28</v>
      </c>
      <c r="B50" s="427" t="s">
        <v>11</v>
      </c>
      <c r="C50" s="428" t="s">
        <v>31</v>
      </c>
      <c r="D50" s="429" t="s">
        <v>30</v>
      </c>
      <c r="E50" s="428" t="s">
        <v>96</v>
      </c>
      <c r="F50" s="480" t="s">
        <v>37</v>
      </c>
      <c r="G50" s="432"/>
      <c r="H50" s="432"/>
      <c r="I50" s="434"/>
      <c r="J50" s="434"/>
      <c r="K50" s="431"/>
      <c r="L50" s="431"/>
      <c r="M50" s="431"/>
      <c r="N50" s="432"/>
      <c r="O50" s="437">
        <v>0</v>
      </c>
      <c r="P50" s="431">
        <v>0</v>
      </c>
      <c r="Q50" s="431">
        <v>0</v>
      </c>
      <c r="R50" s="435">
        <v>0.15</v>
      </c>
      <c r="S50" s="481"/>
      <c r="T50" s="482"/>
    </row>
    <row r="51" spans="1:20" x14ac:dyDescent="0.2">
      <c r="A51" s="442" t="s">
        <v>28</v>
      </c>
      <c r="B51" s="483">
        <v>131</v>
      </c>
      <c r="C51" s="428" t="s">
        <v>31</v>
      </c>
      <c r="D51" s="429" t="s">
        <v>30</v>
      </c>
      <c r="E51" s="428" t="s">
        <v>96</v>
      </c>
      <c r="F51" s="480" t="s">
        <v>37</v>
      </c>
      <c r="G51" s="432">
        <v>19671</v>
      </c>
      <c r="H51" s="432">
        <v>18953</v>
      </c>
      <c r="I51" s="434">
        <v>114.48779999999999</v>
      </c>
      <c r="J51" s="434">
        <v>105.8387</v>
      </c>
      <c r="K51" s="431"/>
      <c r="L51" s="431"/>
      <c r="M51" s="431"/>
      <c r="N51" s="432">
        <v>4374.4908999999998</v>
      </c>
      <c r="O51" s="437">
        <v>4253675.8991</v>
      </c>
      <c r="P51" s="431">
        <v>638051.38</v>
      </c>
      <c r="Q51" s="431">
        <v>638051.38</v>
      </c>
      <c r="R51" s="435">
        <v>0.15</v>
      </c>
      <c r="S51" s="481"/>
      <c r="T51" s="482"/>
    </row>
    <row r="52" spans="1:20" x14ac:dyDescent="0.2">
      <c r="A52" s="442" t="s">
        <v>28</v>
      </c>
      <c r="B52" s="445" t="s">
        <v>53</v>
      </c>
      <c r="C52" s="446"/>
      <c r="D52" s="446"/>
      <c r="E52" s="484"/>
      <c r="F52" s="480"/>
      <c r="G52" s="431"/>
      <c r="H52" s="431"/>
      <c r="I52" s="433"/>
      <c r="J52" s="433"/>
      <c r="K52" s="431"/>
      <c r="L52" s="431"/>
      <c r="M52" s="431"/>
      <c r="N52" s="431"/>
      <c r="O52" s="431"/>
      <c r="P52" s="431"/>
      <c r="Q52" s="431"/>
      <c r="R52" s="443"/>
      <c r="S52" s="431"/>
      <c r="T52" s="482"/>
    </row>
    <row r="53" spans="1:20" x14ac:dyDescent="0.2">
      <c r="A53" s="448"/>
      <c r="B53" s="449" t="s">
        <v>99</v>
      </c>
      <c r="C53" s="450" t="s">
        <v>158</v>
      </c>
      <c r="D53" s="451"/>
      <c r="E53" s="452"/>
      <c r="F53" s="451"/>
      <c r="G53" s="454"/>
      <c r="H53" s="454"/>
      <c r="I53" s="455"/>
      <c r="J53" s="455"/>
      <c r="K53" s="454"/>
      <c r="L53" s="454"/>
      <c r="M53" s="454"/>
      <c r="N53" s="454"/>
      <c r="O53" s="456">
        <v>4253675.8991</v>
      </c>
      <c r="P53" s="456">
        <v>638051.38</v>
      </c>
      <c r="Q53" s="456">
        <v>638051.38</v>
      </c>
      <c r="R53" s="458"/>
      <c r="S53" s="456">
        <v>0</v>
      </c>
      <c r="T53" s="460"/>
    </row>
    <row r="54" spans="1:20" x14ac:dyDescent="0.2">
      <c r="A54" s="461"/>
      <c r="B54" s="462"/>
      <c r="C54" s="450" t="s">
        <v>159</v>
      </c>
      <c r="D54" s="446"/>
      <c r="E54" s="446"/>
      <c r="F54" s="463"/>
      <c r="G54" s="464"/>
      <c r="H54" s="464"/>
      <c r="I54" s="441"/>
      <c r="J54" s="441"/>
      <c r="K54" s="464"/>
      <c r="L54" s="464"/>
      <c r="M54" s="464"/>
      <c r="N54" s="464"/>
      <c r="O54" s="462"/>
      <c r="P54" s="465">
        <v>2474363.25</v>
      </c>
      <c r="Q54" s="466">
        <v>2474363.25</v>
      </c>
      <c r="R54" s="467"/>
      <c r="S54" s="465">
        <v>0</v>
      </c>
      <c r="T54" s="485"/>
    </row>
    <row r="55" spans="1:20" x14ac:dyDescent="0.2">
      <c r="A55" s="414" t="s">
        <v>24</v>
      </c>
      <c r="B55" s="415"/>
      <c r="C55" s="470"/>
      <c r="D55" s="470"/>
      <c r="E55" s="471"/>
      <c r="F55" s="486"/>
      <c r="G55" s="473"/>
      <c r="H55" s="473"/>
      <c r="I55" s="474"/>
      <c r="J55" s="474"/>
      <c r="K55" s="473"/>
      <c r="L55" s="473"/>
      <c r="M55" s="473"/>
      <c r="N55" s="473"/>
      <c r="O55" s="475"/>
      <c r="P55" s="473"/>
      <c r="Q55" s="476" t="s">
        <v>47</v>
      </c>
      <c r="R55" s="477"/>
      <c r="S55" s="487" t="s">
        <v>48</v>
      </c>
      <c r="T55" s="488"/>
    </row>
    <row r="56" spans="1:20" x14ac:dyDescent="0.2">
      <c r="A56" s="426" t="s">
        <v>28</v>
      </c>
      <c r="B56" s="427" t="s">
        <v>108</v>
      </c>
      <c r="C56" s="428" t="s">
        <v>31</v>
      </c>
      <c r="D56" s="428" t="s">
        <v>21</v>
      </c>
      <c r="E56" s="428" t="s">
        <v>96</v>
      </c>
      <c r="F56" s="489" t="s">
        <v>37</v>
      </c>
      <c r="G56" s="432"/>
      <c r="H56" s="432"/>
      <c r="I56" s="434"/>
      <c r="J56" s="434"/>
      <c r="K56" s="432"/>
      <c r="L56" s="431"/>
      <c r="M56" s="431"/>
      <c r="N56" s="432"/>
      <c r="O56" s="437">
        <v>0</v>
      </c>
      <c r="P56" s="431">
        <v>0</v>
      </c>
      <c r="Q56" s="431">
        <v>0</v>
      </c>
      <c r="R56" s="435">
        <v>0.15</v>
      </c>
      <c r="S56" s="431">
        <v>0</v>
      </c>
      <c r="T56" s="436">
        <v>3.7499999999999999E-2</v>
      </c>
    </row>
    <row r="57" spans="1:20" x14ac:dyDescent="0.2">
      <c r="A57" s="426" t="s">
        <v>28</v>
      </c>
      <c r="B57" s="490">
        <v>192</v>
      </c>
      <c r="C57" s="428" t="s">
        <v>29</v>
      </c>
      <c r="D57" s="428" t="s">
        <v>21</v>
      </c>
      <c r="E57" s="428" t="s">
        <v>95</v>
      </c>
      <c r="F57" s="489" t="s">
        <v>37</v>
      </c>
      <c r="G57" s="432"/>
      <c r="H57" s="432"/>
      <c r="I57" s="434"/>
      <c r="J57" s="434"/>
      <c r="K57" s="432"/>
      <c r="L57" s="432"/>
      <c r="M57" s="432"/>
      <c r="N57" s="431"/>
      <c r="O57" s="437">
        <v>0</v>
      </c>
      <c r="P57" s="431">
        <v>0</v>
      </c>
      <c r="Q57" s="431">
        <v>0</v>
      </c>
      <c r="R57" s="435">
        <v>0.15</v>
      </c>
      <c r="S57" s="431">
        <v>0</v>
      </c>
      <c r="T57" s="436">
        <v>3.7499999999999999E-2</v>
      </c>
    </row>
    <row r="58" spans="1:20" x14ac:dyDescent="0.2">
      <c r="A58" s="426" t="s">
        <v>28</v>
      </c>
      <c r="B58" s="483">
        <v>8</v>
      </c>
      <c r="C58" s="428" t="s">
        <v>31</v>
      </c>
      <c r="D58" s="428" t="s">
        <v>30</v>
      </c>
      <c r="E58" s="428" t="s">
        <v>96</v>
      </c>
      <c r="F58" s="489" t="s">
        <v>37</v>
      </c>
      <c r="G58" s="431"/>
      <c r="H58" s="432"/>
      <c r="I58" s="433"/>
      <c r="J58" s="434"/>
      <c r="K58" s="431"/>
      <c r="L58" s="431"/>
      <c r="M58" s="431"/>
      <c r="N58" s="431"/>
      <c r="O58" s="437">
        <v>0</v>
      </c>
      <c r="P58" s="431">
        <v>0</v>
      </c>
      <c r="Q58" s="431">
        <v>0</v>
      </c>
      <c r="R58" s="435">
        <v>0.15</v>
      </c>
      <c r="S58" s="431">
        <v>0</v>
      </c>
      <c r="T58" s="436">
        <v>3.7499999999999999E-2</v>
      </c>
    </row>
    <row r="59" spans="1:20" x14ac:dyDescent="0.2">
      <c r="A59" s="426" t="s">
        <v>28</v>
      </c>
      <c r="B59" s="483" t="s">
        <v>143</v>
      </c>
      <c r="C59" s="428" t="s">
        <v>31</v>
      </c>
      <c r="D59" s="428" t="s">
        <v>30</v>
      </c>
      <c r="E59" s="428" t="s">
        <v>96</v>
      </c>
      <c r="F59" s="489" t="s">
        <v>37</v>
      </c>
      <c r="G59" s="431"/>
      <c r="H59" s="432"/>
      <c r="I59" s="433"/>
      <c r="J59" s="434"/>
      <c r="K59" s="431"/>
      <c r="L59" s="431"/>
      <c r="M59" s="431"/>
      <c r="N59" s="431"/>
      <c r="O59" s="437">
        <v>0</v>
      </c>
      <c r="P59" s="431">
        <v>0</v>
      </c>
      <c r="Q59" s="431">
        <v>0</v>
      </c>
      <c r="R59" s="435">
        <v>0.15</v>
      </c>
      <c r="S59" s="431">
        <v>0</v>
      </c>
      <c r="T59" s="436">
        <v>3.7499999999999999E-2</v>
      </c>
    </row>
    <row r="60" spans="1:20" x14ac:dyDescent="0.2">
      <c r="A60" s="426" t="s">
        <v>28</v>
      </c>
      <c r="B60" s="427" t="s">
        <v>10</v>
      </c>
      <c r="C60" s="428" t="s">
        <v>31</v>
      </c>
      <c r="D60" s="428" t="s">
        <v>30</v>
      </c>
      <c r="E60" s="428" t="s">
        <v>96</v>
      </c>
      <c r="F60" s="489" t="s">
        <v>37</v>
      </c>
      <c r="G60" s="432"/>
      <c r="H60" s="432"/>
      <c r="I60" s="434"/>
      <c r="J60" s="434"/>
      <c r="K60" s="431"/>
      <c r="L60" s="431"/>
      <c r="M60" s="431"/>
      <c r="N60" s="431"/>
      <c r="O60" s="437">
        <v>0</v>
      </c>
      <c r="P60" s="431">
        <v>0</v>
      </c>
      <c r="Q60" s="431">
        <v>0</v>
      </c>
      <c r="R60" s="435">
        <v>0.15</v>
      </c>
      <c r="S60" s="431">
        <v>0</v>
      </c>
      <c r="T60" s="436">
        <v>3.7499999999999999E-2</v>
      </c>
    </row>
    <row r="61" spans="1:20" x14ac:dyDescent="0.2">
      <c r="A61" s="426" t="s">
        <v>28</v>
      </c>
      <c r="B61" s="427" t="s">
        <v>12</v>
      </c>
      <c r="C61" s="428" t="s">
        <v>31</v>
      </c>
      <c r="D61" s="428" t="s">
        <v>30</v>
      </c>
      <c r="E61" s="428" t="s">
        <v>96</v>
      </c>
      <c r="F61" s="489" t="s">
        <v>56</v>
      </c>
      <c r="G61" s="432">
        <v>197428.48000000001</v>
      </c>
      <c r="H61" s="432">
        <v>228751.61</v>
      </c>
      <c r="I61" s="434">
        <v>3.6728000000000001</v>
      </c>
      <c r="J61" s="434">
        <v>3.6715</v>
      </c>
      <c r="K61" s="431"/>
      <c r="L61" s="431"/>
      <c r="M61" s="431"/>
      <c r="N61" s="431">
        <v>548.0444</v>
      </c>
      <c r="O61" s="437">
        <v>1564428.8155999999</v>
      </c>
      <c r="P61" s="431">
        <v>293330.40000000002</v>
      </c>
      <c r="Q61" s="431">
        <v>58666.080000000002</v>
      </c>
      <c r="R61" s="435">
        <v>3.7499999999999999E-2</v>
      </c>
      <c r="S61" s="431">
        <v>234664.32000000001</v>
      </c>
      <c r="T61" s="436">
        <v>0.15</v>
      </c>
    </row>
    <row r="62" spans="1:20" x14ac:dyDescent="0.2">
      <c r="A62" s="426" t="s">
        <v>28</v>
      </c>
      <c r="B62" s="427" t="s">
        <v>72</v>
      </c>
      <c r="C62" s="428" t="s">
        <v>31</v>
      </c>
      <c r="D62" s="428" t="s">
        <v>30</v>
      </c>
      <c r="E62" s="428" t="s">
        <v>97</v>
      </c>
      <c r="F62" s="489" t="s">
        <v>37</v>
      </c>
      <c r="G62" s="432">
        <v>3447</v>
      </c>
      <c r="H62" s="432">
        <v>3697</v>
      </c>
      <c r="I62" s="434">
        <v>82.770099999999999</v>
      </c>
      <c r="J62" s="434">
        <v>80.525800000000004</v>
      </c>
      <c r="K62" s="431"/>
      <c r="L62" s="431"/>
      <c r="M62" s="431"/>
      <c r="N62" s="431">
        <v>2483.4856</v>
      </c>
      <c r="O62" s="437">
        <v>580528.92440000002</v>
      </c>
      <c r="P62" s="431">
        <v>108849.17</v>
      </c>
      <c r="Q62" s="431">
        <v>21769.83</v>
      </c>
      <c r="R62" s="435">
        <v>3.7499999999999999E-2</v>
      </c>
      <c r="S62" s="431">
        <v>87079.34</v>
      </c>
      <c r="T62" s="436">
        <v>0.15</v>
      </c>
    </row>
    <row r="63" spans="1:20" x14ac:dyDescent="0.2">
      <c r="A63" s="426" t="s">
        <v>28</v>
      </c>
      <c r="B63" s="427" t="s">
        <v>32</v>
      </c>
      <c r="C63" s="428" t="s">
        <v>31</v>
      </c>
      <c r="D63" s="428" t="s">
        <v>30</v>
      </c>
      <c r="E63" s="428" t="s">
        <v>96</v>
      </c>
      <c r="F63" s="489" t="s">
        <v>37</v>
      </c>
      <c r="G63" s="431"/>
      <c r="H63" s="431"/>
      <c r="I63" s="434"/>
      <c r="J63" s="434"/>
      <c r="K63" s="431"/>
      <c r="L63" s="431"/>
      <c r="M63" s="431"/>
      <c r="N63" s="431"/>
      <c r="O63" s="437">
        <v>0</v>
      </c>
      <c r="P63" s="431">
        <v>0</v>
      </c>
      <c r="Q63" s="431">
        <v>0</v>
      </c>
      <c r="R63" s="435">
        <v>3.7499999999999999E-2</v>
      </c>
      <c r="S63" s="431">
        <v>0</v>
      </c>
      <c r="T63" s="436">
        <v>0.15</v>
      </c>
    </row>
    <row r="64" spans="1:20" x14ac:dyDescent="0.2">
      <c r="A64" s="426" t="s">
        <v>28</v>
      </c>
      <c r="B64" s="483">
        <v>102</v>
      </c>
      <c r="C64" s="428" t="s">
        <v>31</v>
      </c>
      <c r="D64" s="428" t="s">
        <v>30</v>
      </c>
      <c r="E64" s="428" t="s">
        <v>96</v>
      </c>
      <c r="F64" s="489" t="s">
        <v>37</v>
      </c>
      <c r="G64" s="432"/>
      <c r="H64" s="432"/>
      <c r="I64" s="434"/>
      <c r="J64" s="434"/>
      <c r="K64" s="432"/>
      <c r="L64" s="431"/>
      <c r="M64" s="431"/>
      <c r="N64" s="431"/>
      <c r="O64" s="437">
        <v>0</v>
      </c>
      <c r="P64" s="431">
        <v>0</v>
      </c>
      <c r="Q64" s="431">
        <v>0</v>
      </c>
      <c r="R64" s="435">
        <v>0.15</v>
      </c>
      <c r="S64" s="431">
        <v>0</v>
      </c>
      <c r="T64" s="436">
        <v>3.7499999999999999E-2</v>
      </c>
    </row>
    <row r="65" spans="1:20" x14ac:dyDescent="0.2">
      <c r="A65" s="426" t="s">
        <v>28</v>
      </c>
      <c r="B65" s="483">
        <v>95</v>
      </c>
      <c r="C65" s="428" t="s">
        <v>31</v>
      </c>
      <c r="D65" s="428" t="s">
        <v>30</v>
      </c>
      <c r="E65" s="428" t="s">
        <v>96</v>
      </c>
      <c r="F65" s="489" t="s">
        <v>37</v>
      </c>
      <c r="G65" s="431">
        <v>230459</v>
      </c>
      <c r="H65" s="432">
        <v>239179</v>
      </c>
      <c r="I65" s="434">
        <v>100.5842</v>
      </c>
      <c r="J65" s="434">
        <v>92.837900000000005</v>
      </c>
      <c r="K65" s="432"/>
      <c r="L65" s="431"/>
      <c r="M65" s="431"/>
      <c r="N65" s="431">
        <v>5855.6893</v>
      </c>
      <c r="O65" s="437">
        <v>45379554.540699996</v>
      </c>
      <c r="P65" s="431">
        <v>8508666.4800000004</v>
      </c>
      <c r="Q65" s="431">
        <v>6806933.1800000006</v>
      </c>
      <c r="R65" s="435">
        <v>0.15</v>
      </c>
      <c r="S65" s="431">
        <v>1701733.3</v>
      </c>
      <c r="T65" s="436">
        <v>3.7499999999999999E-2</v>
      </c>
    </row>
    <row r="66" spans="1:20" x14ac:dyDescent="0.2">
      <c r="A66" s="426" t="s">
        <v>28</v>
      </c>
      <c r="B66" s="491">
        <v>67</v>
      </c>
      <c r="C66" s="428" t="s">
        <v>31</v>
      </c>
      <c r="D66" s="428" t="s">
        <v>30</v>
      </c>
      <c r="E66" s="428" t="s">
        <v>96</v>
      </c>
      <c r="F66" s="489" t="s">
        <v>37</v>
      </c>
      <c r="G66" s="431">
        <v>30681</v>
      </c>
      <c r="H66" s="432">
        <v>34262</v>
      </c>
      <c r="I66" s="434">
        <v>78.987300000000005</v>
      </c>
      <c r="J66" s="434">
        <v>70.096199999999996</v>
      </c>
      <c r="K66" s="432"/>
      <c r="L66" s="431"/>
      <c r="M66" s="431"/>
      <c r="N66" s="432">
        <v>4053.5639999999999</v>
      </c>
      <c r="O66" s="437">
        <v>4820991.7859999994</v>
      </c>
      <c r="P66" s="431">
        <v>903935.96</v>
      </c>
      <c r="Q66" s="431">
        <v>723148.77</v>
      </c>
      <c r="R66" s="435">
        <v>0.15</v>
      </c>
      <c r="S66" s="431">
        <v>180787.19</v>
      </c>
      <c r="T66" s="436">
        <v>3.7499999999999999E-2</v>
      </c>
    </row>
    <row r="67" spans="1:20" x14ac:dyDescent="0.2">
      <c r="A67" s="492" t="s">
        <v>28</v>
      </c>
      <c r="B67" s="445" t="s">
        <v>54</v>
      </c>
      <c r="C67" s="446"/>
      <c r="D67" s="447"/>
      <c r="E67" s="447"/>
      <c r="F67" s="489"/>
      <c r="G67" s="431"/>
      <c r="H67" s="432"/>
      <c r="I67" s="433"/>
      <c r="J67" s="433"/>
      <c r="K67" s="431"/>
      <c r="L67" s="431"/>
      <c r="M67" s="431"/>
      <c r="N67" s="431"/>
      <c r="O67" s="431"/>
      <c r="P67" s="431"/>
      <c r="Q67" s="431"/>
      <c r="R67" s="493"/>
      <c r="S67" s="431"/>
      <c r="T67" s="436"/>
    </row>
    <row r="68" spans="1:20" x14ac:dyDescent="0.2">
      <c r="A68" s="448"/>
      <c r="B68" s="449" t="s">
        <v>99</v>
      </c>
      <c r="C68" s="450" t="s">
        <v>160</v>
      </c>
      <c r="D68" s="494"/>
      <c r="E68" s="494"/>
      <c r="F68" s="495"/>
      <c r="G68" s="496"/>
      <c r="H68" s="496"/>
      <c r="I68" s="497"/>
      <c r="J68" s="498"/>
      <c r="K68" s="499"/>
      <c r="L68" s="499"/>
      <c r="M68" s="499"/>
      <c r="N68" s="456"/>
      <c r="O68" s="456">
        <v>52345504.066699997</v>
      </c>
      <c r="P68" s="456">
        <v>9814782.0100000016</v>
      </c>
      <c r="Q68" s="456">
        <v>7610517.8600000013</v>
      </c>
      <c r="R68" s="500"/>
      <c r="S68" s="456">
        <v>2204264.15</v>
      </c>
      <c r="T68" s="460"/>
    </row>
    <row r="69" spans="1:20" x14ac:dyDescent="0.2">
      <c r="A69" s="501"/>
      <c r="B69" s="502"/>
      <c r="C69" s="450" t="s">
        <v>161</v>
      </c>
      <c r="D69" s="503"/>
      <c r="E69" s="503"/>
      <c r="F69" s="501"/>
      <c r="G69" s="504"/>
      <c r="H69" s="504"/>
      <c r="I69" s="505"/>
      <c r="J69" s="505"/>
      <c r="K69" s="504"/>
      <c r="L69" s="504"/>
      <c r="M69" s="504"/>
      <c r="N69" s="504"/>
      <c r="O69" s="161"/>
      <c r="P69" s="161">
        <v>38061724.630000003</v>
      </c>
      <c r="Q69" s="468">
        <v>29513588.260000002</v>
      </c>
      <c r="R69" s="506"/>
      <c r="S69" s="468">
        <v>8548136.3699999992</v>
      </c>
      <c r="T69" s="507"/>
    </row>
    <row r="70" spans="1:20" x14ac:dyDescent="0.2">
      <c r="A70" s="414" t="s">
        <v>105</v>
      </c>
      <c r="B70" s="415"/>
      <c r="C70" s="415"/>
      <c r="D70" s="415"/>
      <c r="E70" s="417"/>
      <c r="F70" s="414"/>
      <c r="G70" s="418"/>
      <c r="H70" s="419"/>
      <c r="I70" s="420"/>
      <c r="J70" s="421"/>
      <c r="K70" s="418"/>
      <c r="L70" s="418"/>
      <c r="M70" s="418"/>
      <c r="N70" s="418"/>
      <c r="O70" s="418"/>
      <c r="P70" s="508" t="s">
        <v>107</v>
      </c>
      <c r="Q70" s="508" t="s">
        <v>105</v>
      </c>
      <c r="R70" s="424"/>
      <c r="S70" s="509"/>
      <c r="T70" s="510"/>
    </row>
    <row r="71" spans="1:20" x14ac:dyDescent="0.2">
      <c r="A71" s="426" t="s">
        <v>28</v>
      </c>
      <c r="B71" s="427" t="s">
        <v>104</v>
      </c>
      <c r="C71" s="428" t="s">
        <v>31</v>
      </c>
      <c r="D71" s="428" t="s">
        <v>30</v>
      </c>
      <c r="E71" s="428" t="s">
        <v>102</v>
      </c>
      <c r="F71" s="489" t="s">
        <v>37</v>
      </c>
      <c r="G71" s="431">
        <v>773566</v>
      </c>
      <c r="H71" s="431">
        <v>810327</v>
      </c>
      <c r="I71" s="433">
        <v>69.081800000000001</v>
      </c>
      <c r="J71" s="433">
        <v>65.792100000000005</v>
      </c>
      <c r="K71" s="431"/>
      <c r="L71" s="431"/>
      <c r="M71" s="431"/>
      <c r="N71" s="431"/>
      <c r="O71" s="437">
        <v>106752446.7155</v>
      </c>
      <c r="P71" s="511">
        <v>39754611.159999996</v>
      </c>
      <c r="Q71" s="431">
        <v>19877305.579999998</v>
      </c>
      <c r="R71" s="435">
        <v>0.5</v>
      </c>
      <c r="S71" s="431"/>
      <c r="T71" s="436"/>
    </row>
    <row r="72" spans="1:20" x14ac:dyDescent="0.2">
      <c r="A72" s="426" t="s">
        <v>28</v>
      </c>
      <c r="B72" s="427" t="s">
        <v>103</v>
      </c>
      <c r="C72" s="428" t="s">
        <v>31</v>
      </c>
      <c r="D72" s="428" t="s">
        <v>30</v>
      </c>
      <c r="E72" s="428" t="s">
        <v>102</v>
      </c>
      <c r="F72" s="489" t="s">
        <v>56</v>
      </c>
      <c r="G72" s="431">
        <v>12578384.310000001</v>
      </c>
      <c r="H72" s="431">
        <v>12741185.67</v>
      </c>
      <c r="I72" s="433">
        <v>2.3405</v>
      </c>
      <c r="J72" s="433">
        <v>2.3405</v>
      </c>
      <c r="K72" s="431"/>
      <c r="L72" s="431"/>
      <c r="M72" s="431"/>
      <c r="N72" s="431"/>
      <c r="O72" s="437">
        <v>59260453.538190007</v>
      </c>
      <c r="P72" s="511">
        <v>22068592.899999999</v>
      </c>
      <c r="Q72" s="431">
        <v>11034296.449999999</v>
      </c>
      <c r="R72" s="435">
        <v>0.5</v>
      </c>
      <c r="S72" s="431"/>
      <c r="T72" s="436"/>
    </row>
    <row r="73" spans="1:20" x14ac:dyDescent="0.2">
      <c r="A73" s="426" t="s">
        <v>28</v>
      </c>
      <c r="B73" s="427" t="s">
        <v>122</v>
      </c>
      <c r="C73" s="428" t="s">
        <v>31</v>
      </c>
      <c r="D73" s="428" t="s">
        <v>30</v>
      </c>
      <c r="E73" s="428" t="s">
        <v>102</v>
      </c>
      <c r="F73" s="489" t="s">
        <v>56</v>
      </c>
      <c r="G73" s="431">
        <v>24155.29</v>
      </c>
      <c r="H73" s="431">
        <v>16130.18</v>
      </c>
      <c r="I73" s="433">
        <v>3.0131000000000001</v>
      </c>
      <c r="J73" s="433">
        <v>3.0131000000000001</v>
      </c>
      <c r="K73" s="431"/>
      <c r="L73" s="431"/>
      <c r="M73" s="431"/>
      <c r="N73" s="431"/>
      <c r="O73" s="437">
        <v>121384.14965700002</v>
      </c>
      <c r="P73" s="511">
        <v>45203.46</v>
      </c>
      <c r="Q73" s="431">
        <v>22601.73</v>
      </c>
      <c r="R73" s="435">
        <v>0.5</v>
      </c>
      <c r="S73" s="431"/>
      <c r="T73" s="436"/>
    </row>
    <row r="74" spans="1:20" ht="12" customHeight="1" x14ac:dyDescent="0.2">
      <c r="A74" s="426" t="s">
        <v>28</v>
      </c>
      <c r="B74" s="427" t="s">
        <v>123</v>
      </c>
      <c r="C74" s="428" t="s">
        <v>31</v>
      </c>
      <c r="D74" s="428" t="s">
        <v>30</v>
      </c>
      <c r="E74" s="428" t="s">
        <v>102</v>
      </c>
      <c r="F74" s="489" t="s">
        <v>56</v>
      </c>
      <c r="G74" s="431">
        <v>896872.18</v>
      </c>
      <c r="H74" s="431">
        <v>864994.52</v>
      </c>
      <c r="I74" s="433">
        <v>6.1740000000000004</v>
      </c>
      <c r="J74" s="433">
        <v>8.9659999999999993</v>
      </c>
      <c r="K74" s="431"/>
      <c r="L74" s="431"/>
      <c r="M74" s="431"/>
      <c r="N74" s="431"/>
      <c r="O74" s="437">
        <v>13292829.705639999</v>
      </c>
      <c r="P74" s="511">
        <v>5051275.29</v>
      </c>
      <c r="Q74" s="431">
        <v>2525637.65</v>
      </c>
      <c r="R74" s="512">
        <v>0.5</v>
      </c>
      <c r="S74" s="431"/>
      <c r="T74" s="436"/>
    </row>
    <row r="75" spans="1:20" x14ac:dyDescent="0.2">
      <c r="A75" s="426" t="s">
        <v>28</v>
      </c>
      <c r="B75" s="427" t="s">
        <v>112</v>
      </c>
      <c r="C75" s="428" t="s">
        <v>31</v>
      </c>
      <c r="D75" s="428" t="s">
        <v>30</v>
      </c>
      <c r="E75" s="428" t="s">
        <v>102</v>
      </c>
      <c r="F75" s="489" t="s">
        <v>37</v>
      </c>
      <c r="G75" s="431">
        <v>288316</v>
      </c>
      <c r="H75" s="431">
        <v>303131</v>
      </c>
      <c r="I75" s="433">
        <v>69.052099999999996</v>
      </c>
      <c r="J75" s="433">
        <v>65.736400000000003</v>
      </c>
      <c r="K75" s="431"/>
      <c r="L75" s="431"/>
      <c r="M75" s="431"/>
      <c r="N75" s="431"/>
      <c r="O75" s="437">
        <v>39835565.931999996</v>
      </c>
      <c r="P75" s="511">
        <v>15934226.379999999</v>
      </c>
      <c r="Q75" s="431">
        <v>7967113.1900000004</v>
      </c>
      <c r="R75" s="435">
        <v>0.5</v>
      </c>
      <c r="S75" s="431"/>
      <c r="T75" s="436"/>
    </row>
    <row r="76" spans="1:20" x14ac:dyDescent="0.2">
      <c r="A76" s="426" t="s">
        <v>28</v>
      </c>
      <c r="B76" s="427" t="s">
        <v>113</v>
      </c>
      <c r="C76" s="428" t="s">
        <v>31</v>
      </c>
      <c r="D76" s="428" t="s">
        <v>30</v>
      </c>
      <c r="E76" s="428" t="s">
        <v>102</v>
      </c>
      <c r="F76" s="489" t="s">
        <v>56</v>
      </c>
      <c r="G76" s="431">
        <v>6324878.0999999996</v>
      </c>
      <c r="H76" s="431">
        <v>5840337.1500000004</v>
      </c>
      <c r="I76" s="433">
        <v>6.1740000000000004</v>
      </c>
      <c r="J76" s="433">
        <v>8.9659999999999993</v>
      </c>
      <c r="K76" s="431"/>
      <c r="L76" s="431"/>
      <c r="M76" s="431"/>
      <c r="N76" s="431"/>
      <c r="O76" s="437">
        <v>91414260.276299998</v>
      </c>
      <c r="P76" s="511">
        <v>34737418.909999996</v>
      </c>
      <c r="Q76" s="431">
        <v>17368709.460000001</v>
      </c>
      <c r="R76" s="435">
        <v>0.5</v>
      </c>
      <c r="S76" s="431"/>
      <c r="T76" s="436"/>
    </row>
    <row r="77" spans="1:20" x14ac:dyDescent="0.2">
      <c r="A77" s="426" t="s">
        <v>28</v>
      </c>
      <c r="B77" s="483" t="s">
        <v>118</v>
      </c>
      <c r="C77" s="428" t="s">
        <v>31</v>
      </c>
      <c r="D77" s="428" t="s">
        <v>30</v>
      </c>
      <c r="E77" s="428" t="s">
        <v>102</v>
      </c>
      <c r="F77" s="489" t="s">
        <v>56</v>
      </c>
      <c r="G77" s="431">
        <v>251028.65</v>
      </c>
      <c r="H77" s="431">
        <v>212865.31</v>
      </c>
      <c r="I77" s="433">
        <v>2.1252</v>
      </c>
      <c r="J77" s="433">
        <v>2.1252</v>
      </c>
      <c r="K77" s="432"/>
      <c r="L77" s="431"/>
      <c r="M77" s="431"/>
      <c r="N77" s="432"/>
      <c r="O77" s="437">
        <v>985867.44379199995</v>
      </c>
      <c r="P77" s="511">
        <v>367137.04</v>
      </c>
      <c r="Q77" s="431">
        <v>183568.52</v>
      </c>
      <c r="R77" s="435">
        <v>0.5</v>
      </c>
      <c r="S77" s="431"/>
      <c r="T77" s="436"/>
    </row>
    <row r="78" spans="1:20" x14ac:dyDescent="0.2">
      <c r="A78" s="426" t="s">
        <v>28</v>
      </c>
      <c r="B78" s="483" t="s">
        <v>120</v>
      </c>
      <c r="C78" s="428" t="s">
        <v>31</v>
      </c>
      <c r="D78" s="428" t="s">
        <v>30</v>
      </c>
      <c r="E78" s="428" t="s">
        <v>102</v>
      </c>
      <c r="F78" s="489" t="s">
        <v>37</v>
      </c>
      <c r="G78" s="431">
        <v>176466</v>
      </c>
      <c r="H78" s="431">
        <v>126465</v>
      </c>
      <c r="I78" s="513">
        <v>62.708500000000001</v>
      </c>
      <c r="J78" s="433">
        <v>60.4255</v>
      </c>
      <c r="K78" s="432"/>
      <c r="L78" s="431"/>
      <c r="M78" s="431"/>
      <c r="N78" s="432"/>
      <c r="O78" s="437">
        <v>18707629.0185</v>
      </c>
      <c r="P78" s="511">
        <v>1163063.24061</v>
      </c>
      <c r="Q78" s="431">
        <v>581531.62</v>
      </c>
      <c r="R78" s="435">
        <v>0.5</v>
      </c>
      <c r="S78" s="431"/>
      <c r="T78" s="436"/>
    </row>
    <row r="79" spans="1:20" x14ac:dyDescent="0.2">
      <c r="A79" s="426" t="s">
        <v>28</v>
      </c>
      <c r="B79" s="491" t="s">
        <v>121</v>
      </c>
      <c r="C79" s="428" t="s">
        <v>31</v>
      </c>
      <c r="D79" s="428" t="s">
        <v>30</v>
      </c>
      <c r="E79" s="428" t="s">
        <v>102</v>
      </c>
      <c r="F79" s="489" t="s">
        <v>56</v>
      </c>
      <c r="G79" s="431">
        <v>2835627.43</v>
      </c>
      <c r="H79" s="431">
        <v>1961017.8</v>
      </c>
      <c r="I79" s="433">
        <v>4.1559999999999997</v>
      </c>
      <c r="J79" s="433">
        <v>4.1559999999999997</v>
      </c>
      <c r="K79" s="514"/>
      <c r="L79" s="431"/>
      <c r="M79" s="431"/>
      <c r="N79" s="432"/>
      <c r="O79" s="437">
        <v>19934857.575879999</v>
      </c>
      <c r="P79" s="511">
        <v>1891959.8496919996</v>
      </c>
      <c r="Q79" s="431">
        <v>945979.92</v>
      </c>
      <c r="R79" s="435">
        <v>0.5</v>
      </c>
      <c r="S79" s="431"/>
      <c r="T79" s="436"/>
    </row>
    <row r="80" spans="1:20" x14ac:dyDescent="0.2">
      <c r="A80" s="515" t="s">
        <v>28</v>
      </c>
      <c r="B80" s="516" t="s">
        <v>106</v>
      </c>
      <c r="C80" s="517"/>
      <c r="D80" s="517"/>
      <c r="E80" s="518"/>
      <c r="F80" s="480"/>
      <c r="G80" s="201"/>
      <c r="H80" s="202"/>
      <c r="I80" s="202"/>
      <c r="J80" s="201"/>
      <c r="K80" s="201"/>
      <c r="L80" s="201"/>
      <c r="M80" s="519"/>
      <c r="N80" s="519"/>
      <c r="O80" s="519">
        <v>-22912585.444701795</v>
      </c>
      <c r="P80" s="519">
        <v>-4287237.2119032359</v>
      </c>
      <c r="Q80" s="519">
        <v>-2143618.5799999996</v>
      </c>
      <c r="R80" s="520"/>
      <c r="S80" s="521"/>
      <c r="T80" s="507"/>
    </row>
    <row r="81" spans="1:20" x14ac:dyDescent="0.2">
      <c r="A81" s="448"/>
      <c r="B81" s="449" t="s">
        <v>99</v>
      </c>
      <c r="C81" s="450" t="s">
        <v>162</v>
      </c>
      <c r="D81" s="494"/>
      <c r="E81" s="494"/>
      <c r="F81" s="522"/>
      <c r="G81" s="195"/>
      <c r="H81" s="195"/>
      <c r="I81" s="195"/>
      <c r="J81" s="195"/>
      <c r="K81" s="523"/>
      <c r="L81" s="524"/>
      <c r="M81" s="525"/>
      <c r="N81" s="450"/>
      <c r="O81" s="450">
        <v>327392708.91075724</v>
      </c>
      <c r="P81" s="450">
        <v>116726251.01839878</v>
      </c>
      <c r="Q81" s="450">
        <v>58363125.539999999</v>
      </c>
      <c r="R81" s="152"/>
      <c r="S81" s="161"/>
      <c r="T81" s="507"/>
    </row>
    <row r="82" spans="1:20" x14ac:dyDescent="0.2">
      <c r="A82" s="501"/>
      <c r="B82" s="502"/>
      <c r="C82" s="450" t="s">
        <v>163</v>
      </c>
      <c r="D82" s="503"/>
      <c r="E82" s="503"/>
      <c r="F82" s="522"/>
      <c r="G82" s="195">
        <v>6.0194411175888405</v>
      </c>
      <c r="H82" s="195">
        <v>8.7254382440913769</v>
      </c>
      <c r="I82" s="229"/>
      <c r="J82" s="195"/>
      <c r="K82" s="526"/>
      <c r="L82" s="527"/>
      <c r="M82" s="260"/>
      <c r="N82" s="504"/>
      <c r="O82" s="504"/>
      <c r="P82" s="502"/>
      <c r="Q82" s="502">
        <v>226332200.84412</v>
      </c>
      <c r="R82" s="528"/>
      <c r="S82" s="161"/>
      <c r="T82" s="507"/>
    </row>
    <row r="83" spans="1:20" x14ac:dyDescent="0.2">
      <c r="A83" s="529" t="s">
        <v>55</v>
      </c>
      <c r="B83" s="530"/>
      <c r="C83" s="530"/>
      <c r="D83" s="530"/>
      <c r="E83" s="530"/>
      <c r="F83" s="531"/>
      <c r="G83" s="197">
        <v>0</v>
      </c>
      <c r="H83" s="197">
        <v>0</v>
      </c>
      <c r="I83" s="195">
        <v>0</v>
      </c>
      <c r="J83" s="195">
        <v>92400127.720091999</v>
      </c>
      <c r="K83" s="230">
        <v>-92400127.720091999</v>
      </c>
      <c r="L83" s="231"/>
      <c r="M83" s="161">
        <v>0</v>
      </c>
      <c r="N83" s="161">
        <v>43606.636699999995</v>
      </c>
      <c r="O83" s="161">
        <v>480399585.29405725</v>
      </c>
      <c r="P83" s="161">
        <v>86892402.030000001</v>
      </c>
      <c r="Q83" s="161">
        <v>336968734.99412</v>
      </c>
      <c r="R83" s="506"/>
      <c r="S83" s="161"/>
      <c r="T83" s="469"/>
    </row>
    <row r="84" spans="1:20" x14ac:dyDescent="0.2">
      <c r="O84" s="362"/>
      <c r="R84" s="532"/>
      <c r="T84" s="259"/>
    </row>
    <row r="85" spans="1:20" x14ac:dyDescent="0.2">
      <c r="A85" s="533" t="s">
        <v>90</v>
      </c>
      <c r="B85" s="62" t="s">
        <v>73</v>
      </c>
      <c r="H85" s="533" t="s">
        <v>74</v>
      </c>
      <c r="Q85" s="534"/>
      <c r="R85" s="532"/>
      <c r="T85" s="259"/>
    </row>
    <row r="86" spans="1:20" x14ac:dyDescent="0.2">
      <c r="B86" s="535" t="s">
        <v>75</v>
      </c>
      <c r="C86" s="536" t="s">
        <v>76</v>
      </c>
      <c r="D86" s="537"/>
      <c r="E86" s="582" t="s">
        <v>35</v>
      </c>
      <c r="F86" s="582" t="s">
        <v>77</v>
      </c>
      <c r="H86" s="538" t="s">
        <v>35</v>
      </c>
      <c r="I86" s="530"/>
      <c r="J86" s="530"/>
      <c r="K86" s="530"/>
      <c r="L86" s="539"/>
      <c r="N86" s="534"/>
      <c r="R86" s="532"/>
      <c r="T86" s="259"/>
    </row>
    <row r="87" spans="1:20" x14ac:dyDescent="0.2">
      <c r="B87" s="540" t="s">
        <v>78</v>
      </c>
      <c r="C87" s="541" t="s">
        <v>79</v>
      </c>
      <c r="D87" s="542"/>
      <c r="E87" s="543">
        <v>124.74939999999999</v>
      </c>
      <c r="F87" s="544">
        <v>116.9802</v>
      </c>
      <c r="H87" s="545" t="s">
        <v>187</v>
      </c>
      <c r="L87" s="546"/>
      <c r="M87" s="547">
        <v>6.2200000337121024E-2</v>
      </c>
      <c r="N87" s="534"/>
      <c r="R87" s="532"/>
      <c r="T87" s="259"/>
    </row>
    <row r="88" spans="1:20" x14ac:dyDescent="0.2">
      <c r="B88" s="548" t="s">
        <v>80</v>
      </c>
      <c r="C88" s="549" t="s">
        <v>81</v>
      </c>
      <c r="D88" s="550"/>
      <c r="E88" s="551">
        <v>62.394300000000001</v>
      </c>
      <c r="F88" s="551">
        <v>62.904800000000002</v>
      </c>
      <c r="H88" s="552">
        <v>82.770107197623986</v>
      </c>
      <c r="I88" s="503"/>
      <c r="J88" s="503"/>
      <c r="K88" s="503"/>
      <c r="L88" s="553"/>
      <c r="M88" s="547">
        <v>9.4199999857272176E-2</v>
      </c>
      <c r="N88" s="547"/>
      <c r="R88" s="532"/>
      <c r="T88" s="259"/>
    </row>
    <row r="89" spans="1:20" x14ac:dyDescent="0.2">
      <c r="B89" s="548" t="s">
        <v>82</v>
      </c>
      <c r="C89" s="549" t="s">
        <v>83</v>
      </c>
      <c r="D89" s="550"/>
      <c r="E89" s="544">
        <v>21.263000000000002</v>
      </c>
      <c r="F89" s="544">
        <v>21.263000000000002</v>
      </c>
      <c r="M89" s="547">
        <v>0.39999999969547706</v>
      </c>
      <c r="N89" s="547"/>
      <c r="Q89" s="534"/>
      <c r="R89" s="532"/>
      <c r="T89" s="259"/>
    </row>
    <row r="90" spans="1:20" x14ac:dyDescent="0.2">
      <c r="B90" s="548" t="s">
        <v>84</v>
      </c>
      <c r="C90" s="549" t="s">
        <v>85</v>
      </c>
      <c r="D90" s="550"/>
      <c r="E90" s="554">
        <v>0.59019999999999995</v>
      </c>
      <c r="F90" s="554">
        <v>0.61370000000000002</v>
      </c>
      <c r="H90" s="538" t="s">
        <v>77</v>
      </c>
      <c r="I90" s="530"/>
      <c r="J90" s="530"/>
      <c r="K90" s="530"/>
      <c r="L90" s="539"/>
      <c r="M90" s="547">
        <v>0.38000000287019686</v>
      </c>
      <c r="N90" s="547"/>
      <c r="O90" s="555"/>
      <c r="R90" s="532"/>
      <c r="T90" s="259"/>
    </row>
    <row r="91" spans="1:20" x14ac:dyDescent="0.2">
      <c r="B91" s="548" t="s">
        <v>86</v>
      </c>
      <c r="C91" s="549" t="s">
        <v>87</v>
      </c>
      <c r="D91" s="550"/>
      <c r="E91" s="551"/>
      <c r="F91" s="551"/>
      <c r="H91" s="545" t="s">
        <v>188</v>
      </c>
      <c r="L91" s="546"/>
      <c r="N91" s="534"/>
      <c r="O91" s="555"/>
      <c r="R91" s="532"/>
      <c r="T91" s="259"/>
    </row>
    <row r="92" spans="1:20" x14ac:dyDescent="0.2">
      <c r="B92" s="556" t="s">
        <v>88</v>
      </c>
      <c r="C92" s="557" t="s">
        <v>89</v>
      </c>
      <c r="D92" s="558"/>
      <c r="E92" s="559">
        <v>0</v>
      </c>
      <c r="F92" s="559">
        <v>0</v>
      </c>
      <c r="H92" s="552">
        <v>80.525755876651999</v>
      </c>
      <c r="I92" s="503"/>
      <c r="J92" s="503"/>
      <c r="K92" s="503"/>
      <c r="L92" s="553"/>
      <c r="M92" s="555"/>
      <c r="N92" s="555"/>
      <c r="O92" s="555"/>
      <c r="R92" s="532"/>
      <c r="T92" s="259"/>
    </row>
    <row r="93" spans="1:20" x14ac:dyDescent="0.2">
      <c r="A93" s="533"/>
      <c r="H93" s="464"/>
      <c r="M93" s="555"/>
      <c r="N93" s="555"/>
      <c r="O93" s="555"/>
    </row>
    <row r="94" spans="1:20" x14ac:dyDescent="0.2">
      <c r="A94" s="587" t="s">
        <v>205</v>
      </c>
    </row>
  </sheetData>
  <mergeCells count="2">
    <mergeCell ref="O7:O8"/>
    <mergeCell ref="C7:C8"/>
  </mergeCells>
  <phoneticPr fontId="0" type="noConversion"/>
  <printOptions horizontalCentered="1" verticalCentered="1"/>
  <pageMargins left="0.25" right="0.25" top="0.5" bottom="0.5" header="0" footer="0"/>
  <pageSetup paperSize="9" scale="46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T93"/>
  <sheetViews>
    <sheetView view="pageBreakPreview" zoomScale="95" zoomScaleNormal="95" zoomScaleSheetLayoutView="95" workbookViewId="0">
      <pane xSplit="5" ySplit="1" topLeftCell="F44" activePane="bottomRight" state="frozen"/>
      <selection pane="topRight" activeCell="F1" sqref="F1"/>
      <selection pane="bottomLeft" activeCell="A2" sqref="A2"/>
      <selection pane="bottomRight" activeCell="A93" sqref="A93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3" width="7.109375" style="212" customWidth="1"/>
    <col min="4" max="5" width="8.33203125" style="212" customWidth="1"/>
    <col min="6" max="6" width="9.88671875" style="212" customWidth="1"/>
    <col min="7" max="10" width="10.44140625" style="212" customWidth="1"/>
    <col min="11" max="13" width="10.44140625" style="212" hidden="1" customWidth="1"/>
    <col min="14" max="14" width="10.44140625" style="212" customWidth="1"/>
    <col min="15" max="15" width="12.44140625" style="212" customWidth="1"/>
    <col min="16" max="16" width="11.5546875" style="212" customWidth="1"/>
    <col min="17" max="17" width="12.21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44743</v>
      </c>
      <c r="F1" s="209">
        <v>3.847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189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192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H6" s="1"/>
      <c r="P6" s="378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563"/>
      <c r="I10" s="307"/>
      <c r="J10" s="310"/>
      <c r="K10" s="305"/>
      <c r="L10" s="305"/>
      <c r="M10" s="305"/>
      <c r="N10" s="563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563"/>
      <c r="I11" s="307"/>
      <c r="J11" s="310"/>
      <c r="K11" s="305"/>
      <c r="L11" s="305"/>
      <c r="M11" s="305"/>
      <c r="N11" s="563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4733</v>
      </c>
      <c r="H12" s="309">
        <v>10152</v>
      </c>
      <c r="I12" s="310">
        <v>95.502700000000004</v>
      </c>
      <c r="J12" s="310">
        <v>102.0698</v>
      </c>
      <c r="K12" s="305"/>
      <c r="L12" s="305"/>
      <c r="M12" s="305"/>
      <c r="N12" s="212">
        <v>323.06</v>
      </c>
      <c r="O12" s="311">
        <v>1487903.83</v>
      </c>
      <c r="P12" s="305">
        <v>278981.96999999997</v>
      </c>
      <c r="Q12" s="305">
        <v>223185.57</v>
      </c>
      <c r="R12" s="172">
        <v>0.15</v>
      </c>
      <c r="S12" s="305">
        <v>55796.39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47136.75</v>
      </c>
      <c r="H13" s="309">
        <v>48776.51</v>
      </c>
      <c r="I13" s="310">
        <v>3</v>
      </c>
      <c r="J13" s="310">
        <v>3</v>
      </c>
      <c r="K13" s="305"/>
      <c r="L13" s="305"/>
      <c r="M13" s="305"/>
      <c r="N13" s="212">
        <v>908.61</v>
      </c>
      <c r="O13" s="311">
        <v>286831.17000000004</v>
      </c>
      <c r="P13" s="305">
        <v>53780.84</v>
      </c>
      <c r="Q13" s="305">
        <v>43024.68</v>
      </c>
      <c r="R13" s="172">
        <v>0.15</v>
      </c>
      <c r="S13" s="305">
        <v>10756.17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9">
        <v>5792</v>
      </c>
      <c r="H14" s="309">
        <v>6249</v>
      </c>
      <c r="I14" s="310">
        <v>104.788</v>
      </c>
      <c r="J14" s="310">
        <v>104.47450000000001</v>
      </c>
      <c r="K14" s="305"/>
      <c r="L14" s="305"/>
      <c r="M14" s="305"/>
      <c r="N14" s="563">
        <v>837.94140000000004</v>
      </c>
      <c r="O14" s="306">
        <v>1258955.3086000001</v>
      </c>
      <c r="P14" s="305">
        <v>236054.12</v>
      </c>
      <c r="Q14" s="305">
        <v>188843.3</v>
      </c>
      <c r="R14" s="172">
        <v>0.15</v>
      </c>
      <c r="S14" s="305">
        <v>47210.82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9">
        <v>19977.07</v>
      </c>
      <c r="H15" s="309">
        <v>21984.69</v>
      </c>
      <c r="I15" s="310">
        <v>2.6775000000000002</v>
      </c>
      <c r="J15" s="310">
        <v>2.6775000000000002</v>
      </c>
      <c r="K15" s="305"/>
      <c r="L15" s="305"/>
      <c r="M15" s="305"/>
      <c r="N15" s="563">
        <v>893.46749999999997</v>
      </c>
      <c r="O15" s="306">
        <v>111459.1425</v>
      </c>
      <c r="P15" s="305">
        <v>20898.59</v>
      </c>
      <c r="Q15" s="305">
        <v>16718.87</v>
      </c>
      <c r="R15" s="172">
        <v>0.15</v>
      </c>
      <c r="S15" s="305">
        <v>4179.7200000000012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6">
        <v>7029</v>
      </c>
      <c r="H16" s="306">
        <v>9085</v>
      </c>
      <c r="I16" s="310">
        <v>95.502700000000004</v>
      </c>
      <c r="J16" s="310">
        <v>102.0698</v>
      </c>
      <c r="K16" s="305"/>
      <c r="L16" s="305"/>
      <c r="M16" s="305"/>
      <c r="N16" s="563">
        <v>595.64589999999998</v>
      </c>
      <c r="O16" s="306">
        <v>1597996.9641</v>
      </c>
      <c r="P16" s="305">
        <v>299624.43</v>
      </c>
      <c r="Q16" s="305">
        <v>239699.54</v>
      </c>
      <c r="R16" s="172">
        <v>0.15</v>
      </c>
      <c r="S16" s="305">
        <v>59924.89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6">
        <v>32747</v>
      </c>
      <c r="H17" s="306">
        <v>46607</v>
      </c>
      <c r="I17" s="310">
        <v>95.502700000000004</v>
      </c>
      <c r="J17" s="310">
        <v>102.0698</v>
      </c>
      <c r="K17" s="305"/>
      <c r="L17" s="305"/>
      <c r="M17" s="305"/>
      <c r="N17" s="563">
        <v>1539.5898</v>
      </c>
      <c r="O17" s="306">
        <v>7883054.5001999997</v>
      </c>
      <c r="P17" s="305">
        <v>1478072.72</v>
      </c>
      <c r="Q17" s="305">
        <v>1182458.18</v>
      </c>
      <c r="R17" s="172">
        <v>0.15</v>
      </c>
      <c r="S17" s="305">
        <v>295614.53999999998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6"/>
      <c r="H18" s="306"/>
      <c r="I18" s="310"/>
      <c r="J18" s="310"/>
      <c r="K18" s="305"/>
      <c r="L18" s="305"/>
      <c r="M18" s="305"/>
      <c r="N18" s="563"/>
      <c r="O18" s="306">
        <v>0</v>
      </c>
      <c r="P18" s="305">
        <v>0</v>
      </c>
      <c r="Q18" s="305">
        <v>0</v>
      </c>
      <c r="R18" s="172">
        <v>0.15</v>
      </c>
      <c r="S18" s="305">
        <v>0</v>
      </c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6"/>
      <c r="H19" s="306"/>
      <c r="I19" s="310"/>
      <c r="J19" s="310"/>
      <c r="K19" s="305"/>
      <c r="L19" s="305"/>
      <c r="M19" s="305"/>
      <c r="N19" s="563"/>
      <c r="O19" s="306">
        <v>0</v>
      </c>
      <c r="P19" s="305">
        <v>0</v>
      </c>
      <c r="Q19" s="305">
        <v>0</v>
      </c>
      <c r="R19" s="172">
        <v>0.15</v>
      </c>
      <c r="S19" s="305">
        <v>0</v>
      </c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6">
        <v>55372.78</v>
      </c>
      <c r="H20" s="306">
        <v>54362.78</v>
      </c>
      <c r="I20" s="310">
        <v>3.4510999999999998</v>
      </c>
      <c r="J20" s="307">
        <v>3.4510999999999998</v>
      </c>
      <c r="K20" s="305"/>
      <c r="L20" s="305"/>
      <c r="M20" s="305"/>
      <c r="N20" s="563"/>
      <c r="O20" s="306">
        <v>378708.39</v>
      </c>
      <c r="P20" s="305">
        <v>71007.820000000007</v>
      </c>
      <c r="Q20" s="305">
        <v>56806.26</v>
      </c>
      <c r="R20" s="172">
        <v>0.15</v>
      </c>
      <c r="S20" s="305">
        <v>14201.56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5"/>
      <c r="H21" s="306">
        <v>3282</v>
      </c>
      <c r="I21" s="307"/>
      <c r="J21" s="310">
        <v>98.786299999999997</v>
      </c>
      <c r="K21" s="305"/>
      <c r="L21" s="305"/>
      <c r="M21" s="305"/>
      <c r="N21" s="563">
        <v>706.69550000000004</v>
      </c>
      <c r="O21" s="311">
        <v>323509.94450000004</v>
      </c>
      <c r="P21" s="305">
        <v>60658.11</v>
      </c>
      <c r="Q21" s="305">
        <v>48526.49</v>
      </c>
      <c r="R21" s="172">
        <v>0.15</v>
      </c>
      <c r="S21" s="305">
        <v>12131.62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6">
        <v>52513</v>
      </c>
      <c r="H22" s="306">
        <v>59172</v>
      </c>
      <c r="I22" s="310">
        <v>94.952699999999993</v>
      </c>
      <c r="J22" s="307">
        <v>101.5198</v>
      </c>
      <c r="K22" s="305"/>
      <c r="L22" s="305"/>
      <c r="M22" s="305"/>
      <c r="N22" s="563">
        <v>4290.665</v>
      </c>
      <c r="O22" s="311">
        <v>10989090.085000001</v>
      </c>
      <c r="P22" s="305">
        <v>2060454.39</v>
      </c>
      <c r="Q22" s="305">
        <v>1648363.51</v>
      </c>
      <c r="R22" s="172">
        <v>0.15</v>
      </c>
      <c r="S22" s="305">
        <v>412090.88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5"/>
      <c r="H23" s="305"/>
      <c r="I23" s="307"/>
      <c r="J23" s="307"/>
      <c r="K23" s="305"/>
      <c r="L23" s="305"/>
      <c r="M23" s="305"/>
      <c r="N23" s="563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5">
        <v>78037.59</v>
      </c>
      <c r="H24" s="305">
        <v>82703.850000000006</v>
      </c>
      <c r="I24" s="567">
        <v>1.8393999999999999</v>
      </c>
      <c r="J24" s="307">
        <v>2.7985000000000002</v>
      </c>
      <c r="K24" s="305"/>
      <c r="L24" s="305"/>
      <c r="M24" s="305"/>
      <c r="N24" s="563">
        <v>1004.5223</v>
      </c>
      <c r="O24" s="311">
        <v>373984.53769999999</v>
      </c>
      <c r="P24" s="305">
        <v>70122.100000000006</v>
      </c>
      <c r="Q24" s="305">
        <v>56097.68</v>
      </c>
      <c r="R24" s="172">
        <v>0.15</v>
      </c>
      <c r="S24" s="305">
        <v>14024.42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5">
        <v>2054</v>
      </c>
      <c r="H25" s="305">
        <v>2624</v>
      </c>
      <c r="I25" s="307">
        <v>95.502700000000004</v>
      </c>
      <c r="J25" s="307">
        <v>102.0698</v>
      </c>
      <c r="K25" s="305"/>
      <c r="L25" s="305"/>
      <c r="M25" s="305"/>
      <c r="N25" s="563">
        <v>348.30059999999997</v>
      </c>
      <c r="O25" s="311">
        <v>463645.40939999995</v>
      </c>
      <c r="P25" s="305">
        <v>86933.51</v>
      </c>
      <c r="Q25" s="305">
        <v>69546.81</v>
      </c>
      <c r="R25" s="172">
        <v>0.15</v>
      </c>
      <c r="S25" s="305">
        <v>17386.7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5">
        <v>167020</v>
      </c>
      <c r="H26" s="305">
        <v>175331</v>
      </c>
      <c r="I26" s="307">
        <v>95.502700000000004</v>
      </c>
      <c r="J26" s="310">
        <v>102.0698</v>
      </c>
      <c r="K26" s="305"/>
      <c r="L26" s="305"/>
      <c r="M26" s="305"/>
      <c r="N26" s="563">
        <v>5370.9044999999996</v>
      </c>
      <c r="O26" s="311">
        <v>33841490.145499997</v>
      </c>
      <c r="P26" s="305">
        <v>6345279.4000000004</v>
      </c>
      <c r="Q26" s="305">
        <v>5076223.5199999996</v>
      </c>
      <c r="R26" s="172">
        <v>0.15</v>
      </c>
      <c r="S26" s="305">
        <v>1269055.8799999999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5">
        <v>246553.1</v>
      </c>
      <c r="H27" s="306">
        <v>258740.98</v>
      </c>
      <c r="I27" s="381">
        <v>2.4843000000000002</v>
      </c>
      <c r="J27" s="310">
        <v>2.4843000000000002</v>
      </c>
      <c r="K27" s="305"/>
      <c r="L27" s="305"/>
      <c r="M27" s="305"/>
      <c r="N27" s="563">
        <v>1060.0459000000001</v>
      </c>
      <c r="O27" s="311">
        <v>1254242.0440999998</v>
      </c>
      <c r="P27" s="305">
        <v>235170.38</v>
      </c>
      <c r="Q27" s="305">
        <v>188136.31</v>
      </c>
      <c r="R27" s="172">
        <v>0.15</v>
      </c>
      <c r="S27" s="305">
        <v>47034.080000000002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07"/>
      <c r="J28" s="307"/>
      <c r="K28" s="305"/>
      <c r="L28" s="305"/>
      <c r="M28" s="305"/>
      <c r="N28" s="563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5">
        <v>386</v>
      </c>
      <c r="H29" s="305">
        <v>483</v>
      </c>
      <c r="I29" s="307">
        <v>102.6022</v>
      </c>
      <c r="J29" s="310">
        <v>103.6125</v>
      </c>
      <c r="K29" s="305"/>
      <c r="L29" s="305"/>
      <c r="M29" s="305"/>
      <c r="N29" s="563">
        <v>378.58850000000001</v>
      </c>
      <c r="O29" s="311">
        <v>89270.701499999996</v>
      </c>
      <c r="P29" s="305">
        <v>16738.259999999998</v>
      </c>
      <c r="Q29" s="305">
        <v>13390.61</v>
      </c>
      <c r="R29" s="172">
        <v>0.15</v>
      </c>
      <c r="S29" s="305">
        <v>3347.65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6">
        <v>28720</v>
      </c>
      <c r="H30" s="306">
        <v>28580</v>
      </c>
      <c r="I30" s="381">
        <v>93.492699999999999</v>
      </c>
      <c r="J30" s="310">
        <v>100.0598</v>
      </c>
      <c r="K30" s="305"/>
      <c r="L30" s="305"/>
      <c r="M30" s="305"/>
      <c r="N30" s="563">
        <v>3609.2102</v>
      </c>
      <c r="O30" s="311">
        <v>5541210.2098000003</v>
      </c>
      <c r="P30" s="305">
        <v>1038976.91</v>
      </c>
      <c r="Q30" s="305">
        <v>831181.53</v>
      </c>
      <c r="R30" s="172">
        <v>0.15</v>
      </c>
      <c r="S30" s="305">
        <v>207795.38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6"/>
      <c r="H31" s="306"/>
      <c r="I31" s="310"/>
      <c r="J31" s="307"/>
      <c r="K31" s="305"/>
      <c r="L31" s="305"/>
      <c r="M31" s="305"/>
      <c r="N31" s="563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178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6">
        <v>133225.3284</v>
      </c>
      <c r="H32" s="306">
        <v>131510.5428</v>
      </c>
      <c r="I32" s="310">
        <v>1.61</v>
      </c>
      <c r="J32" s="307">
        <v>1.61</v>
      </c>
      <c r="K32" s="305"/>
      <c r="L32" s="305"/>
      <c r="M32" s="305"/>
      <c r="N32" s="563">
        <v>1499.2076</v>
      </c>
      <c r="O32" s="311">
        <v>424725.54239999998</v>
      </c>
      <c r="P32" s="305">
        <v>79636.039999999994</v>
      </c>
      <c r="Q32" s="305">
        <v>63708.83</v>
      </c>
      <c r="R32" s="172">
        <v>0.15</v>
      </c>
      <c r="S32" s="305">
        <v>15927.21</v>
      </c>
      <c r="T32" s="198">
        <v>3.7499999999999999E-2</v>
      </c>
    </row>
    <row r="33" spans="1:20" x14ac:dyDescent="0.2">
      <c r="A33" s="303" t="s">
        <v>28</v>
      </c>
      <c r="B33" s="19" t="s">
        <v>179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6">
        <v>83684.424199999994</v>
      </c>
      <c r="H33" s="306">
        <v>81174.337899999999</v>
      </c>
      <c r="I33" s="310">
        <v>3.7471000000000001</v>
      </c>
      <c r="J33" s="307">
        <v>3.7927</v>
      </c>
      <c r="K33" s="305"/>
      <c r="L33" s="305"/>
      <c r="M33" s="305"/>
      <c r="N33" s="563"/>
      <c r="O33" s="311">
        <v>621443.81999999995</v>
      </c>
      <c r="P33" s="305">
        <v>116520.72</v>
      </c>
      <c r="Q33" s="316">
        <v>93216.57</v>
      </c>
      <c r="R33" s="172">
        <v>0.15</v>
      </c>
      <c r="S33" s="305">
        <v>23304.14</v>
      </c>
      <c r="T33" s="198">
        <v>3.7499999999999999E-2</v>
      </c>
    </row>
    <row r="34" spans="1:20" x14ac:dyDescent="0.2">
      <c r="A34" s="303" t="s">
        <v>28</v>
      </c>
      <c r="B34" s="19" t="s">
        <v>137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6"/>
      <c r="H34" s="306"/>
      <c r="I34" s="310"/>
      <c r="J34" s="307"/>
      <c r="K34" s="305"/>
      <c r="L34" s="305"/>
      <c r="M34" s="305"/>
      <c r="N34" s="563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144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6"/>
      <c r="I35" s="310"/>
      <c r="J35" s="307"/>
      <c r="K35" s="305"/>
      <c r="L35" s="305"/>
      <c r="M35" s="305"/>
      <c r="N35" s="563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370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6">
        <v>20174.481500000002</v>
      </c>
      <c r="H36" s="306">
        <v>16611.758099999999</v>
      </c>
      <c r="I36" s="310">
        <v>3.3942999999999999</v>
      </c>
      <c r="J36" s="307">
        <v>3.3944000000000001</v>
      </c>
      <c r="K36" s="305"/>
      <c r="L36" s="305"/>
      <c r="M36" s="305"/>
      <c r="N36" s="563"/>
      <c r="O36" s="311">
        <v>124865.19</v>
      </c>
      <c r="P36" s="305">
        <v>23412.22</v>
      </c>
      <c r="Q36" s="316">
        <v>18729.78</v>
      </c>
      <c r="R36" s="172">
        <v>0.15</v>
      </c>
      <c r="S36" s="305">
        <v>4682.4399999999996</v>
      </c>
      <c r="T36" s="198">
        <v>3.7499999999999999E-2</v>
      </c>
    </row>
    <row r="37" spans="1:20" x14ac:dyDescent="0.2">
      <c r="A37" s="303" t="s">
        <v>28</v>
      </c>
      <c r="B37" s="370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06">
        <v>11290.108399999999</v>
      </c>
      <c r="H37" s="306">
        <v>909.09889999999996</v>
      </c>
      <c r="I37" s="310">
        <v>2.3942000000000001</v>
      </c>
      <c r="J37" s="307">
        <v>2.2999999999999998</v>
      </c>
      <c r="K37" s="305"/>
      <c r="L37" s="305"/>
      <c r="M37" s="305"/>
      <c r="N37" s="306"/>
      <c r="O37" s="311">
        <v>29121.71</v>
      </c>
      <c r="P37" s="305">
        <v>5460.32</v>
      </c>
      <c r="Q37" s="305">
        <v>4368.26</v>
      </c>
      <c r="R37" s="172">
        <v>0.15</v>
      </c>
      <c r="S37" s="305">
        <v>1092.06</v>
      </c>
      <c r="T37" s="198">
        <v>3.7499999999999999E-2</v>
      </c>
    </row>
    <row r="38" spans="1:20" x14ac:dyDescent="0.2">
      <c r="A38" s="303" t="s">
        <v>28</v>
      </c>
      <c r="B38" s="370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06">
        <v>1495.2521999999999</v>
      </c>
      <c r="H38" s="306">
        <v>1736.6278</v>
      </c>
      <c r="I38" s="310">
        <v>3</v>
      </c>
      <c r="J38" s="307">
        <v>3</v>
      </c>
      <c r="K38" s="305"/>
      <c r="L38" s="305"/>
      <c r="M38" s="305"/>
      <c r="N38" s="306"/>
      <c r="O38" s="311">
        <v>9695.64</v>
      </c>
      <c r="P38" s="305">
        <v>1817.93</v>
      </c>
      <c r="Q38" s="305">
        <v>1454.35</v>
      </c>
      <c r="R38" s="172">
        <v>0.15</v>
      </c>
      <c r="S38" s="305">
        <v>363.59</v>
      </c>
      <c r="T38" s="198">
        <v>3.7499999999999999E-2</v>
      </c>
    </row>
    <row r="39" spans="1:20" x14ac:dyDescent="0.2">
      <c r="A39" s="303" t="s">
        <v>28</v>
      </c>
      <c r="B39" s="370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5"/>
      <c r="H39" s="306">
        <v>165440</v>
      </c>
      <c r="I39" s="307"/>
      <c r="J39" s="310">
        <v>105.1238</v>
      </c>
      <c r="K39" s="305"/>
      <c r="L39" s="305"/>
      <c r="M39" s="305"/>
      <c r="N39" s="563">
        <v>1161.0012999999999</v>
      </c>
      <c r="O39" s="311">
        <v>17390520.468699999</v>
      </c>
      <c r="P39" s="305">
        <v>3260722.59</v>
      </c>
      <c r="Q39" s="305">
        <v>2608578.0699999998</v>
      </c>
      <c r="R39" s="172">
        <v>0.15</v>
      </c>
      <c r="S39" s="305">
        <v>652144.52</v>
      </c>
      <c r="T39" s="198">
        <v>3.7499999999999999E-2</v>
      </c>
    </row>
    <row r="40" spans="1:20" x14ac:dyDescent="0.2">
      <c r="A40" s="303" t="s">
        <v>28</v>
      </c>
      <c r="B40" s="370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5"/>
      <c r="H40" s="306">
        <v>467017.55</v>
      </c>
      <c r="I40" s="307"/>
      <c r="J40" s="318">
        <v>9.4239999999999995</v>
      </c>
      <c r="K40" s="305"/>
      <c r="L40" s="305"/>
      <c r="M40" s="305"/>
      <c r="N40" s="563">
        <v>1019.6636999999999</v>
      </c>
      <c r="O40" s="311">
        <v>4400153.7262999993</v>
      </c>
      <c r="P40" s="305">
        <v>825028.82</v>
      </c>
      <c r="Q40" s="305">
        <v>660023.06000000006</v>
      </c>
      <c r="R40" s="172">
        <v>0.15</v>
      </c>
      <c r="S40" s="305">
        <v>165005.76000000001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5">
        <v>155</v>
      </c>
      <c r="H41" s="306">
        <v>155</v>
      </c>
      <c r="I41" s="310">
        <v>95.502700000000004</v>
      </c>
      <c r="J41" s="310">
        <v>102.0698</v>
      </c>
      <c r="K41" s="305"/>
      <c r="L41" s="305"/>
      <c r="M41" s="305"/>
      <c r="N41" s="563">
        <v>222.1045</v>
      </c>
      <c r="O41" s="311">
        <v>30401.635499999997</v>
      </c>
      <c r="P41" s="305">
        <v>5700.31</v>
      </c>
      <c r="Q41" s="305">
        <v>1140.06</v>
      </c>
      <c r="R41" s="198">
        <v>3.7499999999999999E-2</v>
      </c>
      <c r="S41" s="305">
        <v>4560.25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6"/>
      <c r="L42" s="305"/>
      <c r="M42" s="305"/>
      <c r="N42" s="563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5"/>
      <c r="I43" s="307"/>
      <c r="J43" s="310"/>
      <c r="K43" s="306"/>
      <c r="L43" s="305"/>
      <c r="M43" s="305"/>
      <c r="N43" s="563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6">
        <v>18316</v>
      </c>
      <c r="I44" s="310"/>
      <c r="J44" s="310">
        <v>97.784300000000002</v>
      </c>
      <c r="K44" s="306"/>
      <c r="L44" s="305"/>
      <c r="M44" s="305"/>
      <c r="N44" s="563">
        <v>1110.5247999999999</v>
      </c>
      <c r="O44" s="311">
        <v>1789906.7152</v>
      </c>
      <c r="P44" s="305">
        <v>335607.51</v>
      </c>
      <c r="Q44" s="305">
        <v>268486.01</v>
      </c>
      <c r="R44" s="173">
        <v>0.15</v>
      </c>
      <c r="S44" s="305">
        <v>67121.5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563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-132134.84999999992</v>
      </c>
      <c r="P46" s="311">
        <v>-24775.289999999994</v>
      </c>
      <c r="Q46" s="311">
        <v>-19820.230000000003</v>
      </c>
      <c r="R46" s="192"/>
      <c r="S46" s="311">
        <v>-4955.0699999999979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90570051.981000006</v>
      </c>
      <c r="P47" s="325">
        <v>16981884.720000003</v>
      </c>
      <c r="Q47" s="326">
        <v>13582087.619999999</v>
      </c>
      <c r="R47" s="174"/>
      <c r="S47" s="327">
        <v>3399797.1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65329310.520000003</v>
      </c>
      <c r="Q48" s="332">
        <v>52250291.07</v>
      </c>
      <c r="R48" s="121"/>
      <c r="S48" s="333">
        <v>13079019.439999999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5">
        <v>17263</v>
      </c>
      <c r="H51" s="305">
        <v>20449</v>
      </c>
      <c r="I51" s="307">
        <v>98.034700000000001</v>
      </c>
      <c r="J51" s="307">
        <v>97.096999999999994</v>
      </c>
      <c r="K51" s="305"/>
      <c r="L51" s="305"/>
      <c r="M51" s="305"/>
      <c r="N51" s="306">
        <v>4472.3873000000003</v>
      </c>
      <c r="O51" s="311">
        <v>3673437.1927</v>
      </c>
      <c r="P51" s="305">
        <v>551015.57999999996</v>
      </c>
      <c r="Q51" s="305">
        <v>551015.57999999996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3673437.1927</v>
      </c>
      <c r="P53" s="325">
        <v>551015.57999999996</v>
      </c>
      <c r="Q53" s="325">
        <v>551015.57999999996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2119756.94</v>
      </c>
      <c r="Q54" s="332">
        <v>2119756.94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07"/>
      <c r="J58" s="310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255689.27</v>
      </c>
      <c r="H61" s="306">
        <v>238299.64</v>
      </c>
      <c r="I61" s="310">
        <v>3.6758000000000002</v>
      </c>
      <c r="J61" s="310">
        <v>3.6855000000000002</v>
      </c>
      <c r="K61" s="305"/>
      <c r="L61" s="305"/>
      <c r="M61" s="305"/>
      <c r="N61" s="306">
        <v>560.31079999999997</v>
      </c>
      <c r="O61" s="311">
        <v>1817555.6291999999</v>
      </c>
      <c r="P61" s="305">
        <v>340791.68</v>
      </c>
      <c r="Q61" s="305">
        <v>68158.34</v>
      </c>
      <c r="R61" s="198">
        <v>3.7499999999999999E-2</v>
      </c>
      <c r="S61" s="305">
        <v>272633.34000000003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3767</v>
      </c>
      <c r="H62" s="306">
        <v>4899</v>
      </c>
      <c r="I62" s="310">
        <v>75.523499999999999</v>
      </c>
      <c r="J62" s="310">
        <v>76.300700000000006</v>
      </c>
      <c r="K62" s="305"/>
      <c r="L62" s="305"/>
      <c r="M62" s="305"/>
      <c r="N62" s="305">
        <v>2539.0650000000001</v>
      </c>
      <c r="O62" s="311">
        <v>655755.08500000008</v>
      </c>
      <c r="P62" s="305">
        <v>122954.08</v>
      </c>
      <c r="Q62" s="305">
        <v>24590.82</v>
      </c>
      <c r="R62" s="198">
        <v>3.7499999999999999E-2</v>
      </c>
      <c r="S62" s="305">
        <v>98363.26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198715</v>
      </c>
      <c r="H65" s="306">
        <v>126326</v>
      </c>
      <c r="I65" s="310">
        <v>84.261200000000002</v>
      </c>
      <c r="J65" s="310">
        <v>84.417299999999997</v>
      </c>
      <c r="K65" s="306"/>
      <c r="L65" s="305"/>
      <c r="M65" s="305"/>
      <c r="N65" s="306">
        <v>5986.7338</v>
      </c>
      <c r="O65" s="311">
        <v>27402077.466199998</v>
      </c>
      <c r="P65" s="305">
        <v>5137889.5199999996</v>
      </c>
      <c r="Q65" s="305">
        <v>4110311.6199999996</v>
      </c>
      <c r="R65" s="172">
        <v>0.15</v>
      </c>
      <c r="S65" s="305">
        <v>1027577.9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>
        <v>35670</v>
      </c>
      <c r="H66" s="306">
        <v>29042</v>
      </c>
      <c r="I66" s="310">
        <v>62.3003</v>
      </c>
      <c r="J66" s="310">
        <v>62.2776</v>
      </c>
      <c r="K66" s="306"/>
      <c r="L66" s="305"/>
      <c r="M66" s="305"/>
      <c r="N66" s="306">
        <v>4144.2776999999996</v>
      </c>
      <c r="O66" s="311">
        <v>4026773.4823000003</v>
      </c>
      <c r="P66" s="305">
        <v>755020.03</v>
      </c>
      <c r="Q66" s="305">
        <v>604016.02</v>
      </c>
      <c r="R66" s="172">
        <v>0.15</v>
      </c>
      <c r="S66" s="305">
        <v>151004.01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11">
        <v>0</v>
      </c>
      <c r="P67" s="311">
        <v>0</v>
      </c>
      <c r="Q67" s="311">
        <v>0</v>
      </c>
      <c r="R67" s="192"/>
      <c r="S67" s="311">
        <v>0</v>
      </c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33902161.662699997</v>
      </c>
      <c r="P68" s="325">
        <v>6356655.3099999996</v>
      </c>
      <c r="Q68" s="325">
        <v>4807076.7999999989</v>
      </c>
      <c r="R68" s="183"/>
      <c r="S68" s="325">
        <v>1549578.51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24454052.98</v>
      </c>
      <c r="Q69" s="333">
        <v>18492824.449999999</v>
      </c>
      <c r="R69" s="139"/>
      <c r="S69" s="333">
        <v>5961228.5300000003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698008</v>
      </c>
      <c r="H71" s="305">
        <v>709508</v>
      </c>
      <c r="I71" s="307">
        <v>61.3247</v>
      </c>
      <c r="J71" s="307">
        <v>58.1081</v>
      </c>
      <c r="K71" s="305"/>
      <c r="L71" s="305"/>
      <c r="M71" s="305"/>
      <c r="N71" s="305"/>
      <c r="O71" s="311">
        <v>84033293.012400001</v>
      </c>
      <c r="P71" s="316">
        <v>31293998.32</v>
      </c>
      <c r="Q71" s="305">
        <v>15646999.16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13022285.359999999</v>
      </c>
      <c r="H72" s="305">
        <v>13550077.42</v>
      </c>
      <c r="I72" s="307">
        <v>2.2883</v>
      </c>
      <c r="J72" s="307">
        <v>2.2883</v>
      </c>
      <c r="K72" s="305">
        <v>2.2883</v>
      </c>
      <c r="L72" s="305">
        <v>2.2883</v>
      </c>
      <c r="M72" s="305"/>
      <c r="N72" s="305"/>
      <c r="O72" s="311">
        <v>60805537.749474004</v>
      </c>
      <c r="P72" s="316">
        <v>22643982.260000002</v>
      </c>
      <c r="Q72" s="305">
        <v>11321991.130000001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/>
      <c r="H73" s="305">
        <v>10382.27</v>
      </c>
      <c r="I73" s="307"/>
      <c r="J73" s="307">
        <v>3.0874999999999999</v>
      </c>
      <c r="K73" s="305"/>
      <c r="L73" s="305"/>
      <c r="M73" s="305"/>
      <c r="N73" s="305"/>
      <c r="O73" s="311">
        <v>32055.258625000002</v>
      </c>
      <c r="P73" s="316">
        <v>11937.38</v>
      </c>
      <c r="Q73" s="305">
        <v>5968.69</v>
      </c>
      <c r="R73" s="172">
        <v>0.5</v>
      </c>
      <c r="S73" s="305"/>
      <c r="T73" s="172"/>
    </row>
    <row r="74" spans="1:20" ht="12" customHeight="1" x14ac:dyDescent="0.2">
      <c r="A74" s="303" t="s">
        <v>28</v>
      </c>
      <c r="B74" s="19" t="s">
        <v>123</v>
      </c>
      <c r="C74" s="85" t="s">
        <v>31</v>
      </c>
      <c r="D74" s="85" t="s">
        <v>30</v>
      </c>
      <c r="E74" s="85" t="s">
        <v>102</v>
      </c>
      <c r="F74" s="182" t="s">
        <v>56</v>
      </c>
      <c r="G74" s="305">
        <v>124106.98</v>
      </c>
      <c r="H74" s="305">
        <v>884795.68</v>
      </c>
      <c r="I74" s="307">
        <v>22.7</v>
      </c>
      <c r="J74" s="307">
        <v>23.489000000000001</v>
      </c>
      <c r="K74" s="305"/>
      <c r="L74" s="305"/>
      <c r="M74" s="305"/>
      <c r="N74" s="305"/>
      <c r="O74" s="311">
        <v>23600194.173519999</v>
      </c>
      <c r="P74" s="316">
        <v>8968073.790000001</v>
      </c>
      <c r="Q74" s="305">
        <v>4484036.9000000004</v>
      </c>
      <c r="R74" s="219">
        <v>0.5</v>
      </c>
      <c r="S74" s="305"/>
      <c r="T74" s="172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257928</v>
      </c>
      <c r="H75" s="305">
        <v>317493</v>
      </c>
      <c r="I75" s="307">
        <v>61.306699999999999</v>
      </c>
      <c r="J75" s="307">
        <v>58.0383</v>
      </c>
      <c r="K75" s="305"/>
      <c r="L75" s="305"/>
      <c r="M75" s="305"/>
      <c r="N75" s="305"/>
      <c r="O75" s="311">
        <v>34239468.499499999</v>
      </c>
      <c r="P75" s="316">
        <v>13695787.399999999</v>
      </c>
      <c r="Q75" s="305">
        <v>6847893.7000000002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173296.46</v>
      </c>
      <c r="H76" s="305">
        <v>1194692.0900000001</v>
      </c>
      <c r="I76" s="307">
        <v>22.7</v>
      </c>
      <c r="J76" s="307">
        <v>23.489000000000001</v>
      </c>
      <c r="K76" s="305"/>
      <c r="L76" s="305"/>
      <c r="M76" s="305"/>
      <c r="N76" s="305"/>
      <c r="O76" s="311">
        <v>31995952.144010004</v>
      </c>
      <c r="P76" s="316">
        <v>12158461.810000001</v>
      </c>
      <c r="Q76" s="305">
        <v>6079230.9100000001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7203.1</v>
      </c>
      <c r="H77" s="305">
        <v>66429</v>
      </c>
      <c r="I77" s="307">
        <v>2.1417000000000002</v>
      </c>
      <c r="J77" s="307">
        <v>2.1417000000000002</v>
      </c>
      <c r="K77" s="306"/>
      <c r="L77" s="305"/>
      <c r="M77" s="305"/>
      <c r="N77" s="306"/>
      <c r="O77" s="311">
        <v>157697.86857000002</v>
      </c>
      <c r="P77" s="316">
        <v>58726.69</v>
      </c>
      <c r="Q77" s="305">
        <v>29363.35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/>
      <c r="H78" s="305">
        <v>71663</v>
      </c>
      <c r="I78" s="307">
        <v>0</v>
      </c>
      <c r="J78" s="307">
        <v>53.055199999999999</v>
      </c>
      <c r="K78" s="306"/>
      <c r="L78" s="305"/>
      <c r="M78" s="305"/>
      <c r="N78" s="306"/>
      <c r="O78" s="311">
        <v>3802094.7976000002</v>
      </c>
      <c r="P78" s="316">
        <v>213677.72775999998</v>
      </c>
      <c r="Q78" s="305">
        <v>106838.86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/>
      <c r="H79" s="305">
        <v>1163485.42</v>
      </c>
      <c r="I79" s="307">
        <v>0</v>
      </c>
      <c r="J79" s="307">
        <v>9.1739999999999995</v>
      </c>
      <c r="K79" s="258"/>
      <c r="L79" s="305"/>
      <c r="M79" s="305"/>
      <c r="N79" s="306"/>
      <c r="O79" s="311">
        <v>10673815.243079999</v>
      </c>
      <c r="P79" s="316">
        <v>858174.7452959998</v>
      </c>
      <c r="Q79" s="305">
        <v>429087.37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311">
        <v>145270437.21821097</v>
      </c>
      <c r="P80" s="311">
        <v>42016589.49550201</v>
      </c>
      <c r="Q80" s="311">
        <v>21008294.77</v>
      </c>
      <c r="R80" s="192"/>
      <c r="S80" s="311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>
        <v>180499.56</v>
      </c>
      <c r="H81" s="195">
        <v>1261121.0900000001</v>
      </c>
      <c r="I81" s="228"/>
      <c r="J81" s="195"/>
      <c r="K81" s="205"/>
      <c r="L81" s="199"/>
      <c r="M81" s="227"/>
      <c r="N81" s="166"/>
      <c r="O81" s="166">
        <v>394610545.96499002</v>
      </c>
      <c r="P81" s="166">
        <v>131919409.61855802</v>
      </c>
      <c r="Q81" s="166">
        <v>65959704.840000004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>
        <v>21.87959084925193</v>
      </c>
      <c r="H82" s="196">
        <v>22.364540340301502</v>
      </c>
      <c r="I82" s="229"/>
      <c r="J82" s="195"/>
      <c r="K82" s="206"/>
      <c r="L82" s="200"/>
      <c r="M82" s="260"/>
      <c r="N82" s="261"/>
      <c r="O82" s="261"/>
      <c r="P82" s="160"/>
      <c r="Q82" s="160">
        <v>253746984.51948002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>
        <v>3949256.5212699994</v>
      </c>
      <c r="H83" s="197">
        <v>28204393.491310004</v>
      </c>
      <c r="I83" s="195">
        <v>32153650.012580004</v>
      </c>
      <c r="J83" s="195">
        <v>32153650.012580004</v>
      </c>
      <c r="K83" s="230">
        <v>0</v>
      </c>
      <c r="L83" s="231"/>
      <c r="M83" s="216">
        <v>0</v>
      </c>
      <c r="N83" s="216">
        <v>44582.523600000008</v>
      </c>
      <c r="O83" s="216">
        <v>522756196.80139005</v>
      </c>
      <c r="P83" s="216">
        <v>89849260.450000003</v>
      </c>
      <c r="Q83" s="161">
        <v>345650104.94948006</v>
      </c>
      <c r="R83" s="52"/>
      <c r="S83" s="161"/>
      <c r="T83" s="52"/>
    </row>
    <row r="84" spans="1:20" x14ac:dyDescent="0.2">
      <c r="O84" s="236"/>
      <c r="P84" s="226"/>
      <c r="S84" s="226"/>
    </row>
    <row r="85" spans="1:20" x14ac:dyDescent="0.2">
      <c r="A85" s="360" t="s">
        <v>90</v>
      </c>
      <c r="B85" s="212" t="s">
        <v>73</v>
      </c>
      <c r="H85" s="360" t="s">
        <v>74</v>
      </c>
      <c r="J85" s="62"/>
      <c r="K85" s="62"/>
      <c r="N85" s="296"/>
      <c r="O85" s="379"/>
      <c r="P85" s="226"/>
      <c r="Q85" s="296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361"/>
      <c r="O86" s="379"/>
      <c r="P86" s="564"/>
      <c r="Q86" s="62"/>
    </row>
    <row r="87" spans="1:20" x14ac:dyDescent="0.2">
      <c r="B87" s="363" t="s">
        <v>78</v>
      </c>
      <c r="C87" s="89" t="s">
        <v>79</v>
      </c>
      <c r="D87" s="364"/>
      <c r="E87" s="90">
        <v>108.1678</v>
      </c>
      <c r="F87" s="90">
        <v>107.996</v>
      </c>
      <c r="H87" s="91" t="s">
        <v>190</v>
      </c>
      <c r="L87" s="92"/>
      <c r="M87" s="234">
        <v>6.2200000337121024E-2</v>
      </c>
      <c r="N87" s="234">
        <v>6.4199999463479832E-2</v>
      </c>
      <c r="O87" s="565"/>
      <c r="P87" s="296"/>
    </row>
    <row r="88" spans="1:20" x14ac:dyDescent="0.2">
      <c r="B88" s="365" t="s">
        <v>80</v>
      </c>
      <c r="C88" s="93" t="s">
        <v>81</v>
      </c>
      <c r="D88" s="366"/>
      <c r="E88" s="94">
        <v>58.913499999999999</v>
      </c>
      <c r="F88" s="95">
        <v>59.100200000000001</v>
      </c>
      <c r="H88" s="96">
        <v>75.523480285184007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367"/>
      <c r="P88" s="296"/>
      <c r="Q88" s="296"/>
    </row>
    <row r="89" spans="1:20" x14ac:dyDescent="0.2">
      <c r="B89" s="365" t="s">
        <v>82</v>
      </c>
      <c r="C89" s="93" t="s">
        <v>83</v>
      </c>
      <c r="D89" s="366"/>
      <c r="E89" s="94"/>
      <c r="F89" s="94"/>
      <c r="I89" s="380"/>
      <c r="M89" s="234">
        <v>0.39999999969547706</v>
      </c>
      <c r="N89" s="234">
        <v>0.39999999979093542</v>
      </c>
      <c r="O89" s="555"/>
      <c r="P89" s="62"/>
      <c r="Q89" s="62"/>
    </row>
    <row r="90" spans="1:20" x14ac:dyDescent="0.2">
      <c r="B90" s="365" t="s">
        <v>84</v>
      </c>
      <c r="C90" s="93" t="s">
        <v>85</v>
      </c>
      <c r="D90" s="366"/>
      <c r="E90" s="99">
        <v>0.63360000000000005</v>
      </c>
      <c r="F90" s="99">
        <v>0.64710000000000001</v>
      </c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566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191</v>
      </c>
      <c r="I91" s="380"/>
      <c r="L91" s="92"/>
      <c r="N91" s="259"/>
      <c r="O91" s="237"/>
      <c r="Q91" s="62"/>
    </row>
    <row r="92" spans="1:20" x14ac:dyDescent="0.2">
      <c r="B92" s="368" t="s">
        <v>88</v>
      </c>
      <c r="C92" s="102" t="s">
        <v>89</v>
      </c>
      <c r="D92" s="369"/>
      <c r="E92" s="103">
        <v>21.263000000000002</v>
      </c>
      <c r="F92" s="103">
        <v>21.263000000000002</v>
      </c>
      <c r="H92" s="96">
        <v>76.300733923679999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587" t="s">
        <v>205</v>
      </c>
      <c r="H93" s="329"/>
      <c r="M93" s="237"/>
      <c r="N93" s="237"/>
      <c r="O93" s="237"/>
    </row>
  </sheetData>
  <mergeCells count="2">
    <mergeCell ref="C7:C8"/>
    <mergeCell ref="O7:O8"/>
  </mergeCells>
  <phoneticPr fontId="0" type="noConversion"/>
  <printOptions horizontalCentered="1" verticalCentered="1"/>
  <pageMargins left="0.23622047244094491" right="0.23622047244094491" top="0.51181102362204722" bottom="0.51181102362204722" header="0" footer="0"/>
  <pageSetup paperSize="9" scale="47" fitToWidth="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A1:T94"/>
  <sheetViews>
    <sheetView view="pageBreakPreview" topLeftCell="A34" zoomScale="95" zoomScaleNormal="95" zoomScaleSheetLayoutView="95" workbookViewId="0">
      <selection activeCell="A95" sqref="A95:XFD217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4" width="7.109375" style="212" customWidth="1"/>
    <col min="5" max="5" width="8.88671875" style="212" customWidth="1"/>
    <col min="6" max="6" width="9.88671875" style="212" customWidth="1"/>
    <col min="7" max="10" width="10.44140625" style="212" customWidth="1"/>
    <col min="11" max="13" width="10.44140625" style="212" hidden="1" customWidth="1"/>
    <col min="14" max="14" width="10.44140625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44774</v>
      </c>
      <c r="F1" s="300">
        <v>3.871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194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201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H6" s="1"/>
      <c r="P6" s="378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6"/>
      <c r="I10" s="307"/>
      <c r="J10" s="310"/>
      <c r="K10" s="305"/>
      <c r="L10" s="305"/>
      <c r="M10" s="305"/>
      <c r="N10" s="306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6"/>
      <c r="I11" s="307"/>
      <c r="J11" s="310"/>
      <c r="K11" s="305"/>
      <c r="L11" s="305"/>
      <c r="M11" s="305"/>
      <c r="N11" s="306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5220</v>
      </c>
      <c r="H12" s="309">
        <v>9197</v>
      </c>
      <c r="I12" s="310">
        <v>98.082300000000004</v>
      </c>
      <c r="J12" s="310">
        <v>95.807599999999994</v>
      </c>
      <c r="K12" s="305"/>
      <c r="L12" s="305"/>
      <c r="M12" s="305"/>
      <c r="N12" s="310">
        <v>298.6764</v>
      </c>
      <c r="O12" s="311">
        <v>1392833.4335999999</v>
      </c>
      <c r="P12" s="305">
        <v>261156.27</v>
      </c>
      <c r="Q12" s="305">
        <v>208925.02</v>
      </c>
      <c r="R12" s="172">
        <v>0.15</v>
      </c>
      <c r="S12" s="305">
        <v>52231.25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47113.74</v>
      </c>
      <c r="H13" s="309">
        <v>51109.61</v>
      </c>
      <c r="I13" s="310">
        <v>3</v>
      </c>
      <c r="J13" s="310">
        <v>3</v>
      </c>
      <c r="K13" s="305"/>
      <c r="L13" s="305"/>
      <c r="M13" s="305"/>
      <c r="N13" s="310">
        <v>840.02340000000004</v>
      </c>
      <c r="O13" s="311">
        <v>293830.02659999998</v>
      </c>
      <c r="P13" s="305">
        <v>55093.13</v>
      </c>
      <c r="Q13" s="305">
        <v>44074.5</v>
      </c>
      <c r="R13" s="172">
        <v>0.15</v>
      </c>
      <c r="S13" s="305">
        <v>11018.63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9">
        <v>5067</v>
      </c>
      <c r="H14" s="309">
        <v>5504</v>
      </c>
      <c r="I14" s="310">
        <v>98.473200000000006</v>
      </c>
      <c r="J14" s="310">
        <v>95.587000000000003</v>
      </c>
      <c r="K14" s="305"/>
      <c r="L14" s="305"/>
      <c r="M14" s="305"/>
      <c r="N14" s="310">
        <v>774.68989999999997</v>
      </c>
      <c r="O14" s="306">
        <v>1024299.8601</v>
      </c>
      <c r="P14" s="305">
        <v>192056.22</v>
      </c>
      <c r="Q14" s="305">
        <v>153644.98000000001</v>
      </c>
      <c r="R14" s="172">
        <v>0.15</v>
      </c>
      <c r="S14" s="305">
        <v>38411.24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9">
        <v>26200.45</v>
      </c>
      <c r="H15" s="309">
        <v>11116.5</v>
      </c>
      <c r="I15" s="310">
        <v>2.6775000000000002</v>
      </c>
      <c r="J15" s="310">
        <v>2.6775000000000002</v>
      </c>
      <c r="K15" s="305"/>
      <c r="L15" s="305"/>
      <c r="M15" s="305"/>
      <c r="N15" s="310">
        <v>826.02660000000003</v>
      </c>
      <c r="O15" s="306">
        <v>99090.103400000007</v>
      </c>
      <c r="P15" s="305">
        <v>18579.39</v>
      </c>
      <c r="Q15" s="305">
        <v>14863.52</v>
      </c>
      <c r="R15" s="172">
        <v>0.15</v>
      </c>
      <c r="S15" s="305">
        <v>3715.869999999999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9">
        <v>8077</v>
      </c>
      <c r="H16" s="309">
        <v>12169</v>
      </c>
      <c r="I16" s="310">
        <v>98.082300000000004</v>
      </c>
      <c r="J16" s="307">
        <v>95.807599999999994</v>
      </c>
      <c r="K16" s="305"/>
      <c r="L16" s="305"/>
      <c r="M16" s="305"/>
      <c r="N16" s="310">
        <v>550.68259999999998</v>
      </c>
      <c r="O16" s="306">
        <v>1957542.7374</v>
      </c>
      <c r="P16" s="305">
        <v>367039.26</v>
      </c>
      <c r="Q16" s="305">
        <v>293631.40999999997</v>
      </c>
      <c r="R16" s="172">
        <v>0.15</v>
      </c>
      <c r="S16" s="305">
        <v>73407.850000000006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9">
        <v>38066</v>
      </c>
      <c r="H17" s="309">
        <v>40315</v>
      </c>
      <c r="I17" s="310">
        <v>98.082300000000004</v>
      </c>
      <c r="J17" s="307">
        <v>95.807599999999994</v>
      </c>
      <c r="K17" s="305"/>
      <c r="L17" s="305"/>
      <c r="M17" s="305"/>
      <c r="N17" s="310">
        <v>1423.3768</v>
      </c>
      <c r="O17" s="306">
        <v>7594660.8432000009</v>
      </c>
      <c r="P17" s="305">
        <v>1423998.91</v>
      </c>
      <c r="Q17" s="305">
        <v>1139199.1299999999</v>
      </c>
      <c r="R17" s="172">
        <v>0.15</v>
      </c>
      <c r="S17" s="305">
        <v>284799.78000000003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9"/>
      <c r="H18" s="309"/>
      <c r="I18" s="310"/>
      <c r="J18" s="307"/>
      <c r="K18" s="305"/>
      <c r="L18" s="305"/>
      <c r="M18" s="305"/>
      <c r="N18" s="310"/>
      <c r="O18" s="306">
        <v>0</v>
      </c>
      <c r="P18" s="305">
        <v>0</v>
      </c>
      <c r="Q18" s="305">
        <v>0</v>
      </c>
      <c r="R18" s="172">
        <v>0.15</v>
      </c>
      <c r="S18" s="305">
        <v>0</v>
      </c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9"/>
      <c r="H19" s="309"/>
      <c r="I19" s="310"/>
      <c r="J19" s="307"/>
      <c r="K19" s="305"/>
      <c r="L19" s="305"/>
      <c r="M19" s="305"/>
      <c r="N19" s="310"/>
      <c r="O19" s="306">
        <v>0</v>
      </c>
      <c r="P19" s="305">
        <v>0</v>
      </c>
      <c r="Q19" s="305">
        <v>0</v>
      </c>
      <c r="R19" s="172">
        <v>0.15</v>
      </c>
      <c r="S19" s="305">
        <v>0</v>
      </c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9">
        <v>57459.4</v>
      </c>
      <c r="H20" s="309">
        <v>62963.65</v>
      </c>
      <c r="I20" s="310">
        <v>3.7058</v>
      </c>
      <c r="J20" s="307">
        <v>3.7058</v>
      </c>
      <c r="K20" s="305"/>
      <c r="L20" s="305"/>
      <c r="M20" s="305"/>
      <c r="N20" s="306"/>
      <c r="O20" s="306">
        <v>446263.73</v>
      </c>
      <c r="P20" s="305">
        <v>83674.45</v>
      </c>
      <c r="Q20" s="305">
        <v>66939.56</v>
      </c>
      <c r="R20" s="172">
        <v>0.15</v>
      </c>
      <c r="S20" s="305">
        <v>16734.89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5"/>
      <c r="H21" s="309">
        <v>3542</v>
      </c>
      <c r="I21" s="307"/>
      <c r="J21" s="310">
        <v>96.890799999999999</v>
      </c>
      <c r="K21" s="305"/>
      <c r="L21" s="305"/>
      <c r="M21" s="305"/>
      <c r="N21" s="310">
        <v>653.35329999999999</v>
      </c>
      <c r="O21" s="311">
        <v>342533.8567</v>
      </c>
      <c r="P21" s="305">
        <v>64225.1</v>
      </c>
      <c r="Q21" s="305">
        <v>51380.08</v>
      </c>
      <c r="R21" s="172">
        <v>0.15</v>
      </c>
      <c r="S21" s="305">
        <v>12845.02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9">
        <v>49341</v>
      </c>
      <c r="H22" s="309">
        <v>59637</v>
      </c>
      <c r="I22" s="307">
        <v>97.532300000000006</v>
      </c>
      <c r="J22" s="307">
        <v>95.257599999999996</v>
      </c>
      <c r="K22" s="305"/>
      <c r="L22" s="305"/>
      <c r="M22" s="305"/>
      <c r="N22" s="310">
        <v>3966.7847999999999</v>
      </c>
      <c r="O22" s="311">
        <v>10489251.915199999</v>
      </c>
      <c r="P22" s="305">
        <v>1966734.73</v>
      </c>
      <c r="Q22" s="305">
        <v>1573387.79</v>
      </c>
      <c r="R22" s="172">
        <v>0.15</v>
      </c>
      <c r="S22" s="305">
        <v>393346.95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5"/>
      <c r="H23" s="305"/>
      <c r="I23" s="307"/>
      <c r="J23" s="307"/>
      <c r="K23" s="305"/>
      <c r="L23" s="305"/>
      <c r="M23" s="305"/>
      <c r="N23" s="306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9">
        <v>71811.73</v>
      </c>
      <c r="H24" s="309">
        <v>46496.32</v>
      </c>
      <c r="I24" s="567">
        <v>2.8001</v>
      </c>
      <c r="J24" s="310">
        <v>2.8001</v>
      </c>
      <c r="K24" s="305"/>
      <c r="L24" s="305"/>
      <c r="M24" s="305"/>
      <c r="N24" s="310">
        <v>928.69460000000004</v>
      </c>
      <c r="O24" s="311">
        <v>330345.68540000002</v>
      </c>
      <c r="P24" s="305">
        <v>61939.82</v>
      </c>
      <c r="Q24" s="305">
        <v>49551.85</v>
      </c>
      <c r="R24" s="172">
        <v>0.15</v>
      </c>
      <c r="S24" s="305">
        <v>12387.96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9">
        <v>1888</v>
      </c>
      <c r="H25" s="309">
        <v>2766</v>
      </c>
      <c r="I25" s="307">
        <v>98.082300000000004</v>
      </c>
      <c r="J25" s="310">
        <v>95.807599999999994</v>
      </c>
      <c r="K25" s="305"/>
      <c r="L25" s="305"/>
      <c r="M25" s="305"/>
      <c r="N25" s="310">
        <v>322.00889999999998</v>
      </c>
      <c r="O25" s="311">
        <v>449861.1911</v>
      </c>
      <c r="P25" s="305">
        <v>84348.97</v>
      </c>
      <c r="Q25" s="305">
        <v>67479.179999999993</v>
      </c>
      <c r="R25" s="172">
        <v>0.15</v>
      </c>
      <c r="S25" s="305">
        <v>16869.79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9">
        <v>166915</v>
      </c>
      <c r="H26" s="309">
        <v>179077</v>
      </c>
      <c r="I26" s="310">
        <v>98.082300000000004</v>
      </c>
      <c r="J26" s="310">
        <v>95.807599999999994</v>
      </c>
      <c r="K26" s="305"/>
      <c r="L26" s="305"/>
      <c r="M26" s="305"/>
      <c r="N26" s="310">
        <v>4965.4768000000004</v>
      </c>
      <c r="O26" s="311">
        <v>33523379.213199999</v>
      </c>
      <c r="P26" s="305">
        <v>6285633.5999999996</v>
      </c>
      <c r="Q26" s="305">
        <v>5028506.88</v>
      </c>
      <c r="R26" s="172">
        <v>0.15</v>
      </c>
      <c r="S26" s="305">
        <v>1257126.72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9">
        <v>251626.67</v>
      </c>
      <c r="H27" s="309">
        <v>274037.40000000002</v>
      </c>
      <c r="I27" s="567">
        <v>2.4952999999999999</v>
      </c>
      <c r="J27" s="307">
        <v>2.4952999999999999</v>
      </c>
      <c r="K27" s="305"/>
      <c r="L27" s="305"/>
      <c r="M27" s="305"/>
      <c r="N27" s="310">
        <v>980.02869999999996</v>
      </c>
      <c r="O27" s="311">
        <v>1310709.5213000001</v>
      </c>
      <c r="P27" s="305">
        <v>245758.04</v>
      </c>
      <c r="Q27" s="305">
        <v>196606.43</v>
      </c>
      <c r="R27" s="172">
        <v>0.15</v>
      </c>
      <c r="S27" s="305">
        <v>49151.61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07"/>
      <c r="J28" s="307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9">
        <v>373</v>
      </c>
      <c r="H29" s="309">
        <v>554</v>
      </c>
      <c r="I29" s="307">
        <v>97.81</v>
      </c>
      <c r="J29" s="310">
        <v>96.850899999999996</v>
      </c>
      <c r="K29" s="305"/>
      <c r="L29" s="305"/>
      <c r="M29" s="305"/>
      <c r="N29" s="310">
        <v>350.0104</v>
      </c>
      <c r="O29" s="311">
        <v>89788.5196</v>
      </c>
      <c r="P29" s="305">
        <v>16835.349999999999</v>
      </c>
      <c r="Q29" s="305">
        <v>13468.28</v>
      </c>
      <c r="R29" s="172">
        <v>0.15</v>
      </c>
      <c r="S29" s="305">
        <v>3367.07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9">
        <v>24581</v>
      </c>
      <c r="H30" s="309">
        <v>25600</v>
      </c>
      <c r="I30" s="381">
        <v>95.692300000000003</v>
      </c>
      <c r="J30" s="310">
        <v>93.417599999999993</v>
      </c>
      <c r="K30" s="305"/>
      <c r="L30" s="305"/>
      <c r="M30" s="305"/>
      <c r="N30" s="310">
        <v>3336.7638999999999</v>
      </c>
      <c r="O30" s="311">
        <v>4740366.2261000006</v>
      </c>
      <c r="P30" s="305">
        <v>888818.67</v>
      </c>
      <c r="Q30" s="305">
        <v>711054.93</v>
      </c>
      <c r="R30" s="172">
        <v>0.15</v>
      </c>
      <c r="S30" s="305">
        <v>177763.73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6"/>
      <c r="H31" s="305"/>
      <c r="I31" s="307"/>
      <c r="J31" s="307"/>
      <c r="K31" s="305"/>
      <c r="L31" s="305"/>
      <c r="M31" s="305"/>
      <c r="N31" s="306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178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9">
        <v>170942.27</v>
      </c>
      <c r="H32" s="309">
        <v>178616.2</v>
      </c>
      <c r="I32" s="307">
        <v>1.61</v>
      </c>
      <c r="J32" s="307">
        <v>1.61</v>
      </c>
      <c r="K32" s="305"/>
      <c r="L32" s="305"/>
      <c r="M32" s="305"/>
      <c r="N32" s="310">
        <v>1386.0396000000001</v>
      </c>
      <c r="O32" s="311">
        <v>561403.09039999999</v>
      </c>
      <c r="P32" s="305">
        <v>105263.08</v>
      </c>
      <c r="Q32" s="305">
        <v>84210.46</v>
      </c>
      <c r="R32" s="172">
        <v>0.15</v>
      </c>
      <c r="S32" s="305">
        <v>21052.62</v>
      </c>
      <c r="T32" s="198">
        <v>3.7499999999999999E-2</v>
      </c>
    </row>
    <row r="33" spans="1:20" x14ac:dyDescent="0.2">
      <c r="A33" s="303" t="s">
        <v>28</v>
      </c>
      <c r="B33" s="19" t="s">
        <v>179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9">
        <v>85251.41</v>
      </c>
      <c r="H33" s="309">
        <v>28341.96</v>
      </c>
      <c r="I33" s="307">
        <v>3.7766000000000002</v>
      </c>
      <c r="J33" s="307">
        <v>4.1870000000000003</v>
      </c>
      <c r="K33" s="305"/>
      <c r="L33" s="305"/>
      <c r="M33" s="305"/>
      <c r="N33" s="310"/>
      <c r="O33" s="311">
        <v>440628.26999999996</v>
      </c>
      <c r="P33" s="305">
        <v>82617.8</v>
      </c>
      <c r="Q33" s="305">
        <v>66094.240000000005</v>
      </c>
      <c r="R33" s="172">
        <v>0.15</v>
      </c>
      <c r="S33" s="305">
        <v>16523.560000000001</v>
      </c>
      <c r="T33" s="198">
        <v>3.7499999999999999E-2</v>
      </c>
    </row>
    <row r="34" spans="1:20" x14ac:dyDescent="0.2">
      <c r="A34" s="303" t="s">
        <v>28</v>
      </c>
      <c r="B34" s="19" t="s">
        <v>193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6"/>
      <c r="H34" s="305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144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5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9">
        <v>16984</v>
      </c>
      <c r="H36" s="309">
        <v>20511.03</v>
      </c>
      <c r="I36" s="567">
        <v>3.6522999999999999</v>
      </c>
      <c r="J36" s="307">
        <v>3.3908</v>
      </c>
      <c r="K36" s="305"/>
      <c r="L36" s="305"/>
      <c r="M36" s="305"/>
      <c r="N36" s="306"/>
      <c r="O36" s="568">
        <v>131579.46000000002</v>
      </c>
      <c r="P36" s="305">
        <v>24671.15</v>
      </c>
      <c r="Q36" s="305">
        <v>19736.919999999998</v>
      </c>
      <c r="R36" s="172">
        <v>0.15</v>
      </c>
      <c r="S36" s="305">
        <v>4934.2299999999996</v>
      </c>
      <c r="T36" s="198">
        <v>3.7499999999999999E-2</v>
      </c>
    </row>
    <row r="37" spans="1:20" x14ac:dyDescent="0.2">
      <c r="A37" s="303" t="s">
        <v>28</v>
      </c>
      <c r="B37" s="579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09">
        <v>19564.149099999999</v>
      </c>
      <c r="H37" s="309">
        <v>80153.231299999999</v>
      </c>
      <c r="I37" s="307">
        <v>3.4125999999999999</v>
      </c>
      <c r="J37" s="307">
        <v>3.5</v>
      </c>
      <c r="K37" s="305"/>
      <c r="L37" s="305"/>
      <c r="M37" s="305"/>
      <c r="N37" s="306"/>
      <c r="O37" s="311">
        <v>347300.93</v>
      </c>
      <c r="P37" s="305">
        <v>65118.92</v>
      </c>
      <c r="Q37" s="316">
        <v>52095.14</v>
      </c>
      <c r="R37" s="172">
        <v>0.15</v>
      </c>
      <c r="S37" s="305">
        <v>13023.78</v>
      </c>
      <c r="T37" s="198">
        <v>3.7499999999999999E-2</v>
      </c>
    </row>
    <row r="38" spans="1:20" x14ac:dyDescent="0.2">
      <c r="A38" s="303" t="s">
        <v>28</v>
      </c>
      <c r="B38" s="579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09">
        <v>1684.0880999999999</v>
      </c>
      <c r="H38" s="309">
        <v>3465.4068000000002</v>
      </c>
      <c r="I38" s="307">
        <v>3</v>
      </c>
      <c r="J38" s="307">
        <v>3</v>
      </c>
      <c r="K38" s="305"/>
      <c r="L38" s="305"/>
      <c r="M38" s="305"/>
      <c r="N38" s="306"/>
      <c r="O38" s="311">
        <v>15448.48</v>
      </c>
      <c r="P38" s="305">
        <v>2896.59</v>
      </c>
      <c r="Q38" s="316">
        <v>2317.27</v>
      </c>
      <c r="R38" s="172">
        <v>0.15</v>
      </c>
      <c r="S38" s="305">
        <v>579.32000000000005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5"/>
      <c r="H39" s="309">
        <v>160495</v>
      </c>
      <c r="I39" s="307"/>
      <c r="J39" s="310">
        <v>97.740899999999996</v>
      </c>
      <c r="K39" s="305"/>
      <c r="L39" s="305"/>
      <c r="M39" s="305"/>
      <c r="N39" s="306">
        <v>1073.3662999999999</v>
      </c>
      <c r="O39" s="311">
        <v>15685852.3837</v>
      </c>
      <c r="P39" s="305">
        <v>2941097.32</v>
      </c>
      <c r="Q39" s="305">
        <v>2352877.86</v>
      </c>
      <c r="R39" s="172">
        <v>0.15</v>
      </c>
      <c r="S39" s="305">
        <v>588219.46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5"/>
      <c r="H40" s="309">
        <v>444145.65</v>
      </c>
      <c r="I40" s="307"/>
      <c r="J40" s="318">
        <v>8.7365999999999993</v>
      </c>
      <c r="K40" s="305"/>
      <c r="L40" s="305"/>
      <c r="M40" s="305"/>
      <c r="N40" s="306">
        <v>942.69410000000005</v>
      </c>
      <c r="O40" s="311">
        <v>3879380.1959000002</v>
      </c>
      <c r="P40" s="305">
        <v>727383.79</v>
      </c>
      <c r="Q40" s="305">
        <v>581907.03</v>
      </c>
      <c r="R40" s="172">
        <v>0.15</v>
      </c>
      <c r="S40" s="305">
        <v>145476.76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9">
        <v>147</v>
      </c>
      <c r="H41" s="309">
        <v>188</v>
      </c>
      <c r="I41" s="310">
        <v>98.082300000000004</v>
      </c>
      <c r="J41" s="310">
        <v>95.807599999999994</v>
      </c>
      <c r="K41" s="305"/>
      <c r="L41" s="305"/>
      <c r="M41" s="305"/>
      <c r="N41" s="306">
        <v>205.33869999999999</v>
      </c>
      <c r="O41" s="311">
        <v>32224.5913</v>
      </c>
      <c r="P41" s="305">
        <v>6042.11</v>
      </c>
      <c r="Q41" s="305">
        <v>1208.42</v>
      </c>
      <c r="R41" s="198">
        <v>3.7499999999999999E-2</v>
      </c>
      <c r="S41" s="305">
        <v>4833.6899999999996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10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9">
        <v>16484</v>
      </c>
      <c r="I44" s="310"/>
      <c r="J44" s="310">
        <v>89.112799999999993</v>
      </c>
      <c r="K44" s="306"/>
      <c r="L44" s="305"/>
      <c r="M44" s="305"/>
      <c r="N44" s="306">
        <v>1026.6962000000001</v>
      </c>
      <c r="O44" s="311">
        <v>1467908.7038</v>
      </c>
      <c r="P44" s="305">
        <v>275232.88</v>
      </c>
      <c r="Q44" s="305">
        <v>220186.31</v>
      </c>
      <c r="R44" s="173">
        <v>0.15</v>
      </c>
      <c r="S44" s="305">
        <v>55046.58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-29361.310000000434</v>
      </c>
      <c r="P46" s="311">
        <v>-5505.239999999576</v>
      </c>
      <c r="Q46" s="311">
        <v>-4404.1999999999935</v>
      </c>
      <c r="R46" s="192"/>
      <c r="S46" s="311">
        <v>-1101.029999999997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86617121.657999977</v>
      </c>
      <c r="P47" s="325">
        <v>16240710.309999999</v>
      </c>
      <c r="Q47" s="325">
        <v>12988942.99</v>
      </c>
      <c r="R47" s="174"/>
      <c r="S47" s="325">
        <v>3251767.33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1">
        <v>335294877.94</v>
      </c>
      <c r="P48" s="331">
        <v>62867789.609999999</v>
      </c>
      <c r="Q48" s="332">
        <v>50280198.310000002</v>
      </c>
      <c r="R48" s="121"/>
      <c r="S48" s="333">
        <v>12587591.33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17384</v>
      </c>
      <c r="H51" s="306">
        <v>18339</v>
      </c>
      <c r="I51" s="310">
        <v>88.478499999999997</v>
      </c>
      <c r="J51" s="310">
        <v>86.108900000000006</v>
      </c>
      <c r="K51" s="305"/>
      <c r="L51" s="305"/>
      <c r="M51" s="305"/>
      <c r="N51" s="306">
        <v>4134.7862999999998</v>
      </c>
      <c r="O51" s="311">
        <v>3113126.5737000005</v>
      </c>
      <c r="P51" s="305">
        <v>466968.99</v>
      </c>
      <c r="Q51" s="305">
        <v>466968.99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11">
        <v>0</v>
      </c>
      <c r="P52" s="311">
        <v>0</v>
      </c>
      <c r="Q52" s="311">
        <v>0</v>
      </c>
      <c r="R52" s="192"/>
      <c r="S52" s="311">
        <v>0</v>
      </c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3113126.5737000005</v>
      </c>
      <c r="P53" s="325">
        <v>466968.99</v>
      </c>
      <c r="Q53" s="325">
        <v>466968.99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1807636.96</v>
      </c>
      <c r="Q54" s="332">
        <v>1807636.96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07"/>
      <c r="J58" s="310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47574.85</v>
      </c>
      <c r="H61" s="306">
        <v>338859.7</v>
      </c>
      <c r="I61" s="310">
        <v>3.6861999999999999</v>
      </c>
      <c r="J61" s="310">
        <v>3.6907000000000001</v>
      </c>
      <c r="K61" s="305"/>
      <c r="L61" s="305"/>
      <c r="M61" s="305"/>
      <c r="N61" s="306">
        <v>518.01459999999997</v>
      </c>
      <c r="O61" s="311">
        <v>1425481.8853999998</v>
      </c>
      <c r="P61" s="305">
        <v>267277.84999999998</v>
      </c>
      <c r="Q61" s="305">
        <v>53455.57</v>
      </c>
      <c r="R61" s="198">
        <v>3.7499999999999999E-2</v>
      </c>
      <c r="S61" s="305">
        <v>213822.28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4081</v>
      </c>
      <c r="H62" s="306">
        <v>4105</v>
      </c>
      <c r="I62" s="310">
        <v>70.182100000000005</v>
      </c>
      <c r="J62" s="310">
        <v>66.884600000000006</v>
      </c>
      <c r="K62" s="305"/>
      <c r="L62" s="305"/>
      <c r="M62" s="305"/>
      <c r="N62" s="305">
        <v>2347.4023000000002</v>
      </c>
      <c r="O62" s="311">
        <v>558627.02770000009</v>
      </c>
      <c r="P62" s="305">
        <v>104742.57</v>
      </c>
      <c r="Q62" s="305">
        <v>20948.509999999998</v>
      </c>
      <c r="R62" s="198">
        <v>3.7499999999999999E-2</v>
      </c>
      <c r="S62" s="305">
        <v>83794.05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184933</v>
      </c>
      <c r="H65" s="306">
        <v>274430</v>
      </c>
      <c r="I65" s="310">
        <v>80.137</v>
      </c>
      <c r="J65" s="310">
        <v>80.507400000000004</v>
      </c>
      <c r="K65" s="306"/>
      <c r="L65" s="305"/>
      <c r="M65" s="305"/>
      <c r="N65" s="306">
        <v>5534.8227999999999</v>
      </c>
      <c r="O65" s="311">
        <v>36908086.777199998</v>
      </c>
      <c r="P65" s="305">
        <v>6920266.2699999996</v>
      </c>
      <c r="Q65" s="305">
        <v>5536213.0199999996</v>
      </c>
      <c r="R65" s="172">
        <v>0.15</v>
      </c>
      <c r="S65" s="305">
        <v>1384053.25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>
        <v>17879</v>
      </c>
      <c r="H66" s="306">
        <v>22248</v>
      </c>
      <c r="I66" s="310">
        <v>58.1419</v>
      </c>
      <c r="J66" s="310">
        <v>58.438600000000001</v>
      </c>
      <c r="K66" s="306"/>
      <c r="L66" s="305"/>
      <c r="M66" s="305"/>
      <c r="N66" s="306">
        <v>3831.4461000000001</v>
      </c>
      <c r="O66" s="311">
        <v>2335829.5539000002</v>
      </c>
      <c r="P66" s="305">
        <v>437968.04</v>
      </c>
      <c r="Q66" s="305">
        <v>350374.43</v>
      </c>
      <c r="R66" s="172">
        <v>0.15</v>
      </c>
      <c r="S66" s="305">
        <v>87593.61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11">
        <v>0</v>
      </c>
      <c r="P67" s="311">
        <v>0</v>
      </c>
      <c r="Q67" s="311">
        <v>0</v>
      </c>
      <c r="R67" s="192"/>
      <c r="S67" s="311">
        <v>0</v>
      </c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41228025.244199999</v>
      </c>
      <c r="P68" s="325">
        <v>7730254.7299999995</v>
      </c>
      <c r="Q68" s="325">
        <v>5960991.5299999993</v>
      </c>
      <c r="R68" s="183"/>
      <c r="S68" s="325">
        <v>1769263.1900000002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29923816.059999999</v>
      </c>
      <c r="Q69" s="333">
        <v>23074998.210000001</v>
      </c>
      <c r="R69" s="139"/>
      <c r="S69" s="333">
        <v>6848817.8099999996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608330</v>
      </c>
      <c r="H71" s="305">
        <v>688602</v>
      </c>
      <c r="I71" s="307">
        <v>56.366199999999999</v>
      </c>
      <c r="J71" s="307">
        <v>56.128999999999998</v>
      </c>
      <c r="K71" s="305"/>
      <c r="L71" s="305"/>
      <c r="M71" s="305"/>
      <c r="N71" s="305"/>
      <c r="O71" s="311">
        <v>72939792.104000002</v>
      </c>
      <c r="P71" s="316">
        <v>27162778.579999998</v>
      </c>
      <c r="Q71" s="305">
        <v>13581389.289999999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12923911.92</v>
      </c>
      <c r="H72" s="305">
        <v>14141754.76</v>
      </c>
      <c r="I72" s="307">
        <v>2.2745000000000002</v>
      </c>
      <c r="J72" s="307">
        <v>2.2745000000000002</v>
      </c>
      <c r="K72" s="305"/>
      <c r="L72" s="305"/>
      <c r="M72" s="305"/>
      <c r="N72" s="305"/>
      <c r="O72" s="311">
        <v>61560858.863660008</v>
      </c>
      <c r="P72" s="316">
        <v>22925263.84</v>
      </c>
      <c r="Q72" s="305">
        <v>11462631.92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20210.48</v>
      </c>
      <c r="H73" s="305">
        <v>0</v>
      </c>
      <c r="I73" s="307">
        <v>3.1638999999999999</v>
      </c>
      <c r="J73" s="307">
        <v>0</v>
      </c>
      <c r="K73" s="305"/>
      <c r="L73" s="305"/>
      <c r="M73" s="305"/>
      <c r="N73" s="305"/>
      <c r="O73" s="311">
        <v>63943.937672</v>
      </c>
      <c r="P73" s="316">
        <v>23812.720000000001</v>
      </c>
      <c r="Q73" s="305">
        <v>11906.36</v>
      </c>
      <c r="R73" s="172">
        <v>0.5</v>
      </c>
      <c r="S73" s="305"/>
      <c r="T73" s="172"/>
    </row>
    <row r="74" spans="1:20" ht="12" customHeight="1" x14ac:dyDescent="0.2">
      <c r="A74" s="303" t="s">
        <v>28</v>
      </c>
      <c r="B74" s="19" t="s">
        <v>123</v>
      </c>
      <c r="C74" s="85" t="s">
        <v>31</v>
      </c>
      <c r="D74" s="85" t="s">
        <v>30</v>
      </c>
      <c r="E74" s="85" t="s">
        <v>102</v>
      </c>
      <c r="F74" s="182" t="s">
        <v>56</v>
      </c>
      <c r="G74" s="305">
        <v>641529.93999999994</v>
      </c>
      <c r="H74" s="305">
        <v>216323.46</v>
      </c>
      <c r="I74" s="307">
        <v>19.318000000000001</v>
      </c>
      <c r="J74" s="307">
        <v>34.872</v>
      </c>
      <c r="K74" s="305"/>
      <c r="L74" s="305"/>
      <c r="M74" s="305"/>
      <c r="N74" s="305"/>
      <c r="O74" s="311">
        <v>19936707.07804</v>
      </c>
      <c r="P74" s="316">
        <v>7575948.6799999997</v>
      </c>
      <c r="Q74" s="305">
        <v>3787974.34</v>
      </c>
      <c r="R74" s="219">
        <v>0.5</v>
      </c>
      <c r="S74" s="305"/>
      <c r="T74" s="172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160022</v>
      </c>
      <c r="H75" s="305"/>
      <c r="I75" s="307">
        <v>56.269599999999997</v>
      </c>
      <c r="J75" s="307"/>
      <c r="K75" s="305"/>
      <c r="L75" s="305"/>
      <c r="M75" s="305"/>
      <c r="N75" s="305"/>
      <c r="O75" s="311">
        <v>9004373.9311999995</v>
      </c>
      <c r="P75" s="316">
        <v>3601749.57</v>
      </c>
      <c r="Q75" s="305">
        <v>1800874.79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3516488.59</v>
      </c>
      <c r="H76" s="305"/>
      <c r="I76" s="307">
        <v>19.318000000000001</v>
      </c>
      <c r="J76" s="307"/>
      <c r="K76" s="305"/>
      <c r="L76" s="305"/>
      <c r="M76" s="305"/>
      <c r="N76" s="305"/>
      <c r="O76" s="311">
        <v>67931526.581620008</v>
      </c>
      <c r="P76" s="316">
        <v>25813980.100000001</v>
      </c>
      <c r="Q76" s="305">
        <v>12906990.050000001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157947.44</v>
      </c>
      <c r="H77" s="305"/>
      <c r="I77" s="307">
        <v>2.1558999999999999</v>
      </c>
      <c r="J77" s="307"/>
      <c r="K77" s="306"/>
      <c r="L77" s="305"/>
      <c r="M77" s="305"/>
      <c r="N77" s="306"/>
      <c r="O77" s="311">
        <v>340518.88589600002</v>
      </c>
      <c r="P77" s="316">
        <v>126809.23</v>
      </c>
      <c r="Q77" s="305">
        <v>63404.62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134578</v>
      </c>
      <c r="H78" s="305">
        <v>0</v>
      </c>
      <c r="I78" s="307">
        <v>48.444600000000001</v>
      </c>
      <c r="J78" s="307"/>
      <c r="K78" s="306"/>
      <c r="L78" s="305"/>
      <c r="M78" s="305"/>
      <c r="N78" s="306"/>
      <c r="O78" s="311">
        <v>6519577.3788000001</v>
      </c>
      <c r="P78" s="316">
        <v>400302.05113199999</v>
      </c>
      <c r="Q78" s="305">
        <v>200151.03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2164450.1800000002</v>
      </c>
      <c r="H79" s="305">
        <v>0</v>
      </c>
      <c r="I79" s="307">
        <v>16.783000000000001</v>
      </c>
      <c r="J79" s="307"/>
      <c r="K79" s="258"/>
      <c r="L79" s="305"/>
      <c r="M79" s="305"/>
      <c r="N79" s="306"/>
      <c r="O79" s="311">
        <v>36325967.370940007</v>
      </c>
      <c r="P79" s="316">
        <v>3411008.3360430002</v>
      </c>
      <c r="Q79" s="305">
        <v>1705504.17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311">
        <v>4272909.1856090222</v>
      </c>
      <c r="P80" s="311">
        <v>-4524793.8398780031</v>
      </c>
      <c r="Q80" s="311">
        <v>-2262396.9300000016</v>
      </c>
      <c r="R80" s="192"/>
      <c r="S80" s="311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/>
      <c r="H81" s="195"/>
      <c r="I81" s="228"/>
      <c r="J81" s="195"/>
      <c r="K81" s="205"/>
      <c r="L81" s="199"/>
      <c r="M81" s="227"/>
      <c r="N81" s="166"/>
      <c r="O81" s="166">
        <v>278896175.31743705</v>
      </c>
      <c r="P81" s="166">
        <v>86516859.267297</v>
      </c>
      <c r="Q81" s="166">
        <v>43258429.640000001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>
        <v>18.580278690418787</v>
      </c>
      <c r="H82" s="196" t="e">
        <v>#DIV/0!</v>
      </c>
      <c r="I82" s="229"/>
      <c r="J82" s="195"/>
      <c r="K82" s="206"/>
      <c r="L82" s="200"/>
      <c r="M82" s="260"/>
      <c r="N82" s="261"/>
      <c r="O82" s="261"/>
      <c r="P82" s="160"/>
      <c r="Q82" s="160">
        <v>167453381.13644001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>
        <v>0</v>
      </c>
      <c r="H83" s="197" t="e">
        <v>#DIV/0!</v>
      </c>
      <c r="I83" s="195" t="e">
        <v>#DIV/0!</v>
      </c>
      <c r="J83" s="195">
        <v>68272045.467516005</v>
      </c>
      <c r="K83" s="230" t="e">
        <v>#DIV/0!</v>
      </c>
      <c r="L83" s="231"/>
      <c r="M83" s="216">
        <v>0</v>
      </c>
      <c r="N83" s="216">
        <v>41217.204100000003</v>
      </c>
      <c r="O83" s="216">
        <v>409854448.79333699</v>
      </c>
      <c r="P83" s="216">
        <v>67696363.670000002</v>
      </c>
      <c r="Q83" s="161">
        <v>262052623.75644001</v>
      </c>
      <c r="R83" s="52"/>
      <c r="S83" s="161"/>
      <c r="T83" s="52"/>
    </row>
    <row r="84" spans="1:20" x14ac:dyDescent="0.2">
      <c r="O84" s="236"/>
      <c r="P84" s="62"/>
      <c r="S84" s="226"/>
    </row>
    <row r="85" spans="1:20" x14ac:dyDescent="0.2">
      <c r="A85" s="360" t="s">
        <v>90</v>
      </c>
      <c r="B85" s="212" t="s">
        <v>73</v>
      </c>
      <c r="H85" s="360" t="s">
        <v>74</v>
      </c>
      <c r="J85" s="62"/>
      <c r="K85" s="62"/>
      <c r="N85" s="296"/>
      <c r="O85" s="236">
        <v>309943823.04999995</v>
      </c>
      <c r="P85" s="534"/>
      <c r="Q85" s="296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361"/>
      <c r="O86" s="362">
        <v>-99910625.743337035</v>
      </c>
      <c r="P86" s="226"/>
    </row>
    <row r="87" spans="1:20" x14ac:dyDescent="0.2">
      <c r="B87" s="363" t="s">
        <v>78</v>
      </c>
      <c r="C87" s="89" t="s">
        <v>79</v>
      </c>
      <c r="D87" s="364"/>
      <c r="E87" s="90">
        <v>99.459699999999998</v>
      </c>
      <c r="F87" s="90">
        <v>96.665000000000006</v>
      </c>
      <c r="H87" s="91" t="s">
        <v>196</v>
      </c>
      <c r="L87" s="92"/>
      <c r="M87" s="234">
        <v>6.2200000337121024E-2</v>
      </c>
      <c r="N87" s="234">
        <v>6.4199999463479832E-2</v>
      </c>
      <c r="O87" s="236"/>
      <c r="P87" s="296"/>
    </row>
    <row r="88" spans="1:20" x14ac:dyDescent="0.2">
      <c r="B88" s="365" t="s">
        <v>80</v>
      </c>
      <c r="C88" s="93" t="s">
        <v>81</v>
      </c>
      <c r="D88" s="366"/>
      <c r="E88" s="94">
        <v>58.108899999999998</v>
      </c>
      <c r="F88" s="95">
        <v>55.902999999999999</v>
      </c>
      <c r="H88" s="96">
        <v>70.182147072673999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367"/>
      <c r="P88" s="296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I89" s="380"/>
      <c r="M89" s="234">
        <v>0.39999999969547706</v>
      </c>
      <c r="N89" s="234">
        <v>0.39999999979093542</v>
      </c>
      <c r="O89" s="237"/>
    </row>
    <row r="90" spans="1:20" x14ac:dyDescent="0.2">
      <c r="B90" s="365" t="s">
        <v>84</v>
      </c>
      <c r="C90" s="93" t="s">
        <v>85</v>
      </c>
      <c r="D90" s="366"/>
      <c r="E90" s="99">
        <v>0.62790000000000001</v>
      </c>
      <c r="F90" s="99">
        <v>0.60960000000000003</v>
      </c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237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195</v>
      </c>
      <c r="I91" s="380"/>
      <c r="L91" s="92"/>
      <c r="N91" s="259"/>
      <c r="O91" s="237"/>
    </row>
    <row r="92" spans="1:20" x14ac:dyDescent="0.2">
      <c r="B92" s="368" t="s">
        <v>88</v>
      </c>
      <c r="C92" s="102" t="s">
        <v>89</v>
      </c>
      <c r="D92" s="369"/>
      <c r="E92" s="103"/>
      <c r="F92" s="103"/>
      <c r="H92" s="96">
        <v>66.884589003200006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H93" s="329"/>
      <c r="M93" s="237"/>
      <c r="N93" s="237"/>
      <c r="O93" s="237"/>
    </row>
    <row r="94" spans="1:20" x14ac:dyDescent="0.2">
      <c r="A94" s="587" t="s">
        <v>205</v>
      </c>
    </row>
  </sheetData>
  <mergeCells count="2">
    <mergeCell ref="O7:O8"/>
    <mergeCell ref="C7:C8"/>
  </mergeCells>
  <phoneticPr fontId="0" type="noConversion"/>
  <printOptions horizontalCentered="1" verticalCentered="1"/>
  <pageMargins left="0.25" right="0.25" top="0.5" bottom="0.25" header="0" footer="0"/>
  <pageSetup paperSize="9" scale="4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93"/>
  <sheetViews>
    <sheetView view="pageBreakPreview" topLeftCell="A40" zoomScale="95" zoomScaleNormal="95" zoomScaleSheetLayoutView="95" workbookViewId="0">
      <pane xSplit="2" topLeftCell="C1" activePane="topRight" state="frozen"/>
      <selection pane="topRight" activeCell="A93" sqref="A93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4" width="7.109375" style="212" customWidth="1"/>
    <col min="5" max="5" width="9.44140625" style="212" customWidth="1"/>
    <col min="6" max="6" width="9.88671875" style="212" customWidth="1"/>
    <col min="7" max="10" width="10.44140625" style="212" customWidth="1"/>
    <col min="11" max="13" width="10.44140625" style="212" hidden="1" customWidth="1"/>
    <col min="14" max="14" width="10.44140625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44805</v>
      </c>
      <c r="F1" s="209">
        <v>3.9849999999999999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197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198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H6" s="1"/>
      <c r="P6" s="569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306"/>
      <c r="H9" s="306"/>
      <c r="I9" s="310"/>
      <c r="J9" s="310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7"/>
      <c r="I10" s="307"/>
      <c r="J10" s="310"/>
      <c r="K10" s="305"/>
      <c r="L10" s="305"/>
      <c r="M10" s="305"/>
      <c r="N10" s="306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7"/>
      <c r="I11" s="307"/>
      <c r="J11" s="310"/>
      <c r="K11" s="305"/>
      <c r="L11" s="305"/>
      <c r="M11" s="305"/>
      <c r="N11" s="306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6">
        <v>5639</v>
      </c>
      <c r="H12" s="306">
        <v>9694</v>
      </c>
      <c r="I12" s="570">
        <v>90.747600000000006</v>
      </c>
      <c r="J12" s="570">
        <v>86.709800000000001</v>
      </c>
      <c r="K12" s="306"/>
      <c r="L12" s="306"/>
      <c r="M12" s="306"/>
      <c r="N12" s="306">
        <v>288.4538</v>
      </c>
      <c r="O12" s="311">
        <v>1352002.0662</v>
      </c>
      <c r="P12" s="305">
        <v>253500.39</v>
      </c>
      <c r="Q12" s="305">
        <v>202800.31</v>
      </c>
      <c r="R12" s="172">
        <v>0.15</v>
      </c>
      <c r="S12" s="305">
        <v>50700.08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6">
        <v>50554.3</v>
      </c>
      <c r="H13" s="306">
        <v>50637.98</v>
      </c>
      <c r="I13" s="570">
        <v>3</v>
      </c>
      <c r="J13" s="570">
        <v>3</v>
      </c>
      <c r="K13" s="306"/>
      <c r="L13" s="306"/>
      <c r="M13" s="306"/>
      <c r="N13" s="306">
        <v>811.27760000000001</v>
      </c>
      <c r="O13" s="311">
        <v>302765.5624</v>
      </c>
      <c r="P13" s="305">
        <v>56768.54</v>
      </c>
      <c r="Q13" s="305">
        <v>45414.83</v>
      </c>
      <c r="R13" s="172">
        <v>0.15</v>
      </c>
      <c r="S13" s="305">
        <v>11353.71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6">
        <v>4881</v>
      </c>
      <c r="H14" s="306">
        <v>4815</v>
      </c>
      <c r="I14" s="570">
        <v>90.644800000000004</v>
      </c>
      <c r="J14" s="570">
        <v>85.936499999999995</v>
      </c>
      <c r="K14" s="306"/>
      <c r="L14" s="306"/>
      <c r="M14" s="306"/>
      <c r="N14" s="306">
        <v>748.18020000000001</v>
      </c>
      <c r="O14" s="306">
        <v>855473.33980000007</v>
      </c>
      <c r="P14" s="305">
        <v>160401.25</v>
      </c>
      <c r="Q14" s="305">
        <v>128321</v>
      </c>
      <c r="R14" s="172">
        <v>0.15</v>
      </c>
      <c r="S14" s="305">
        <v>32080.25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6">
        <v>5350.47</v>
      </c>
      <c r="H15" s="306">
        <v>6772.47</v>
      </c>
      <c r="I15" s="570">
        <v>2.6775000000000002</v>
      </c>
      <c r="J15" s="570">
        <v>2.6775000000000002</v>
      </c>
      <c r="K15" s="306"/>
      <c r="L15" s="306"/>
      <c r="M15" s="306"/>
      <c r="N15" s="306">
        <v>797.75599999999997</v>
      </c>
      <c r="O15" s="306">
        <v>31661.413999999997</v>
      </c>
      <c r="P15" s="305">
        <v>5936.52</v>
      </c>
      <c r="Q15" s="305">
        <v>4749.22</v>
      </c>
      <c r="R15" s="172">
        <v>0.15</v>
      </c>
      <c r="S15" s="305">
        <v>1187.3000000000002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6">
        <v>8586</v>
      </c>
      <c r="H16" s="306">
        <v>11644</v>
      </c>
      <c r="I16" s="310">
        <v>90.747600000000006</v>
      </c>
      <c r="J16" s="307">
        <v>86.709800000000001</v>
      </c>
      <c r="K16" s="305"/>
      <c r="L16" s="305"/>
      <c r="M16" s="305"/>
      <c r="N16" s="306">
        <v>531.83730000000003</v>
      </c>
      <c r="O16" s="306">
        <v>1788275.9627</v>
      </c>
      <c r="P16" s="305">
        <v>335301.74</v>
      </c>
      <c r="Q16" s="305">
        <v>268241.39</v>
      </c>
      <c r="R16" s="172">
        <v>0.15</v>
      </c>
      <c r="S16" s="305">
        <v>67060.350000000006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6">
        <v>32967</v>
      </c>
      <c r="H17" s="306">
        <v>41110</v>
      </c>
      <c r="I17" s="310">
        <v>90.747600000000006</v>
      </c>
      <c r="J17" s="307">
        <v>86.709800000000001</v>
      </c>
      <c r="K17" s="305"/>
      <c r="L17" s="305"/>
      <c r="M17" s="305"/>
      <c r="N17" s="306">
        <v>1374.6661999999999</v>
      </c>
      <c r="O17" s="306">
        <v>6554941.3437999999</v>
      </c>
      <c r="P17" s="305">
        <v>1229051.5</v>
      </c>
      <c r="Q17" s="305">
        <v>983241.2</v>
      </c>
      <c r="R17" s="172">
        <v>0.15</v>
      </c>
      <c r="S17" s="305">
        <v>245810.3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6"/>
      <c r="H18" s="306"/>
      <c r="I18" s="310"/>
      <c r="J18" s="307"/>
      <c r="K18" s="305"/>
      <c r="L18" s="305"/>
      <c r="M18" s="305"/>
      <c r="N18" s="306"/>
      <c r="O18" s="306">
        <v>0</v>
      </c>
      <c r="P18" s="305">
        <v>0</v>
      </c>
      <c r="Q18" s="305">
        <v>0</v>
      </c>
      <c r="R18" s="172">
        <v>0.15</v>
      </c>
      <c r="S18" s="305">
        <v>0</v>
      </c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6"/>
      <c r="H19" s="306"/>
      <c r="I19" s="310"/>
      <c r="J19" s="307"/>
      <c r="K19" s="305"/>
      <c r="L19" s="305"/>
      <c r="M19" s="305"/>
      <c r="N19" s="306"/>
      <c r="O19" s="306">
        <v>0</v>
      </c>
      <c r="P19" s="305">
        <v>0</v>
      </c>
      <c r="Q19" s="305">
        <v>0</v>
      </c>
      <c r="R19" s="172">
        <v>0.15</v>
      </c>
      <c r="S19" s="305">
        <v>0</v>
      </c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6">
        <v>24265.3</v>
      </c>
      <c r="H20" s="306">
        <v>38794.29</v>
      </c>
      <c r="I20" s="381">
        <v>3.5800999999999998</v>
      </c>
      <c r="J20" s="307">
        <v>3.5800999999999998</v>
      </c>
      <c r="K20" s="305"/>
      <c r="L20" s="305"/>
      <c r="M20" s="305"/>
      <c r="N20" s="306"/>
      <c r="O20" s="577">
        <v>225759.64</v>
      </c>
      <c r="P20" s="305">
        <v>42329.93</v>
      </c>
      <c r="Q20" s="305">
        <v>33863.949999999997</v>
      </c>
      <c r="R20" s="172">
        <v>0.15</v>
      </c>
      <c r="S20" s="305">
        <v>8465.99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6"/>
      <c r="H21" s="306">
        <v>3236</v>
      </c>
      <c r="I21" s="307"/>
      <c r="J21" s="310">
        <v>88.824799999999996</v>
      </c>
      <c r="K21" s="305"/>
      <c r="L21" s="305"/>
      <c r="M21" s="305"/>
      <c r="N21" s="306">
        <v>630.99400000000003</v>
      </c>
      <c r="O21" s="311">
        <v>286806.05599999998</v>
      </c>
      <c r="P21" s="305">
        <v>53776.14</v>
      </c>
      <c r="Q21" s="305">
        <v>43020.91</v>
      </c>
      <c r="R21" s="172">
        <v>0.15</v>
      </c>
      <c r="S21" s="305">
        <v>10755.23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6">
        <v>49112</v>
      </c>
      <c r="H22" s="306">
        <v>54310</v>
      </c>
      <c r="I22" s="310">
        <v>90.197599999999994</v>
      </c>
      <c r="J22" s="307">
        <v>86.159800000000004</v>
      </c>
      <c r="K22" s="305"/>
      <c r="L22" s="305"/>
      <c r="M22" s="305"/>
      <c r="N22" s="306">
        <v>3831.0340999999999</v>
      </c>
      <c r="O22" s="311">
        <v>9105292.2358999997</v>
      </c>
      <c r="P22" s="305">
        <v>1707242.29</v>
      </c>
      <c r="Q22" s="305">
        <v>1365793.84</v>
      </c>
      <c r="R22" s="172">
        <v>0.15</v>
      </c>
      <c r="S22" s="305">
        <v>341448.46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6"/>
      <c r="H23" s="306"/>
      <c r="I23" s="310"/>
      <c r="J23" s="307"/>
      <c r="K23" s="305"/>
      <c r="L23" s="305"/>
      <c r="M23" s="305"/>
      <c r="N23" s="305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6">
        <v>43720.92</v>
      </c>
      <c r="H24" s="306">
        <v>42767.79</v>
      </c>
      <c r="I24" s="310">
        <v>2.8146</v>
      </c>
      <c r="J24" s="307">
        <v>2.8146</v>
      </c>
      <c r="K24" s="305"/>
      <c r="L24" s="305"/>
      <c r="M24" s="305"/>
      <c r="N24" s="305">
        <v>896.91269999999997</v>
      </c>
      <c r="O24" s="311">
        <v>242534.20730000001</v>
      </c>
      <c r="P24" s="305">
        <v>45475.16</v>
      </c>
      <c r="Q24" s="305">
        <v>36380.129999999997</v>
      </c>
      <c r="R24" s="172">
        <v>0.15</v>
      </c>
      <c r="S24" s="305">
        <v>9095.0300000000007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6">
        <v>1847</v>
      </c>
      <c r="H25" s="306">
        <v>2724</v>
      </c>
      <c r="I25" s="310">
        <v>90.747600000000006</v>
      </c>
      <c r="J25" s="307">
        <v>86.709800000000001</v>
      </c>
      <c r="K25" s="305"/>
      <c r="L25" s="305"/>
      <c r="M25" s="305"/>
      <c r="N25" s="306">
        <v>310.99149999999997</v>
      </c>
      <c r="O25" s="311">
        <v>403497.3285</v>
      </c>
      <c r="P25" s="305">
        <v>75655.75</v>
      </c>
      <c r="Q25" s="305">
        <v>60524.6</v>
      </c>
      <c r="R25" s="172">
        <v>0.15</v>
      </c>
      <c r="S25" s="305">
        <v>15131.15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6">
        <v>170534</v>
      </c>
      <c r="H26" s="306">
        <v>170586</v>
      </c>
      <c r="I26" s="310">
        <v>90.747600000000006</v>
      </c>
      <c r="J26" s="310">
        <v>86.709800000000001</v>
      </c>
      <c r="K26" s="305"/>
      <c r="L26" s="305"/>
      <c r="M26" s="305"/>
      <c r="N26" s="306">
        <v>4795.5572000000002</v>
      </c>
      <c r="O26" s="311">
        <v>30262233.6028</v>
      </c>
      <c r="P26" s="305">
        <v>5674168.7999999998</v>
      </c>
      <c r="Q26" s="305">
        <v>4539335.04</v>
      </c>
      <c r="R26" s="172">
        <v>0.15</v>
      </c>
      <c r="S26" s="305">
        <v>1134833.76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5">
        <v>261905.26</v>
      </c>
      <c r="H27" s="305">
        <v>264621.45</v>
      </c>
      <c r="I27" s="310">
        <v>2.4952999999999999</v>
      </c>
      <c r="J27" s="310">
        <v>2.4952999999999999</v>
      </c>
      <c r="K27" s="305"/>
      <c r="L27" s="305"/>
      <c r="M27" s="305"/>
      <c r="N27" s="306">
        <v>946.49350000000004</v>
      </c>
      <c r="O27" s="311">
        <v>1312895.6065</v>
      </c>
      <c r="P27" s="305">
        <v>246167.93</v>
      </c>
      <c r="Q27" s="305">
        <v>196934.34</v>
      </c>
      <c r="R27" s="172">
        <v>0.15</v>
      </c>
      <c r="S27" s="305">
        <v>49233.59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07"/>
      <c r="J28" s="307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5">
        <v>326</v>
      </c>
      <c r="H29" s="305">
        <v>438</v>
      </c>
      <c r="I29" s="307">
        <v>90.704499999999996</v>
      </c>
      <c r="J29" s="310">
        <v>85.553799999999995</v>
      </c>
      <c r="K29" s="305"/>
      <c r="L29" s="305"/>
      <c r="M29" s="305"/>
      <c r="N29" s="305">
        <v>338.03460000000001</v>
      </c>
      <c r="O29" s="311">
        <v>66704.195399999997</v>
      </c>
      <c r="P29" s="305">
        <v>12507.04</v>
      </c>
      <c r="Q29" s="305">
        <v>10005.629999999999</v>
      </c>
      <c r="R29" s="172">
        <v>0.15</v>
      </c>
      <c r="S29" s="305">
        <v>2501.41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6">
        <v>23625</v>
      </c>
      <c r="H30" s="306">
        <v>24317</v>
      </c>
      <c r="I30" s="381">
        <v>88.387600000000006</v>
      </c>
      <c r="J30" s="310">
        <v>84.349800000000002</v>
      </c>
      <c r="K30" s="305"/>
      <c r="L30" s="305"/>
      <c r="M30" s="305"/>
      <c r="N30" s="306">
        <v>3222.5778</v>
      </c>
      <c r="O30" s="311">
        <v>4136068.5622</v>
      </c>
      <c r="P30" s="305">
        <v>775512.86</v>
      </c>
      <c r="Q30" s="305">
        <v>620410.28</v>
      </c>
      <c r="R30" s="172">
        <v>0.15</v>
      </c>
      <c r="S30" s="305">
        <v>155102.57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6"/>
      <c r="H31" s="306"/>
      <c r="I31" s="307"/>
      <c r="J31" s="307"/>
      <c r="K31" s="305"/>
      <c r="L31" s="305"/>
      <c r="M31" s="305"/>
      <c r="N31" s="306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178</v>
      </c>
      <c r="C32" s="85" t="s">
        <v>31</v>
      </c>
      <c r="D32" s="304" t="s">
        <v>30</v>
      </c>
      <c r="E32" s="85" t="s">
        <v>96</v>
      </c>
      <c r="F32" s="186" t="s">
        <v>56</v>
      </c>
      <c r="G32" s="577">
        <v>158048.75</v>
      </c>
      <c r="H32" s="577">
        <v>125571.28</v>
      </c>
      <c r="I32" s="307">
        <v>1.61</v>
      </c>
      <c r="J32" s="307">
        <v>1.61</v>
      </c>
      <c r="K32" s="305"/>
      <c r="L32" s="305"/>
      <c r="M32" s="305"/>
      <c r="N32" s="306">
        <v>1338.6094000000001</v>
      </c>
      <c r="O32" s="311">
        <v>455289.64059999998</v>
      </c>
      <c r="P32" s="305">
        <v>85366.81</v>
      </c>
      <c r="Q32" s="305">
        <v>68293.45</v>
      </c>
      <c r="R32" s="172">
        <v>0.15</v>
      </c>
      <c r="S32" s="305">
        <v>17073.36</v>
      </c>
      <c r="T32" s="198">
        <v>3.7499999999999999E-2</v>
      </c>
    </row>
    <row r="33" spans="1:20" x14ac:dyDescent="0.2">
      <c r="A33" s="303" t="s">
        <v>28</v>
      </c>
      <c r="B33" s="19" t="s">
        <v>179</v>
      </c>
      <c r="C33" s="85" t="s">
        <v>31</v>
      </c>
      <c r="D33" s="304" t="s">
        <v>30</v>
      </c>
      <c r="E33" s="85" t="s">
        <v>96</v>
      </c>
      <c r="F33" s="186" t="s">
        <v>56</v>
      </c>
      <c r="G33" s="577">
        <v>25900.31</v>
      </c>
      <c r="H33" s="577">
        <v>23080.2</v>
      </c>
      <c r="I33" s="307">
        <v>4.4257999999999997</v>
      </c>
      <c r="J33" s="307">
        <v>4.3798000000000004</v>
      </c>
      <c r="K33" s="305"/>
      <c r="L33" s="305"/>
      <c r="M33" s="305"/>
      <c r="N33" s="306"/>
      <c r="O33" s="578">
        <v>215716.25</v>
      </c>
      <c r="P33" s="305">
        <v>40446.800000000003</v>
      </c>
      <c r="Q33" s="305">
        <v>32357.439999999999</v>
      </c>
      <c r="R33" s="172">
        <v>0.15</v>
      </c>
      <c r="S33" s="305">
        <v>8089.36</v>
      </c>
      <c r="T33" s="198">
        <v>3.7499999999999999E-2</v>
      </c>
    </row>
    <row r="34" spans="1:20" x14ac:dyDescent="0.2">
      <c r="A34" s="303" t="s">
        <v>28</v>
      </c>
      <c r="B34" s="19" t="s">
        <v>193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6"/>
      <c r="H34" s="305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144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5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577">
        <v>19952.240000000002</v>
      </c>
      <c r="H36" s="571">
        <v>23366.68</v>
      </c>
      <c r="I36" s="307">
        <v>3.3948</v>
      </c>
      <c r="J36" s="307">
        <v>3.4767000000000001</v>
      </c>
      <c r="K36" s="305"/>
      <c r="L36" s="305"/>
      <c r="M36" s="305"/>
      <c r="N36" s="306"/>
      <c r="O36" s="311">
        <v>148972.79999999999</v>
      </c>
      <c r="P36" s="305">
        <v>27932.400000000001</v>
      </c>
      <c r="Q36" s="305">
        <v>22345.919999999998</v>
      </c>
      <c r="R36" s="172">
        <v>0.15</v>
      </c>
      <c r="S36" s="305">
        <v>5586.48</v>
      </c>
      <c r="T36" s="198">
        <v>3.7499999999999999E-2</v>
      </c>
    </row>
    <row r="37" spans="1:20" x14ac:dyDescent="0.2">
      <c r="A37" s="303" t="s">
        <v>28</v>
      </c>
      <c r="B37" s="579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06">
        <v>133905.06770000001</v>
      </c>
      <c r="H37" s="309">
        <v>86773.924700000003</v>
      </c>
      <c r="I37" s="307">
        <v>3.2429000000000001</v>
      </c>
      <c r="J37" s="307">
        <v>3.2193000000000001</v>
      </c>
      <c r="K37" s="305"/>
      <c r="L37" s="305"/>
      <c r="M37" s="305"/>
      <c r="N37" s="306"/>
      <c r="O37" s="311">
        <v>713592.04</v>
      </c>
      <c r="P37" s="305">
        <v>133798.51</v>
      </c>
      <c r="Q37" s="305">
        <v>107038.81</v>
      </c>
      <c r="R37" s="172">
        <v>0.15</v>
      </c>
      <c r="S37" s="305">
        <v>26759.7</v>
      </c>
      <c r="T37" s="198">
        <v>3.7499999999999999E-2</v>
      </c>
    </row>
    <row r="38" spans="1:20" x14ac:dyDescent="0.2">
      <c r="A38" s="303" t="s">
        <v>28</v>
      </c>
      <c r="B38" s="579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06">
        <v>3458.0743000000002</v>
      </c>
      <c r="H38" s="309">
        <v>2985.2775999999999</v>
      </c>
      <c r="I38" s="307">
        <v>3</v>
      </c>
      <c r="J38" s="307">
        <v>3.41</v>
      </c>
      <c r="K38" s="305"/>
      <c r="L38" s="305"/>
      <c r="M38" s="305"/>
      <c r="N38" s="306"/>
      <c r="O38" s="311">
        <v>20554.019999999997</v>
      </c>
      <c r="P38" s="305">
        <v>3853.88</v>
      </c>
      <c r="Q38" s="305">
        <v>3083.1</v>
      </c>
      <c r="R38" s="172">
        <v>0.15</v>
      </c>
      <c r="S38" s="305">
        <v>770.78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6"/>
      <c r="H39" s="305">
        <v>146527</v>
      </c>
      <c r="I39" s="307"/>
      <c r="J39" s="307">
        <v>90.570899999999995</v>
      </c>
      <c r="K39" s="305"/>
      <c r="L39" s="305"/>
      <c r="M39" s="305"/>
      <c r="N39" s="306">
        <v>1036.634</v>
      </c>
      <c r="O39" s="311">
        <v>13270045.626</v>
      </c>
      <c r="P39" s="305">
        <v>2488133.5499999998</v>
      </c>
      <c r="Q39" s="305">
        <v>1990506.84</v>
      </c>
      <c r="R39" s="172">
        <v>0.15</v>
      </c>
      <c r="S39" s="305">
        <v>497626.71</v>
      </c>
      <c r="T39" s="198">
        <v>3.7499999999999999E-2</v>
      </c>
    </row>
    <row r="40" spans="1:20" s="573" customFormat="1" x14ac:dyDescent="0.2">
      <c r="A40" s="374" t="s">
        <v>28</v>
      </c>
      <c r="B40" s="370" t="s">
        <v>16</v>
      </c>
      <c r="C40" s="375" t="s">
        <v>29</v>
      </c>
      <c r="D40" s="376" t="s">
        <v>21</v>
      </c>
      <c r="E40" s="375" t="s">
        <v>95</v>
      </c>
      <c r="F40" s="377" t="s">
        <v>56</v>
      </c>
      <c r="G40" s="316"/>
      <c r="H40" s="305">
        <v>412088.72</v>
      </c>
      <c r="I40" s="353"/>
      <c r="J40" s="307">
        <v>7.6092000000000004</v>
      </c>
      <c r="K40" s="316"/>
      <c r="L40" s="316"/>
      <c r="M40" s="316"/>
      <c r="N40" s="315">
        <v>910.43420000000003</v>
      </c>
      <c r="O40" s="311">
        <v>3134755.0558000002</v>
      </c>
      <c r="P40" s="316">
        <v>587766.56999999995</v>
      </c>
      <c r="Q40" s="316">
        <v>470213.26</v>
      </c>
      <c r="R40" s="299">
        <v>0.15</v>
      </c>
      <c r="S40" s="316">
        <v>117553.31</v>
      </c>
      <c r="T40" s="572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5">
        <v>211</v>
      </c>
      <c r="H41" s="306">
        <v>196</v>
      </c>
      <c r="I41" s="310">
        <v>90.747600000000006</v>
      </c>
      <c r="J41" s="307">
        <v>86.709800000000001</v>
      </c>
      <c r="K41" s="305"/>
      <c r="L41" s="305"/>
      <c r="M41" s="305"/>
      <c r="N41" s="306">
        <v>198.3133</v>
      </c>
      <c r="O41" s="311">
        <v>35944.546699999999</v>
      </c>
      <c r="P41" s="305">
        <v>6739.6</v>
      </c>
      <c r="Q41" s="305">
        <v>1347.92</v>
      </c>
      <c r="R41" s="198">
        <v>3.7499999999999999E-2</v>
      </c>
      <c r="S41" s="305">
        <v>5391.68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07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07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6">
        <v>15416</v>
      </c>
      <c r="I44" s="310"/>
      <c r="J44" s="310">
        <v>89.513599999999997</v>
      </c>
      <c r="K44" s="306"/>
      <c r="L44" s="305"/>
      <c r="M44" s="305"/>
      <c r="N44" s="306">
        <v>991.56119999999999</v>
      </c>
      <c r="O44" s="311">
        <v>1378950.0987999998</v>
      </c>
      <c r="P44" s="305">
        <v>258553.14</v>
      </c>
      <c r="Q44" s="305">
        <v>206842.51</v>
      </c>
      <c r="R44" s="173">
        <v>0.15</v>
      </c>
      <c r="S44" s="305">
        <v>51710.63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571"/>
      <c r="O46" s="311">
        <v>-41662.058400001348</v>
      </c>
      <c r="P46" s="311">
        <v>-7811.6199999999644</v>
      </c>
      <c r="Q46" s="311">
        <v>-6249.3100000000122</v>
      </c>
      <c r="R46" s="311"/>
      <c r="S46" s="311">
        <v>-1562.3200000000015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76259069.143000007</v>
      </c>
      <c r="P47" s="325">
        <v>14298575.48</v>
      </c>
      <c r="Q47" s="326">
        <v>11434816.609999998</v>
      </c>
      <c r="R47" s="174"/>
      <c r="S47" s="327">
        <v>2863758.8699999996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56979823.289999999</v>
      </c>
      <c r="Q48" s="332">
        <v>45567744.189999998</v>
      </c>
      <c r="R48" s="121"/>
      <c r="S48" s="333">
        <v>11412079.1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16829</v>
      </c>
      <c r="H51" s="306">
        <v>16557</v>
      </c>
      <c r="I51" s="310">
        <v>81.101299999999995</v>
      </c>
      <c r="J51" s="310">
        <v>76.916499999999999</v>
      </c>
      <c r="K51" s="305"/>
      <c r="L51" s="305"/>
      <c r="M51" s="305"/>
      <c r="N51" s="306">
        <v>3993.2932000000001</v>
      </c>
      <c r="O51" s="311">
        <v>2634366.9767999998</v>
      </c>
      <c r="P51" s="305">
        <v>395155.05</v>
      </c>
      <c r="Q51" s="305">
        <v>395155.05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2634366.9767999998</v>
      </c>
      <c r="P53" s="325">
        <v>395155.05</v>
      </c>
      <c r="Q53" s="325">
        <v>395155.05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1574692.87</v>
      </c>
      <c r="Q54" s="332">
        <v>1574692.87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10"/>
      <c r="J58" s="305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280971.62</v>
      </c>
      <c r="H61" s="306">
        <v>278168.98</v>
      </c>
      <c r="I61" s="310">
        <v>3.6936</v>
      </c>
      <c r="J61" s="310">
        <v>3.7016</v>
      </c>
      <c r="K61" s="305"/>
      <c r="L61" s="305"/>
      <c r="M61" s="305"/>
      <c r="N61" s="306">
        <v>500.28870000000001</v>
      </c>
      <c r="O61" s="311">
        <v>2066966.7913000002</v>
      </c>
      <c r="P61" s="305">
        <v>387556.27</v>
      </c>
      <c r="Q61" s="305">
        <v>77511.25</v>
      </c>
      <c r="R61" s="198">
        <v>3.7499999999999999E-2</v>
      </c>
      <c r="S61" s="305">
        <v>310045.02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3618</v>
      </c>
      <c r="H62" s="306">
        <v>3727</v>
      </c>
      <c r="I62" s="310">
        <v>64.226900000000001</v>
      </c>
      <c r="J62" s="310">
        <v>61.304900000000004</v>
      </c>
      <c r="K62" s="305"/>
      <c r="L62" s="305"/>
      <c r="M62" s="305"/>
      <c r="N62" s="305">
        <v>2267.0733</v>
      </c>
      <c r="O62" s="311">
        <v>458589.20670000004</v>
      </c>
      <c r="P62" s="305">
        <v>85985.48</v>
      </c>
      <c r="Q62" s="305">
        <v>17197.099999999999</v>
      </c>
      <c r="R62" s="198">
        <v>3.7499999999999999E-2</v>
      </c>
      <c r="S62" s="305">
        <v>68788.38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208586</v>
      </c>
      <c r="H65" s="306">
        <v>128085</v>
      </c>
      <c r="I65" s="310">
        <v>72.209400000000002</v>
      </c>
      <c r="J65" s="310">
        <v>67.578800000000001</v>
      </c>
      <c r="K65" s="306"/>
      <c r="L65" s="305"/>
      <c r="M65" s="305"/>
      <c r="N65" s="306">
        <v>5345.4242000000004</v>
      </c>
      <c r="O65" s="311">
        <v>23712355.0858</v>
      </c>
      <c r="P65" s="305">
        <v>4446066.58</v>
      </c>
      <c r="Q65" s="305">
        <v>3556853.2600000002</v>
      </c>
      <c r="R65" s="172">
        <v>0.15</v>
      </c>
      <c r="S65" s="305">
        <v>889213.32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>
        <v>23466</v>
      </c>
      <c r="H66" s="306">
        <v>16872</v>
      </c>
      <c r="I66" s="310">
        <v>50.730400000000003</v>
      </c>
      <c r="J66" s="310">
        <v>45.850999999999999</v>
      </c>
      <c r="K66" s="306"/>
      <c r="L66" s="305"/>
      <c r="M66" s="305"/>
      <c r="N66" s="306">
        <v>3700.3287999999998</v>
      </c>
      <c r="O66" s="311">
        <v>1960337.3112000001</v>
      </c>
      <c r="P66" s="305">
        <v>367563.25</v>
      </c>
      <c r="Q66" s="305">
        <v>294050.59999999998</v>
      </c>
      <c r="R66" s="172">
        <v>0.15</v>
      </c>
      <c r="S66" s="305">
        <v>73512.649999999994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05"/>
      <c r="P67" s="305"/>
      <c r="Q67" s="305"/>
      <c r="R67" s="305"/>
      <c r="S67" s="305"/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28198248.395</v>
      </c>
      <c r="P68" s="325">
        <v>5287171.58</v>
      </c>
      <c r="Q68" s="325">
        <v>3945612.2100000004</v>
      </c>
      <c r="R68" s="183"/>
      <c r="S68" s="325">
        <v>1341559.3699999999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21069378.75</v>
      </c>
      <c r="Q69" s="333">
        <v>15723264.66</v>
      </c>
      <c r="R69" s="139"/>
      <c r="S69" s="333">
        <v>5346114.09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602468</v>
      </c>
      <c r="H71" s="305">
        <v>623738</v>
      </c>
      <c r="I71" s="307">
        <v>52.636899999999997</v>
      </c>
      <c r="J71" s="307">
        <v>48.367699999999999</v>
      </c>
      <c r="K71" s="305"/>
      <c r="L71" s="305"/>
      <c r="M71" s="305"/>
      <c r="N71" s="305"/>
      <c r="O71" s="311">
        <v>61880820.331799999</v>
      </c>
      <c r="P71" s="316">
        <v>23044417.489999998</v>
      </c>
      <c r="Q71" s="305">
        <v>11522208.75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13288295.050000001</v>
      </c>
      <c r="H72" s="305">
        <v>13477322.220000001</v>
      </c>
      <c r="I72" s="307">
        <v>2.2759999999999998</v>
      </c>
      <c r="J72" s="307">
        <v>2.2759999999999998</v>
      </c>
      <c r="K72" s="305"/>
      <c r="L72" s="305"/>
      <c r="M72" s="305"/>
      <c r="N72" s="305"/>
      <c r="O72" s="311">
        <v>60918544.906519994</v>
      </c>
      <c r="P72" s="316">
        <v>22686066.120000001</v>
      </c>
      <c r="Q72" s="305">
        <v>11343033.060000001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15123.42</v>
      </c>
      <c r="H73" s="305">
        <v>13298.92</v>
      </c>
      <c r="I73" s="307">
        <v>3.1455000000000002</v>
      </c>
      <c r="J73" s="307">
        <v>3.1455000000000002</v>
      </c>
      <c r="K73" s="305"/>
      <c r="L73" s="305"/>
      <c r="M73" s="305"/>
      <c r="N73" s="305"/>
      <c r="O73" s="311">
        <v>89402.47047</v>
      </c>
      <c r="P73" s="316">
        <v>33293.480000000003</v>
      </c>
      <c r="Q73" s="305">
        <v>16646.740000000002</v>
      </c>
      <c r="R73" s="172">
        <v>0.5</v>
      </c>
      <c r="S73" s="305"/>
      <c r="T73" s="172"/>
    </row>
    <row r="74" spans="1:20" s="573" customFormat="1" ht="12" customHeight="1" x14ac:dyDescent="0.2">
      <c r="A74" s="374" t="s">
        <v>28</v>
      </c>
      <c r="B74" s="370" t="s">
        <v>123</v>
      </c>
      <c r="C74" s="375" t="s">
        <v>31</v>
      </c>
      <c r="D74" s="375" t="s">
        <v>30</v>
      </c>
      <c r="E74" s="375" t="s">
        <v>102</v>
      </c>
      <c r="F74" s="574" t="s">
        <v>56</v>
      </c>
      <c r="G74" s="316">
        <v>716002.24</v>
      </c>
      <c r="H74" s="316">
        <v>594029.09</v>
      </c>
      <c r="I74" s="580">
        <v>17.649999999999999</v>
      </c>
      <c r="J74" s="353">
        <v>13.260999999999999</v>
      </c>
      <c r="K74" s="316"/>
      <c r="L74" s="316"/>
      <c r="M74" s="316"/>
      <c r="N74" s="316"/>
      <c r="O74" s="568">
        <v>20514859.298489995</v>
      </c>
      <c r="P74" s="316">
        <v>7795646.5299999993</v>
      </c>
      <c r="Q74" s="316">
        <v>3897823.27</v>
      </c>
      <c r="R74" s="575">
        <v>0.5</v>
      </c>
      <c r="S74" s="316"/>
      <c r="T74" s="299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175478</v>
      </c>
      <c r="H75" s="305">
        <v>239215</v>
      </c>
      <c r="I75" s="307">
        <v>52.731699999999996</v>
      </c>
      <c r="J75" s="307">
        <v>48.351300000000002</v>
      </c>
      <c r="K75" s="305"/>
      <c r="L75" s="305"/>
      <c r="M75" s="305"/>
      <c r="N75" s="305"/>
      <c r="O75" s="311">
        <v>20819609.482100002</v>
      </c>
      <c r="P75" s="316">
        <v>8327843.79</v>
      </c>
      <c r="Q75" s="305">
        <v>4163921.9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3137410.69</v>
      </c>
      <c r="H76" s="305">
        <v>2904242.46</v>
      </c>
      <c r="I76" s="567">
        <v>17.649999999999999</v>
      </c>
      <c r="J76" s="307">
        <v>13.260999999999999</v>
      </c>
      <c r="K76" s="305"/>
      <c r="L76" s="305"/>
      <c r="M76" s="305"/>
      <c r="N76" s="305"/>
      <c r="O76" s="311">
        <v>93888457.940559983</v>
      </c>
      <c r="P76" s="316">
        <v>35677614.019999996</v>
      </c>
      <c r="Q76" s="305">
        <v>17838807.010000002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136845.69</v>
      </c>
      <c r="H77" s="305">
        <v>118280.5</v>
      </c>
      <c r="I77" s="307">
        <v>2.1686000000000001</v>
      </c>
      <c r="J77" s="307">
        <v>2.1686000000000001</v>
      </c>
      <c r="K77" s="306"/>
      <c r="L77" s="305"/>
      <c r="M77" s="305"/>
      <c r="N77" s="306"/>
      <c r="O77" s="311">
        <v>553266.65563399997</v>
      </c>
      <c r="P77" s="316">
        <v>206036.5</v>
      </c>
      <c r="Q77" s="305">
        <v>103018.25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113758</v>
      </c>
      <c r="H78" s="305">
        <v>96328</v>
      </c>
      <c r="I78" s="307">
        <v>43.486499999999999</v>
      </c>
      <c r="J78" s="307">
        <v>39.377899999999997</v>
      </c>
      <c r="K78" s="306"/>
      <c r="L78" s="305"/>
      <c r="M78" s="305"/>
      <c r="N78" s="306"/>
      <c r="O78" s="311">
        <v>8740131.6182000004</v>
      </c>
      <c r="P78" s="316">
        <v>490337.16849700001</v>
      </c>
      <c r="Q78" s="305">
        <v>245168.58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1812726.34</v>
      </c>
      <c r="H79" s="305">
        <v>1534976.43</v>
      </c>
      <c r="I79" s="307">
        <v>19.369</v>
      </c>
      <c r="J79" s="307">
        <v>19.369</v>
      </c>
      <c r="K79" s="258"/>
      <c r="L79" s="305"/>
      <c r="M79" s="305"/>
      <c r="N79" s="306"/>
      <c r="O79" s="311">
        <v>64841654.952130005</v>
      </c>
      <c r="P79" s="316">
        <v>5129172.6937379995</v>
      </c>
      <c r="Q79" s="305">
        <v>2564586.35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163">
        <v>3905032.6903249677</v>
      </c>
      <c r="P80" s="163">
        <v>-61799.530024999054</v>
      </c>
      <c r="Q80" s="163">
        <v>-30899.779999999533</v>
      </c>
      <c r="R80" s="130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>
        <v>3274256.38</v>
      </c>
      <c r="H81" s="195">
        <v>3022522.96</v>
      </c>
      <c r="I81" s="228"/>
      <c r="J81" s="195"/>
      <c r="K81" s="205"/>
      <c r="L81" s="199"/>
      <c r="M81" s="227"/>
      <c r="N81" s="166"/>
      <c r="O81" s="166">
        <v>336151780.34622896</v>
      </c>
      <c r="P81" s="166">
        <v>103328628.26220998</v>
      </c>
      <c r="Q81" s="166">
        <v>51664314.130000003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>
        <v>17.002963659746769</v>
      </c>
      <c r="H82" s="196">
        <v>12.826920710756154</v>
      </c>
      <c r="I82" s="229"/>
      <c r="J82" s="195"/>
      <c r="K82" s="206"/>
      <c r="L82" s="200"/>
      <c r="M82" s="260"/>
      <c r="N82" s="261"/>
      <c r="O82" s="261"/>
      <c r="P82" s="160"/>
      <c r="Q82" s="160">
        <v>205882291.80805001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>
        <v>55672062.241834007</v>
      </c>
      <c r="H83" s="197">
        <v>38769662.354359992</v>
      </c>
      <c r="I83" s="195">
        <v>94441724.596193999</v>
      </c>
      <c r="J83" s="195">
        <v>94441724.596193984</v>
      </c>
      <c r="K83" s="230">
        <v>0</v>
      </c>
      <c r="L83" s="231"/>
      <c r="M83" s="216">
        <v>0</v>
      </c>
      <c r="N83" s="216">
        <v>39806.726800000011</v>
      </c>
      <c r="O83" s="216">
        <v>443243464.86102897</v>
      </c>
      <c r="P83" s="216">
        <v>71645216.239999995</v>
      </c>
      <c r="Q83" s="161">
        <v>285506186.71805</v>
      </c>
      <c r="R83" s="52"/>
      <c r="S83" s="161"/>
      <c r="T83" s="52"/>
    </row>
    <row r="84" spans="1:20" x14ac:dyDescent="0.2">
      <c r="O84" s="235"/>
      <c r="P84" s="235"/>
      <c r="S84" s="226"/>
    </row>
    <row r="85" spans="1:20" x14ac:dyDescent="0.2">
      <c r="A85" s="360" t="s">
        <v>90</v>
      </c>
      <c r="B85" s="212" t="s">
        <v>73</v>
      </c>
      <c r="H85" s="360" t="s">
        <v>74</v>
      </c>
      <c r="J85" s="62"/>
      <c r="K85" s="62"/>
      <c r="N85" s="296"/>
      <c r="O85" s="235"/>
      <c r="P85" s="235"/>
      <c r="Q85" s="296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296"/>
      <c r="O86" s="379"/>
      <c r="P86" s="379"/>
      <c r="Q86" s="379"/>
    </row>
    <row r="87" spans="1:20" x14ac:dyDescent="0.2">
      <c r="B87" s="363" t="s">
        <v>78</v>
      </c>
      <c r="C87" s="89" t="s">
        <v>79</v>
      </c>
      <c r="D87" s="364"/>
      <c r="E87" s="90">
        <v>91.099699999999999</v>
      </c>
      <c r="F87" s="90">
        <v>87.013499999999993</v>
      </c>
      <c r="H87" s="91" t="s">
        <v>199</v>
      </c>
      <c r="L87" s="92"/>
      <c r="M87" s="234">
        <v>6.2200000337121024E-2</v>
      </c>
      <c r="N87" s="296"/>
      <c r="O87" s="235"/>
      <c r="P87" s="235"/>
    </row>
    <row r="88" spans="1:20" x14ac:dyDescent="0.2">
      <c r="B88" s="365" t="s">
        <v>80</v>
      </c>
      <c r="C88" s="93" t="s">
        <v>81</v>
      </c>
      <c r="D88" s="366"/>
      <c r="E88" s="94">
        <v>54.932699999999997</v>
      </c>
      <c r="F88" s="95">
        <v>53.410400000000003</v>
      </c>
      <c r="H88" s="96">
        <v>64.226859474555994</v>
      </c>
      <c r="I88" s="97"/>
      <c r="J88" s="97"/>
      <c r="K88" s="97"/>
      <c r="L88" s="98"/>
      <c r="M88" s="234">
        <v>9.4199999857272176E-2</v>
      </c>
      <c r="N88" s="296"/>
      <c r="O88" s="576"/>
      <c r="P88" s="576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I89" s="380"/>
      <c r="M89" s="234">
        <v>0.39999999969547706</v>
      </c>
      <c r="N89" s="296"/>
      <c r="O89" s="237"/>
      <c r="P89" s="235"/>
    </row>
    <row r="90" spans="1:20" x14ac:dyDescent="0.2">
      <c r="B90" s="365" t="s">
        <v>84</v>
      </c>
      <c r="C90" s="93" t="s">
        <v>85</v>
      </c>
      <c r="D90" s="366"/>
      <c r="E90" s="99">
        <v>0.62260000000000004</v>
      </c>
      <c r="F90" s="99">
        <v>0.61919999999999997</v>
      </c>
      <c r="H90" s="87" t="s">
        <v>77</v>
      </c>
      <c r="I90" s="100"/>
      <c r="J90" s="213"/>
      <c r="K90" s="213"/>
      <c r="L90" s="88"/>
      <c r="M90" s="234">
        <v>0.38000000287019686</v>
      </c>
      <c r="N90" s="296"/>
      <c r="O90" s="237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200</v>
      </c>
      <c r="I91" s="380"/>
      <c r="L91" s="92"/>
      <c r="N91" s="296"/>
      <c r="O91" s="237"/>
    </row>
    <row r="92" spans="1:20" x14ac:dyDescent="0.2">
      <c r="B92" s="368" t="s">
        <v>88</v>
      </c>
      <c r="C92" s="102" t="s">
        <v>89</v>
      </c>
      <c r="D92" s="369"/>
      <c r="E92" s="103"/>
      <c r="F92" s="103"/>
      <c r="H92" s="96">
        <v>61.304851400159997</v>
      </c>
      <c r="I92" s="104"/>
      <c r="J92" s="97"/>
      <c r="K92" s="97"/>
      <c r="L92" s="98"/>
      <c r="M92" s="237"/>
      <c r="N92" s="296"/>
      <c r="O92" s="237"/>
    </row>
    <row r="93" spans="1:20" x14ac:dyDescent="0.2">
      <c r="A93" s="587" t="s">
        <v>205</v>
      </c>
      <c r="H93" s="329"/>
      <c r="M93" s="237"/>
      <c r="N93" s="296"/>
      <c r="O93" s="237"/>
    </row>
  </sheetData>
  <mergeCells count="2">
    <mergeCell ref="C7:C8"/>
    <mergeCell ref="O7:O8"/>
  </mergeCells>
  <printOptions horizontalCentered="1" verticalCentered="1"/>
  <pageMargins left="0.25" right="0.25" top="0.5" bottom="0.5" header="0" footer="0"/>
  <pageSetup paperSize="9" scale="46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A1:T94"/>
  <sheetViews>
    <sheetView view="pageBreakPreview" zoomScaleNormal="100" zoomScaleSheetLayoutView="100" workbookViewId="0">
      <selection activeCell="A10" sqref="A10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4" width="7.109375" style="212" customWidth="1"/>
    <col min="5" max="5" width="9" style="212" customWidth="1"/>
    <col min="6" max="6" width="9.88671875" style="212" customWidth="1"/>
    <col min="7" max="10" width="10.44140625" style="212" customWidth="1"/>
    <col min="11" max="13" width="10.44140625" style="212" hidden="1" customWidth="1"/>
    <col min="14" max="14" width="10.44140625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44835</v>
      </c>
      <c r="F1" s="209">
        <v>3.8410000000000002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203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211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H6" s="1"/>
      <c r="P6" s="378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6"/>
      <c r="I10" s="307"/>
      <c r="J10" s="310"/>
      <c r="K10" s="305"/>
      <c r="L10" s="305"/>
      <c r="M10" s="305"/>
      <c r="N10" s="306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6"/>
      <c r="I11" s="307"/>
      <c r="J11" s="310"/>
      <c r="K11" s="305"/>
      <c r="L11" s="305"/>
      <c r="M11" s="305"/>
      <c r="N11" s="306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5282</v>
      </c>
      <c r="H12" s="309">
        <v>10361</v>
      </c>
      <c r="I12" s="310">
        <v>91.933999999999997</v>
      </c>
      <c r="J12" s="310">
        <v>89.742000000000004</v>
      </c>
      <c r="K12" s="305"/>
      <c r="L12" s="305"/>
      <c r="M12" s="305"/>
      <c r="N12" s="212">
        <v>304.94110000000001</v>
      </c>
      <c r="O12" s="311">
        <v>1415107.3089000001</v>
      </c>
      <c r="P12" s="305">
        <v>265332.62</v>
      </c>
      <c r="Q12" s="305">
        <v>212266.1</v>
      </c>
      <c r="R12" s="172">
        <v>0.15</v>
      </c>
      <c r="S12" s="305">
        <v>53066.52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51029.61</v>
      </c>
      <c r="H13" s="309">
        <v>54640.5</v>
      </c>
      <c r="I13" s="310">
        <v>3</v>
      </c>
      <c r="J13" s="310">
        <v>3</v>
      </c>
      <c r="K13" s="305"/>
      <c r="L13" s="305"/>
      <c r="M13" s="305"/>
      <c r="N13" s="212">
        <v>853.83920000000001</v>
      </c>
      <c r="O13" s="311">
        <v>316156.49079999997</v>
      </c>
      <c r="P13" s="305">
        <v>59279.34</v>
      </c>
      <c r="Q13" s="305">
        <v>47423.47</v>
      </c>
      <c r="R13" s="172">
        <v>0.15</v>
      </c>
      <c r="S13" s="305">
        <v>11855.87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9">
        <v>4804</v>
      </c>
      <c r="H14" s="309">
        <v>4908</v>
      </c>
      <c r="I14" s="310">
        <v>91.292699999999996</v>
      </c>
      <c r="J14" s="310">
        <v>89.425299999999993</v>
      </c>
      <c r="K14" s="305"/>
      <c r="L14" s="305"/>
      <c r="M14" s="305"/>
      <c r="N14" s="306">
        <v>784.13720000000001</v>
      </c>
      <c r="O14" s="306">
        <v>876685.3628</v>
      </c>
      <c r="P14" s="305">
        <v>164378.51</v>
      </c>
      <c r="Q14" s="305">
        <v>131502.79999999999</v>
      </c>
      <c r="R14" s="172">
        <v>0.15</v>
      </c>
      <c r="S14" s="305">
        <v>32875.699999999997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9">
        <v>12729.72</v>
      </c>
      <c r="H15" s="309">
        <v>24247.48</v>
      </c>
      <c r="I15" s="310">
        <v>2.6775000000000002</v>
      </c>
      <c r="J15" s="307">
        <v>2.6775000000000002</v>
      </c>
      <c r="K15" s="305"/>
      <c r="L15" s="305"/>
      <c r="M15" s="305"/>
      <c r="N15" s="306">
        <v>840.76880000000006</v>
      </c>
      <c r="O15" s="306">
        <v>98165.691199999987</v>
      </c>
      <c r="P15" s="305">
        <v>18406.07</v>
      </c>
      <c r="Q15" s="305">
        <v>14724.86</v>
      </c>
      <c r="R15" s="172">
        <v>0.15</v>
      </c>
      <c r="S15" s="305">
        <v>3681.2099999999991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9">
        <v>10711</v>
      </c>
      <c r="H16" s="309">
        <v>11825</v>
      </c>
      <c r="I16" s="307">
        <v>91.933999999999997</v>
      </c>
      <c r="J16" s="307">
        <v>89.742000000000004</v>
      </c>
      <c r="K16" s="305"/>
      <c r="L16" s="305"/>
      <c r="M16" s="305"/>
      <c r="N16" s="306">
        <v>561.96590000000003</v>
      </c>
      <c r="O16" s="306">
        <v>2045342.2540999998</v>
      </c>
      <c r="P16" s="305">
        <v>383501.67</v>
      </c>
      <c r="Q16" s="305">
        <v>306801.34000000003</v>
      </c>
      <c r="R16" s="172">
        <v>0.15</v>
      </c>
      <c r="S16" s="305">
        <v>76700.33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9">
        <v>37143</v>
      </c>
      <c r="H17" s="309">
        <v>42078</v>
      </c>
      <c r="I17" s="307">
        <v>91.933999999999997</v>
      </c>
      <c r="J17" s="307">
        <v>89.742000000000004</v>
      </c>
      <c r="K17" s="305"/>
      <c r="L17" s="305"/>
      <c r="M17" s="305"/>
      <c r="N17" s="306">
        <v>1446.2985000000001</v>
      </c>
      <c r="O17" s="306">
        <v>7189422.1414999999</v>
      </c>
      <c r="P17" s="305">
        <v>1348016.65</v>
      </c>
      <c r="Q17" s="305">
        <v>1078413.32</v>
      </c>
      <c r="R17" s="172">
        <v>0.15</v>
      </c>
      <c r="S17" s="305">
        <v>269603.33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9"/>
      <c r="H18" s="309"/>
      <c r="I18" s="307"/>
      <c r="J18" s="307"/>
      <c r="K18" s="305"/>
      <c r="L18" s="305"/>
      <c r="M18" s="305"/>
      <c r="N18" s="306"/>
      <c r="O18" s="306">
        <v>0</v>
      </c>
      <c r="P18" s="305">
        <v>0</v>
      </c>
      <c r="Q18" s="305">
        <v>0</v>
      </c>
      <c r="R18" s="172">
        <v>0.15</v>
      </c>
      <c r="S18" s="305">
        <v>0</v>
      </c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9"/>
      <c r="H19" s="309"/>
      <c r="I19" s="307"/>
      <c r="J19" s="307"/>
      <c r="K19" s="305"/>
      <c r="L19" s="305"/>
      <c r="M19" s="305"/>
      <c r="N19" s="306"/>
      <c r="O19" s="306">
        <v>0</v>
      </c>
      <c r="P19" s="305">
        <v>0</v>
      </c>
      <c r="Q19" s="305">
        <v>0</v>
      </c>
      <c r="R19" s="172">
        <v>0.15</v>
      </c>
      <c r="S19" s="305">
        <v>0</v>
      </c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9">
        <v>39895.370000000003</v>
      </c>
      <c r="H20" s="309">
        <v>50730.79</v>
      </c>
      <c r="I20" s="310">
        <v>3.8921999999999999</v>
      </c>
      <c r="J20" s="307">
        <v>3.8921999999999999</v>
      </c>
      <c r="K20" s="305"/>
      <c r="L20" s="305"/>
      <c r="M20" s="305"/>
      <c r="N20" s="306"/>
      <c r="O20" s="306">
        <v>352735.14</v>
      </c>
      <c r="P20" s="305">
        <v>66137.84</v>
      </c>
      <c r="Q20" s="305">
        <v>52910.27</v>
      </c>
      <c r="R20" s="172">
        <v>0.15</v>
      </c>
      <c r="S20" s="305">
        <v>13227.57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9"/>
      <c r="H21" s="309">
        <v>3303</v>
      </c>
      <c r="I21" s="307"/>
      <c r="J21" s="310">
        <v>90.837999999999994</v>
      </c>
      <c r="K21" s="305"/>
      <c r="L21" s="305"/>
      <c r="M21" s="305"/>
      <c r="N21" s="306">
        <v>662.16129999999998</v>
      </c>
      <c r="O21" s="311">
        <v>299375.7487</v>
      </c>
      <c r="P21" s="305">
        <v>56132.95</v>
      </c>
      <c r="Q21" s="305">
        <v>44906.36</v>
      </c>
      <c r="R21" s="172">
        <v>0.15</v>
      </c>
      <c r="S21" s="305">
        <v>11226.59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9">
        <v>49214</v>
      </c>
      <c r="H22" s="309">
        <v>55525</v>
      </c>
      <c r="I22" s="307">
        <v>91.384</v>
      </c>
      <c r="J22" s="310">
        <v>89.191999999999993</v>
      </c>
      <c r="K22" s="305"/>
      <c r="L22" s="305"/>
      <c r="M22" s="305"/>
      <c r="N22" s="306">
        <v>4033.9494</v>
      </c>
      <c r="O22" s="311">
        <v>9445724.0306000002</v>
      </c>
      <c r="P22" s="305">
        <v>1771073.26</v>
      </c>
      <c r="Q22" s="305">
        <v>1416858.6</v>
      </c>
      <c r="R22" s="172">
        <v>0.15</v>
      </c>
      <c r="S22" s="305">
        <v>354214.65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9"/>
      <c r="H23" s="309"/>
      <c r="I23" s="307"/>
      <c r="J23" s="307"/>
      <c r="K23" s="305"/>
      <c r="L23" s="305"/>
      <c r="M23" s="305"/>
      <c r="N23" s="305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9">
        <v>42596.17</v>
      </c>
      <c r="H24" s="309">
        <v>57562.27</v>
      </c>
      <c r="I24" s="567">
        <v>2.8119000000000001</v>
      </c>
      <c r="J24" s="307">
        <v>2.8119000000000001</v>
      </c>
      <c r="K24" s="305"/>
      <c r="L24" s="305"/>
      <c r="M24" s="305"/>
      <c r="N24" s="305">
        <v>945.32180000000005</v>
      </c>
      <c r="O24" s="311">
        <v>280690.19820000004</v>
      </c>
      <c r="P24" s="305">
        <v>52629.41</v>
      </c>
      <c r="Q24" s="305">
        <v>42103.53</v>
      </c>
      <c r="R24" s="172">
        <v>0.15</v>
      </c>
      <c r="S24" s="305">
        <v>10525.88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9">
        <v>1865</v>
      </c>
      <c r="H25" s="309">
        <v>2734</v>
      </c>
      <c r="I25" s="307">
        <v>91.933999999999997</v>
      </c>
      <c r="J25" s="307">
        <v>89.742000000000004</v>
      </c>
      <c r="K25" s="305"/>
      <c r="L25" s="305"/>
      <c r="M25" s="305"/>
      <c r="N25" s="305">
        <v>326.72430000000003</v>
      </c>
      <c r="O25" s="311">
        <v>416484.81570000004</v>
      </c>
      <c r="P25" s="305">
        <v>78090.899999999994</v>
      </c>
      <c r="Q25" s="305">
        <v>62472.72</v>
      </c>
      <c r="R25" s="172">
        <v>0.15</v>
      </c>
      <c r="S25" s="305">
        <v>15618.18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9">
        <v>168720</v>
      </c>
      <c r="H26" s="309">
        <v>178297</v>
      </c>
      <c r="I26" s="307">
        <v>91.933999999999997</v>
      </c>
      <c r="J26" s="307">
        <v>89.742000000000004</v>
      </c>
      <c r="K26" s="305"/>
      <c r="L26" s="305"/>
      <c r="M26" s="305"/>
      <c r="N26" s="306">
        <v>5048.9757</v>
      </c>
      <c r="O26" s="311">
        <v>31506784.874300003</v>
      </c>
      <c r="P26" s="305">
        <v>5907522.1600000001</v>
      </c>
      <c r="Q26" s="305">
        <v>4726017.7300000004</v>
      </c>
      <c r="R26" s="172">
        <v>0.15</v>
      </c>
      <c r="S26" s="305">
        <v>1181504.43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9">
        <v>257432.08</v>
      </c>
      <c r="H27" s="309">
        <v>263621.12</v>
      </c>
      <c r="I27" s="310">
        <v>2.4952999999999999</v>
      </c>
      <c r="J27" s="307">
        <v>2.4952999999999999</v>
      </c>
      <c r="K27" s="305"/>
      <c r="L27" s="305"/>
      <c r="M27" s="305"/>
      <c r="N27" s="306">
        <v>997.59580000000005</v>
      </c>
      <c r="O27" s="311">
        <v>1299186.4542</v>
      </c>
      <c r="P27" s="305">
        <v>243597.46</v>
      </c>
      <c r="Q27" s="305">
        <v>194877.97</v>
      </c>
      <c r="R27" s="172">
        <v>0.15</v>
      </c>
      <c r="S27" s="305">
        <v>48719.49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10"/>
      <c r="J28" s="307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9">
        <v>373</v>
      </c>
      <c r="H29" s="309">
        <v>509</v>
      </c>
      <c r="I29" s="310">
        <v>90.777699999999996</v>
      </c>
      <c r="J29" s="307">
        <v>88.988900000000001</v>
      </c>
      <c r="K29" s="305"/>
      <c r="L29" s="305"/>
      <c r="M29" s="305"/>
      <c r="N29" s="305">
        <v>357.2176</v>
      </c>
      <c r="O29" s="311">
        <v>78798.212399999989</v>
      </c>
      <c r="P29" s="305">
        <v>14774.66</v>
      </c>
      <c r="Q29" s="305">
        <v>11819.73</v>
      </c>
      <c r="R29" s="172">
        <v>0.15</v>
      </c>
      <c r="S29" s="305">
        <v>2954.93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9">
        <v>24188</v>
      </c>
      <c r="H30" s="309">
        <v>24432</v>
      </c>
      <c r="I30" s="381">
        <v>89.733999999999995</v>
      </c>
      <c r="J30" s="307">
        <v>87.542000000000002</v>
      </c>
      <c r="K30" s="305"/>
      <c r="L30" s="305"/>
      <c r="M30" s="305"/>
      <c r="N30" s="306">
        <v>3389.2161000000001</v>
      </c>
      <c r="O30" s="311">
        <v>4305922.913900001</v>
      </c>
      <c r="P30" s="305">
        <v>807360.55</v>
      </c>
      <c r="Q30" s="305">
        <v>645888.43999999994</v>
      </c>
      <c r="R30" s="172">
        <v>0.15</v>
      </c>
      <c r="S30" s="305">
        <v>161472.10999999999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9"/>
      <c r="H31" s="309"/>
      <c r="I31" s="307"/>
      <c r="J31" s="307"/>
      <c r="K31" s="305"/>
      <c r="L31" s="305"/>
      <c r="M31" s="305"/>
      <c r="N31" s="306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178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9">
        <v>57310.91</v>
      </c>
      <c r="H32" s="309">
        <v>60867.33</v>
      </c>
      <c r="I32" s="307">
        <v>1.61</v>
      </c>
      <c r="J32" s="307">
        <v>1.61</v>
      </c>
      <c r="K32" s="305"/>
      <c r="L32" s="305"/>
      <c r="M32" s="305"/>
      <c r="N32" s="306">
        <v>1407.0924</v>
      </c>
      <c r="O32" s="311">
        <v>188859.87760000001</v>
      </c>
      <c r="P32" s="305">
        <v>35411.230000000003</v>
      </c>
      <c r="Q32" s="305">
        <v>28328.98</v>
      </c>
      <c r="R32" s="172">
        <v>0.15</v>
      </c>
      <c r="S32" s="305">
        <v>7082.25</v>
      </c>
      <c r="T32" s="198">
        <v>3.7499999999999999E-2</v>
      </c>
    </row>
    <row r="33" spans="1:20" x14ac:dyDescent="0.2">
      <c r="A33" s="303" t="s">
        <v>28</v>
      </c>
      <c r="B33" s="19" t="s">
        <v>179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9">
        <v>25305.42</v>
      </c>
      <c r="H33" s="309">
        <v>26104.85</v>
      </c>
      <c r="I33" s="307">
        <v>4.4169</v>
      </c>
      <c r="J33" s="307">
        <v>4.5256999999999996</v>
      </c>
      <c r="K33" s="305"/>
      <c r="L33" s="305"/>
      <c r="M33" s="305"/>
      <c r="N33" s="306"/>
      <c r="O33" s="311">
        <v>229914.22999999998</v>
      </c>
      <c r="P33" s="305">
        <v>43108.92</v>
      </c>
      <c r="Q33" s="305">
        <v>34487.129999999997</v>
      </c>
      <c r="R33" s="172">
        <v>0.15</v>
      </c>
      <c r="S33" s="305">
        <v>8621.7800000000007</v>
      </c>
      <c r="T33" s="198">
        <v>3.7499999999999999E-2</v>
      </c>
    </row>
    <row r="34" spans="1:20" x14ac:dyDescent="0.2">
      <c r="A34" s="303" t="s">
        <v>28</v>
      </c>
      <c r="B34" s="19" t="s">
        <v>193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9"/>
      <c r="H34" s="309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202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5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9">
        <v>23419.19</v>
      </c>
      <c r="H36" s="309">
        <v>29109.09</v>
      </c>
      <c r="I36" s="567">
        <v>3.7852999999999999</v>
      </c>
      <c r="J36" s="307">
        <v>3.4634999999999998</v>
      </c>
      <c r="K36" s="305"/>
      <c r="L36" s="305"/>
      <c r="M36" s="305"/>
      <c r="N36" s="306"/>
      <c r="O36" s="311">
        <v>189467.99</v>
      </c>
      <c r="P36" s="305">
        <v>35525.25</v>
      </c>
      <c r="Q36" s="305">
        <v>28420.2</v>
      </c>
      <c r="R36" s="172">
        <v>0.15</v>
      </c>
      <c r="S36" s="305">
        <v>7105.05</v>
      </c>
      <c r="T36" s="198">
        <v>3.7499999999999999E-2</v>
      </c>
    </row>
    <row r="37" spans="1:20" x14ac:dyDescent="0.2">
      <c r="A37" s="303" t="s">
        <v>28</v>
      </c>
      <c r="B37" s="370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09">
        <v>128332.0977</v>
      </c>
      <c r="H37" s="309">
        <v>219456.03419999999</v>
      </c>
      <c r="I37" s="307">
        <v>3.2639</v>
      </c>
      <c r="J37" s="307">
        <v>3.1924000000000001</v>
      </c>
      <c r="K37" s="305"/>
      <c r="L37" s="305"/>
      <c r="M37" s="305"/>
      <c r="N37" s="306"/>
      <c r="O37" s="311">
        <v>1119454.5699999998</v>
      </c>
      <c r="P37" s="305">
        <v>209897.73</v>
      </c>
      <c r="Q37" s="305">
        <v>167918.19</v>
      </c>
      <c r="R37" s="172">
        <v>0.15</v>
      </c>
      <c r="S37" s="305">
        <v>41979.55</v>
      </c>
      <c r="T37" s="198">
        <v>3.7499999999999999E-2</v>
      </c>
    </row>
    <row r="38" spans="1:20" x14ac:dyDescent="0.2">
      <c r="A38" s="303" t="s">
        <v>28</v>
      </c>
      <c r="B38" s="370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09">
        <v>3504.8314</v>
      </c>
      <c r="H38" s="309">
        <v>4822.3926000000001</v>
      </c>
      <c r="I38" s="307">
        <v>3.41</v>
      </c>
      <c r="J38" s="307">
        <v>3.41</v>
      </c>
      <c r="K38" s="305"/>
      <c r="L38" s="305"/>
      <c r="M38" s="305"/>
      <c r="N38" s="306"/>
      <c r="O38" s="311">
        <v>28395.84</v>
      </c>
      <c r="P38" s="305">
        <v>5324.22</v>
      </c>
      <c r="Q38" s="305">
        <v>4259.38</v>
      </c>
      <c r="R38" s="172">
        <v>0.15</v>
      </c>
      <c r="S38" s="305">
        <v>1064.8399999999999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9"/>
      <c r="H39" s="309">
        <v>157793</v>
      </c>
      <c r="I39" s="307"/>
      <c r="J39" s="307">
        <v>93.593800000000002</v>
      </c>
      <c r="K39" s="305"/>
      <c r="L39" s="305"/>
      <c r="M39" s="305"/>
      <c r="N39" s="306">
        <v>1089.0808999999999</v>
      </c>
      <c r="O39" s="311">
        <v>14767357.3991</v>
      </c>
      <c r="P39" s="305">
        <v>2768879.51</v>
      </c>
      <c r="Q39" s="305">
        <v>2215103.61</v>
      </c>
      <c r="R39" s="172">
        <v>0.15</v>
      </c>
      <c r="S39" s="305">
        <v>553775.9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9"/>
      <c r="H40" s="309">
        <v>458693.02</v>
      </c>
      <c r="I40" s="306"/>
      <c r="J40" s="307">
        <v>7.7474999999999996</v>
      </c>
      <c r="K40" s="305"/>
      <c r="L40" s="305"/>
      <c r="M40" s="305"/>
      <c r="N40" s="306">
        <v>962.74480000000005</v>
      </c>
      <c r="O40" s="311">
        <v>3552761.4251999999</v>
      </c>
      <c r="P40" s="305">
        <v>666142.77</v>
      </c>
      <c r="Q40" s="305">
        <v>532914.21</v>
      </c>
      <c r="R40" s="172">
        <v>0.15</v>
      </c>
      <c r="S40" s="305">
        <v>133228.54999999999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9">
        <v>153</v>
      </c>
      <c r="H41" s="309">
        <v>150</v>
      </c>
      <c r="I41" s="310">
        <v>91.933999999999997</v>
      </c>
      <c r="J41" s="307">
        <v>89.742000000000004</v>
      </c>
      <c r="K41" s="305"/>
      <c r="L41" s="305"/>
      <c r="M41" s="305"/>
      <c r="N41" s="306">
        <v>209.10339999999999</v>
      </c>
      <c r="O41" s="311">
        <v>27318.096599999997</v>
      </c>
      <c r="P41" s="305">
        <v>5122.1400000000003</v>
      </c>
      <c r="Q41" s="305">
        <v>1024.43</v>
      </c>
      <c r="R41" s="198">
        <v>3.7499999999999999E-2</v>
      </c>
      <c r="S41" s="305">
        <v>4097.71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10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9">
        <v>16309</v>
      </c>
      <c r="I44" s="310"/>
      <c r="J44" s="310">
        <v>88.739699999999999</v>
      </c>
      <c r="K44" s="306"/>
      <c r="L44" s="305"/>
      <c r="M44" s="305"/>
      <c r="N44" s="306">
        <v>1045.5146999999999</v>
      </c>
      <c r="O44" s="311">
        <v>1446210.2553000001</v>
      </c>
      <c r="P44" s="305">
        <v>271164.42</v>
      </c>
      <c r="Q44" s="305">
        <v>216931.54</v>
      </c>
      <c r="R44" s="173">
        <v>0.15</v>
      </c>
      <c r="S44" s="305">
        <v>54232.88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-33481.669999997976</v>
      </c>
      <c r="P46" s="311">
        <v>-6277.8099999999758</v>
      </c>
      <c r="Q46" s="311">
        <v>-5022.2600000001621</v>
      </c>
      <c r="R46" s="192"/>
      <c r="S46" s="311">
        <v>-1255.5600000000359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81442839.651099995</v>
      </c>
      <c r="P47" s="325">
        <v>15270532.430000003</v>
      </c>
      <c r="Q47" s="326">
        <v>12213352.65</v>
      </c>
      <c r="R47" s="174"/>
      <c r="S47" s="327">
        <v>3057179.7399999988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58654115.060000002</v>
      </c>
      <c r="Q48" s="332">
        <v>46911487.530000001</v>
      </c>
      <c r="R48" s="121"/>
      <c r="S48" s="333">
        <v>11742627.380000001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16148</v>
      </c>
      <c r="H51" s="306">
        <v>16696</v>
      </c>
      <c r="I51" s="310">
        <v>82.636700000000005</v>
      </c>
      <c r="J51" s="310">
        <v>81.100200000000001</v>
      </c>
      <c r="K51" s="305"/>
      <c r="L51" s="305"/>
      <c r="M51" s="305"/>
      <c r="N51" s="305">
        <v>4208.2019</v>
      </c>
      <c r="O51" s="578">
        <v>2684258.1680999999</v>
      </c>
      <c r="P51" s="305">
        <v>402638.73</v>
      </c>
      <c r="Q51" s="305">
        <v>402638.73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2684258.1680999999</v>
      </c>
      <c r="P53" s="325">
        <v>402638.73</v>
      </c>
      <c r="Q53" s="325">
        <v>402638.73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1546535.36</v>
      </c>
      <c r="Q54" s="332">
        <v>1546535.36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07"/>
      <c r="J58" s="310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114766.18</v>
      </c>
      <c r="H61" s="306">
        <v>451.92</v>
      </c>
      <c r="I61" s="310">
        <v>3.7027000000000001</v>
      </c>
      <c r="J61" s="310">
        <v>3.7027000000000001</v>
      </c>
      <c r="K61" s="305"/>
      <c r="L61" s="305"/>
      <c r="M61" s="305"/>
      <c r="N61" s="306">
        <v>527.11500000000001</v>
      </c>
      <c r="O61" s="311">
        <v>426090.935</v>
      </c>
      <c r="P61" s="305">
        <v>79892.05</v>
      </c>
      <c r="Q61" s="305">
        <v>15978.41</v>
      </c>
      <c r="R61" s="198">
        <v>3.7499999999999999E-2</v>
      </c>
      <c r="S61" s="305">
        <v>63913.64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2960</v>
      </c>
      <c r="H62" s="306"/>
      <c r="I62" s="310">
        <v>62.676499999999997</v>
      </c>
      <c r="J62" s="310"/>
      <c r="K62" s="305"/>
      <c r="L62" s="305"/>
      <c r="M62" s="305"/>
      <c r="N62" s="305">
        <v>2387.2627000000002</v>
      </c>
      <c r="O62" s="311">
        <v>183135.17730000001</v>
      </c>
      <c r="P62" s="305">
        <v>34337.85</v>
      </c>
      <c r="Q62" s="305">
        <v>6867.57</v>
      </c>
      <c r="R62" s="198">
        <v>3.7499999999999999E-2</v>
      </c>
      <c r="S62" s="305">
        <v>27470.28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139526</v>
      </c>
      <c r="H65" s="306">
        <v>68016</v>
      </c>
      <c r="I65" s="310">
        <v>71.913499999999999</v>
      </c>
      <c r="J65" s="310">
        <v>70.496499999999997</v>
      </c>
      <c r="K65" s="306"/>
      <c r="L65" s="305"/>
      <c r="M65" s="305"/>
      <c r="N65" s="306">
        <v>5628.3621000000003</v>
      </c>
      <c r="O65" s="311">
        <v>14823064.577900002</v>
      </c>
      <c r="P65" s="305">
        <v>2779324.61</v>
      </c>
      <c r="Q65" s="305">
        <v>2223459.69</v>
      </c>
      <c r="R65" s="172">
        <v>0.15</v>
      </c>
      <c r="S65" s="305">
        <v>555864.92000000004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/>
      <c r="H66" s="306"/>
      <c r="I66" s="310"/>
      <c r="J66" s="310"/>
      <c r="K66" s="306"/>
      <c r="L66" s="305"/>
      <c r="M66" s="305"/>
      <c r="N66" s="306"/>
      <c r="O66" s="311">
        <v>0</v>
      </c>
      <c r="P66" s="305">
        <v>0</v>
      </c>
      <c r="Q66" s="305">
        <v>0</v>
      </c>
      <c r="R66" s="172">
        <v>0.15</v>
      </c>
      <c r="S66" s="305">
        <v>0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05"/>
      <c r="P67" s="305"/>
      <c r="Q67" s="305"/>
      <c r="R67" s="305"/>
      <c r="S67" s="305"/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15432290.690200001</v>
      </c>
      <c r="P68" s="325">
        <v>2893554.51</v>
      </c>
      <c r="Q68" s="325">
        <v>2246305.67</v>
      </c>
      <c r="R68" s="183"/>
      <c r="S68" s="325">
        <v>647248.84000000008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11114142.869999999</v>
      </c>
      <c r="Q69" s="333">
        <v>8628060.0800000001</v>
      </c>
      <c r="R69" s="139"/>
      <c r="S69" s="333">
        <v>2486082.79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664764</v>
      </c>
      <c r="H71" s="305">
        <v>817125</v>
      </c>
      <c r="I71" s="307">
        <v>50.488599999999998</v>
      </c>
      <c r="J71" s="307">
        <v>48.599299999999999</v>
      </c>
      <c r="K71" s="305"/>
      <c r="L71" s="305"/>
      <c r="M71" s="305"/>
      <c r="N71" s="305"/>
      <c r="O71" s="311">
        <v>73274706.702899992</v>
      </c>
      <c r="P71" s="316">
        <v>27287500.780000001</v>
      </c>
      <c r="Q71" s="316">
        <v>13643750.390000001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13093341.6</v>
      </c>
      <c r="H72" s="305">
        <v>14840259.09</v>
      </c>
      <c r="I72" s="307">
        <v>2.2534999999999998</v>
      </c>
      <c r="J72" s="307">
        <v>2.2534999999999998</v>
      </c>
      <c r="K72" s="305"/>
      <c r="L72" s="305"/>
      <c r="M72" s="305"/>
      <c r="N72" s="305"/>
      <c r="O72" s="311">
        <v>62948369.15491499</v>
      </c>
      <c r="P72" s="316">
        <v>23441972.670000002</v>
      </c>
      <c r="Q72" s="316">
        <v>11720986.34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20685.84</v>
      </c>
      <c r="H73" s="305">
        <v>28334.66</v>
      </c>
      <c r="I73" s="307">
        <v>3.1152000000000002</v>
      </c>
      <c r="J73" s="307">
        <v>3.1152000000000002</v>
      </c>
      <c r="K73" s="305"/>
      <c r="L73" s="305"/>
      <c r="M73" s="305"/>
      <c r="N73" s="305"/>
      <c r="O73" s="311">
        <v>152708.66159999999</v>
      </c>
      <c r="P73" s="316">
        <v>56868.71</v>
      </c>
      <c r="Q73" s="316">
        <v>28434.36</v>
      </c>
      <c r="R73" s="172">
        <v>0.5</v>
      </c>
      <c r="S73" s="305"/>
      <c r="T73" s="172"/>
    </row>
    <row r="74" spans="1:20" s="573" customFormat="1" ht="12" customHeight="1" x14ac:dyDescent="0.2">
      <c r="A74" s="374" t="s">
        <v>28</v>
      </c>
      <c r="B74" s="370" t="s">
        <v>123</v>
      </c>
      <c r="C74" s="375" t="s">
        <v>31</v>
      </c>
      <c r="D74" s="375" t="s">
        <v>30</v>
      </c>
      <c r="E74" s="375" t="s">
        <v>102</v>
      </c>
      <c r="F74" s="574" t="s">
        <v>56</v>
      </c>
      <c r="G74" s="316">
        <v>846045.87</v>
      </c>
      <c r="H74" s="316">
        <v>915839.19</v>
      </c>
      <c r="I74" s="353">
        <v>4.8890000000000002</v>
      </c>
      <c r="J74" s="353">
        <v>3.0510000000000002</v>
      </c>
      <c r="K74" s="316"/>
      <c r="L74" s="316"/>
      <c r="M74" s="316"/>
      <c r="N74" s="316"/>
      <c r="O74" s="568">
        <v>6930543.6271200003</v>
      </c>
      <c r="P74" s="316">
        <v>2633606.58</v>
      </c>
      <c r="Q74" s="316">
        <v>1316803.29</v>
      </c>
      <c r="R74" s="575">
        <v>0.5</v>
      </c>
      <c r="S74" s="316"/>
      <c r="T74" s="299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232311</v>
      </c>
      <c r="H75" s="305">
        <v>237927</v>
      </c>
      <c r="I75" s="307">
        <v>50.475000000000001</v>
      </c>
      <c r="J75" s="307">
        <v>48.5991</v>
      </c>
      <c r="K75" s="305"/>
      <c r="L75" s="305"/>
      <c r="M75" s="305"/>
      <c r="N75" s="305"/>
      <c r="O75" s="311">
        <v>23288935.7907</v>
      </c>
      <c r="P75" s="316">
        <v>9315574.3200000003</v>
      </c>
      <c r="Q75" s="316">
        <v>4657787.16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4538771.79</v>
      </c>
      <c r="H76" s="305">
        <v>6647944.1200000001</v>
      </c>
      <c r="I76" s="581">
        <v>4.8890000000000002</v>
      </c>
      <c r="J76" s="307">
        <v>3.0510000000000002</v>
      </c>
      <c r="K76" s="305"/>
      <c r="L76" s="305"/>
      <c r="M76" s="305"/>
      <c r="N76" s="305"/>
      <c r="O76" s="311">
        <v>42472932.791429996</v>
      </c>
      <c r="P76" s="316">
        <v>16139714.460000001</v>
      </c>
      <c r="Q76" s="316">
        <v>8069857.2300000004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193115.46</v>
      </c>
      <c r="H77" s="305">
        <v>277339.18</v>
      </c>
      <c r="I77" s="581">
        <v>2.1806999999999999</v>
      </c>
      <c r="J77" s="307">
        <v>2.1806999999999999</v>
      </c>
      <c r="K77" s="306"/>
      <c r="L77" s="305"/>
      <c r="M77" s="305"/>
      <c r="N77" s="306"/>
      <c r="O77" s="311">
        <v>1025920.4334479999</v>
      </c>
      <c r="P77" s="316">
        <v>382052.77</v>
      </c>
      <c r="Q77" s="316">
        <v>191026.39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153328</v>
      </c>
      <c r="H78" s="305">
        <v>212154</v>
      </c>
      <c r="I78" s="307">
        <v>43.443199999999997</v>
      </c>
      <c r="J78" s="307">
        <v>41.474400000000003</v>
      </c>
      <c r="K78" s="306"/>
      <c r="L78" s="305"/>
      <c r="M78" s="305"/>
      <c r="N78" s="306"/>
      <c r="O78" s="311">
        <v>15460018.827199999</v>
      </c>
      <c r="P78" s="316">
        <v>969318.44501099992</v>
      </c>
      <c r="Q78" s="316">
        <v>484659.22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2513468.58</v>
      </c>
      <c r="H79" s="305">
        <v>3453589.38</v>
      </c>
      <c r="I79" s="567">
        <v>15.537000000000001</v>
      </c>
      <c r="J79" s="307">
        <v>15.537000000000001</v>
      </c>
      <c r="K79" s="258"/>
      <c r="L79" s="305"/>
      <c r="M79" s="305"/>
      <c r="N79" s="306"/>
      <c r="O79" s="311">
        <v>92710179.52452001</v>
      </c>
      <c r="P79" s="316">
        <v>9106553.9373890013</v>
      </c>
      <c r="Q79" s="316">
        <v>4553276.97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163">
        <v>-13076285.879761992</v>
      </c>
      <c r="P80" s="163">
        <v>-1227029.1564220011</v>
      </c>
      <c r="Q80" s="163">
        <v>-613514.56000000006</v>
      </c>
      <c r="R80" s="130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>
        <v>4731887.25</v>
      </c>
      <c r="H81" s="195">
        <v>6925283.2999999998</v>
      </c>
      <c r="I81" s="228"/>
      <c r="J81" s="195"/>
      <c r="K81" s="205"/>
      <c r="L81" s="199"/>
      <c r="M81" s="227"/>
      <c r="N81" s="166"/>
      <c r="O81" s="166">
        <v>305188029.63407093</v>
      </c>
      <c r="P81" s="166">
        <v>88106133.515978009</v>
      </c>
      <c r="Q81" s="166">
        <v>44053066.789999992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>
        <v>4.7784701896546666</v>
      </c>
      <c r="H82" s="196">
        <v>3.0161467993585189</v>
      </c>
      <c r="I82" s="229"/>
      <c r="J82" s="195"/>
      <c r="K82" s="206"/>
      <c r="L82" s="200"/>
      <c r="M82" s="260"/>
      <c r="N82" s="261"/>
      <c r="O82" s="261"/>
      <c r="P82" s="160"/>
      <c r="Q82" s="160">
        <v>169207829.54038998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>
        <v>22611182.164931998</v>
      </c>
      <c r="H83" s="197">
        <v>20887671.059946001</v>
      </c>
      <c r="I83" s="195">
        <v>43498853.224877998</v>
      </c>
      <c r="J83" s="195">
        <v>43498853.224877998</v>
      </c>
      <c r="K83" s="230">
        <v>0</v>
      </c>
      <c r="L83" s="231"/>
      <c r="M83" s="216">
        <v>0</v>
      </c>
      <c r="N83" s="216">
        <v>38017.590600000003</v>
      </c>
      <c r="O83" s="216">
        <v>404747418.14347094</v>
      </c>
      <c r="P83" s="216">
        <v>62619792.459999993</v>
      </c>
      <c r="Q83" s="161">
        <v>240522622.68039</v>
      </c>
      <c r="R83" s="52"/>
      <c r="S83" s="161"/>
      <c r="T83" s="52"/>
    </row>
    <row r="84" spans="1:20" x14ac:dyDescent="0.2">
      <c r="O84" s="236"/>
      <c r="S84" s="226"/>
    </row>
    <row r="85" spans="1:20" x14ac:dyDescent="0.2">
      <c r="A85" s="360" t="s">
        <v>90</v>
      </c>
      <c r="B85" s="212" t="s">
        <v>73</v>
      </c>
      <c r="H85" s="360" t="s">
        <v>74</v>
      </c>
      <c r="J85" s="62"/>
      <c r="K85" s="62"/>
      <c r="N85" s="296"/>
      <c r="O85" s="379"/>
      <c r="P85" s="226"/>
      <c r="Q85" s="62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361"/>
      <c r="O86" s="379"/>
      <c r="P86" s="226"/>
      <c r="Q86" s="62"/>
    </row>
    <row r="87" spans="1:20" x14ac:dyDescent="0.2">
      <c r="B87" s="363" t="s">
        <v>78</v>
      </c>
      <c r="C87" s="89" t="s">
        <v>79</v>
      </c>
      <c r="D87" s="364"/>
      <c r="E87" s="90">
        <v>93.371700000000004</v>
      </c>
      <c r="F87" s="90"/>
      <c r="H87" s="91" t="s">
        <v>204</v>
      </c>
      <c r="L87" s="92"/>
      <c r="M87" s="234">
        <v>6.2200000337121024E-2</v>
      </c>
      <c r="N87" s="234">
        <v>6.4199999463479832E-2</v>
      </c>
      <c r="O87" s="379"/>
      <c r="P87" s="296"/>
      <c r="Q87" s="62"/>
    </row>
    <row r="88" spans="1:20" x14ac:dyDescent="0.2">
      <c r="B88" s="365" t="s">
        <v>80</v>
      </c>
      <c r="C88" s="93" t="s">
        <v>81</v>
      </c>
      <c r="D88" s="366"/>
      <c r="E88" s="94">
        <v>46.929299999999998</v>
      </c>
      <c r="F88" s="95"/>
      <c r="H88" s="96">
        <v>62.676462184054003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367"/>
      <c r="P88" s="296"/>
      <c r="Q88" s="259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/>
      <c r="I89" s="380"/>
      <c r="M89" s="234">
        <v>0.39999999969547706</v>
      </c>
      <c r="N89" s="234">
        <v>0.39999999979093542</v>
      </c>
      <c r="O89" s="237"/>
      <c r="Q89" s="62"/>
    </row>
    <row r="90" spans="1:20" x14ac:dyDescent="0.2">
      <c r="B90" s="365" t="s">
        <v>84</v>
      </c>
      <c r="C90" s="93" t="s">
        <v>85</v>
      </c>
      <c r="D90" s="366"/>
      <c r="E90" s="99">
        <v>0.62690000000000001</v>
      </c>
      <c r="F90" s="99"/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237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165</v>
      </c>
      <c r="I91" s="380"/>
      <c r="L91" s="92"/>
      <c r="N91" s="259"/>
      <c r="O91" s="237"/>
    </row>
    <row r="92" spans="1:20" x14ac:dyDescent="0.2">
      <c r="B92" s="368" t="s">
        <v>88</v>
      </c>
      <c r="C92" s="102" t="s">
        <v>89</v>
      </c>
      <c r="D92" s="369"/>
      <c r="E92" s="103">
        <v>0</v>
      </c>
      <c r="F92" s="103">
        <v>0</v>
      </c>
      <c r="H92" s="96">
        <v>0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H93" s="329"/>
      <c r="M93" s="237"/>
      <c r="N93" s="237"/>
      <c r="O93" s="237"/>
    </row>
    <row r="94" spans="1:20" x14ac:dyDescent="0.2">
      <c r="A94" s="587" t="s">
        <v>205</v>
      </c>
    </row>
  </sheetData>
  <mergeCells count="2">
    <mergeCell ref="C7:C8"/>
    <mergeCell ref="O7:O8"/>
  </mergeCells>
  <phoneticPr fontId="0" type="noConversion"/>
  <printOptions horizontalCentered="1" verticalCentered="1"/>
  <pageMargins left="0.25" right="0.25" top="0.5" bottom="0.5" header="0" footer="0"/>
  <pageSetup paperSize="9" scale="4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94"/>
  <sheetViews>
    <sheetView view="pageBreakPreview" zoomScale="95" zoomScaleNormal="95" zoomScaleSheetLayoutView="95" workbookViewId="0">
      <pane xSplit="2" topLeftCell="C1" activePane="topRight" state="frozen"/>
      <selection pane="topRight" activeCell="A52" sqref="A52"/>
    </sheetView>
  </sheetViews>
  <sheetFormatPr baseColWidth="10" defaultColWidth="8.88671875" defaultRowHeight="12.75" x14ac:dyDescent="0.2"/>
  <cols>
    <col min="1" max="1" width="3" style="212" customWidth="1"/>
    <col min="2" max="2" width="15.21875" style="212" customWidth="1"/>
    <col min="3" max="4" width="7.109375" style="212" customWidth="1"/>
    <col min="5" max="5" width="9" style="212" customWidth="1"/>
    <col min="6" max="6" width="9.88671875" style="212" customWidth="1"/>
    <col min="7" max="10" width="10.44140625" style="212" customWidth="1"/>
    <col min="11" max="13" width="10.44140625" style="212" hidden="1" customWidth="1"/>
    <col min="14" max="14" width="10.44140625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44895</v>
      </c>
      <c r="F1" s="209">
        <v>3.839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212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213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H6" s="1"/>
      <c r="P6" s="378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6"/>
      <c r="I10" s="307"/>
      <c r="J10" s="310"/>
      <c r="K10" s="305"/>
      <c r="L10" s="305"/>
      <c r="M10" s="305"/>
      <c r="N10" s="306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6"/>
      <c r="I11" s="307"/>
      <c r="J11" s="310"/>
      <c r="K11" s="305"/>
      <c r="L11" s="305"/>
      <c r="M11" s="305"/>
      <c r="N11" s="306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4879</v>
      </c>
      <c r="H12" s="309">
        <v>10317</v>
      </c>
      <c r="I12" s="310">
        <v>92.665899999999993</v>
      </c>
      <c r="J12" s="310">
        <v>82.897599999999997</v>
      </c>
      <c r="K12" s="305"/>
      <c r="L12" s="305"/>
      <c r="M12" s="305"/>
      <c r="N12" s="306">
        <v>310.99900000000002</v>
      </c>
      <c r="O12" s="306">
        <v>1307060.4709999999</v>
      </c>
      <c r="P12" s="305">
        <v>245073.84</v>
      </c>
      <c r="Q12" s="305">
        <v>196059.07</v>
      </c>
      <c r="R12" s="172">
        <v>0.15</v>
      </c>
      <c r="S12" s="305">
        <v>49014.77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48322.392599999999</v>
      </c>
      <c r="H13" s="309">
        <v>48354.225299999998</v>
      </c>
      <c r="I13" s="310">
        <v>3</v>
      </c>
      <c r="J13" s="310">
        <v>3</v>
      </c>
      <c r="K13" s="305"/>
      <c r="L13" s="305"/>
      <c r="M13" s="305"/>
      <c r="N13" s="306">
        <v>870.79920000000004</v>
      </c>
      <c r="O13" s="306">
        <v>289159.06079999998</v>
      </c>
      <c r="P13" s="305">
        <v>54217.32</v>
      </c>
      <c r="Q13" s="305">
        <v>43373.86</v>
      </c>
      <c r="R13" s="172">
        <v>0.15</v>
      </c>
      <c r="S13" s="305">
        <v>10843.46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9">
        <v>4732</v>
      </c>
      <c r="H14" s="309">
        <v>4944</v>
      </c>
      <c r="I14" s="310">
        <v>92.347300000000004</v>
      </c>
      <c r="J14" s="310">
        <v>83.456100000000006</v>
      </c>
      <c r="K14" s="305"/>
      <c r="L14" s="305"/>
      <c r="M14" s="305"/>
      <c r="N14" s="306">
        <v>799.71199999999999</v>
      </c>
      <c r="O14" s="306">
        <v>848794.66799999995</v>
      </c>
      <c r="P14" s="305">
        <v>159149</v>
      </c>
      <c r="Q14" s="305">
        <v>127319.2</v>
      </c>
      <c r="R14" s="172">
        <v>0.15</v>
      </c>
      <c r="S14" s="305">
        <v>31829.8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9">
        <v>30249.723000000002</v>
      </c>
      <c r="H15" s="309">
        <v>28724.500800000002</v>
      </c>
      <c r="I15" s="310">
        <v>2.6775000000000002</v>
      </c>
      <c r="J15" s="307">
        <v>2.6775000000000002</v>
      </c>
      <c r="K15" s="305"/>
      <c r="L15" s="305"/>
      <c r="M15" s="305"/>
      <c r="N15" s="306">
        <v>857.46759999999995</v>
      </c>
      <c r="O15" s="306">
        <v>157046.01240000001</v>
      </c>
      <c r="P15" s="305">
        <v>29446.13</v>
      </c>
      <c r="Q15" s="305">
        <v>23556.9</v>
      </c>
      <c r="R15" s="172">
        <v>0.15</v>
      </c>
      <c r="S15" s="305">
        <v>5889.23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9"/>
      <c r="H16" s="309"/>
      <c r="I16" s="307"/>
      <c r="J16" s="307"/>
      <c r="K16" s="305"/>
      <c r="L16" s="305"/>
      <c r="M16" s="305"/>
      <c r="N16" s="306"/>
      <c r="O16" s="306">
        <v>0</v>
      </c>
      <c r="P16" s="305">
        <v>0</v>
      </c>
      <c r="Q16" s="305">
        <v>0</v>
      </c>
      <c r="R16" s="172">
        <v>0.15</v>
      </c>
      <c r="S16" s="305">
        <v>0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9"/>
      <c r="H17" s="309"/>
      <c r="I17" s="307"/>
      <c r="J17" s="307"/>
      <c r="K17" s="305"/>
      <c r="L17" s="305"/>
      <c r="M17" s="305"/>
      <c r="N17" s="306"/>
      <c r="O17" s="306">
        <v>0</v>
      </c>
      <c r="P17" s="305">
        <v>0</v>
      </c>
      <c r="Q17" s="305">
        <v>0</v>
      </c>
      <c r="R17" s="172">
        <v>0.15</v>
      </c>
      <c r="S17" s="305">
        <v>0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9">
        <v>10354</v>
      </c>
      <c r="H18" s="309">
        <v>13018</v>
      </c>
      <c r="I18" s="307">
        <v>92.665899999999993</v>
      </c>
      <c r="J18" s="307">
        <v>82.897599999999997</v>
      </c>
      <c r="K18" s="305"/>
      <c r="L18" s="305"/>
      <c r="M18" s="305"/>
      <c r="N18" s="306">
        <v>573.12660000000005</v>
      </c>
      <c r="O18" s="306">
        <v>2038050.5633999999</v>
      </c>
      <c r="P18" s="305">
        <v>382134.48</v>
      </c>
      <c r="Q18" s="305">
        <v>305707.58</v>
      </c>
      <c r="R18" s="172">
        <v>0.15</v>
      </c>
      <c r="S18" s="305">
        <v>76426.899999999994</v>
      </c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9">
        <v>39273</v>
      </c>
      <c r="H19" s="309">
        <v>40639</v>
      </c>
      <c r="I19" s="307">
        <v>92.665899999999993</v>
      </c>
      <c r="J19" s="307">
        <v>82.897599999999997</v>
      </c>
      <c r="K19" s="305"/>
      <c r="L19" s="305"/>
      <c r="M19" s="305"/>
      <c r="N19" s="306">
        <v>1475.0234</v>
      </c>
      <c r="O19" s="306">
        <v>7006668.4365999997</v>
      </c>
      <c r="P19" s="305">
        <v>1313750.33</v>
      </c>
      <c r="Q19" s="305">
        <v>1051000.27</v>
      </c>
      <c r="R19" s="172">
        <v>0.15</v>
      </c>
      <c r="S19" s="305">
        <v>262750.07</v>
      </c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9">
        <v>38794.327499999999</v>
      </c>
      <c r="H20" s="309">
        <v>58813.591500000002</v>
      </c>
      <c r="I20" s="310">
        <v>3.1856</v>
      </c>
      <c r="J20" s="307">
        <v>3.1856</v>
      </c>
      <c r="K20" s="305"/>
      <c r="L20" s="305"/>
      <c r="M20" s="305"/>
      <c r="N20" s="306"/>
      <c r="O20" s="306">
        <v>310939.78999999998</v>
      </c>
      <c r="P20" s="305">
        <v>58301.21</v>
      </c>
      <c r="Q20" s="305">
        <v>46640.97</v>
      </c>
      <c r="R20" s="172">
        <v>0.15</v>
      </c>
      <c r="S20" s="305">
        <v>11660.24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9"/>
      <c r="H21" s="309">
        <v>3178</v>
      </c>
      <c r="I21" s="307"/>
      <c r="J21" s="310">
        <v>87.781700000000001</v>
      </c>
      <c r="K21" s="305"/>
      <c r="L21" s="305"/>
      <c r="M21" s="305"/>
      <c r="N21" s="306">
        <v>675.31140000000005</v>
      </c>
      <c r="O21" s="311">
        <v>278294.92859999998</v>
      </c>
      <c r="P21" s="305">
        <v>52180.3</v>
      </c>
      <c r="Q21" s="305">
        <v>41744.239999999998</v>
      </c>
      <c r="R21" s="172">
        <v>0.15</v>
      </c>
      <c r="S21" s="305">
        <v>10436.06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9">
        <v>48625</v>
      </c>
      <c r="H22" s="309">
        <v>51339</v>
      </c>
      <c r="I22" s="307">
        <v>92.115899999999996</v>
      </c>
      <c r="J22" s="310">
        <v>82.3476</v>
      </c>
      <c r="K22" s="305"/>
      <c r="L22" s="305"/>
      <c r="M22" s="305"/>
      <c r="N22" s="306">
        <v>4114.0711000000001</v>
      </c>
      <c r="O22" s="311">
        <v>8702665.0088999998</v>
      </c>
      <c r="P22" s="305">
        <v>1631749.69</v>
      </c>
      <c r="Q22" s="305">
        <v>1305399.75</v>
      </c>
      <c r="R22" s="172">
        <v>0.15</v>
      </c>
      <c r="S22" s="305">
        <v>326349.94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9"/>
      <c r="H23" s="309"/>
      <c r="I23" s="307"/>
      <c r="J23" s="307"/>
      <c r="K23" s="305"/>
      <c r="L23" s="305"/>
      <c r="M23" s="305"/>
      <c r="N23" s="305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9">
        <v>68199.509999999995</v>
      </c>
      <c r="H24" s="309">
        <v>67290.03</v>
      </c>
      <c r="I24" s="567">
        <v>2.8121</v>
      </c>
      <c r="J24" s="307">
        <v>2.8121</v>
      </c>
      <c r="K24" s="305"/>
      <c r="L24" s="305"/>
      <c r="M24" s="305"/>
      <c r="N24" s="305">
        <v>964.09699999999998</v>
      </c>
      <c r="O24" s="311">
        <v>380046.033</v>
      </c>
      <c r="P24" s="305">
        <v>71258.63</v>
      </c>
      <c r="Q24" s="305">
        <v>57006.9</v>
      </c>
      <c r="R24" s="172">
        <v>0.15</v>
      </c>
      <c r="S24" s="305">
        <v>14251.73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9">
        <v>2059</v>
      </c>
      <c r="H25" s="309">
        <v>2469</v>
      </c>
      <c r="I25" s="307">
        <v>92.665899999999993</v>
      </c>
      <c r="J25" s="307">
        <v>82.897599999999997</v>
      </c>
      <c r="K25" s="305"/>
      <c r="L25" s="305"/>
      <c r="M25" s="305"/>
      <c r="N25" s="305">
        <v>333.21480000000003</v>
      </c>
      <c r="O25" s="311">
        <v>395140.04519999999</v>
      </c>
      <c r="P25" s="305">
        <v>74088.759999999995</v>
      </c>
      <c r="Q25" s="305">
        <v>59271.01</v>
      </c>
      <c r="R25" s="172">
        <v>0.15</v>
      </c>
      <c r="S25" s="305">
        <v>14817.75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9">
        <v>166272</v>
      </c>
      <c r="H26" s="309">
        <v>165421</v>
      </c>
      <c r="I26" s="307">
        <v>92.665899999999993</v>
      </c>
      <c r="J26" s="307">
        <v>82.897599999999997</v>
      </c>
      <c r="K26" s="305"/>
      <c r="L26" s="305"/>
      <c r="M26" s="305"/>
      <c r="N26" s="306">
        <v>5149.2552999999998</v>
      </c>
      <c r="O26" s="311">
        <v>29115599.1547</v>
      </c>
      <c r="P26" s="305">
        <v>5459174.8399999999</v>
      </c>
      <c r="Q26" s="305">
        <v>4367339.87</v>
      </c>
      <c r="R26" s="172">
        <v>0.15</v>
      </c>
      <c r="S26" s="305">
        <v>1091834.97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9">
        <v>247145.98</v>
      </c>
      <c r="H27" s="309">
        <v>243416.12</v>
      </c>
      <c r="I27" s="381">
        <v>2.5198</v>
      </c>
      <c r="J27" s="307">
        <v>2.5198</v>
      </c>
      <c r="K27" s="305"/>
      <c r="L27" s="305"/>
      <c r="M27" s="305"/>
      <c r="N27" s="306">
        <v>1017.4105</v>
      </c>
      <c r="O27" s="311">
        <v>1235100.9694999999</v>
      </c>
      <c r="P27" s="305">
        <v>231581.43</v>
      </c>
      <c r="Q27" s="305">
        <v>185265.15</v>
      </c>
      <c r="R27" s="172">
        <v>0.15</v>
      </c>
      <c r="S27" s="305">
        <v>46316.29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10"/>
      <c r="J28" s="307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9">
        <v>381</v>
      </c>
      <c r="H29" s="309">
        <v>460</v>
      </c>
      <c r="I29" s="310">
        <v>91.872699999999995</v>
      </c>
      <c r="J29" s="307">
        <v>83.663899999999998</v>
      </c>
      <c r="K29" s="305"/>
      <c r="L29" s="305"/>
      <c r="M29" s="305"/>
      <c r="N29" s="305">
        <v>364.31240000000003</v>
      </c>
      <c r="O29" s="311">
        <v>73124.577600000004</v>
      </c>
      <c r="P29" s="305">
        <v>13710.86</v>
      </c>
      <c r="Q29" s="305">
        <v>10968.69</v>
      </c>
      <c r="R29" s="172">
        <v>0.15</v>
      </c>
      <c r="S29" s="305">
        <v>2742.17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9">
        <v>22266</v>
      </c>
      <c r="H30" s="309">
        <v>22637</v>
      </c>
      <c r="I30" s="381">
        <v>90.365899999999996</v>
      </c>
      <c r="J30" s="307">
        <v>80.5976</v>
      </c>
      <c r="K30" s="305"/>
      <c r="L30" s="305"/>
      <c r="M30" s="305"/>
      <c r="N30" s="306">
        <v>3456.5309000000002</v>
      </c>
      <c r="O30" s="311">
        <v>3833118.4690999999</v>
      </c>
      <c r="P30" s="305">
        <v>718709.71</v>
      </c>
      <c r="Q30" s="305">
        <v>574967.77</v>
      </c>
      <c r="R30" s="172">
        <v>0.15</v>
      </c>
      <c r="S30" s="305">
        <v>143741.94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9"/>
      <c r="H31" s="309"/>
      <c r="I31" s="307"/>
      <c r="J31" s="307"/>
      <c r="K31" s="305"/>
      <c r="L31" s="305"/>
      <c r="M31" s="305"/>
      <c r="N31" s="306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178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9">
        <v>57545.978900000002</v>
      </c>
      <c r="H32" s="309">
        <v>57388.867599999998</v>
      </c>
      <c r="I32" s="307">
        <v>1.61</v>
      </c>
      <c r="J32" s="307">
        <v>1.61</v>
      </c>
      <c r="K32" s="305"/>
      <c r="L32" s="305"/>
      <c r="M32" s="305"/>
      <c r="N32" s="306">
        <v>1435.0389</v>
      </c>
      <c r="O32" s="311">
        <v>183610.07109999997</v>
      </c>
      <c r="P32" s="305">
        <v>34426.89</v>
      </c>
      <c r="Q32" s="305">
        <v>27541.51</v>
      </c>
      <c r="R32" s="172">
        <v>0.15</v>
      </c>
      <c r="S32" s="305">
        <v>6885.38</v>
      </c>
      <c r="T32" s="198">
        <v>3.7499999999999999E-2</v>
      </c>
    </row>
    <row r="33" spans="1:20" x14ac:dyDescent="0.2">
      <c r="A33" s="303" t="s">
        <v>28</v>
      </c>
      <c r="B33" s="19" t="s">
        <v>179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9">
        <v>36794.074800000002</v>
      </c>
      <c r="H33" s="309">
        <v>55548.405100000004</v>
      </c>
      <c r="I33" s="307">
        <v>4.4965999999999999</v>
      </c>
      <c r="J33" s="307">
        <v>3.9413999999999998</v>
      </c>
      <c r="K33" s="305"/>
      <c r="L33" s="305"/>
      <c r="M33" s="305"/>
      <c r="N33" s="306"/>
      <c r="O33" s="311">
        <v>384386.72</v>
      </c>
      <c r="P33" s="305">
        <v>72072.509999999995</v>
      </c>
      <c r="Q33" s="305">
        <v>57658.01</v>
      </c>
      <c r="R33" s="172">
        <v>0.15</v>
      </c>
      <c r="S33" s="305">
        <v>14414.5</v>
      </c>
      <c r="T33" s="198">
        <v>3.7499999999999999E-2</v>
      </c>
    </row>
    <row r="34" spans="1:20" x14ac:dyDescent="0.2">
      <c r="A34" s="303" t="s">
        <v>28</v>
      </c>
      <c r="B34" s="19" t="s">
        <v>193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9"/>
      <c r="H34" s="309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202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5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9">
        <v>27782.185799999999</v>
      </c>
      <c r="H36" s="309">
        <v>31859.590700000001</v>
      </c>
      <c r="I36" s="567">
        <v>3.7665999999999999</v>
      </c>
      <c r="J36" s="307">
        <v>3.4845000000000002</v>
      </c>
      <c r="K36" s="305"/>
      <c r="L36" s="305"/>
      <c r="M36" s="305"/>
      <c r="N36" s="306"/>
      <c r="O36" s="311">
        <v>215659.12</v>
      </c>
      <c r="P36" s="305">
        <v>40436.089999999997</v>
      </c>
      <c r="Q36" s="305">
        <v>32348.87</v>
      </c>
      <c r="R36" s="172">
        <v>0.15</v>
      </c>
      <c r="S36" s="305">
        <v>8087.22</v>
      </c>
      <c r="T36" s="198">
        <v>3.7499999999999999E-2</v>
      </c>
    </row>
    <row r="37" spans="1:20" x14ac:dyDescent="0.2">
      <c r="A37" s="303" t="s">
        <v>28</v>
      </c>
      <c r="B37" s="370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09">
        <v>95550.839800000002</v>
      </c>
      <c r="H37" s="309">
        <v>197581.26519999999</v>
      </c>
      <c r="I37" s="307">
        <v>3.3220999999999998</v>
      </c>
      <c r="J37" s="307">
        <v>3.1545999999999998</v>
      </c>
      <c r="K37" s="305"/>
      <c r="L37" s="305"/>
      <c r="M37" s="305"/>
      <c r="N37" s="306"/>
      <c r="O37" s="311">
        <v>940719.3</v>
      </c>
      <c r="P37" s="305">
        <v>176384.87</v>
      </c>
      <c r="Q37" s="571">
        <v>141107.9</v>
      </c>
      <c r="R37" s="172">
        <v>0.15</v>
      </c>
      <c r="S37" s="571">
        <v>35276.97</v>
      </c>
      <c r="T37" s="198">
        <v>3.7499999999999999E-2</v>
      </c>
    </row>
    <row r="38" spans="1:20" x14ac:dyDescent="0.2">
      <c r="A38" s="303" t="s">
        <v>28</v>
      </c>
      <c r="B38" s="370" t="s">
        <v>169</v>
      </c>
      <c r="C38" s="85" t="s">
        <v>31</v>
      </c>
      <c r="D38" s="304" t="s">
        <v>30</v>
      </c>
      <c r="E38" s="85" t="s">
        <v>96</v>
      </c>
      <c r="F38" s="186" t="s">
        <v>56</v>
      </c>
      <c r="G38" s="309">
        <v>5183.6503000000002</v>
      </c>
      <c r="H38" s="309">
        <v>7137.4777999999997</v>
      </c>
      <c r="I38" s="307">
        <v>3.41</v>
      </c>
      <c r="J38" s="307">
        <v>3.41</v>
      </c>
      <c r="K38" s="305"/>
      <c r="L38" s="305"/>
      <c r="M38" s="305"/>
      <c r="N38" s="306"/>
      <c r="O38" s="311">
        <v>42015.05</v>
      </c>
      <c r="P38" s="305">
        <v>7877.82</v>
      </c>
      <c r="Q38" s="571">
        <v>6302.26</v>
      </c>
      <c r="R38" s="172">
        <v>0.15</v>
      </c>
      <c r="S38" s="571">
        <v>1575.56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9"/>
      <c r="H39" s="309">
        <v>155428</v>
      </c>
      <c r="I39" s="307"/>
      <c r="J39" s="307">
        <v>90.851799999999997</v>
      </c>
      <c r="K39" s="305"/>
      <c r="L39" s="305"/>
      <c r="M39" s="305"/>
      <c r="N39" s="306">
        <v>1110.7109</v>
      </c>
      <c r="O39" s="311">
        <v>14119802.859100001</v>
      </c>
      <c r="P39" s="305">
        <v>2647463.04</v>
      </c>
      <c r="Q39" s="305">
        <v>2117970.4300000002</v>
      </c>
      <c r="R39" s="172">
        <v>0.15</v>
      </c>
      <c r="S39" s="305">
        <v>529492.61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9"/>
      <c r="H40" s="309">
        <v>404181.02</v>
      </c>
      <c r="I40" s="306"/>
      <c r="J40" s="307">
        <v>7.5209000000000001</v>
      </c>
      <c r="K40" s="305"/>
      <c r="L40" s="305"/>
      <c r="M40" s="305"/>
      <c r="N40" s="306">
        <v>981.8682</v>
      </c>
      <c r="O40" s="311">
        <v>3038823.1617999999</v>
      </c>
      <c r="P40" s="305">
        <v>569779.34</v>
      </c>
      <c r="Q40" s="305">
        <v>455823.47</v>
      </c>
      <c r="R40" s="172">
        <v>0.15</v>
      </c>
      <c r="S40" s="305">
        <v>113955.87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9">
        <v>145</v>
      </c>
      <c r="H41" s="309">
        <v>147</v>
      </c>
      <c r="I41" s="310">
        <v>92.665899999999993</v>
      </c>
      <c r="J41" s="307">
        <v>82.897599999999997</v>
      </c>
      <c r="K41" s="305"/>
      <c r="L41" s="305"/>
      <c r="M41" s="305"/>
      <c r="N41" s="306">
        <v>213.25640000000001</v>
      </c>
      <c r="O41" s="311">
        <v>25409.253600000004</v>
      </c>
      <c r="P41" s="305">
        <v>4764.24</v>
      </c>
      <c r="Q41" s="305">
        <v>952.85</v>
      </c>
      <c r="R41" s="198">
        <v>3.7499999999999999E-2</v>
      </c>
      <c r="S41" s="305">
        <v>3811.39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10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9">
        <v>13179</v>
      </c>
      <c r="I44" s="310"/>
      <c r="J44" s="310">
        <v>89.996600000000001</v>
      </c>
      <c r="K44" s="306"/>
      <c r="L44" s="305"/>
      <c r="M44" s="305"/>
      <c r="N44" s="306">
        <v>1066.2818</v>
      </c>
      <c r="O44" s="311">
        <v>1184998.9081999999</v>
      </c>
      <c r="P44" s="305">
        <v>222187.3</v>
      </c>
      <c r="Q44" s="305">
        <v>177749.84</v>
      </c>
      <c r="R44" s="173">
        <v>0.15</v>
      </c>
      <c r="S44" s="305">
        <v>44437.46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-89246.150000001653</v>
      </c>
      <c r="P46" s="311">
        <v>-16733.660000000044</v>
      </c>
      <c r="Q46" s="311">
        <v>-13386.929999999891</v>
      </c>
      <c r="R46" s="192"/>
      <c r="S46" s="311">
        <v>-3346.7299999999732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76016986.482599974</v>
      </c>
      <c r="P47" s="325">
        <v>14253184.969999997</v>
      </c>
      <c r="Q47" s="326">
        <v>11399689.439999999</v>
      </c>
      <c r="R47" s="174"/>
      <c r="S47" s="327">
        <v>2853495.5500000003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54717977.100000001</v>
      </c>
      <c r="Q48" s="332">
        <v>43763407.759999998</v>
      </c>
      <c r="R48" s="121"/>
      <c r="S48" s="333">
        <v>10954569.42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15463</v>
      </c>
      <c r="H51" s="306">
        <v>15273</v>
      </c>
      <c r="I51" s="310">
        <v>84.517899999999997</v>
      </c>
      <c r="J51" s="310">
        <v>73.195099999999996</v>
      </c>
      <c r="K51" s="305"/>
      <c r="L51" s="305"/>
      <c r="M51" s="305"/>
      <c r="N51" s="305">
        <v>4291.7878000000001</v>
      </c>
      <c r="O51" s="578">
        <v>2420517.2621999998</v>
      </c>
      <c r="P51" s="305">
        <v>363077.59</v>
      </c>
      <c r="Q51" s="305">
        <v>363077.59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2420517.2621999998</v>
      </c>
      <c r="P53" s="325">
        <v>363077.59</v>
      </c>
      <c r="Q53" s="325">
        <v>363077.59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1393854.87</v>
      </c>
      <c r="Q54" s="332">
        <v>1393854.87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07"/>
      <c r="J58" s="310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314222.54920000001</v>
      </c>
      <c r="H61" s="306">
        <v>359045.0171</v>
      </c>
      <c r="I61" s="310">
        <v>3.7004000000000001</v>
      </c>
      <c r="J61" s="310">
        <v>3.7086000000000001</v>
      </c>
      <c r="K61" s="305"/>
      <c r="L61" s="305"/>
      <c r="M61" s="305"/>
      <c r="N61" s="306">
        <v>537.58429999999998</v>
      </c>
      <c r="O61" s="311">
        <v>2493765.8857</v>
      </c>
      <c r="P61" s="305">
        <v>467581.1</v>
      </c>
      <c r="Q61" s="305">
        <v>93516.22</v>
      </c>
      <c r="R61" s="198">
        <v>3.7499999999999999E-2</v>
      </c>
      <c r="S61" s="305">
        <v>374064.88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2796</v>
      </c>
      <c r="H62" s="306">
        <v>2897</v>
      </c>
      <c r="I62" s="310">
        <v>60.5154</v>
      </c>
      <c r="J62" s="310">
        <v>53.731000000000002</v>
      </c>
      <c r="K62" s="305"/>
      <c r="L62" s="305"/>
      <c r="M62" s="305"/>
      <c r="N62" s="305">
        <v>2434.6783</v>
      </c>
      <c r="O62" s="311">
        <v>322425.09169999999</v>
      </c>
      <c r="P62" s="305">
        <v>60454.7</v>
      </c>
      <c r="Q62" s="305">
        <v>12090.94</v>
      </c>
      <c r="R62" s="198">
        <v>3.7499999999999999E-2</v>
      </c>
      <c r="S62" s="305">
        <v>48363.76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156887</v>
      </c>
      <c r="H65" s="306">
        <v>179646</v>
      </c>
      <c r="I65" s="310">
        <v>72.981700000000004</v>
      </c>
      <c r="J65" s="310">
        <v>67.242099999999994</v>
      </c>
      <c r="K65" s="306"/>
      <c r="L65" s="305"/>
      <c r="M65" s="305"/>
      <c r="N65" s="306">
        <v>5740.1531000000004</v>
      </c>
      <c r="O65" s="311">
        <v>23523914.116900004</v>
      </c>
      <c r="P65" s="305">
        <v>4410733.9000000004</v>
      </c>
      <c r="Q65" s="305">
        <v>3528587.12</v>
      </c>
      <c r="R65" s="172">
        <v>0.15</v>
      </c>
      <c r="S65" s="305">
        <v>882146.78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/>
      <c r="H66" s="306"/>
      <c r="I66" s="310"/>
      <c r="J66" s="310"/>
      <c r="K66" s="306"/>
      <c r="L66" s="305"/>
      <c r="M66" s="305"/>
      <c r="N66" s="306"/>
      <c r="O66" s="311">
        <v>0</v>
      </c>
      <c r="P66" s="305">
        <v>0</v>
      </c>
      <c r="Q66" s="305">
        <v>0</v>
      </c>
      <c r="R66" s="172">
        <v>0.15</v>
      </c>
      <c r="S66" s="305">
        <v>0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05"/>
      <c r="P67" s="305"/>
      <c r="Q67" s="305"/>
      <c r="R67" s="305"/>
      <c r="S67" s="305"/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26340105.094300006</v>
      </c>
      <c r="P68" s="325">
        <v>4938769.7</v>
      </c>
      <c r="Q68" s="325">
        <v>3634194.2800000003</v>
      </c>
      <c r="R68" s="183"/>
      <c r="S68" s="325">
        <v>1304575.42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18959936.879999999</v>
      </c>
      <c r="Q69" s="333">
        <v>13951671.84</v>
      </c>
      <c r="R69" s="139"/>
      <c r="S69" s="333">
        <v>5008265.04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736468</v>
      </c>
      <c r="H71" s="305">
        <v>751626</v>
      </c>
      <c r="I71" s="307">
        <v>49.686900000000001</v>
      </c>
      <c r="J71" s="307">
        <v>45.230499999999999</v>
      </c>
      <c r="K71" s="305"/>
      <c r="L71" s="305"/>
      <c r="M71" s="305"/>
      <c r="N71" s="305"/>
      <c r="O71" s="311">
        <v>70589231.662200004</v>
      </c>
      <c r="P71" s="316">
        <v>26287429.870000001</v>
      </c>
      <c r="Q71" s="316">
        <v>13143714.939999999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13885013.195599999</v>
      </c>
      <c r="H72" s="305">
        <v>14097841.168</v>
      </c>
      <c r="I72" s="307">
        <v>2.2387999999999999</v>
      </c>
      <c r="J72" s="307">
        <v>2.2387999999999999</v>
      </c>
      <c r="K72" s="305"/>
      <c r="L72" s="305"/>
      <c r="M72" s="305"/>
      <c r="N72" s="305"/>
      <c r="O72" s="311">
        <v>62648014.349227674</v>
      </c>
      <c r="P72" s="316">
        <v>23330120.539999999</v>
      </c>
      <c r="Q72" s="316">
        <v>11665060.27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22758.950400000002</v>
      </c>
      <c r="H73" s="305">
        <v>30144.290300000001</v>
      </c>
      <c r="I73" s="307">
        <v>3.0928</v>
      </c>
      <c r="J73" s="307">
        <v>3.0928</v>
      </c>
      <c r="K73" s="305"/>
      <c r="L73" s="305"/>
      <c r="M73" s="305"/>
      <c r="N73" s="305"/>
      <c r="O73" s="311">
        <v>163619.14283696</v>
      </c>
      <c r="P73" s="316">
        <v>60931.77</v>
      </c>
      <c r="Q73" s="316">
        <v>30465.89</v>
      </c>
      <c r="R73" s="172">
        <v>0.5</v>
      </c>
      <c r="S73" s="305"/>
      <c r="T73" s="172"/>
    </row>
    <row r="74" spans="1:20" s="573" customFormat="1" ht="12" customHeight="1" x14ac:dyDescent="0.2">
      <c r="A74" s="374" t="s">
        <v>28</v>
      </c>
      <c r="B74" s="370" t="s">
        <v>123</v>
      </c>
      <c r="C74" s="375" t="s">
        <v>31</v>
      </c>
      <c r="D74" s="375" t="s">
        <v>30</v>
      </c>
      <c r="E74" s="375" t="s">
        <v>102</v>
      </c>
      <c r="F74" s="574" t="s">
        <v>56</v>
      </c>
      <c r="G74" s="316">
        <v>911478.39390000002</v>
      </c>
      <c r="H74" s="316">
        <v>854091.94700000004</v>
      </c>
      <c r="I74" s="580">
        <v>4.3579999999999997</v>
      </c>
      <c r="J74" s="353">
        <v>9.94</v>
      </c>
      <c r="K74" s="316"/>
      <c r="L74" s="316"/>
      <c r="M74" s="316"/>
      <c r="N74" s="316"/>
      <c r="O74" s="568">
        <v>12461896.7937962</v>
      </c>
      <c r="P74" s="316">
        <v>4735520.78</v>
      </c>
      <c r="Q74" s="316">
        <v>2367760.39</v>
      </c>
      <c r="R74" s="575">
        <v>0.5</v>
      </c>
      <c r="S74" s="316"/>
      <c r="T74" s="299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230061</v>
      </c>
      <c r="H75" s="305">
        <v>220080</v>
      </c>
      <c r="I75" s="307">
        <v>49.658000000000001</v>
      </c>
      <c r="J75" s="307">
        <v>45.230699999999999</v>
      </c>
      <c r="K75" s="305"/>
      <c r="L75" s="305"/>
      <c r="M75" s="305"/>
      <c r="N75" s="305"/>
      <c r="O75" s="311">
        <v>21378741.594000001</v>
      </c>
      <c r="P75" s="316">
        <v>8551496.6400000006</v>
      </c>
      <c r="Q75" s="316">
        <v>4275748.32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5406109.8592999997</v>
      </c>
      <c r="H76" s="305">
        <v>6465139.2323000003</v>
      </c>
      <c r="I76" s="567">
        <v>4.3579999999999997</v>
      </c>
      <c r="J76" s="307">
        <v>9.94</v>
      </c>
      <c r="K76" s="305"/>
      <c r="L76" s="305"/>
      <c r="M76" s="305"/>
      <c r="N76" s="305"/>
      <c r="O76" s="311">
        <v>87823310.735891402</v>
      </c>
      <c r="P76" s="316">
        <v>33372858.079999998</v>
      </c>
      <c r="Q76" s="316">
        <v>16686429.039999999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>
        <v>224916.38020000001</v>
      </c>
      <c r="H77" s="305">
        <v>280727.76089999999</v>
      </c>
      <c r="I77" s="307">
        <v>2.1852</v>
      </c>
      <c r="J77" s="307">
        <v>2.1852</v>
      </c>
      <c r="K77" s="306"/>
      <c r="L77" s="305"/>
      <c r="M77" s="305"/>
      <c r="N77" s="306"/>
      <c r="O77" s="311">
        <v>1104933.57713172</v>
      </c>
      <c r="P77" s="316">
        <v>411477.26</v>
      </c>
      <c r="Q77" s="316">
        <v>205738.63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176274</v>
      </c>
      <c r="H78" s="305">
        <v>214738</v>
      </c>
      <c r="I78" s="307">
        <v>44.858400000000003</v>
      </c>
      <c r="J78" s="307">
        <v>40.509700000000002</v>
      </c>
      <c r="K78" s="306"/>
      <c r="L78" s="305"/>
      <c r="M78" s="305"/>
      <c r="N78" s="306"/>
      <c r="O78" s="311">
        <v>16606341.560200002</v>
      </c>
      <c r="P78" s="316">
        <v>1064941.455412</v>
      </c>
      <c r="Q78" s="316">
        <v>532470.73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2833608.0079000001</v>
      </c>
      <c r="H79" s="305">
        <v>3466665.1452000001</v>
      </c>
      <c r="I79" s="307">
        <v>3.49</v>
      </c>
      <c r="J79" s="307">
        <v>3.49</v>
      </c>
      <c r="K79" s="258"/>
      <c r="L79" s="305"/>
      <c r="M79" s="305"/>
      <c r="N79" s="306"/>
      <c r="O79" s="311">
        <v>21987953.304319002</v>
      </c>
      <c r="P79" s="316">
        <v>2228936.8029689994</v>
      </c>
      <c r="Q79" s="316">
        <v>1114468.3999999999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163">
        <v>-81868800.466112986</v>
      </c>
      <c r="P80" s="163">
        <v>-11091169.488078004</v>
      </c>
      <c r="Q80" s="163">
        <v>-5545584.7499999981</v>
      </c>
      <c r="R80" s="130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>
        <v>5631026.2394999992</v>
      </c>
      <c r="H81" s="195">
        <v>6745866.9932000004</v>
      </c>
      <c r="I81" s="228"/>
      <c r="J81" s="195"/>
      <c r="K81" s="205"/>
      <c r="L81" s="199"/>
      <c r="M81" s="227"/>
      <c r="N81" s="166"/>
      <c r="O81" s="166">
        <v>212895242.25349003</v>
      </c>
      <c r="P81" s="166">
        <v>88952543.710303009</v>
      </c>
      <c r="Q81" s="166">
        <v>44476271.859999999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>
        <v>4.2712132776312632</v>
      </c>
      <c r="H82" s="196">
        <v>9.617285715472633</v>
      </c>
      <c r="I82" s="229"/>
      <c r="J82" s="195"/>
      <c r="K82" s="206"/>
      <c r="L82" s="200"/>
      <c r="M82" s="260"/>
      <c r="N82" s="261"/>
      <c r="O82" s="261"/>
      <c r="P82" s="160"/>
      <c r="Q82" s="160">
        <v>170744407.67054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>
        <v>24051314.04084244</v>
      </c>
      <c r="H83" s="197">
        <v>64876930.272180684</v>
      </c>
      <c r="I83" s="195">
        <v>88928244.31302312</v>
      </c>
      <c r="J83" s="195">
        <v>88928244.31302312</v>
      </c>
      <c r="K83" s="230">
        <v>0</v>
      </c>
      <c r="L83" s="231"/>
      <c r="M83" s="216">
        <v>0</v>
      </c>
      <c r="N83" s="216">
        <v>38772.690900000001</v>
      </c>
      <c r="O83" s="216">
        <v>317672851.09258997</v>
      </c>
      <c r="P83" s="216">
        <v>64031304.120000005</v>
      </c>
      <c r="Q83" s="161">
        <v>245816176.60054001</v>
      </c>
      <c r="R83" s="52"/>
      <c r="S83" s="161"/>
      <c r="T83" s="52"/>
    </row>
    <row r="84" spans="1:20" x14ac:dyDescent="0.2">
      <c r="O84" s="236"/>
      <c r="S84" s="226"/>
    </row>
    <row r="85" spans="1:20" x14ac:dyDescent="0.2">
      <c r="A85" s="360" t="s">
        <v>90</v>
      </c>
      <c r="B85" s="212" t="s">
        <v>73</v>
      </c>
      <c r="H85" s="360" t="s">
        <v>74</v>
      </c>
      <c r="J85" s="62"/>
      <c r="K85" s="62"/>
      <c r="N85" s="296"/>
      <c r="O85" s="379"/>
      <c r="P85" s="226"/>
      <c r="Q85" s="62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361"/>
      <c r="O86" s="379"/>
      <c r="P86" s="226"/>
      <c r="Q86" s="62"/>
    </row>
    <row r="87" spans="1:20" x14ac:dyDescent="0.2">
      <c r="B87" s="363" t="s">
        <v>78</v>
      </c>
      <c r="C87" s="89" t="s">
        <v>79</v>
      </c>
      <c r="D87" s="364"/>
      <c r="E87" s="90">
        <v>94.336500000000001</v>
      </c>
      <c r="F87" s="90">
        <v>84.660700000000006</v>
      </c>
      <c r="H87" s="91" t="s">
        <v>214</v>
      </c>
      <c r="L87" s="92"/>
      <c r="M87" s="234">
        <v>6.2200000337121024E-2</v>
      </c>
      <c r="N87" s="234">
        <v>6.4199999463479832E-2</v>
      </c>
      <c r="O87" s="379"/>
      <c r="P87" s="296"/>
      <c r="Q87" s="62"/>
    </row>
    <row r="88" spans="1:20" x14ac:dyDescent="0.2">
      <c r="B88" s="365" t="s">
        <v>80</v>
      </c>
      <c r="C88" s="93" t="s">
        <v>81</v>
      </c>
      <c r="D88" s="366"/>
      <c r="E88" s="94">
        <v>45.192100000000003</v>
      </c>
      <c r="F88" s="94">
        <v>45.192100000000003</v>
      </c>
      <c r="H88" s="96">
        <v>60.515432131530005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367"/>
      <c r="P88" s="296"/>
      <c r="Q88" s="259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I89" s="380"/>
      <c r="M89" s="234">
        <v>0.39999999969547706</v>
      </c>
      <c r="N89" s="234">
        <v>0.39999999979093542</v>
      </c>
      <c r="O89" s="237"/>
      <c r="Q89" s="62"/>
    </row>
    <row r="90" spans="1:20" x14ac:dyDescent="0.2">
      <c r="B90" s="365" t="s">
        <v>84</v>
      </c>
      <c r="C90" s="93" t="s">
        <v>85</v>
      </c>
      <c r="D90" s="366"/>
      <c r="E90" s="99">
        <v>0.59389999999999998</v>
      </c>
      <c r="F90" s="99">
        <v>0.55930000000000002</v>
      </c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237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215</v>
      </c>
      <c r="I91" s="380"/>
      <c r="L91" s="92"/>
      <c r="N91" s="259"/>
      <c r="O91" s="237"/>
    </row>
    <row r="92" spans="1:20" x14ac:dyDescent="0.2">
      <c r="B92" s="368" t="s">
        <v>88</v>
      </c>
      <c r="C92" s="102" t="s">
        <v>89</v>
      </c>
      <c r="D92" s="369"/>
      <c r="E92" s="103"/>
      <c r="F92" s="103"/>
      <c r="H92" s="96">
        <v>53.730992132697999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H93" s="329"/>
      <c r="M93" s="237"/>
      <c r="N93" s="237"/>
      <c r="O93" s="237"/>
    </row>
    <row r="94" spans="1:20" x14ac:dyDescent="0.2">
      <c r="A94" s="587" t="s">
        <v>205</v>
      </c>
    </row>
  </sheetData>
  <mergeCells count="2">
    <mergeCell ref="C7:C8"/>
    <mergeCell ref="O7:O8"/>
  </mergeCells>
  <printOptions horizontalCentered="1" verticalCentered="1"/>
  <pageMargins left="0.23622047244094491" right="0.23622047244094491" top="0.51181102362204722" bottom="0.51181102362204722" header="0" footer="0"/>
  <pageSetup paperSize="9" scale="47" fitToWidth="2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A1:T94"/>
  <sheetViews>
    <sheetView tabSelected="1" view="pageBreakPreview" zoomScale="95" zoomScaleNormal="95" zoomScaleSheetLayoutView="95" workbookViewId="0">
      <selection activeCell="K82" sqref="K82"/>
    </sheetView>
  </sheetViews>
  <sheetFormatPr baseColWidth="10" defaultColWidth="8.88671875" defaultRowHeight="12.75" x14ac:dyDescent="0.2"/>
  <cols>
    <col min="1" max="1" width="3" style="212" customWidth="1"/>
    <col min="2" max="2" width="12.88671875" style="212" customWidth="1"/>
    <col min="3" max="4" width="7.109375" style="212" customWidth="1"/>
    <col min="5" max="5" width="9" style="212" customWidth="1"/>
    <col min="6" max="6" width="9.88671875" style="212" customWidth="1"/>
    <col min="7" max="14" width="10.44140625" style="212" customWidth="1"/>
    <col min="15" max="15" width="12.44140625" style="212" customWidth="1"/>
    <col min="16" max="17" width="11.5546875" style="212" customWidth="1"/>
    <col min="18" max="18" width="5.6640625" style="212" customWidth="1"/>
    <col min="19" max="19" width="11.5546875" style="212" customWidth="1"/>
    <col min="20" max="20" width="5.6640625" style="212" customWidth="1"/>
    <col min="21" max="16384" width="8.88671875" style="212"/>
  </cols>
  <sheetData>
    <row r="1" spans="1:20" x14ac:dyDescent="0.2">
      <c r="A1" s="212" t="s">
        <v>51</v>
      </c>
      <c r="C1" s="2"/>
      <c r="D1" s="2"/>
      <c r="E1" s="6">
        <v>44926</v>
      </c>
      <c r="F1" s="209">
        <v>3.8610000000000002</v>
      </c>
    </row>
    <row r="2" spans="1:20" x14ac:dyDescent="0.2">
      <c r="A2" s="2" t="s">
        <v>0</v>
      </c>
    </row>
    <row r="3" spans="1:20" x14ac:dyDescent="0.2">
      <c r="A3" s="117" t="s">
        <v>100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x14ac:dyDescent="0.2">
      <c r="A4" s="116" t="s">
        <v>216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</row>
    <row r="5" spans="1:20" x14ac:dyDescent="0.2">
      <c r="A5" s="116" t="s">
        <v>218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</row>
    <row r="6" spans="1:20" x14ac:dyDescent="0.2">
      <c r="H6" s="1"/>
      <c r="P6" s="378"/>
    </row>
    <row r="7" spans="1:20" ht="21.75" customHeight="1" x14ac:dyDescent="0.2">
      <c r="A7" s="141" t="s">
        <v>25</v>
      </c>
      <c r="B7" s="142"/>
      <c r="C7" s="593" t="s">
        <v>33</v>
      </c>
      <c r="D7" s="59" t="s">
        <v>58</v>
      </c>
      <c r="E7" s="60"/>
      <c r="F7" s="143" t="s">
        <v>98</v>
      </c>
      <c r="G7" s="144"/>
      <c r="H7" s="215"/>
      <c r="I7" s="143" t="s">
        <v>38</v>
      </c>
      <c r="J7" s="215"/>
      <c r="K7" s="143" t="s">
        <v>41</v>
      </c>
      <c r="L7" s="144"/>
      <c r="M7" s="144"/>
      <c r="N7" s="215"/>
      <c r="O7" s="593" t="s">
        <v>93</v>
      </c>
      <c r="P7" s="143" t="s">
        <v>50</v>
      </c>
      <c r="Q7" s="144"/>
      <c r="R7" s="144"/>
      <c r="S7" s="144"/>
      <c r="T7" s="215"/>
    </row>
    <row r="8" spans="1:20" ht="14.25" customHeight="1" x14ac:dyDescent="0.2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34" t="s">
        <v>1</v>
      </c>
      <c r="Q8" s="143" t="s">
        <v>45</v>
      </c>
      <c r="R8" s="215"/>
      <c r="S8" s="143" t="s">
        <v>46</v>
      </c>
      <c r="T8" s="215"/>
    </row>
    <row r="9" spans="1:20" x14ac:dyDescent="0.2">
      <c r="A9" s="218" t="s">
        <v>23</v>
      </c>
      <c r="B9" s="11"/>
      <c r="C9" s="56"/>
      <c r="D9" s="16"/>
      <c r="E9" s="16"/>
      <c r="F9" s="218"/>
      <c r="G9" s="157"/>
      <c r="H9" s="159"/>
      <c r="I9" s="156"/>
      <c r="J9" s="157"/>
      <c r="K9" s="157"/>
      <c r="L9" s="157"/>
      <c r="M9" s="157"/>
      <c r="N9" s="157"/>
      <c r="O9" s="162"/>
      <c r="P9" s="157"/>
      <c r="Q9" s="155" t="s">
        <v>43</v>
      </c>
      <c r="R9" s="140"/>
      <c r="S9" s="155" t="s">
        <v>44</v>
      </c>
      <c r="T9" s="140"/>
    </row>
    <row r="10" spans="1:20" x14ac:dyDescent="0.2">
      <c r="A10" s="303" t="s">
        <v>28</v>
      </c>
      <c r="B10" s="19" t="s">
        <v>13</v>
      </c>
      <c r="C10" s="85" t="s">
        <v>29</v>
      </c>
      <c r="D10" s="304" t="s">
        <v>21</v>
      </c>
      <c r="E10" s="85" t="s">
        <v>95</v>
      </c>
      <c r="F10" s="186" t="s">
        <v>37</v>
      </c>
      <c r="G10" s="305"/>
      <c r="H10" s="306"/>
      <c r="I10" s="307"/>
      <c r="J10" s="310"/>
      <c r="K10" s="305"/>
      <c r="L10" s="305"/>
      <c r="M10" s="305"/>
      <c r="N10" s="306"/>
      <c r="O10" s="306">
        <v>0</v>
      </c>
      <c r="P10" s="305">
        <v>0</v>
      </c>
      <c r="Q10" s="305">
        <v>0</v>
      </c>
      <c r="R10" s="172">
        <v>0.15</v>
      </c>
      <c r="S10" s="305">
        <v>0</v>
      </c>
      <c r="T10" s="198">
        <v>3.7499999999999999E-2</v>
      </c>
    </row>
    <row r="11" spans="1:20" x14ac:dyDescent="0.2">
      <c r="A11" s="303" t="s">
        <v>28</v>
      </c>
      <c r="B11" s="19" t="s">
        <v>14</v>
      </c>
      <c r="C11" s="85" t="s">
        <v>29</v>
      </c>
      <c r="D11" s="304" t="s">
        <v>21</v>
      </c>
      <c r="E11" s="85" t="s">
        <v>95</v>
      </c>
      <c r="F11" s="186" t="s">
        <v>56</v>
      </c>
      <c r="G11" s="305"/>
      <c r="H11" s="306"/>
      <c r="I11" s="307"/>
      <c r="J11" s="310"/>
      <c r="K11" s="305"/>
      <c r="L11" s="305"/>
      <c r="M11" s="305"/>
      <c r="N11" s="306"/>
      <c r="O11" s="306">
        <v>0</v>
      </c>
      <c r="P11" s="305">
        <v>0</v>
      </c>
      <c r="Q11" s="305">
        <v>0</v>
      </c>
      <c r="R11" s="172">
        <v>0.15</v>
      </c>
      <c r="S11" s="305">
        <v>0</v>
      </c>
      <c r="T11" s="198">
        <v>3.7499999999999999E-2</v>
      </c>
    </row>
    <row r="12" spans="1:20" ht="14.1" customHeight="1" x14ac:dyDescent="0.2">
      <c r="A12" s="303" t="s">
        <v>28</v>
      </c>
      <c r="B12" s="19" t="s">
        <v>154</v>
      </c>
      <c r="C12" s="85" t="s">
        <v>31</v>
      </c>
      <c r="D12" s="304" t="s">
        <v>30</v>
      </c>
      <c r="E12" s="85" t="s">
        <v>95</v>
      </c>
      <c r="F12" s="186" t="s">
        <v>37</v>
      </c>
      <c r="G12" s="309">
        <v>3538</v>
      </c>
      <c r="H12" s="309">
        <v>12997</v>
      </c>
      <c r="I12" s="310">
        <v>77.265699999999995</v>
      </c>
      <c r="J12" s="310">
        <v>76.718699999999998</v>
      </c>
      <c r="K12" s="305"/>
      <c r="L12" s="305"/>
      <c r="M12" s="305"/>
      <c r="N12" s="309">
        <v>364.23820000000001</v>
      </c>
      <c r="O12" s="311">
        <v>1270114.7518</v>
      </c>
      <c r="P12" s="305">
        <v>238146.52</v>
      </c>
      <c r="Q12" s="305">
        <v>190517.21</v>
      </c>
      <c r="R12" s="172">
        <v>0.15</v>
      </c>
      <c r="S12" s="305">
        <v>47629.3</v>
      </c>
      <c r="T12" s="198">
        <v>3.7499999999999999E-2</v>
      </c>
    </row>
    <row r="13" spans="1:20" x14ac:dyDescent="0.2">
      <c r="A13" s="303" t="s">
        <v>28</v>
      </c>
      <c r="B13" s="19" t="s">
        <v>153</v>
      </c>
      <c r="C13" s="85" t="s">
        <v>31</v>
      </c>
      <c r="D13" s="304" t="s">
        <v>30</v>
      </c>
      <c r="E13" s="85" t="s">
        <v>95</v>
      </c>
      <c r="F13" s="186" t="s">
        <v>56</v>
      </c>
      <c r="G13" s="309">
        <v>50806.83</v>
      </c>
      <c r="H13" s="309">
        <v>55329.43</v>
      </c>
      <c r="I13" s="310">
        <v>3</v>
      </c>
      <c r="J13" s="310">
        <v>3</v>
      </c>
      <c r="K13" s="305"/>
      <c r="L13" s="305"/>
      <c r="M13" s="305"/>
      <c r="N13" s="309">
        <v>1019.8613</v>
      </c>
      <c r="O13" s="311">
        <v>317388.91870000004</v>
      </c>
      <c r="P13" s="305">
        <v>59510.42</v>
      </c>
      <c r="Q13" s="305">
        <v>47608.34</v>
      </c>
      <c r="R13" s="172">
        <v>0.15</v>
      </c>
      <c r="S13" s="305">
        <v>11902.08</v>
      </c>
      <c r="T13" s="198">
        <v>3.7499999999999999E-2</v>
      </c>
    </row>
    <row r="14" spans="1:20" x14ac:dyDescent="0.2">
      <c r="A14" s="303" t="s">
        <v>28</v>
      </c>
      <c r="B14" s="19" t="s">
        <v>3</v>
      </c>
      <c r="C14" s="85" t="s">
        <v>31</v>
      </c>
      <c r="D14" s="304" t="s">
        <v>30</v>
      </c>
      <c r="E14" s="85" t="s">
        <v>96</v>
      </c>
      <c r="F14" s="186" t="s">
        <v>37</v>
      </c>
      <c r="G14" s="309">
        <v>4911</v>
      </c>
      <c r="H14" s="309">
        <v>5374</v>
      </c>
      <c r="I14" s="310">
        <v>76.955799999999996</v>
      </c>
      <c r="J14" s="310">
        <v>77.514099999999999</v>
      </c>
      <c r="K14" s="305"/>
      <c r="L14" s="305"/>
      <c r="M14" s="305"/>
      <c r="N14" s="309">
        <v>936.60730000000001</v>
      </c>
      <c r="O14" s="306">
        <v>793554.09269999992</v>
      </c>
      <c r="P14" s="305">
        <v>148791.39000000001</v>
      </c>
      <c r="Q14" s="305">
        <v>119033.11</v>
      </c>
      <c r="R14" s="172">
        <v>0.15</v>
      </c>
      <c r="S14" s="305">
        <v>29758.28</v>
      </c>
      <c r="T14" s="198">
        <v>3.7499999999999999E-2</v>
      </c>
    </row>
    <row r="15" spans="1:20" x14ac:dyDescent="0.2">
      <c r="A15" s="312" t="s">
        <v>28</v>
      </c>
      <c r="B15" s="313" t="s">
        <v>117</v>
      </c>
      <c r="C15" s="186" t="s">
        <v>29</v>
      </c>
      <c r="D15" s="314" t="s">
        <v>21</v>
      </c>
      <c r="E15" s="186" t="s">
        <v>95</v>
      </c>
      <c r="F15" s="186" t="s">
        <v>56</v>
      </c>
      <c r="G15" s="309">
        <v>25622.94</v>
      </c>
      <c r="H15" s="309">
        <v>38042.94</v>
      </c>
      <c r="I15" s="310">
        <v>2.6775000000000002</v>
      </c>
      <c r="J15" s="307">
        <v>2.6775000000000002</v>
      </c>
      <c r="K15" s="305"/>
      <c r="L15" s="305"/>
      <c r="M15" s="305"/>
      <c r="N15" s="309">
        <v>1004.2513</v>
      </c>
      <c r="O15" s="306">
        <v>169461.13870000001</v>
      </c>
      <c r="P15" s="305">
        <v>31773.96</v>
      </c>
      <c r="Q15" s="305">
        <v>25419.17</v>
      </c>
      <c r="R15" s="172">
        <v>0.15</v>
      </c>
      <c r="S15" s="305">
        <v>6354.79</v>
      </c>
      <c r="T15" s="198">
        <v>3.7499999999999999E-2</v>
      </c>
    </row>
    <row r="16" spans="1:20" x14ac:dyDescent="0.2">
      <c r="A16" s="303" t="s">
        <v>28</v>
      </c>
      <c r="B16" s="19" t="s">
        <v>4</v>
      </c>
      <c r="C16" s="85" t="s">
        <v>31</v>
      </c>
      <c r="D16" s="304" t="s">
        <v>30</v>
      </c>
      <c r="E16" s="85" t="s">
        <v>96</v>
      </c>
      <c r="F16" s="186" t="s">
        <v>37</v>
      </c>
      <c r="G16" s="309"/>
      <c r="H16" s="309"/>
      <c r="I16" s="307"/>
      <c r="J16" s="307"/>
      <c r="K16" s="305"/>
      <c r="L16" s="305"/>
      <c r="M16" s="305"/>
      <c r="N16" s="306"/>
      <c r="O16" s="306">
        <v>0</v>
      </c>
      <c r="P16" s="305">
        <v>0</v>
      </c>
      <c r="Q16" s="305">
        <v>0</v>
      </c>
      <c r="R16" s="172">
        <v>0.15</v>
      </c>
      <c r="S16" s="305">
        <v>0</v>
      </c>
      <c r="T16" s="198">
        <v>3.7499999999999999E-2</v>
      </c>
    </row>
    <row r="17" spans="1:20" x14ac:dyDescent="0.2">
      <c r="A17" s="303" t="s">
        <v>28</v>
      </c>
      <c r="B17" s="19" t="s">
        <v>5</v>
      </c>
      <c r="C17" s="85" t="s">
        <v>31</v>
      </c>
      <c r="D17" s="304" t="s">
        <v>30</v>
      </c>
      <c r="E17" s="85" t="s">
        <v>96</v>
      </c>
      <c r="F17" s="186" t="s">
        <v>37</v>
      </c>
      <c r="G17" s="309"/>
      <c r="H17" s="309"/>
      <c r="I17" s="307"/>
      <c r="J17" s="307"/>
      <c r="K17" s="305"/>
      <c r="L17" s="305"/>
      <c r="M17" s="305"/>
      <c r="N17" s="306"/>
      <c r="O17" s="306">
        <v>0</v>
      </c>
      <c r="P17" s="305">
        <v>0</v>
      </c>
      <c r="Q17" s="305">
        <v>0</v>
      </c>
      <c r="R17" s="172">
        <v>0.15</v>
      </c>
      <c r="S17" s="305">
        <v>0</v>
      </c>
      <c r="T17" s="198">
        <v>3.7499999999999999E-2</v>
      </c>
    </row>
    <row r="18" spans="1:20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09">
        <v>19549</v>
      </c>
      <c r="H18" s="309">
        <v>22613</v>
      </c>
      <c r="I18" s="307">
        <v>77.265699999999995</v>
      </c>
      <c r="J18" s="307">
        <v>76.718699999999998</v>
      </c>
      <c r="K18" s="305"/>
      <c r="L18" s="305"/>
      <c r="M18" s="305"/>
      <c r="N18" s="309">
        <v>671.23559999999998</v>
      </c>
      <c r="O18" s="306">
        <v>3244635.8944000001</v>
      </c>
      <c r="P18" s="305">
        <v>608369.23</v>
      </c>
      <c r="Q18" s="305">
        <v>486695.38</v>
      </c>
      <c r="R18" s="172">
        <v>0.15</v>
      </c>
      <c r="S18" s="305">
        <v>121673.85</v>
      </c>
      <c r="T18" s="198">
        <v>3.7499999999999999E-2</v>
      </c>
    </row>
    <row r="19" spans="1:20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09">
        <v>38780</v>
      </c>
      <c r="H19" s="309">
        <v>42805</v>
      </c>
      <c r="I19" s="307">
        <v>77.265699999999995</v>
      </c>
      <c r="J19" s="307">
        <v>76.718699999999998</v>
      </c>
      <c r="K19" s="305"/>
      <c r="L19" s="305"/>
      <c r="M19" s="305"/>
      <c r="N19" s="309">
        <v>1727.5236</v>
      </c>
      <c r="O19" s="306">
        <v>6278580.2764000008</v>
      </c>
      <c r="P19" s="305">
        <v>1177233.8</v>
      </c>
      <c r="Q19" s="305">
        <v>941787.04</v>
      </c>
      <c r="R19" s="172">
        <v>0.15</v>
      </c>
      <c r="S19" s="305">
        <v>235446.76</v>
      </c>
      <c r="T19" s="198">
        <v>3.7499999999999999E-2</v>
      </c>
    </row>
    <row r="20" spans="1:20" x14ac:dyDescent="0.2">
      <c r="A20" s="303" t="s">
        <v>28</v>
      </c>
      <c r="B20" s="19" t="s">
        <v>145</v>
      </c>
      <c r="C20" s="85" t="s">
        <v>31</v>
      </c>
      <c r="D20" s="304" t="s">
        <v>30</v>
      </c>
      <c r="E20" s="85" t="s">
        <v>96</v>
      </c>
      <c r="F20" s="186" t="s">
        <v>37</v>
      </c>
      <c r="G20" s="309">
        <v>53934.91</v>
      </c>
      <c r="H20" s="309">
        <v>44736.41</v>
      </c>
      <c r="I20" s="310">
        <v>3.2496999999999998</v>
      </c>
      <c r="J20" s="307">
        <v>3.2496999999999998</v>
      </c>
      <c r="K20" s="305"/>
      <c r="L20" s="305"/>
      <c r="M20" s="305"/>
      <c r="N20" s="309"/>
      <c r="O20" s="306">
        <v>320652.19</v>
      </c>
      <c r="P20" s="305">
        <v>60122.29</v>
      </c>
      <c r="Q20" s="305">
        <v>48097.83</v>
      </c>
      <c r="R20" s="172">
        <v>0.15</v>
      </c>
      <c r="S20" s="305">
        <v>12024.46</v>
      </c>
      <c r="T20" s="198">
        <v>3.7499999999999999E-2</v>
      </c>
    </row>
    <row r="21" spans="1:20" x14ac:dyDescent="0.2">
      <c r="A21" s="303" t="s">
        <v>28</v>
      </c>
      <c r="B21" s="19" t="s">
        <v>17</v>
      </c>
      <c r="C21" s="85" t="s">
        <v>29</v>
      </c>
      <c r="D21" s="304" t="s">
        <v>21</v>
      </c>
      <c r="E21" s="85" t="s">
        <v>95</v>
      </c>
      <c r="F21" s="186" t="s">
        <v>37</v>
      </c>
      <c r="G21" s="309"/>
      <c r="H21" s="309">
        <v>3344</v>
      </c>
      <c r="I21" s="307"/>
      <c r="J21" s="310">
        <v>77.019599999999997</v>
      </c>
      <c r="K21" s="305"/>
      <c r="L21" s="305"/>
      <c r="M21" s="305"/>
      <c r="N21" s="309">
        <v>790.91359999999997</v>
      </c>
      <c r="O21" s="311">
        <v>256762.62640000001</v>
      </c>
      <c r="P21" s="305">
        <v>48142.99</v>
      </c>
      <c r="Q21" s="305">
        <v>38514.39</v>
      </c>
      <c r="R21" s="172">
        <v>0.15</v>
      </c>
      <c r="S21" s="305">
        <v>9628.6</v>
      </c>
      <c r="T21" s="198">
        <v>3.7499999999999999E-2</v>
      </c>
    </row>
    <row r="22" spans="1:20" x14ac:dyDescent="0.2">
      <c r="A22" s="303" t="s">
        <v>28</v>
      </c>
      <c r="B22" s="19" t="s">
        <v>6</v>
      </c>
      <c r="C22" s="85" t="s">
        <v>31</v>
      </c>
      <c r="D22" s="304" t="s">
        <v>30</v>
      </c>
      <c r="E22" s="85" t="s">
        <v>96</v>
      </c>
      <c r="F22" s="186" t="s">
        <v>37</v>
      </c>
      <c r="G22" s="309">
        <v>47551</v>
      </c>
      <c r="H22" s="309">
        <v>53375</v>
      </c>
      <c r="I22" s="307">
        <v>76.715699999999998</v>
      </c>
      <c r="J22" s="310">
        <v>76.168700000000001</v>
      </c>
      <c r="K22" s="305"/>
      <c r="L22" s="305"/>
      <c r="M22" s="305"/>
      <c r="N22" s="309">
        <v>4818.3245999999999</v>
      </c>
      <c r="O22" s="311">
        <v>7708594.2853999995</v>
      </c>
      <c r="P22" s="305">
        <v>1445361.43</v>
      </c>
      <c r="Q22" s="305">
        <v>1156289.1399999999</v>
      </c>
      <c r="R22" s="172">
        <v>0.15</v>
      </c>
      <c r="S22" s="305">
        <v>289072.28999999998</v>
      </c>
      <c r="T22" s="198">
        <v>3.7499999999999999E-2</v>
      </c>
    </row>
    <row r="23" spans="1:20" x14ac:dyDescent="0.2">
      <c r="A23" s="303" t="s">
        <v>28</v>
      </c>
      <c r="B23" s="19" t="s">
        <v>101</v>
      </c>
      <c r="C23" s="85" t="s">
        <v>29</v>
      </c>
      <c r="D23" s="304" t="s">
        <v>21</v>
      </c>
      <c r="E23" s="85" t="s">
        <v>95</v>
      </c>
      <c r="F23" s="186" t="s">
        <v>37</v>
      </c>
      <c r="G23" s="309"/>
      <c r="H23" s="309"/>
      <c r="I23" s="307"/>
      <c r="J23" s="307"/>
      <c r="K23" s="305"/>
      <c r="L23" s="305"/>
      <c r="M23" s="305"/>
      <c r="N23" s="309"/>
      <c r="O23" s="311">
        <v>0</v>
      </c>
      <c r="P23" s="305">
        <v>0</v>
      </c>
      <c r="Q23" s="305">
        <v>0</v>
      </c>
      <c r="R23" s="172">
        <v>0.15</v>
      </c>
      <c r="S23" s="305">
        <v>0</v>
      </c>
      <c r="T23" s="198">
        <v>3.7499999999999999E-2</v>
      </c>
    </row>
    <row r="24" spans="1:20" x14ac:dyDescent="0.2">
      <c r="A24" s="303" t="s">
        <v>28</v>
      </c>
      <c r="B24" s="19" t="s">
        <v>7</v>
      </c>
      <c r="C24" s="85" t="s">
        <v>31</v>
      </c>
      <c r="D24" s="304" t="s">
        <v>30</v>
      </c>
      <c r="E24" s="85" t="s">
        <v>96</v>
      </c>
      <c r="F24" s="186" t="s">
        <v>56</v>
      </c>
      <c r="G24" s="309">
        <v>44090.86</v>
      </c>
      <c r="H24" s="309">
        <v>43763.91</v>
      </c>
      <c r="I24" s="567">
        <v>2.8494999999999999</v>
      </c>
      <c r="J24" s="307">
        <v>2.8494999999999999</v>
      </c>
      <c r="K24" s="305"/>
      <c r="L24" s="305"/>
      <c r="M24" s="305"/>
      <c r="N24" s="309">
        <v>1129.1334999999999</v>
      </c>
      <c r="O24" s="311">
        <v>249213.03649999999</v>
      </c>
      <c r="P24" s="305">
        <v>46727.44</v>
      </c>
      <c r="Q24" s="305">
        <v>37381.96</v>
      </c>
      <c r="R24" s="172">
        <v>0.15</v>
      </c>
      <c r="S24" s="305">
        <v>9345.49</v>
      </c>
      <c r="T24" s="198">
        <v>3.7499999999999999E-2</v>
      </c>
    </row>
    <row r="25" spans="1:20" x14ac:dyDescent="0.2">
      <c r="A25" s="303" t="s">
        <v>28</v>
      </c>
      <c r="B25" s="19" t="s">
        <v>18</v>
      </c>
      <c r="C25" s="85" t="s">
        <v>31</v>
      </c>
      <c r="D25" s="304" t="s">
        <v>30</v>
      </c>
      <c r="E25" s="85" t="s">
        <v>96</v>
      </c>
      <c r="F25" s="186" t="s">
        <v>37</v>
      </c>
      <c r="G25" s="309">
        <v>1590</v>
      </c>
      <c r="H25" s="309">
        <v>3408</v>
      </c>
      <c r="I25" s="307">
        <v>77.265699999999995</v>
      </c>
      <c r="J25" s="307">
        <v>76.718699999999998</v>
      </c>
      <c r="K25" s="305"/>
      <c r="L25" s="305"/>
      <c r="M25" s="305"/>
      <c r="N25" s="309">
        <v>390.25130000000001</v>
      </c>
      <c r="O25" s="311">
        <v>383919.53869999998</v>
      </c>
      <c r="P25" s="305">
        <v>71984.91</v>
      </c>
      <c r="Q25" s="305">
        <v>57587.93</v>
      </c>
      <c r="R25" s="172">
        <v>0.15</v>
      </c>
      <c r="S25" s="305">
        <v>14396.98</v>
      </c>
      <c r="T25" s="198">
        <v>3.7499999999999999E-2</v>
      </c>
    </row>
    <row r="26" spans="1:20" x14ac:dyDescent="0.2">
      <c r="A26" s="303" t="s">
        <v>28</v>
      </c>
      <c r="B26" s="19" t="s">
        <v>20</v>
      </c>
      <c r="C26" s="85" t="s">
        <v>31</v>
      </c>
      <c r="D26" s="304" t="s">
        <v>30</v>
      </c>
      <c r="E26" s="85" t="s">
        <v>96</v>
      </c>
      <c r="F26" s="186" t="s">
        <v>37</v>
      </c>
      <c r="G26" s="309">
        <v>165170</v>
      </c>
      <c r="H26" s="309">
        <v>174921</v>
      </c>
      <c r="I26" s="307">
        <v>77.265699999999995</v>
      </c>
      <c r="J26" s="307">
        <v>76.718699999999998</v>
      </c>
      <c r="K26" s="305"/>
      <c r="L26" s="305"/>
      <c r="M26" s="305"/>
      <c r="N26" s="309">
        <v>6030.7093999999997</v>
      </c>
      <c r="O26" s="311">
        <v>26175656.680600002</v>
      </c>
      <c r="P26" s="305">
        <v>4907935.63</v>
      </c>
      <c r="Q26" s="305">
        <v>3926348.5</v>
      </c>
      <c r="R26" s="172">
        <v>0.15</v>
      </c>
      <c r="S26" s="305">
        <v>981587.13</v>
      </c>
      <c r="T26" s="198">
        <v>3.7499999999999999E-2</v>
      </c>
    </row>
    <row r="27" spans="1:20" x14ac:dyDescent="0.2">
      <c r="A27" s="303" t="s">
        <v>28</v>
      </c>
      <c r="B27" s="19" t="s">
        <v>8</v>
      </c>
      <c r="C27" s="85" t="s">
        <v>31</v>
      </c>
      <c r="D27" s="304" t="s">
        <v>21</v>
      </c>
      <c r="E27" s="85" t="s">
        <v>96</v>
      </c>
      <c r="F27" s="186" t="s">
        <v>56</v>
      </c>
      <c r="G27" s="309">
        <v>253353.84</v>
      </c>
      <c r="H27" s="309">
        <v>269686.15000000002</v>
      </c>
      <c r="I27" s="307">
        <v>2.5198</v>
      </c>
      <c r="J27" s="307">
        <v>2.5198</v>
      </c>
      <c r="K27" s="305"/>
      <c r="L27" s="305"/>
      <c r="M27" s="305"/>
      <c r="N27" s="309">
        <v>1191.5733</v>
      </c>
      <c r="O27" s="311">
        <v>1316764.5966999999</v>
      </c>
      <c r="P27" s="305">
        <v>246893.36</v>
      </c>
      <c r="Q27" s="305">
        <v>197514.69</v>
      </c>
      <c r="R27" s="172">
        <v>0.15</v>
      </c>
      <c r="S27" s="305">
        <v>49378.67</v>
      </c>
      <c r="T27" s="198">
        <v>3.7499999999999999E-2</v>
      </c>
    </row>
    <row r="28" spans="1:20" x14ac:dyDescent="0.2">
      <c r="A28" s="303" t="s">
        <v>28</v>
      </c>
      <c r="B28" s="19" t="s">
        <v>57</v>
      </c>
      <c r="C28" s="85" t="s">
        <v>31</v>
      </c>
      <c r="D28" s="304" t="s">
        <v>21</v>
      </c>
      <c r="E28" s="85" t="s">
        <v>96</v>
      </c>
      <c r="F28" s="186" t="s">
        <v>37</v>
      </c>
      <c r="G28" s="305"/>
      <c r="H28" s="305"/>
      <c r="I28" s="307"/>
      <c r="J28" s="307"/>
      <c r="K28" s="305"/>
      <c r="L28" s="305"/>
      <c r="M28" s="305"/>
      <c r="N28" s="305"/>
      <c r="O28" s="311">
        <v>0</v>
      </c>
      <c r="P28" s="305">
        <v>0</v>
      </c>
      <c r="Q28" s="305">
        <v>0</v>
      </c>
      <c r="R28" s="172">
        <v>0.15</v>
      </c>
      <c r="S28" s="305">
        <v>0</v>
      </c>
      <c r="T28" s="198">
        <v>3.7499999999999999E-2</v>
      </c>
    </row>
    <row r="29" spans="1:20" x14ac:dyDescent="0.2">
      <c r="A29" s="303" t="s">
        <v>28</v>
      </c>
      <c r="B29" s="19" t="s">
        <v>9</v>
      </c>
      <c r="C29" s="85" t="s">
        <v>31</v>
      </c>
      <c r="D29" s="304" t="s">
        <v>30</v>
      </c>
      <c r="E29" s="85" t="s">
        <v>96</v>
      </c>
      <c r="F29" s="186" t="s">
        <v>37</v>
      </c>
      <c r="G29" s="309">
        <v>393</v>
      </c>
      <c r="H29" s="309">
        <v>422</v>
      </c>
      <c r="I29" s="310">
        <v>76.131500000000003</v>
      </c>
      <c r="J29" s="307">
        <v>77.2196</v>
      </c>
      <c r="K29" s="305"/>
      <c r="L29" s="305"/>
      <c r="M29" s="305"/>
      <c r="N29" s="305">
        <v>426.678</v>
      </c>
      <c r="O29" s="311">
        <v>62079.671999999999</v>
      </c>
      <c r="P29" s="305">
        <v>11639.94</v>
      </c>
      <c r="Q29" s="305">
        <v>9311.9500000000007</v>
      </c>
      <c r="R29" s="172">
        <v>0.15</v>
      </c>
      <c r="S29" s="305">
        <v>2327.9899999999998</v>
      </c>
      <c r="T29" s="198">
        <v>3.7499999999999999E-2</v>
      </c>
    </row>
    <row r="30" spans="1:20" x14ac:dyDescent="0.2">
      <c r="A30" s="303" t="s">
        <v>28</v>
      </c>
      <c r="B30" s="19" t="s">
        <v>109</v>
      </c>
      <c r="C30" s="85" t="s">
        <v>31</v>
      </c>
      <c r="D30" s="304" t="s">
        <v>30</v>
      </c>
      <c r="E30" s="85" t="s">
        <v>96</v>
      </c>
      <c r="F30" s="186" t="s">
        <v>37</v>
      </c>
      <c r="G30" s="309">
        <v>23686</v>
      </c>
      <c r="H30" s="309">
        <v>24724</v>
      </c>
      <c r="I30" s="381">
        <v>74.995699999999999</v>
      </c>
      <c r="J30" s="307">
        <v>74.448700000000002</v>
      </c>
      <c r="K30" s="305"/>
      <c r="L30" s="305"/>
      <c r="M30" s="305"/>
      <c r="N30" s="306">
        <v>4048.2251000000001</v>
      </c>
      <c r="O30" s="311">
        <v>3612969.5848999997</v>
      </c>
      <c r="P30" s="305">
        <v>677431.8</v>
      </c>
      <c r="Q30" s="305">
        <v>541945.43999999994</v>
      </c>
      <c r="R30" s="172">
        <v>0.15</v>
      </c>
      <c r="S30" s="305">
        <v>135486.35999999999</v>
      </c>
      <c r="T30" s="198">
        <v>3.7499999999999999E-2</v>
      </c>
    </row>
    <row r="31" spans="1:20" x14ac:dyDescent="0.2">
      <c r="A31" s="303" t="s">
        <v>28</v>
      </c>
      <c r="B31" s="19" t="s">
        <v>125</v>
      </c>
      <c r="C31" s="85" t="s">
        <v>31</v>
      </c>
      <c r="D31" s="304" t="s">
        <v>30</v>
      </c>
      <c r="E31" s="85" t="s">
        <v>96</v>
      </c>
      <c r="F31" s="186" t="s">
        <v>37</v>
      </c>
      <c r="G31" s="309"/>
      <c r="H31" s="309"/>
      <c r="I31" s="307"/>
      <c r="J31" s="307"/>
      <c r="K31" s="305"/>
      <c r="L31" s="305"/>
      <c r="M31" s="305"/>
      <c r="N31" s="306"/>
      <c r="O31" s="311">
        <v>0</v>
      </c>
      <c r="P31" s="305">
        <v>0</v>
      </c>
      <c r="Q31" s="305">
        <v>0</v>
      </c>
      <c r="R31" s="172">
        <v>0.15</v>
      </c>
      <c r="S31" s="305">
        <v>0</v>
      </c>
      <c r="T31" s="198">
        <v>3.7499999999999999E-2</v>
      </c>
    </row>
    <row r="32" spans="1:20" x14ac:dyDescent="0.2">
      <c r="A32" s="303" t="s">
        <v>28</v>
      </c>
      <c r="B32" s="19" t="s">
        <v>178</v>
      </c>
      <c r="C32" s="85" t="s">
        <v>31</v>
      </c>
      <c r="D32" s="304" t="s">
        <v>30</v>
      </c>
      <c r="E32" s="85" t="s">
        <v>96</v>
      </c>
      <c r="F32" s="186" t="s">
        <v>56</v>
      </c>
      <c r="G32" s="309">
        <v>129134.45</v>
      </c>
      <c r="H32" s="309">
        <v>179531.06</v>
      </c>
      <c r="I32" s="307">
        <v>1.61</v>
      </c>
      <c r="J32" s="307">
        <v>1.61</v>
      </c>
      <c r="K32" s="305"/>
      <c r="L32" s="305"/>
      <c r="M32" s="305"/>
      <c r="N32" s="306">
        <v>1680.6885</v>
      </c>
      <c r="O32" s="311">
        <v>495270.78149999998</v>
      </c>
      <c r="P32" s="305">
        <v>92863.27</v>
      </c>
      <c r="Q32" s="305">
        <v>74290.62</v>
      </c>
      <c r="R32" s="172">
        <v>0.15</v>
      </c>
      <c r="S32" s="305">
        <v>18572.650000000001</v>
      </c>
      <c r="T32" s="198">
        <v>3.7499999999999999E-2</v>
      </c>
    </row>
    <row r="33" spans="1:20" x14ac:dyDescent="0.2">
      <c r="A33" s="303" t="s">
        <v>28</v>
      </c>
      <c r="B33" s="19" t="s">
        <v>179</v>
      </c>
      <c r="C33" s="85" t="s">
        <v>31</v>
      </c>
      <c r="D33" s="304" t="s">
        <v>30</v>
      </c>
      <c r="E33" s="85" t="s">
        <v>96</v>
      </c>
      <c r="F33" s="186" t="s">
        <v>56</v>
      </c>
      <c r="G33" s="309">
        <v>49622.32</v>
      </c>
      <c r="H33" s="309">
        <v>50693.760000000002</v>
      </c>
      <c r="I33" s="307">
        <v>3.9975999999999998</v>
      </c>
      <c r="J33" s="307">
        <v>3.9689999999999999</v>
      </c>
      <c r="K33" s="305"/>
      <c r="L33" s="305"/>
      <c r="M33" s="305"/>
      <c r="N33" s="306"/>
      <c r="O33" s="311">
        <v>399573.72</v>
      </c>
      <c r="P33" s="305">
        <v>74920.070000000007</v>
      </c>
      <c r="Q33" s="305">
        <v>59936.06</v>
      </c>
      <c r="R33" s="172">
        <v>0.15</v>
      </c>
      <c r="S33" s="305">
        <v>14984.01</v>
      </c>
      <c r="T33" s="198">
        <v>3.7499999999999999E-2</v>
      </c>
    </row>
    <row r="34" spans="1:20" x14ac:dyDescent="0.2">
      <c r="A34" s="303" t="s">
        <v>28</v>
      </c>
      <c r="B34" s="19" t="s">
        <v>193</v>
      </c>
      <c r="C34" s="85" t="s">
        <v>31</v>
      </c>
      <c r="D34" s="304" t="s">
        <v>30</v>
      </c>
      <c r="E34" s="85" t="s">
        <v>96</v>
      </c>
      <c r="F34" s="186" t="s">
        <v>56</v>
      </c>
      <c r="G34" s="309"/>
      <c r="H34" s="309"/>
      <c r="I34" s="307"/>
      <c r="J34" s="307"/>
      <c r="K34" s="305"/>
      <c r="L34" s="305"/>
      <c r="M34" s="305"/>
      <c r="N34" s="306"/>
      <c r="O34" s="311">
        <v>0</v>
      </c>
      <c r="P34" s="305">
        <v>0</v>
      </c>
      <c r="Q34" s="305">
        <v>0</v>
      </c>
      <c r="R34" s="172">
        <v>0.15</v>
      </c>
      <c r="S34" s="305">
        <v>0</v>
      </c>
      <c r="T34" s="198">
        <v>3.7499999999999999E-2</v>
      </c>
    </row>
    <row r="35" spans="1:20" x14ac:dyDescent="0.2">
      <c r="A35" s="303" t="s">
        <v>28</v>
      </c>
      <c r="B35" s="19" t="s">
        <v>202</v>
      </c>
      <c r="C35" s="85" t="s">
        <v>31</v>
      </c>
      <c r="D35" s="304" t="s">
        <v>30</v>
      </c>
      <c r="E35" s="85" t="s">
        <v>96</v>
      </c>
      <c r="F35" s="186" t="s">
        <v>56</v>
      </c>
      <c r="G35" s="306"/>
      <c r="H35" s="305"/>
      <c r="I35" s="307"/>
      <c r="J35" s="307"/>
      <c r="K35" s="305"/>
      <c r="L35" s="305"/>
      <c r="M35" s="305"/>
      <c r="N35" s="306"/>
      <c r="O35" s="311">
        <v>0</v>
      </c>
      <c r="P35" s="305">
        <v>0</v>
      </c>
      <c r="Q35" s="305">
        <v>0</v>
      </c>
      <c r="R35" s="172">
        <v>0.15</v>
      </c>
      <c r="S35" s="305">
        <v>0</v>
      </c>
      <c r="T35" s="198">
        <v>3.7499999999999999E-2</v>
      </c>
    </row>
    <row r="36" spans="1:20" x14ac:dyDescent="0.2">
      <c r="A36" s="303" t="s">
        <v>28</v>
      </c>
      <c r="B36" s="19" t="s">
        <v>150</v>
      </c>
      <c r="C36" s="85" t="s">
        <v>31</v>
      </c>
      <c r="D36" s="304" t="s">
        <v>30</v>
      </c>
      <c r="E36" s="85" t="s">
        <v>96</v>
      </c>
      <c r="F36" s="186" t="s">
        <v>56</v>
      </c>
      <c r="G36" s="309">
        <v>42227.72</v>
      </c>
      <c r="H36" s="309">
        <v>29140.93</v>
      </c>
      <c r="I36" s="567">
        <v>3.6086999999999998</v>
      </c>
      <c r="J36" s="307">
        <v>3.5017999999999998</v>
      </c>
      <c r="K36" s="305"/>
      <c r="L36" s="305"/>
      <c r="M36" s="305"/>
      <c r="N36" s="306"/>
      <c r="O36" s="311">
        <v>254432.88</v>
      </c>
      <c r="P36" s="305">
        <v>47706.17</v>
      </c>
      <c r="Q36" s="305">
        <v>38164.93</v>
      </c>
      <c r="R36" s="172">
        <v>0.15</v>
      </c>
      <c r="S36" s="305">
        <v>9541.23</v>
      </c>
      <c r="T36" s="198">
        <v>3.7499999999999999E-2</v>
      </c>
    </row>
    <row r="37" spans="1:20" x14ac:dyDescent="0.2">
      <c r="A37" s="303" t="s">
        <v>28</v>
      </c>
      <c r="B37" s="370" t="s">
        <v>180</v>
      </c>
      <c r="C37" s="375" t="s">
        <v>31</v>
      </c>
      <c r="D37" s="304" t="s">
        <v>30</v>
      </c>
      <c r="E37" s="85" t="s">
        <v>96</v>
      </c>
      <c r="F37" s="186" t="s">
        <v>56</v>
      </c>
      <c r="G37" s="309">
        <v>229517.88080000001</v>
      </c>
      <c r="H37" s="309">
        <v>159568.48269999999</v>
      </c>
      <c r="I37" s="307">
        <v>3.3631000000000002</v>
      </c>
      <c r="J37" s="307">
        <v>3.3351999999999999</v>
      </c>
      <c r="K37" s="305"/>
      <c r="L37" s="305"/>
      <c r="M37" s="305"/>
      <c r="N37" s="306"/>
      <c r="O37" s="311">
        <v>1304084.3799999999</v>
      </c>
      <c r="P37" s="305">
        <v>244515.82</v>
      </c>
      <c r="Q37" s="316">
        <v>195612.66</v>
      </c>
      <c r="R37" s="299">
        <v>0.15</v>
      </c>
      <c r="S37" s="316">
        <v>48903.16</v>
      </c>
      <c r="T37" s="198">
        <v>3.7499999999999999E-2</v>
      </c>
    </row>
    <row r="38" spans="1:20" x14ac:dyDescent="0.2">
      <c r="A38" s="303" t="s">
        <v>28</v>
      </c>
      <c r="B38" s="370" t="s">
        <v>169</v>
      </c>
      <c r="C38" s="375" t="s">
        <v>31</v>
      </c>
      <c r="D38" s="304" t="s">
        <v>30</v>
      </c>
      <c r="E38" s="85" t="s">
        <v>96</v>
      </c>
      <c r="F38" s="186" t="s">
        <v>56</v>
      </c>
      <c r="G38" s="309">
        <v>6274.3146999999999</v>
      </c>
      <c r="H38" s="309">
        <v>5982.5024999999996</v>
      </c>
      <c r="I38" s="307">
        <v>3.41</v>
      </c>
      <c r="J38" s="307">
        <v>3.3351999999999999</v>
      </c>
      <c r="K38" s="305"/>
      <c r="L38" s="305"/>
      <c r="M38" s="305"/>
      <c r="N38" s="306"/>
      <c r="O38" s="311">
        <v>41348.25</v>
      </c>
      <c r="P38" s="305">
        <v>7752.8</v>
      </c>
      <c r="Q38" s="316">
        <v>6202.24</v>
      </c>
      <c r="R38" s="299">
        <v>0.15</v>
      </c>
      <c r="S38" s="316">
        <v>1550.56</v>
      </c>
      <c r="T38" s="198">
        <v>3.7499999999999999E-2</v>
      </c>
    </row>
    <row r="39" spans="1:20" x14ac:dyDescent="0.2">
      <c r="A39" s="303" t="s">
        <v>28</v>
      </c>
      <c r="B39" s="19" t="s">
        <v>15</v>
      </c>
      <c r="C39" s="85" t="s">
        <v>29</v>
      </c>
      <c r="D39" s="304" t="s">
        <v>21</v>
      </c>
      <c r="E39" s="85" t="s">
        <v>95</v>
      </c>
      <c r="F39" s="186" t="s">
        <v>37</v>
      </c>
      <c r="G39" s="309"/>
      <c r="H39" s="309">
        <v>165145</v>
      </c>
      <c r="I39" s="307"/>
      <c r="J39" s="307">
        <v>81.341399999999993</v>
      </c>
      <c r="K39" s="305"/>
      <c r="L39" s="305"/>
      <c r="M39" s="305"/>
      <c r="N39" s="306">
        <v>1300.8454999999999</v>
      </c>
      <c r="O39" s="311">
        <v>13431824.6545</v>
      </c>
      <c r="P39" s="305">
        <v>2518467.12</v>
      </c>
      <c r="Q39" s="305">
        <v>2014773.7</v>
      </c>
      <c r="R39" s="172">
        <v>0.15</v>
      </c>
      <c r="S39" s="305">
        <v>503693.42</v>
      </c>
      <c r="T39" s="198">
        <v>3.7499999999999999E-2</v>
      </c>
    </row>
    <row r="40" spans="1:20" x14ac:dyDescent="0.2">
      <c r="A40" s="303" t="s">
        <v>28</v>
      </c>
      <c r="B40" s="19" t="s">
        <v>16</v>
      </c>
      <c r="C40" s="85" t="s">
        <v>29</v>
      </c>
      <c r="D40" s="304" t="s">
        <v>21</v>
      </c>
      <c r="E40" s="85" t="s">
        <v>95</v>
      </c>
      <c r="F40" s="186" t="s">
        <v>56</v>
      </c>
      <c r="G40" s="309"/>
      <c r="H40" s="309">
        <v>423667.03</v>
      </c>
      <c r="I40" s="306"/>
      <c r="J40" s="307">
        <v>6.7024999999999997</v>
      </c>
      <c r="K40" s="305"/>
      <c r="L40" s="305"/>
      <c r="M40" s="305"/>
      <c r="N40" s="306">
        <v>1149.9476</v>
      </c>
      <c r="O40" s="311">
        <v>2838478.3223999999</v>
      </c>
      <c r="P40" s="305">
        <v>532214.68999999994</v>
      </c>
      <c r="Q40" s="305">
        <v>425771.75</v>
      </c>
      <c r="R40" s="172">
        <v>0.15</v>
      </c>
      <c r="S40" s="305">
        <v>106442.94</v>
      </c>
      <c r="T40" s="198">
        <v>3.7499999999999999E-2</v>
      </c>
    </row>
    <row r="41" spans="1:20" x14ac:dyDescent="0.2">
      <c r="A41" s="303" t="s">
        <v>28</v>
      </c>
      <c r="B41" s="19" t="s">
        <v>114</v>
      </c>
      <c r="C41" s="85" t="s">
        <v>31</v>
      </c>
      <c r="D41" s="304" t="s">
        <v>30</v>
      </c>
      <c r="E41" s="85" t="s">
        <v>96</v>
      </c>
      <c r="F41" s="186" t="s">
        <v>37</v>
      </c>
      <c r="G41" s="309">
        <v>203</v>
      </c>
      <c r="H41" s="309">
        <v>178</v>
      </c>
      <c r="I41" s="310">
        <v>77.265699999999995</v>
      </c>
      <c r="J41" s="307">
        <v>76.718699999999998</v>
      </c>
      <c r="K41" s="305"/>
      <c r="L41" s="305"/>
      <c r="M41" s="305"/>
      <c r="N41" s="306">
        <v>249.76179999999999</v>
      </c>
      <c r="O41" s="311">
        <v>29091.108200000002</v>
      </c>
      <c r="P41" s="305">
        <v>5454.58</v>
      </c>
      <c r="Q41" s="305">
        <v>1090.92</v>
      </c>
      <c r="R41" s="198">
        <v>3.7499999999999999E-2</v>
      </c>
      <c r="S41" s="305">
        <v>4363.67</v>
      </c>
      <c r="T41" s="172">
        <v>0.15</v>
      </c>
    </row>
    <row r="42" spans="1:20" x14ac:dyDescent="0.2">
      <c r="A42" s="303" t="s">
        <v>28</v>
      </c>
      <c r="B42" s="19" t="s">
        <v>110</v>
      </c>
      <c r="C42" s="85" t="s">
        <v>31</v>
      </c>
      <c r="D42" s="304" t="s">
        <v>30</v>
      </c>
      <c r="E42" s="85" t="s">
        <v>96</v>
      </c>
      <c r="F42" s="186" t="s">
        <v>37</v>
      </c>
      <c r="G42" s="306"/>
      <c r="H42" s="306"/>
      <c r="I42" s="310"/>
      <c r="J42" s="310"/>
      <c r="K42" s="306"/>
      <c r="L42" s="305"/>
      <c r="M42" s="305"/>
      <c r="N42" s="306"/>
      <c r="O42" s="311">
        <v>0</v>
      </c>
      <c r="P42" s="305">
        <v>0</v>
      </c>
      <c r="Q42" s="305">
        <v>0</v>
      </c>
      <c r="R42" s="198">
        <v>3.7499999999999999E-2</v>
      </c>
      <c r="S42" s="305">
        <v>0</v>
      </c>
      <c r="T42" s="172">
        <v>0.15</v>
      </c>
    </row>
    <row r="43" spans="1:20" x14ac:dyDescent="0.2">
      <c r="A43" s="303" t="s">
        <v>28</v>
      </c>
      <c r="B43" s="19" t="s">
        <v>111</v>
      </c>
      <c r="C43" s="85" t="s">
        <v>31</v>
      </c>
      <c r="D43" s="304" t="s">
        <v>30</v>
      </c>
      <c r="E43" s="85" t="s">
        <v>96</v>
      </c>
      <c r="F43" s="186" t="s">
        <v>56</v>
      </c>
      <c r="G43" s="306"/>
      <c r="H43" s="306"/>
      <c r="I43" s="310"/>
      <c r="J43" s="310"/>
      <c r="K43" s="306"/>
      <c r="L43" s="305"/>
      <c r="M43" s="305"/>
      <c r="N43" s="306"/>
      <c r="O43" s="311">
        <v>0</v>
      </c>
      <c r="P43" s="305">
        <v>0</v>
      </c>
      <c r="Q43" s="305">
        <v>0</v>
      </c>
      <c r="R43" s="198">
        <v>3.7499999999999999E-2</v>
      </c>
      <c r="S43" s="305">
        <v>0</v>
      </c>
      <c r="T43" s="172">
        <v>0.15</v>
      </c>
    </row>
    <row r="44" spans="1:20" x14ac:dyDescent="0.2">
      <c r="A44" s="319" t="s">
        <v>28</v>
      </c>
      <c r="B44" s="313" t="s">
        <v>115</v>
      </c>
      <c r="C44" s="186" t="s">
        <v>29</v>
      </c>
      <c r="D44" s="314" t="s">
        <v>21</v>
      </c>
      <c r="E44" s="186" t="s">
        <v>95</v>
      </c>
      <c r="F44" s="186" t="s">
        <v>37</v>
      </c>
      <c r="G44" s="306"/>
      <c r="H44" s="309">
        <v>15993</v>
      </c>
      <c r="I44" s="310"/>
      <c r="J44" s="310">
        <v>84.894800000000004</v>
      </c>
      <c r="K44" s="306"/>
      <c r="L44" s="305"/>
      <c r="M44" s="305"/>
      <c r="N44" s="306">
        <v>1248.8089</v>
      </c>
      <c r="O44" s="311">
        <v>1356473.7311</v>
      </c>
      <c r="P44" s="305">
        <v>254338.82</v>
      </c>
      <c r="Q44" s="305">
        <v>203471.06</v>
      </c>
      <c r="R44" s="173">
        <v>0.15</v>
      </c>
      <c r="S44" s="305">
        <v>50867.76</v>
      </c>
      <c r="T44" s="198">
        <v>3.7499999999999999E-2</v>
      </c>
    </row>
    <row r="45" spans="1:20" x14ac:dyDescent="0.2">
      <c r="A45" s="319" t="s">
        <v>28</v>
      </c>
      <c r="B45" s="19" t="s">
        <v>119</v>
      </c>
      <c r="C45" s="85" t="s">
        <v>31</v>
      </c>
      <c r="D45" s="304" t="s">
        <v>30</v>
      </c>
      <c r="E45" s="85" t="s">
        <v>96</v>
      </c>
      <c r="F45" s="186" t="s">
        <v>56</v>
      </c>
      <c r="G45" s="306"/>
      <c r="H45" s="306"/>
      <c r="I45" s="310"/>
      <c r="J45" s="310"/>
      <c r="K45" s="306"/>
      <c r="L45" s="305"/>
      <c r="M45" s="305"/>
      <c r="N45" s="306"/>
      <c r="O45" s="311">
        <v>0</v>
      </c>
      <c r="P45" s="305">
        <v>0</v>
      </c>
      <c r="Q45" s="305">
        <v>0</v>
      </c>
      <c r="R45" s="192">
        <v>0.15</v>
      </c>
      <c r="S45" s="305">
        <v>0</v>
      </c>
      <c r="T45" s="198">
        <v>3.7499999999999999E-2</v>
      </c>
    </row>
    <row r="46" spans="1:20" x14ac:dyDescent="0.2">
      <c r="A46" s="319" t="s">
        <v>28</v>
      </c>
      <c r="B46" s="320" t="s">
        <v>52</v>
      </c>
      <c r="C46" s="321"/>
      <c r="D46" s="321"/>
      <c r="E46" s="322"/>
      <c r="F46" s="186"/>
      <c r="G46" s="305"/>
      <c r="H46" s="305"/>
      <c r="I46" s="307"/>
      <c r="J46" s="307"/>
      <c r="K46" s="305"/>
      <c r="L46" s="305"/>
      <c r="M46" s="305"/>
      <c r="N46" s="305"/>
      <c r="O46" s="311">
        <v>-17032.48999999954</v>
      </c>
      <c r="P46" s="311">
        <v>-3193.5900000001529</v>
      </c>
      <c r="Q46" s="311">
        <v>-2554.87000000021</v>
      </c>
      <c r="R46" s="192"/>
      <c r="S46" s="311">
        <v>-638.71999999994387</v>
      </c>
      <c r="T46" s="172"/>
    </row>
    <row r="47" spans="1:20" x14ac:dyDescent="0.2">
      <c r="A47" s="26"/>
      <c r="B47" s="135" t="s">
        <v>99</v>
      </c>
      <c r="C47" s="27" t="s">
        <v>156</v>
      </c>
      <c r="D47" s="35"/>
      <c r="E47" s="36"/>
      <c r="F47" s="187"/>
      <c r="G47" s="323"/>
      <c r="H47" s="323"/>
      <c r="I47" s="324"/>
      <c r="J47" s="324"/>
      <c r="K47" s="323"/>
      <c r="L47" s="323"/>
      <c r="M47" s="323"/>
      <c r="N47" s="325"/>
      <c r="O47" s="325">
        <v>72293892.621600002</v>
      </c>
      <c r="P47" s="325">
        <v>13555104.859999999</v>
      </c>
      <c r="Q47" s="325">
        <v>10840811.149999999</v>
      </c>
      <c r="R47" s="174"/>
      <c r="S47" s="325">
        <v>2714293.7099999995</v>
      </c>
      <c r="T47" s="174"/>
    </row>
    <row r="48" spans="1:20" x14ac:dyDescent="0.2">
      <c r="A48" s="114"/>
      <c r="B48" s="328"/>
      <c r="C48" s="27" t="s">
        <v>157</v>
      </c>
      <c r="D48" s="321"/>
      <c r="E48" s="321"/>
      <c r="F48" s="119"/>
      <c r="G48" s="329"/>
      <c r="H48" s="329"/>
      <c r="I48" s="318"/>
      <c r="J48" s="318"/>
      <c r="K48" s="329"/>
      <c r="L48" s="329"/>
      <c r="M48" s="329"/>
      <c r="N48" s="329"/>
      <c r="O48" s="330"/>
      <c r="P48" s="331">
        <v>52336259.859999999</v>
      </c>
      <c r="Q48" s="332">
        <v>41856371.850000001</v>
      </c>
      <c r="R48" s="121"/>
      <c r="S48" s="333">
        <v>10479888.01</v>
      </c>
      <c r="T48" s="139"/>
    </row>
    <row r="49" spans="1:20" x14ac:dyDescent="0.2">
      <c r="A49" s="218" t="s">
        <v>22</v>
      </c>
      <c r="B49" s="11"/>
      <c r="C49" s="55"/>
      <c r="D49" s="55"/>
      <c r="E49" s="12"/>
      <c r="F49" s="31"/>
      <c r="G49" s="334"/>
      <c r="H49" s="334"/>
      <c r="I49" s="335"/>
      <c r="J49" s="335"/>
      <c r="K49" s="334"/>
      <c r="L49" s="334"/>
      <c r="M49" s="334"/>
      <c r="N49" s="334"/>
      <c r="O49" s="336"/>
      <c r="P49" s="334"/>
      <c r="Q49" s="175" t="s">
        <v>49</v>
      </c>
      <c r="R49" s="168"/>
      <c r="S49" s="337"/>
      <c r="T49" s="221"/>
    </row>
    <row r="50" spans="1:20" x14ac:dyDescent="0.2">
      <c r="A50" s="319" t="s">
        <v>28</v>
      </c>
      <c r="B50" s="19" t="s">
        <v>11</v>
      </c>
      <c r="C50" s="85" t="s">
        <v>31</v>
      </c>
      <c r="D50" s="304" t="s">
        <v>30</v>
      </c>
      <c r="E50" s="85" t="s">
        <v>96</v>
      </c>
      <c r="F50" s="169" t="s">
        <v>37</v>
      </c>
      <c r="G50" s="306"/>
      <c r="H50" s="306"/>
      <c r="I50" s="310"/>
      <c r="J50" s="310"/>
      <c r="K50" s="305"/>
      <c r="L50" s="305"/>
      <c r="M50" s="305"/>
      <c r="N50" s="306"/>
      <c r="O50" s="311">
        <v>0</v>
      </c>
      <c r="P50" s="305">
        <v>0</v>
      </c>
      <c r="Q50" s="305">
        <v>0</v>
      </c>
      <c r="R50" s="172">
        <v>0.15</v>
      </c>
      <c r="S50" s="338"/>
      <c r="T50" s="173"/>
    </row>
    <row r="51" spans="1:20" x14ac:dyDescent="0.2">
      <c r="A51" s="319" t="s">
        <v>28</v>
      </c>
      <c r="B51" s="24">
        <v>131</v>
      </c>
      <c r="C51" s="85" t="s">
        <v>31</v>
      </c>
      <c r="D51" s="304" t="s">
        <v>30</v>
      </c>
      <c r="E51" s="85" t="s">
        <v>96</v>
      </c>
      <c r="F51" s="169" t="s">
        <v>37</v>
      </c>
      <c r="G51" s="306">
        <v>14935</v>
      </c>
      <c r="H51" s="306">
        <v>12528</v>
      </c>
      <c r="I51" s="310">
        <v>67.638199999999998</v>
      </c>
      <c r="J51" s="310">
        <v>67.882999999999996</v>
      </c>
      <c r="K51" s="305"/>
      <c r="L51" s="305"/>
      <c r="M51" s="305"/>
      <c r="N51" s="305">
        <v>5026.4606999999996</v>
      </c>
      <c r="O51" s="578">
        <v>1855588.2793000001</v>
      </c>
      <c r="P51" s="305">
        <v>278338.24</v>
      </c>
      <c r="Q51" s="305">
        <v>278338.24</v>
      </c>
      <c r="R51" s="172">
        <v>0.15</v>
      </c>
      <c r="S51" s="338"/>
      <c r="T51" s="173"/>
    </row>
    <row r="52" spans="1:20" x14ac:dyDescent="0.2">
      <c r="A52" s="319" t="s">
        <v>28</v>
      </c>
      <c r="B52" s="320" t="s">
        <v>53</v>
      </c>
      <c r="C52" s="321"/>
      <c r="D52" s="321"/>
      <c r="E52" s="339"/>
      <c r="F52" s="169"/>
      <c r="G52" s="305"/>
      <c r="H52" s="305"/>
      <c r="I52" s="307"/>
      <c r="J52" s="307"/>
      <c r="K52" s="305"/>
      <c r="L52" s="305"/>
      <c r="M52" s="305"/>
      <c r="N52" s="305"/>
      <c r="O52" s="305"/>
      <c r="P52" s="305"/>
      <c r="Q52" s="305"/>
      <c r="R52" s="173"/>
      <c r="S52" s="305"/>
      <c r="T52" s="173"/>
    </row>
    <row r="53" spans="1:20" x14ac:dyDescent="0.2">
      <c r="A53" s="26"/>
      <c r="B53" s="135" t="s">
        <v>99</v>
      </c>
      <c r="C53" s="27" t="s">
        <v>158</v>
      </c>
      <c r="D53" s="35"/>
      <c r="E53" s="36"/>
      <c r="F53" s="35"/>
      <c r="G53" s="323"/>
      <c r="H53" s="323"/>
      <c r="I53" s="324"/>
      <c r="J53" s="324"/>
      <c r="K53" s="323"/>
      <c r="L53" s="323"/>
      <c r="M53" s="323"/>
      <c r="N53" s="323"/>
      <c r="O53" s="325">
        <v>1855588.2793000001</v>
      </c>
      <c r="P53" s="325">
        <v>278338.24</v>
      </c>
      <c r="Q53" s="325">
        <v>278338.24</v>
      </c>
      <c r="R53" s="174"/>
      <c r="S53" s="325">
        <v>0</v>
      </c>
      <c r="T53" s="174"/>
    </row>
    <row r="54" spans="1:20" x14ac:dyDescent="0.2">
      <c r="A54" s="114"/>
      <c r="B54" s="328"/>
      <c r="C54" s="27" t="s">
        <v>159</v>
      </c>
      <c r="D54" s="321"/>
      <c r="E54" s="321"/>
      <c r="F54" s="119"/>
      <c r="G54" s="329"/>
      <c r="H54" s="329"/>
      <c r="I54" s="318"/>
      <c r="J54" s="318"/>
      <c r="K54" s="329"/>
      <c r="L54" s="329"/>
      <c r="M54" s="329"/>
      <c r="N54" s="329"/>
      <c r="O54" s="330"/>
      <c r="P54" s="331">
        <v>1074663.94</v>
      </c>
      <c r="Q54" s="332">
        <v>1074663.94</v>
      </c>
      <c r="R54" s="121"/>
      <c r="S54" s="331">
        <v>0</v>
      </c>
      <c r="T54" s="121"/>
    </row>
    <row r="55" spans="1:20" x14ac:dyDescent="0.2">
      <c r="A55" s="218" t="s">
        <v>24</v>
      </c>
      <c r="B55" s="11"/>
      <c r="C55" s="55"/>
      <c r="D55" s="55"/>
      <c r="E55" s="12"/>
      <c r="F55" s="177"/>
      <c r="G55" s="334"/>
      <c r="H55" s="334"/>
      <c r="I55" s="335"/>
      <c r="J55" s="335"/>
      <c r="K55" s="334"/>
      <c r="L55" s="334"/>
      <c r="M55" s="334"/>
      <c r="N55" s="334"/>
      <c r="O55" s="336"/>
      <c r="P55" s="334"/>
      <c r="Q55" s="175" t="s">
        <v>47</v>
      </c>
      <c r="R55" s="168"/>
      <c r="S55" s="178" t="s">
        <v>48</v>
      </c>
      <c r="T55" s="168"/>
    </row>
    <row r="56" spans="1:20" x14ac:dyDescent="0.2">
      <c r="A56" s="303" t="s">
        <v>28</v>
      </c>
      <c r="B56" s="19" t="s">
        <v>108</v>
      </c>
      <c r="C56" s="85" t="s">
        <v>31</v>
      </c>
      <c r="D56" s="85" t="s">
        <v>21</v>
      </c>
      <c r="E56" s="85" t="s">
        <v>96</v>
      </c>
      <c r="F56" s="182" t="s">
        <v>37</v>
      </c>
      <c r="G56" s="306"/>
      <c r="H56" s="306"/>
      <c r="I56" s="310"/>
      <c r="J56" s="310"/>
      <c r="K56" s="306"/>
      <c r="L56" s="305"/>
      <c r="M56" s="305"/>
      <c r="N56" s="306"/>
      <c r="O56" s="311">
        <v>0</v>
      </c>
      <c r="P56" s="305">
        <v>0</v>
      </c>
      <c r="Q56" s="305">
        <v>0</v>
      </c>
      <c r="R56" s="172">
        <v>0.15</v>
      </c>
      <c r="S56" s="305">
        <v>0</v>
      </c>
      <c r="T56" s="198">
        <v>3.7499999999999999E-2</v>
      </c>
    </row>
    <row r="57" spans="1:20" x14ac:dyDescent="0.2">
      <c r="A57" s="303" t="s">
        <v>28</v>
      </c>
      <c r="B57" s="189">
        <v>192</v>
      </c>
      <c r="C57" s="85" t="s">
        <v>29</v>
      </c>
      <c r="D57" s="85" t="s">
        <v>21</v>
      </c>
      <c r="E57" s="85" t="s">
        <v>95</v>
      </c>
      <c r="F57" s="182" t="s">
        <v>37</v>
      </c>
      <c r="G57" s="306"/>
      <c r="H57" s="306"/>
      <c r="I57" s="310"/>
      <c r="J57" s="310"/>
      <c r="K57" s="306"/>
      <c r="L57" s="305"/>
      <c r="M57" s="305"/>
      <c r="N57" s="305"/>
      <c r="O57" s="311">
        <v>0</v>
      </c>
      <c r="P57" s="305">
        <v>0</v>
      </c>
      <c r="Q57" s="305">
        <v>0</v>
      </c>
      <c r="R57" s="172">
        <v>0.15</v>
      </c>
      <c r="S57" s="305">
        <v>0</v>
      </c>
      <c r="T57" s="198">
        <v>3.7499999999999999E-2</v>
      </c>
    </row>
    <row r="58" spans="1:20" x14ac:dyDescent="0.2">
      <c r="A58" s="303" t="s">
        <v>28</v>
      </c>
      <c r="B58" s="24">
        <v>8</v>
      </c>
      <c r="C58" s="85" t="s">
        <v>31</v>
      </c>
      <c r="D58" s="85" t="s">
        <v>30</v>
      </c>
      <c r="E58" s="85" t="s">
        <v>96</v>
      </c>
      <c r="F58" s="182" t="s">
        <v>37</v>
      </c>
      <c r="G58" s="305"/>
      <c r="H58" s="306"/>
      <c r="I58" s="307"/>
      <c r="J58" s="310"/>
      <c r="K58" s="305"/>
      <c r="L58" s="305"/>
      <c r="M58" s="305"/>
      <c r="N58" s="305"/>
      <c r="O58" s="311">
        <v>0</v>
      </c>
      <c r="P58" s="305">
        <v>0</v>
      </c>
      <c r="Q58" s="305">
        <v>0</v>
      </c>
      <c r="R58" s="172">
        <v>0.15</v>
      </c>
      <c r="S58" s="305">
        <v>0</v>
      </c>
      <c r="T58" s="198">
        <v>3.7499999999999999E-2</v>
      </c>
    </row>
    <row r="59" spans="1:20" x14ac:dyDescent="0.2">
      <c r="A59" s="303" t="s">
        <v>28</v>
      </c>
      <c r="B59" s="24" t="s">
        <v>143</v>
      </c>
      <c r="C59" s="85" t="s">
        <v>31</v>
      </c>
      <c r="D59" s="85" t="s">
        <v>30</v>
      </c>
      <c r="E59" s="85" t="s">
        <v>96</v>
      </c>
      <c r="F59" s="182" t="s">
        <v>37</v>
      </c>
      <c r="G59" s="305"/>
      <c r="H59" s="306"/>
      <c r="I59" s="307"/>
      <c r="J59" s="310"/>
      <c r="K59" s="305"/>
      <c r="L59" s="305"/>
      <c r="M59" s="305"/>
      <c r="N59" s="305"/>
      <c r="O59" s="311">
        <v>0</v>
      </c>
      <c r="P59" s="305">
        <v>0</v>
      </c>
      <c r="Q59" s="305">
        <v>0</v>
      </c>
      <c r="R59" s="172">
        <v>0.15</v>
      </c>
      <c r="S59" s="305">
        <v>0</v>
      </c>
      <c r="T59" s="198">
        <v>3.7499999999999999E-2</v>
      </c>
    </row>
    <row r="60" spans="1:20" x14ac:dyDescent="0.2">
      <c r="A60" s="303" t="s">
        <v>28</v>
      </c>
      <c r="B60" s="19" t="s">
        <v>10</v>
      </c>
      <c r="C60" s="85" t="s">
        <v>31</v>
      </c>
      <c r="D60" s="85" t="s">
        <v>30</v>
      </c>
      <c r="E60" s="85" t="s">
        <v>96</v>
      </c>
      <c r="F60" s="182" t="s">
        <v>37</v>
      </c>
      <c r="G60" s="306"/>
      <c r="H60" s="306"/>
      <c r="I60" s="310"/>
      <c r="J60" s="310"/>
      <c r="K60" s="305"/>
      <c r="L60" s="305"/>
      <c r="M60" s="305"/>
      <c r="N60" s="306"/>
      <c r="O60" s="311">
        <v>0</v>
      </c>
      <c r="P60" s="305">
        <v>0</v>
      </c>
      <c r="Q60" s="305">
        <v>0</v>
      </c>
      <c r="R60" s="172">
        <v>0.15</v>
      </c>
      <c r="S60" s="305">
        <v>0</v>
      </c>
      <c r="T60" s="198">
        <v>3.7499999999999999E-2</v>
      </c>
    </row>
    <row r="61" spans="1:20" x14ac:dyDescent="0.2">
      <c r="A61" s="303" t="s">
        <v>28</v>
      </c>
      <c r="B61" s="19" t="s">
        <v>12</v>
      </c>
      <c r="C61" s="85" t="s">
        <v>31</v>
      </c>
      <c r="D61" s="85" t="s">
        <v>30</v>
      </c>
      <c r="E61" s="85" t="s">
        <v>96</v>
      </c>
      <c r="F61" s="182" t="s">
        <v>56</v>
      </c>
      <c r="G61" s="306">
        <v>361502.98</v>
      </c>
      <c r="H61" s="306">
        <v>127926.45</v>
      </c>
      <c r="I61" s="310">
        <v>3.7103999999999999</v>
      </c>
      <c r="J61" s="310">
        <v>3.7111000000000001</v>
      </c>
      <c r="K61" s="305"/>
      <c r="L61" s="305"/>
      <c r="M61" s="305"/>
      <c r="N61" s="306">
        <v>629.60990000000004</v>
      </c>
      <c r="O61" s="311">
        <v>1815438.9000999997</v>
      </c>
      <c r="P61" s="305">
        <v>340394.79</v>
      </c>
      <c r="Q61" s="305">
        <v>68078.960000000006</v>
      </c>
      <c r="R61" s="198">
        <v>3.7499999999999999E-2</v>
      </c>
      <c r="S61" s="305">
        <v>272315.84000000003</v>
      </c>
      <c r="T61" s="172">
        <v>0.15</v>
      </c>
    </row>
    <row r="62" spans="1:20" x14ac:dyDescent="0.2">
      <c r="A62" s="303" t="s">
        <v>28</v>
      </c>
      <c r="B62" s="19" t="s">
        <v>72</v>
      </c>
      <c r="C62" s="85" t="s">
        <v>31</v>
      </c>
      <c r="D62" s="85" t="s">
        <v>30</v>
      </c>
      <c r="E62" s="85" t="s">
        <v>97</v>
      </c>
      <c r="F62" s="182" t="s">
        <v>37</v>
      </c>
      <c r="G62" s="306">
        <v>3083</v>
      </c>
      <c r="H62" s="306">
        <v>3222</v>
      </c>
      <c r="I62" s="310">
        <v>49.6905</v>
      </c>
      <c r="J62" s="310">
        <v>49.088799999999999</v>
      </c>
      <c r="K62" s="305"/>
      <c r="L62" s="305"/>
      <c r="M62" s="305"/>
      <c r="N62" s="305">
        <v>2851.4503</v>
      </c>
      <c r="O62" s="311">
        <v>308508.46969999996</v>
      </c>
      <c r="P62" s="305">
        <v>57845.34</v>
      </c>
      <c r="Q62" s="305">
        <v>11569.07</v>
      </c>
      <c r="R62" s="198">
        <v>3.7499999999999999E-2</v>
      </c>
      <c r="S62" s="305">
        <v>46276.27</v>
      </c>
      <c r="T62" s="172">
        <v>0.15</v>
      </c>
    </row>
    <row r="63" spans="1:20" x14ac:dyDescent="0.2">
      <c r="A63" s="303" t="s">
        <v>28</v>
      </c>
      <c r="B63" s="19" t="s">
        <v>32</v>
      </c>
      <c r="C63" s="85" t="s">
        <v>31</v>
      </c>
      <c r="D63" s="85" t="s">
        <v>30</v>
      </c>
      <c r="E63" s="85" t="s">
        <v>96</v>
      </c>
      <c r="F63" s="182" t="s">
        <v>37</v>
      </c>
      <c r="G63" s="305"/>
      <c r="H63" s="305"/>
      <c r="I63" s="310"/>
      <c r="J63" s="310"/>
      <c r="K63" s="305"/>
      <c r="L63" s="305"/>
      <c r="M63" s="305"/>
      <c r="N63" s="305"/>
      <c r="O63" s="311">
        <v>0</v>
      </c>
      <c r="P63" s="305">
        <v>0</v>
      </c>
      <c r="Q63" s="305">
        <v>0</v>
      </c>
      <c r="R63" s="198">
        <v>3.7499999999999999E-2</v>
      </c>
      <c r="S63" s="305">
        <v>0</v>
      </c>
      <c r="T63" s="172">
        <v>0.15</v>
      </c>
    </row>
    <row r="64" spans="1:20" x14ac:dyDescent="0.2">
      <c r="A64" s="303" t="s">
        <v>28</v>
      </c>
      <c r="B64" s="24">
        <v>102</v>
      </c>
      <c r="C64" s="85" t="s">
        <v>31</v>
      </c>
      <c r="D64" s="85" t="s">
        <v>30</v>
      </c>
      <c r="E64" s="85" t="s">
        <v>96</v>
      </c>
      <c r="F64" s="182" t="s">
        <v>37</v>
      </c>
      <c r="G64" s="306"/>
      <c r="H64" s="306"/>
      <c r="I64" s="310"/>
      <c r="J64" s="310"/>
      <c r="K64" s="306"/>
      <c r="L64" s="305"/>
      <c r="M64" s="305"/>
      <c r="N64" s="306"/>
      <c r="O64" s="311">
        <v>0</v>
      </c>
      <c r="P64" s="305">
        <v>0</v>
      </c>
      <c r="Q64" s="305">
        <v>0</v>
      </c>
      <c r="R64" s="172">
        <v>0.15</v>
      </c>
      <c r="S64" s="305">
        <v>0</v>
      </c>
      <c r="T64" s="198">
        <v>3.7499999999999999E-2</v>
      </c>
    </row>
    <row r="65" spans="1:20" x14ac:dyDescent="0.2">
      <c r="A65" s="303" t="s">
        <v>28</v>
      </c>
      <c r="B65" s="24">
        <v>95</v>
      </c>
      <c r="C65" s="85" t="s">
        <v>31</v>
      </c>
      <c r="D65" s="85" t="s">
        <v>30</v>
      </c>
      <c r="E65" s="85" t="s">
        <v>96</v>
      </c>
      <c r="F65" s="182" t="s">
        <v>37</v>
      </c>
      <c r="G65" s="306">
        <v>72060</v>
      </c>
      <c r="H65" s="306">
        <v>314453</v>
      </c>
      <c r="I65" s="310">
        <v>59.277900000000002</v>
      </c>
      <c r="J65" s="310">
        <v>60.895099999999999</v>
      </c>
      <c r="K65" s="306"/>
      <c r="L65" s="305"/>
      <c r="M65" s="305"/>
      <c r="N65" s="306">
        <v>6722.7592000000004</v>
      </c>
      <c r="O65" s="311">
        <v>23413489.590799998</v>
      </c>
      <c r="P65" s="305">
        <v>4390029.3</v>
      </c>
      <c r="Q65" s="305">
        <v>3512023.44</v>
      </c>
      <c r="R65" s="172">
        <v>0.15</v>
      </c>
      <c r="S65" s="305">
        <v>878005.86</v>
      </c>
      <c r="T65" s="198">
        <v>3.7499999999999999E-2</v>
      </c>
    </row>
    <row r="66" spans="1:20" x14ac:dyDescent="0.2">
      <c r="A66" s="303" t="s">
        <v>28</v>
      </c>
      <c r="B66" s="210">
        <v>67</v>
      </c>
      <c r="C66" s="85" t="s">
        <v>31</v>
      </c>
      <c r="D66" s="85" t="s">
        <v>30</v>
      </c>
      <c r="E66" s="85" t="s">
        <v>96</v>
      </c>
      <c r="F66" s="182" t="s">
        <v>37</v>
      </c>
      <c r="G66" s="306">
        <v>16345</v>
      </c>
      <c r="H66" s="306"/>
      <c r="I66" s="310">
        <v>35.640700000000002</v>
      </c>
      <c r="J66" s="310"/>
      <c r="K66" s="306"/>
      <c r="L66" s="305"/>
      <c r="M66" s="305"/>
      <c r="N66" s="306"/>
      <c r="O66" s="311">
        <v>582547.24</v>
      </c>
      <c r="P66" s="305">
        <v>109227.61</v>
      </c>
      <c r="Q66" s="305">
        <v>87382.09</v>
      </c>
      <c r="R66" s="172">
        <v>0.15</v>
      </c>
      <c r="S66" s="305">
        <v>21845.52</v>
      </c>
      <c r="T66" s="198">
        <v>3.7499999999999999E-2</v>
      </c>
    </row>
    <row r="67" spans="1:20" x14ac:dyDescent="0.2">
      <c r="A67" s="341" t="s">
        <v>28</v>
      </c>
      <c r="B67" s="320" t="s">
        <v>54</v>
      </c>
      <c r="C67" s="321"/>
      <c r="D67" s="322"/>
      <c r="E67" s="322"/>
      <c r="F67" s="182"/>
      <c r="G67" s="305"/>
      <c r="H67" s="305"/>
      <c r="I67" s="307"/>
      <c r="J67" s="307"/>
      <c r="K67" s="305"/>
      <c r="L67" s="305"/>
      <c r="M67" s="305"/>
      <c r="N67" s="305"/>
      <c r="O67" s="305"/>
      <c r="P67" s="305"/>
      <c r="Q67" s="305"/>
      <c r="R67" s="305"/>
      <c r="S67" s="305"/>
      <c r="T67" s="172"/>
    </row>
    <row r="68" spans="1:20" x14ac:dyDescent="0.2">
      <c r="A68" s="26"/>
      <c r="B68" s="135" t="s">
        <v>99</v>
      </c>
      <c r="C68" s="27" t="s">
        <v>160</v>
      </c>
      <c r="D68" s="14"/>
      <c r="E68" s="14"/>
      <c r="F68" s="194"/>
      <c r="G68" s="342"/>
      <c r="H68" s="342"/>
      <c r="I68" s="343"/>
      <c r="J68" s="344"/>
      <c r="K68" s="345"/>
      <c r="L68" s="345"/>
      <c r="M68" s="345"/>
      <c r="N68" s="325"/>
      <c r="O68" s="325">
        <v>26119984.200599995</v>
      </c>
      <c r="P68" s="325">
        <v>4897497.04</v>
      </c>
      <c r="Q68" s="325">
        <v>3679053.5599999996</v>
      </c>
      <c r="R68" s="183"/>
      <c r="S68" s="325">
        <v>1218443.49</v>
      </c>
      <c r="T68" s="174"/>
    </row>
    <row r="69" spans="1:20" x14ac:dyDescent="0.2">
      <c r="A69" s="127"/>
      <c r="B69" s="128"/>
      <c r="C69" s="27" t="s">
        <v>161</v>
      </c>
      <c r="D69" s="97"/>
      <c r="E69" s="97"/>
      <c r="F69" s="127"/>
      <c r="G69" s="346"/>
      <c r="H69" s="346"/>
      <c r="I69" s="347"/>
      <c r="J69" s="347"/>
      <c r="K69" s="346"/>
      <c r="L69" s="346"/>
      <c r="M69" s="346"/>
      <c r="N69" s="346"/>
      <c r="O69" s="216"/>
      <c r="P69" s="216">
        <v>18909236.07</v>
      </c>
      <c r="Q69" s="333">
        <v>14204825.800000001</v>
      </c>
      <c r="R69" s="139"/>
      <c r="S69" s="333">
        <v>4704410.3099999996</v>
      </c>
      <c r="T69" s="130"/>
    </row>
    <row r="70" spans="1:20" x14ac:dyDescent="0.2">
      <c r="A70" s="218" t="s">
        <v>105</v>
      </c>
      <c r="B70" s="11"/>
      <c r="C70" s="11"/>
      <c r="D70" s="11"/>
      <c r="E70" s="16"/>
      <c r="F70" s="218"/>
      <c r="G70" s="348"/>
      <c r="H70" s="349"/>
      <c r="I70" s="350"/>
      <c r="J70" s="351"/>
      <c r="K70" s="348"/>
      <c r="L70" s="348"/>
      <c r="M70" s="348"/>
      <c r="N70" s="348"/>
      <c r="O70" s="348"/>
      <c r="P70" s="167" t="s">
        <v>107</v>
      </c>
      <c r="Q70" s="167" t="s">
        <v>105</v>
      </c>
      <c r="R70" s="140"/>
      <c r="S70" s="352"/>
      <c r="T70" s="146"/>
    </row>
    <row r="71" spans="1:20" x14ac:dyDescent="0.2">
      <c r="A71" s="303" t="s">
        <v>28</v>
      </c>
      <c r="B71" s="19" t="s">
        <v>104</v>
      </c>
      <c r="C71" s="85" t="s">
        <v>31</v>
      </c>
      <c r="D71" s="85" t="s">
        <v>30</v>
      </c>
      <c r="E71" s="85" t="s">
        <v>102</v>
      </c>
      <c r="F71" s="182" t="s">
        <v>37</v>
      </c>
      <c r="G71" s="305">
        <v>801006</v>
      </c>
      <c r="H71" s="305">
        <v>896648</v>
      </c>
      <c r="I71" s="307">
        <v>40.527500000000003</v>
      </c>
      <c r="J71" s="307">
        <v>43.8932</v>
      </c>
      <c r="K71" s="305"/>
      <c r="L71" s="305"/>
      <c r="M71" s="305"/>
      <c r="N71" s="305"/>
      <c r="O71" s="311">
        <v>71819520.658600003</v>
      </c>
      <c r="P71" s="316">
        <v>26745589.489999998</v>
      </c>
      <c r="Q71" s="316">
        <v>13372794.75</v>
      </c>
      <c r="R71" s="172">
        <v>0.5</v>
      </c>
      <c r="S71" s="305"/>
      <c r="T71" s="198"/>
    </row>
    <row r="72" spans="1:20" x14ac:dyDescent="0.2">
      <c r="A72" s="303" t="s">
        <v>28</v>
      </c>
      <c r="B72" s="19" t="s">
        <v>103</v>
      </c>
      <c r="C72" s="85" t="s">
        <v>31</v>
      </c>
      <c r="D72" s="85" t="s">
        <v>30</v>
      </c>
      <c r="E72" s="85" t="s">
        <v>102</v>
      </c>
      <c r="F72" s="182" t="s">
        <v>56</v>
      </c>
      <c r="G72" s="305">
        <v>14395572.060000001</v>
      </c>
      <c r="H72" s="305">
        <v>13629612.800000001</v>
      </c>
      <c r="I72" s="307">
        <v>2.2490000000000001</v>
      </c>
      <c r="J72" s="307">
        <v>2.2490000000000001</v>
      </c>
      <c r="K72" s="305"/>
      <c r="L72" s="305"/>
      <c r="M72" s="305"/>
      <c r="N72" s="305"/>
      <c r="O72" s="311">
        <v>63028640.750140004</v>
      </c>
      <c r="P72" s="316">
        <v>23471865.82</v>
      </c>
      <c r="Q72" s="316">
        <v>11735932.91</v>
      </c>
      <c r="R72" s="172">
        <v>0.5</v>
      </c>
      <c r="S72" s="305"/>
      <c r="T72" s="172"/>
    </row>
    <row r="73" spans="1:20" x14ac:dyDescent="0.2">
      <c r="A73" s="303" t="s">
        <v>28</v>
      </c>
      <c r="B73" s="19" t="s">
        <v>122</v>
      </c>
      <c r="C73" s="85" t="s">
        <v>31</v>
      </c>
      <c r="D73" s="85" t="s">
        <v>30</v>
      </c>
      <c r="E73" s="85" t="s">
        <v>102</v>
      </c>
      <c r="F73" s="182" t="s">
        <v>56</v>
      </c>
      <c r="G73" s="305">
        <v>24834.13</v>
      </c>
      <c r="H73" s="305">
        <v>14502.2</v>
      </c>
      <c r="I73" s="307">
        <v>3.0642999999999998</v>
      </c>
      <c r="J73" s="307">
        <v>3.0642999999999998</v>
      </c>
      <c r="K73" s="305"/>
      <c r="L73" s="305"/>
      <c r="M73" s="305"/>
      <c r="N73" s="305"/>
      <c r="O73" s="311">
        <v>120538.31601899999</v>
      </c>
      <c r="P73" s="316">
        <v>44888.47</v>
      </c>
      <c r="Q73" s="316">
        <v>22444.240000000002</v>
      </c>
      <c r="R73" s="172">
        <v>0.5</v>
      </c>
      <c r="S73" s="305"/>
      <c r="T73" s="172"/>
    </row>
    <row r="74" spans="1:20" s="573" customFormat="1" ht="12" customHeight="1" x14ac:dyDescent="0.2">
      <c r="A74" s="374" t="s">
        <v>28</v>
      </c>
      <c r="B74" s="370" t="s">
        <v>123</v>
      </c>
      <c r="C74" s="375" t="s">
        <v>31</v>
      </c>
      <c r="D74" s="375" t="s">
        <v>30</v>
      </c>
      <c r="E74" s="375" t="s">
        <v>102</v>
      </c>
      <c r="F74" s="574" t="s">
        <v>56</v>
      </c>
      <c r="G74" s="316">
        <v>794007.11</v>
      </c>
      <c r="H74" s="316">
        <v>754930.67</v>
      </c>
      <c r="I74" s="353">
        <v>20.018000000000001</v>
      </c>
      <c r="J74" s="353">
        <v>12.074</v>
      </c>
      <c r="K74" s="316"/>
      <c r="L74" s="316"/>
      <c r="M74" s="316"/>
      <c r="N74" s="316"/>
      <c r="O74" s="568">
        <v>25009467.23756</v>
      </c>
      <c r="P74" s="316">
        <v>9503597.5500000007</v>
      </c>
      <c r="Q74" s="316">
        <v>4751798.78</v>
      </c>
      <c r="R74" s="575">
        <v>0.5</v>
      </c>
      <c r="S74" s="316"/>
      <c r="T74" s="299"/>
    </row>
    <row r="75" spans="1:20" x14ac:dyDescent="0.2">
      <c r="A75" s="303" t="s">
        <v>28</v>
      </c>
      <c r="B75" s="19" t="s">
        <v>112</v>
      </c>
      <c r="C75" s="85" t="s">
        <v>31</v>
      </c>
      <c r="D75" s="85" t="s">
        <v>30</v>
      </c>
      <c r="E75" s="85" t="s">
        <v>102</v>
      </c>
      <c r="F75" s="182" t="s">
        <v>37</v>
      </c>
      <c r="G75" s="305">
        <v>207081</v>
      </c>
      <c r="H75" s="305">
        <v>258546</v>
      </c>
      <c r="I75" s="307">
        <v>40.451000000000001</v>
      </c>
      <c r="J75" s="307">
        <v>43.889699999999998</v>
      </c>
      <c r="K75" s="305"/>
      <c r="L75" s="305"/>
      <c r="M75" s="305"/>
      <c r="N75" s="305"/>
      <c r="O75" s="311">
        <v>19724139.907200001</v>
      </c>
      <c r="P75" s="316">
        <v>7889655.96</v>
      </c>
      <c r="Q75" s="316">
        <v>3944827.98</v>
      </c>
      <c r="R75" s="172">
        <v>0.5</v>
      </c>
      <c r="S75" s="305"/>
      <c r="T75" s="172"/>
    </row>
    <row r="76" spans="1:20" x14ac:dyDescent="0.2">
      <c r="A76" s="303" t="s">
        <v>28</v>
      </c>
      <c r="B76" s="19" t="s">
        <v>113</v>
      </c>
      <c r="C76" s="85" t="s">
        <v>31</v>
      </c>
      <c r="D76" s="85" t="s">
        <v>30</v>
      </c>
      <c r="E76" s="85" t="s">
        <v>102</v>
      </c>
      <c r="F76" s="182" t="s">
        <v>56</v>
      </c>
      <c r="G76" s="305">
        <v>5041157.6900000004</v>
      </c>
      <c r="H76" s="305">
        <v>3632944.51</v>
      </c>
      <c r="I76" s="581">
        <v>20.018000000000001</v>
      </c>
      <c r="J76" s="307">
        <v>12.074</v>
      </c>
      <c r="K76" s="305"/>
      <c r="L76" s="305"/>
      <c r="M76" s="305"/>
      <c r="N76" s="305"/>
      <c r="O76" s="311">
        <v>144778066.65216002</v>
      </c>
      <c r="P76" s="316">
        <v>55015665.329999998</v>
      </c>
      <c r="Q76" s="316">
        <v>27507832.670000002</v>
      </c>
      <c r="R76" s="172">
        <v>0.5</v>
      </c>
      <c r="S76" s="305"/>
      <c r="T76" s="172"/>
    </row>
    <row r="77" spans="1:20" x14ac:dyDescent="0.2">
      <c r="A77" s="303" t="s">
        <v>28</v>
      </c>
      <c r="B77" s="24" t="s">
        <v>118</v>
      </c>
      <c r="C77" s="85" t="s">
        <v>31</v>
      </c>
      <c r="D77" s="85" t="s">
        <v>30</v>
      </c>
      <c r="E77" s="85" t="s">
        <v>102</v>
      </c>
      <c r="F77" s="182" t="s">
        <v>56</v>
      </c>
      <c r="G77" s="305"/>
      <c r="H77" s="305"/>
      <c r="I77" s="581"/>
      <c r="J77" s="307"/>
      <c r="K77" s="306"/>
      <c r="L77" s="305"/>
      <c r="M77" s="305"/>
      <c r="N77" s="306"/>
      <c r="O77" s="311">
        <v>0</v>
      </c>
      <c r="P77" s="316">
        <v>0</v>
      </c>
      <c r="Q77" s="316">
        <v>0</v>
      </c>
      <c r="R77" s="172">
        <v>0.5</v>
      </c>
      <c r="S77" s="305"/>
      <c r="T77" s="198"/>
    </row>
    <row r="78" spans="1:20" x14ac:dyDescent="0.2">
      <c r="A78" s="303" t="s">
        <v>28</v>
      </c>
      <c r="B78" s="24" t="s">
        <v>120</v>
      </c>
      <c r="C78" s="85" t="s">
        <v>31</v>
      </c>
      <c r="D78" s="85" t="s">
        <v>30</v>
      </c>
      <c r="E78" s="85" t="s">
        <v>102</v>
      </c>
      <c r="F78" s="182" t="s">
        <v>37</v>
      </c>
      <c r="G78" s="305">
        <v>190254</v>
      </c>
      <c r="H78" s="305">
        <v>102966</v>
      </c>
      <c r="I78" s="307">
        <v>36.197000000000003</v>
      </c>
      <c r="J78" s="307">
        <v>39.932899999999997</v>
      </c>
      <c r="K78" s="306"/>
      <c r="L78" s="305"/>
      <c r="M78" s="305"/>
      <c r="N78" s="306"/>
      <c r="O78" s="311">
        <v>10998355.019400001</v>
      </c>
      <c r="P78" s="316">
        <v>682965.38017000002</v>
      </c>
      <c r="Q78" s="316">
        <v>341482.69</v>
      </c>
      <c r="R78" s="172">
        <v>0.5</v>
      </c>
      <c r="S78" s="305"/>
      <c r="T78" s="198"/>
    </row>
    <row r="79" spans="1:20" x14ac:dyDescent="0.2">
      <c r="A79" s="303" t="s">
        <v>28</v>
      </c>
      <c r="B79" s="210" t="s">
        <v>121</v>
      </c>
      <c r="C79" s="85" t="s">
        <v>31</v>
      </c>
      <c r="D79" s="85" t="s">
        <v>30</v>
      </c>
      <c r="E79" s="85" t="s">
        <v>102</v>
      </c>
      <c r="F79" s="182" t="s">
        <v>56</v>
      </c>
      <c r="G79" s="305">
        <v>3031271.32</v>
      </c>
      <c r="H79" s="305">
        <v>1677743.02</v>
      </c>
      <c r="I79" s="567">
        <v>7.2350000000000003</v>
      </c>
      <c r="J79" s="307">
        <v>7.2350000000000003</v>
      </c>
      <c r="K79" s="258"/>
      <c r="L79" s="305"/>
      <c r="M79" s="305"/>
      <c r="N79" s="306"/>
      <c r="O79" s="311">
        <v>34069718.749899998</v>
      </c>
      <c r="P79" s="316">
        <v>3265473.3388499999</v>
      </c>
      <c r="Q79" s="316">
        <v>1632736.67</v>
      </c>
      <c r="R79" s="172">
        <v>0.5</v>
      </c>
      <c r="S79" s="305"/>
      <c r="T79" s="198"/>
    </row>
    <row r="80" spans="1:20" x14ac:dyDescent="0.2">
      <c r="A80" s="355" t="s">
        <v>28</v>
      </c>
      <c r="B80" s="356" t="s">
        <v>106</v>
      </c>
      <c r="C80" s="357"/>
      <c r="D80" s="357"/>
      <c r="E80" s="358"/>
      <c r="F80" s="169"/>
      <c r="G80" s="201"/>
      <c r="H80" s="202"/>
      <c r="I80" s="202"/>
      <c r="J80" s="203"/>
      <c r="K80" s="203"/>
      <c r="L80" s="203"/>
      <c r="M80" s="153"/>
      <c r="N80" s="153"/>
      <c r="O80" s="163">
        <v>21085432.386372879</v>
      </c>
      <c r="P80" s="163">
        <v>2316566.4771309993</v>
      </c>
      <c r="Q80" s="163">
        <v>1158283.2400000002</v>
      </c>
      <c r="R80" s="130"/>
      <c r="S80" s="154"/>
      <c r="T80" s="130"/>
    </row>
    <row r="81" spans="1:20" x14ac:dyDescent="0.2">
      <c r="A81" s="26"/>
      <c r="B81" s="135" t="s">
        <v>99</v>
      </c>
      <c r="C81" s="27" t="s">
        <v>162</v>
      </c>
      <c r="D81" s="14"/>
      <c r="E81" s="14"/>
      <c r="F81" s="207"/>
      <c r="G81" s="195">
        <v>5041157.6900000004</v>
      </c>
      <c r="H81" s="195">
        <v>3632944.51</v>
      </c>
      <c r="I81" s="228"/>
      <c r="J81" s="195"/>
      <c r="K81" s="205"/>
      <c r="L81" s="199"/>
      <c r="M81" s="227"/>
      <c r="N81" s="166"/>
      <c r="O81" s="166">
        <v>390633879.67735189</v>
      </c>
      <c r="P81" s="166">
        <v>128936267.81615099</v>
      </c>
      <c r="Q81" s="166">
        <v>64468133.93</v>
      </c>
      <c r="R81" s="152"/>
      <c r="S81" s="158"/>
      <c r="T81" s="130"/>
    </row>
    <row r="82" spans="1:20" x14ac:dyDescent="0.2">
      <c r="A82" s="127"/>
      <c r="B82" s="128"/>
      <c r="C82" s="27" t="s">
        <v>163</v>
      </c>
      <c r="D82" s="97"/>
      <c r="E82" s="97"/>
      <c r="F82" s="207"/>
      <c r="G82" s="196">
        <v>20.018000000000001</v>
      </c>
      <c r="H82" s="196">
        <v>12.074</v>
      </c>
      <c r="I82" s="229"/>
      <c r="J82" s="195"/>
      <c r="K82" s="206"/>
      <c r="L82" s="200"/>
      <c r="M82" s="260"/>
      <c r="N82" s="261"/>
      <c r="O82" s="261"/>
      <c r="P82" s="160"/>
      <c r="Q82" s="160">
        <v>248911465.10373002</v>
      </c>
      <c r="R82" s="151"/>
      <c r="S82" s="158"/>
      <c r="T82" s="130"/>
    </row>
    <row r="83" spans="1:20" x14ac:dyDescent="0.2">
      <c r="A83" s="7" t="s">
        <v>55</v>
      </c>
      <c r="B83" s="213"/>
      <c r="C83" s="213"/>
      <c r="D83" s="213"/>
      <c r="E83" s="213"/>
      <c r="F83" s="208"/>
      <c r="G83" s="197">
        <v>100913894.63842002</v>
      </c>
      <c r="H83" s="197">
        <v>43864172.013739996</v>
      </c>
      <c r="I83" s="195">
        <v>144778066.65216002</v>
      </c>
      <c r="J83" s="195">
        <v>144778066.65216002</v>
      </c>
      <c r="K83" s="230">
        <v>0</v>
      </c>
      <c r="L83" s="231"/>
      <c r="M83" s="216">
        <v>0</v>
      </c>
      <c r="N83" s="216">
        <v>45409.858499999995</v>
      </c>
      <c r="O83" s="216">
        <v>490903344.77885187</v>
      </c>
      <c r="P83" s="216">
        <v>83199074.069999993</v>
      </c>
      <c r="Q83" s="161">
        <v>321231625.01373005</v>
      </c>
      <c r="R83" s="52"/>
      <c r="S83" s="161"/>
      <c r="T83" s="52"/>
    </row>
    <row r="84" spans="1:20" x14ac:dyDescent="0.2">
      <c r="O84" s="236"/>
      <c r="S84" s="226"/>
    </row>
    <row r="85" spans="1:20" x14ac:dyDescent="0.2">
      <c r="A85" s="360" t="s">
        <v>90</v>
      </c>
      <c r="B85" s="212" t="s">
        <v>73</v>
      </c>
      <c r="H85" s="360" t="s">
        <v>74</v>
      </c>
      <c r="J85" s="62"/>
      <c r="K85" s="62"/>
      <c r="N85" s="296"/>
      <c r="O85" s="379"/>
      <c r="P85" s="226"/>
      <c r="Q85" s="62"/>
      <c r="S85" s="226"/>
    </row>
    <row r="86" spans="1:20" x14ac:dyDescent="0.2">
      <c r="B86" s="105" t="s">
        <v>75</v>
      </c>
      <c r="C86" s="106" t="s">
        <v>76</v>
      </c>
      <c r="D86" s="107"/>
      <c r="E86" s="108" t="s">
        <v>35</v>
      </c>
      <c r="F86" s="108" t="s">
        <v>77</v>
      </c>
      <c r="H86" s="87" t="s">
        <v>35</v>
      </c>
      <c r="I86" s="213"/>
      <c r="J86" s="213"/>
      <c r="K86" s="213"/>
      <c r="L86" s="88"/>
      <c r="N86" s="361"/>
      <c r="O86" s="379"/>
      <c r="P86" s="226"/>
      <c r="Q86" s="62"/>
    </row>
    <row r="87" spans="1:20" x14ac:dyDescent="0.2">
      <c r="B87" s="363" t="s">
        <v>78</v>
      </c>
      <c r="C87" s="89" t="s">
        <v>79</v>
      </c>
      <c r="D87" s="364"/>
      <c r="E87" s="90">
        <v>79.290599999999998</v>
      </c>
      <c r="F87" s="90">
        <v>79.541700000000006</v>
      </c>
      <c r="H87" s="91" t="s">
        <v>219</v>
      </c>
      <c r="L87" s="92"/>
      <c r="M87" s="234">
        <v>6.2200000337121024E-2</v>
      </c>
      <c r="N87" s="234">
        <v>6.4199999463479832E-2</v>
      </c>
      <c r="O87" s="379"/>
      <c r="P87" s="296"/>
      <c r="Q87" s="62"/>
    </row>
    <row r="88" spans="1:20" x14ac:dyDescent="0.2">
      <c r="B88" s="365" t="s">
        <v>80</v>
      </c>
      <c r="C88" s="93" t="s">
        <v>81</v>
      </c>
      <c r="D88" s="366"/>
      <c r="E88" s="94">
        <v>43.294699999999999</v>
      </c>
      <c r="F88" s="95">
        <v>38.853400000000001</v>
      </c>
      <c r="H88" s="96">
        <v>49.690458460359999</v>
      </c>
      <c r="I88" s="97"/>
      <c r="J88" s="97"/>
      <c r="K88" s="97"/>
      <c r="L88" s="98"/>
      <c r="M88" s="234">
        <v>9.4199999857272176E-2</v>
      </c>
      <c r="N88" s="234">
        <v>9.8900000237297003E-2</v>
      </c>
      <c r="O88" s="367"/>
      <c r="P88" s="296"/>
      <c r="Q88" s="259"/>
    </row>
    <row r="89" spans="1:20" x14ac:dyDescent="0.2">
      <c r="B89" s="365" t="s">
        <v>82</v>
      </c>
      <c r="C89" s="93" t="s">
        <v>83</v>
      </c>
      <c r="D89" s="366"/>
      <c r="E89" s="94">
        <v>21.263000000000002</v>
      </c>
      <c r="F89" s="94">
        <v>21.263000000000002</v>
      </c>
      <c r="I89" s="380"/>
      <c r="M89" s="234">
        <v>0.39999999969547706</v>
      </c>
      <c r="N89" s="234">
        <v>0.39999999979093542</v>
      </c>
      <c r="O89" s="237"/>
      <c r="Q89" s="62"/>
    </row>
    <row r="90" spans="1:20" x14ac:dyDescent="0.2">
      <c r="B90" s="365" t="s">
        <v>84</v>
      </c>
      <c r="C90" s="93" t="s">
        <v>85</v>
      </c>
      <c r="D90" s="366"/>
      <c r="E90" s="99">
        <v>0.54700000000000004</v>
      </c>
      <c r="F90" s="99">
        <v>0.57040000000000002</v>
      </c>
      <c r="H90" s="87" t="s">
        <v>77</v>
      </c>
      <c r="I90" s="100"/>
      <c r="J90" s="213"/>
      <c r="K90" s="213"/>
      <c r="L90" s="88"/>
      <c r="M90" s="234">
        <v>0.38000000287019686</v>
      </c>
      <c r="N90" s="234"/>
      <c r="O90" s="237"/>
    </row>
    <row r="91" spans="1:20" x14ac:dyDescent="0.2">
      <c r="B91" s="365" t="s">
        <v>86</v>
      </c>
      <c r="C91" s="93" t="s">
        <v>87</v>
      </c>
      <c r="D91" s="366"/>
      <c r="E91" s="101"/>
      <c r="F91" s="95"/>
      <c r="H91" s="91" t="s">
        <v>217</v>
      </c>
      <c r="I91" s="380"/>
      <c r="L91" s="92"/>
      <c r="N91" s="259"/>
      <c r="O91" s="237"/>
    </row>
    <row r="92" spans="1:20" x14ac:dyDescent="0.2">
      <c r="B92" s="368" t="s">
        <v>88</v>
      </c>
      <c r="C92" s="102" t="s">
        <v>89</v>
      </c>
      <c r="D92" s="369"/>
      <c r="E92" s="103"/>
      <c r="F92" s="103"/>
      <c r="H92" s="96">
        <v>49.088831247664004</v>
      </c>
      <c r="I92" s="104"/>
      <c r="J92" s="97"/>
      <c r="K92" s="97"/>
      <c r="L92" s="98"/>
      <c r="M92" s="237"/>
      <c r="N92" s="237"/>
      <c r="O92" s="237"/>
    </row>
    <row r="93" spans="1:20" x14ac:dyDescent="0.2">
      <c r="A93" s="360"/>
      <c r="H93" s="329"/>
      <c r="M93" s="237"/>
      <c r="N93" s="237"/>
      <c r="O93" s="237"/>
    </row>
    <row r="94" spans="1:20" x14ac:dyDescent="0.2">
      <c r="A94" s="587" t="s">
        <v>205</v>
      </c>
    </row>
  </sheetData>
  <mergeCells count="2">
    <mergeCell ref="C7:C8"/>
    <mergeCell ref="O7:O8"/>
  </mergeCells>
  <phoneticPr fontId="0" type="noConversion"/>
  <printOptions horizontalCentered="1" verticalCentered="1"/>
  <pageMargins left="0.25" right="0.25" top="0.5" bottom="0.5" header="0" footer="0"/>
  <pageSetup scale="48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A1:AJ111"/>
  <sheetViews>
    <sheetView view="pageBreakPreview" topLeftCell="A75" zoomScale="160" zoomScaleNormal="100" zoomScaleSheetLayoutView="160" workbookViewId="0">
      <pane xSplit="2" topLeftCell="N1" activePane="topRight" state="frozen"/>
      <selection pane="topRight" activeCell="Q84" sqref="Q84"/>
    </sheetView>
  </sheetViews>
  <sheetFormatPr baseColWidth="10" defaultColWidth="11.5546875" defaultRowHeight="15.75" x14ac:dyDescent="0.25"/>
  <cols>
    <col min="1" max="1" width="3" customWidth="1"/>
    <col min="2" max="2" width="14.44140625" customWidth="1"/>
    <col min="3" max="4" width="7.109375" customWidth="1"/>
    <col min="5" max="5" width="7.44140625" customWidth="1"/>
    <col min="6" max="6" width="7.88671875" customWidth="1"/>
    <col min="7" max="7" width="11.5546875" customWidth="1"/>
    <col min="8" max="8" width="12.88671875" customWidth="1"/>
    <col min="9" max="10" width="9.109375" customWidth="1"/>
    <col min="11" max="14" width="9.88671875" customWidth="1"/>
    <col min="15" max="15" width="10.88671875" customWidth="1"/>
    <col min="16" max="16" width="12.5546875" customWidth="1"/>
    <col min="17" max="17" width="14.88671875" customWidth="1"/>
    <col min="18" max="18" width="4" customWidth="1"/>
    <col min="19" max="19" width="12.5546875" customWidth="1"/>
    <col min="20" max="20" width="5.109375" customWidth="1"/>
    <col min="21" max="21" width="8.88671875" hidden="1" customWidth="1"/>
    <col min="22" max="22" width="10.109375" hidden="1" customWidth="1"/>
    <col min="23" max="33" width="8.88671875" hidden="1" customWidth="1"/>
    <col min="34" max="34" width="10.109375" hidden="1" customWidth="1"/>
    <col min="35" max="36" width="0" hidden="1" customWidth="1"/>
  </cols>
  <sheetData>
    <row r="1" spans="1:34" x14ac:dyDescent="0.25">
      <c r="A1" s="3" t="s">
        <v>51</v>
      </c>
      <c r="B1" s="212"/>
      <c r="C1" s="2"/>
      <c r="D1" s="2"/>
      <c r="E1" s="6">
        <v>44896</v>
      </c>
      <c r="F1" s="2"/>
      <c r="G1" s="212"/>
      <c r="H1" s="212"/>
      <c r="I1" s="212"/>
      <c r="J1" s="212"/>
      <c r="K1" s="212"/>
      <c r="L1" s="212"/>
      <c r="M1" s="212"/>
      <c r="N1" s="212"/>
      <c r="O1" s="212"/>
      <c r="P1" s="62"/>
      <c r="Q1" s="212"/>
      <c r="R1" s="212"/>
      <c r="S1" s="212"/>
      <c r="T1" s="212"/>
      <c r="U1" s="63" t="s">
        <v>91</v>
      </c>
      <c r="V1" s="63"/>
      <c r="W1" s="64">
        <v>365</v>
      </c>
      <c r="X1" s="212"/>
      <c r="Y1" s="212"/>
      <c r="Z1" s="212"/>
      <c r="AA1" s="212"/>
      <c r="AB1" s="212"/>
      <c r="AC1" s="212"/>
      <c r="AD1" s="212"/>
      <c r="AE1" s="212"/>
      <c r="AF1" s="212"/>
      <c r="AG1" s="212"/>
    </row>
    <row r="2" spans="1:34" x14ac:dyDescent="0.25">
      <c r="A2" s="2" t="s">
        <v>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6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</row>
    <row r="3" spans="1:34" x14ac:dyDescent="0.25">
      <c r="A3" s="275" t="s">
        <v>100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12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12"/>
    </row>
    <row r="4" spans="1:34" x14ac:dyDescent="0.25">
      <c r="A4" s="276" t="str">
        <f>"Correspondiente acumulado al año "&amp;TEXT(E1,"YYYY")</f>
        <v>Correspondiente acumulado al año 2022</v>
      </c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12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12"/>
    </row>
    <row r="5" spans="1:34" x14ac:dyDescent="0.25">
      <c r="A5" s="276"/>
      <c r="B5" s="276"/>
      <c r="C5" s="276"/>
      <c r="D5" s="27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83"/>
      <c r="P5" s="276"/>
      <c r="Q5" s="276"/>
      <c r="R5" s="276"/>
      <c r="S5" s="276"/>
      <c r="T5" s="276"/>
      <c r="U5" s="212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12"/>
    </row>
    <row r="6" spans="1:34" x14ac:dyDescent="0.25">
      <c r="A6" s="212"/>
      <c r="B6" s="212"/>
      <c r="C6" s="212"/>
      <c r="D6" s="212"/>
      <c r="E6" s="212"/>
      <c r="F6" s="212"/>
      <c r="G6" s="212"/>
      <c r="H6" s="1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12"/>
      <c r="AG6" s="212"/>
    </row>
    <row r="7" spans="1:34" ht="21.75" customHeight="1" x14ac:dyDescent="0.25">
      <c r="A7" s="277" t="s">
        <v>25</v>
      </c>
      <c r="B7" s="278"/>
      <c r="C7" s="593" t="s">
        <v>33</v>
      </c>
      <c r="D7" s="277" t="s">
        <v>58</v>
      </c>
      <c r="E7" s="278"/>
      <c r="F7" s="223" t="s">
        <v>98</v>
      </c>
      <c r="G7" s="279"/>
      <c r="H7" s="280"/>
      <c r="I7" s="279" t="s">
        <v>38</v>
      </c>
      <c r="J7" s="280"/>
      <c r="K7" s="223" t="s">
        <v>41</v>
      </c>
      <c r="L7" s="279"/>
      <c r="M7" s="279"/>
      <c r="N7" s="280"/>
      <c r="O7" s="593" t="s">
        <v>93</v>
      </c>
      <c r="P7" s="223" t="s">
        <v>50</v>
      </c>
      <c r="Q7" s="279"/>
      <c r="R7" s="279"/>
      <c r="S7" s="279"/>
      <c r="T7" s="280"/>
      <c r="U7" s="284" t="s">
        <v>151</v>
      </c>
      <c r="V7" s="285"/>
      <c r="W7" s="285"/>
      <c r="X7" s="285"/>
      <c r="Y7" s="285"/>
      <c r="Z7" s="286"/>
      <c r="AA7" s="287" t="s">
        <v>152</v>
      </c>
      <c r="AB7" s="224"/>
      <c r="AC7" s="224"/>
      <c r="AD7" s="224"/>
      <c r="AE7" s="224"/>
      <c r="AF7" s="288"/>
      <c r="AG7" s="288" t="s">
        <v>60</v>
      </c>
      <c r="AH7" s="214"/>
    </row>
    <row r="8" spans="1:34" ht="14.25" customHeight="1" x14ac:dyDescent="0.25">
      <c r="A8" s="8" t="s">
        <v>26</v>
      </c>
      <c r="B8" s="9"/>
      <c r="C8" s="594"/>
      <c r="D8" s="223" t="s">
        <v>19</v>
      </c>
      <c r="E8" s="222" t="s">
        <v>59</v>
      </c>
      <c r="F8" s="223" t="s">
        <v>27</v>
      </c>
      <c r="G8" s="224" t="s">
        <v>35</v>
      </c>
      <c r="H8" s="214" t="s">
        <v>36</v>
      </c>
      <c r="I8" s="214" t="s">
        <v>35</v>
      </c>
      <c r="J8" s="224" t="s">
        <v>36</v>
      </c>
      <c r="K8" s="224" t="s">
        <v>39</v>
      </c>
      <c r="L8" s="224" t="s">
        <v>40</v>
      </c>
      <c r="M8" s="224" t="s">
        <v>42</v>
      </c>
      <c r="N8" s="224" t="s">
        <v>2</v>
      </c>
      <c r="O8" s="594"/>
      <c r="P8" s="262" t="s">
        <v>1</v>
      </c>
      <c r="Q8" s="223" t="s">
        <v>45</v>
      </c>
      <c r="R8" s="280"/>
      <c r="S8" s="279" t="s">
        <v>46</v>
      </c>
      <c r="T8" s="280"/>
      <c r="U8" s="288" t="s">
        <v>61</v>
      </c>
      <c r="V8" s="289"/>
      <c r="W8" s="214"/>
      <c r="X8" s="65" t="s">
        <v>62</v>
      </c>
      <c r="Y8" s="288" t="s">
        <v>63</v>
      </c>
      <c r="Z8" s="214"/>
      <c r="AA8" s="288" t="s">
        <v>61</v>
      </c>
      <c r="AB8" s="289"/>
      <c r="AC8" s="214"/>
      <c r="AD8" s="224" t="s">
        <v>62</v>
      </c>
      <c r="AE8" s="224" t="s">
        <v>63</v>
      </c>
      <c r="AF8" s="288"/>
      <c r="AG8" s="66" t="s">
        <v>1</v>
      </c>
      <c r="AH8" s="66" t="s">
        <v>92</v>
      </c>
    </row>
    <row r="9" spans="1:34" x14ac:dyDescent="0.25">
      <c r="A9" s="218" t="s">
        <v>23</v>
      </c>
      <c r="B9" s="11"/>
      <c r="C9" s="56"/>
      <c r="D9" s="56"/>
      <c r="E9" s="16"/>
      <c r="F9" s="218"/>
      <c r="G9" s="17"/>
      <c r="H9" s="29"/>
      <c r="I9" s="17"/>
      <c r="J9" s="29"/>
      <c r="K9" s="17"/>
      <c r="L9" s="17"/>
      <c r="M9" s="17"/>
      <c r="N9" s="17"/>
      <c r="O9" s="33"/>
      <c r="P9" s="17"/>
      <c r="Q9" s="290" t="s">
        <v>43</v>
      </c>
      <c r="R9" s="281"/>
      <c r="S9" s="291" t="s">
        <v>44</v>
      </c>
      <c r="T9" s="281"/>
      <c r="U9" s="67" t="s">
        <v>64</v>
      </c>
      <c r="V9" s="67" t="s">
        <v>94</v>
      </c>
      <c r="W9" s="67" t="s">
        <v>65</v>
      </c>
      <c r="X9" s="67" t="s">
        <v>66</v>
      </c>
      <c r="Y9" s="67" t="s">
        <v>66</v>
      </c>
      <c r="Z9" s="67" t="s">
        <v>67</v>
      </c>
      <c r="AA9" s="67" t="s">
        <v>68</v>
      </c>
      <c r="AB9" s="67" t="s">
        <v>94</v>
      </c>
      <c r="AC9" s="67" t="s">
        <v>69</v>
      </c>
      <c r="AD9" s="67" t="s">
        <v>70</v>
      </c>
      <c r="AE9" s="67" t="s">
        <v>70</v>
      </c>
      <c r="AF9" s="68" t="s">
        <v>67</v>
      </c>
      <c r="AG9" s="69" t="s">
        <v>71</v>
      </c>
      <c r="AH9" s="69" t="s">
        <v>34</v>
      </c>
    </row>
    <row r="10" spans="1:34" x14ac:dyDescent="0.25">
      <c r="A10" s="18" t="s">
        <v>28</v>
      </c>
      <c r="B10" s="19" t="s">
        <v>13</v>
      </c>
      <c r="C10" s="54" t="s">
        <v>29</v>
      </c>
      <c r="D10" s="20" t="s">
        <v>21</v>
      </c>
      <c r="E10" s="54" t="s">
        <v>95</v>
      </c>
      <c r="F10" s="30" t="s">
        <v>37</v>
      </c>
      <c r="G10" s="37">
        <f>Ene!G10+Feb!G10+Mar!G10+Abr!G10+May!G10+Jun!G10+Jul!G10+Ago!G10+Set!G10+Oct!G10+Nov!G10+Dic!G10</f>
        <v>0</v>
      </c>
      <c r="H10" s="37">
        <f>Ene!H10+Feb!H10+Mar!H10+Abr!H10+May!H10+Jun!H10+Jul!H10+Ago!H10+Set!H10+Oct!H10+Nov!H10+Dic!H10</f>
        <v>826</v>
      </c>
      <c r="I10" s="37"/>
      <c r="J10" s="37"/>
      <c r="K10" s="37"/>
      <c r="L10" s="37"/>
      <c r="M10" s="37"/>
      <c r="N10" s="37">
        <f>Ene!N10+Feb!N10+Mar!N10+Abr!N10+May!N10+Jun!N10+Jul!N10+Ago!N10+Set!N10+Oct!N10+Nov!N10+Dic!N10</f>
        <v>0</v>
      </c>
      <c r="O10" s="37">
        <f>Ene!O10+Feb!O10+Mar!O10+Abr!O10+May!O10+Jun!O10+Jul!O10+Ago!O10+Set!O10+Oct!O10+Nov!O10+Dic!O10</f>
        <v>69778.990000000005</v>
      </c>
      <c r="P10" s="37">
        <f>Ene!P10+Feb!P10+Mar!P10+Abr!P10+May!P10+Jun!P10+Jul!P10+Ago!P10+Set!P10+Oct!P10+Nov!P10+Dic!P10</f>
        <v>13083.56</v>
      </c>
      <c r="Q10" s="37">
        <f>Ene!Q10+Feb!Q10+Mar!Q10+Abr!Q10+May!Q10+Jun!Q10+Jul!Q10+Ago!Q10+Set!Q10+Oct!Q10+Nov!Q10+Dic!Q10</f>
        <v>10466.85</v>
      </c>
      <c r="R10" s="172">
        <v>0.15</v>
      </c>
      <c r="S10" s="37">
        <f>Ene!S10+Feb!S10+Mar!S10+Abr!S10+May!S10+Jun!S10+Jul!S10+Ago!S10+Set!S10+Oct!S10+Nov!S10+Dic!S10</f>
        <v>2616.71</v>
      </c>
      <c r="T10" s="198">
        <v>3.7499999999999999E-2</v>
      </c>
      <c r="U10" s="61">
        <f t="shared" ref="U10:U39" si="0">IF($F10&amp;"/Día"=W$9,SUM($G10:$H10),"")</f>
        <v>826</v>
      </c>
      <c r="V10" s="61">
        <f t="shared" ref="V10:V46" si="1">IF(U10&lt;&gt;"",$O10,"")</f>
        <v>69778.990000000005</v>
      </c>
      <c r="W10" s="70">
        <f t="shared" ref="W10:W39" si="2">IF($F10&amp;"/Día"=W$9,ROUND(U10/$W$1,1),"")</f>
        <v>2.2999999999999998</v>
      </c>
      <c r="X10" s="71">
        <f t="shared" ref="X10:X39" si="3">IF(U10=0,0,IF($F10&amp;"/Día"=W$9,ROUND(V10/U10,4),""))</f>
        <v>84.478200000000001</v>
      </c>
      <c r="Y10" s="71">
        <f t="shared" ref="Y10:Y39" si="4">IF(U10=0,0,IF($F10&amp;"/Día"=W$9,ROUND(Z10/U10,4),""))</f>
        <v>15.839700000000001</v>
      </c>
      <c r="Z10" s="61">
        <f t="shared" ref="Z10:Z39" si="5">IF(U10&lt;&gt;"",$P10,"")</f>
        <v>13083.56</v>
      </c>
      <c r="AA10" s="61" t="str">
        <f>IF($F10&amp;"/Día"=AC$9,SUM($G10:$H10),"")</f>
        <v/>
      </c>
      <c r="AB10" s="61" t="str">
        <f>IF(AA10&lt;&gt;"",$O10,"")</f>
        <v/>
      </c>
      <c r="AC10" s="70" t="str">
        <f>IF($F10&amp;"/Día"=AC$9,ROUND(AA10/$W$1,1),"")</f>
        <v/>
      </c>
      <c r="AD10" s="71" t="str">
        <f>IF(AA10=0,0,IF($F10&amp;"/Día"=AC$9,ROUND(AB10/AA10,4),""))</f>
        <v/>
      </c>
      <c r="AE10" s="71" t="str">
        <f>IF(AA10=0,0,IF($F10&amp;"/Día"=AC$9,ROUND(AF10/AA10,4),""))</f>
        <v/>
      </c>
      <c r="AF10" s="61" t="str">
        <f>IF(AA10&lt;&gt;"",$P10,"")</f>
        <v/>
      </c>
      <c r="AG10" s="46"/>
      <c r="AH10" s="110">
        <f t="shared" ref="AH10:AH46" si="6">IF(O10=0,"",IF(I10="",H10*J10-SUM(K10:N10)-O10,+(G10*I10+H10*J10)-SUM(K10:N10)-O10))</f>
        <v>-69778.990000000005</v>
      </c>
    </row>
    <row r="11" spans="1:34" x14ac:dyDescent="0.25">
      <c r="A11" s="18" t="s">
        <v>28</v>
      </c>
      <c r="B11" s="19" t="s">
        <v>14</v>
      </c>
      <c r="C11" s="54" t="s">
        <v>29</v>
      </c>
      <c r="D11" s="20" t="s">
        <v>21</v>
      </c>
      <c r="E11" s="54" t="s">
        <v>95</v>
      </c>
      <c r="F11" s="30" t="s">
        <v>56</v>
      </c>
      <c r="G11" s="37">
        <f>Ene!G11+Feb!G11+Mar!G11+Abr!G11+May!G11+Jun!G11+Jul!G11+Ago!G11+Set!G11+Oct!G11+Nov!G11+Dic!G11</f>
        <v>0</v>
      </c>
      <c r="H11" s="37">
        <f>Ene!H11+Feb!H11+Mar!H11+Abr!H11+May!H11+Jun!H11+Jul!H11+Ago!H11+Set!H11+Oct!H11+Nov!H11+Dic!H11</f>
        <v>0</v>
      </c>
      <c r="I11" s="37"/>
      <c r="J11" s="37"/>
      <c r="K11" s="37"/>
      <c r="L11" s="37"/>
      <c r="M11" s="37"/>
      <c r="N11" s="37">
        <f>Ene!N11+Feb!N11+Mar!N11+Abr!N11+May!N11+Jun!N11+Jul!N11+Ago!N11+Set!N11+Oct!N11+Nov!N11+Dic!N11</f>
        <v>0</v>
      </c>
      <c r="O11" s="37">
        <f>Ene!O11+Feb!O11+Mar!O11+Abr!O11+May!O11+Jun!O11+Jul!O11+Ago!O11+Set!O11+Oct!O11+Nov!O11+Dic!O11</f>
        <v>0</v>
      </c>
      <c r="P11" s="37">
        <f>Ene!P11+Feb!P11+Mar!P11+Abr!P11+May!P11+Jun!P11+Jul!P11+Ago!P11+Set!P11+Oct!P11+Nov!P11+Dic!P11</f>
        <v>0</v>
      </c>
      <c r="Q11" s="37">
        <f>Ene!Q11+Feb!Q11+Mar!Q11+Abr!Q11+May!Q11+Jun!Q11+Jul!Q11+Ago!Q11+Set!Q11+Oct!Q11+Nov!Q11+Dic!Q11</f>
        <v>0</v>
      </c>
      <c r="R11" s="172">
        <v>0.15</v>
      </c>
      <c r="S11" s="37">
        <f>Ene!S11+Feb!S11+Mar!S11+Abr!S11+May!S11+Jun!S11+Jul!S11+Ago!S11+Set!S11+Oct!S11+Nov!S11+Dic!S11</f>
        <v>0</v>
      </c>
      <c r="T11" s="198">
        <v>3.7499999999999999E-2</v>
      </c>
      <c r="U11" s="37" t="str">
        <f t="shared" si="0"/>
        <v/>
      </c>
      <c r="V11" s="37" t="str">
        <f t="shared" si="1"/>
        <v/>
      </c>
      <c r="W11" s="72" t="str">
        <f t="shared" si="2"/>
        <v/>
      </c>
      <c r="X11" s="73" t="str">
        <f t="shared" si="3"/>
        <v/>
      </c>
      <c r="Y11" s="73" t="str">
        <f t="shared" si="4"/>
        <v/>
      </c>
      <c r="Z11" s="37" t="str">
        <f t="shared" si="5"/>
        <v/>
      </c>
      <c r="AA11" s="37">
        <f>IF($F11&amp;"/Día"=AC$9,SUM($G11:$H11),"")</f>
        <v>0</v>
      </c>
      <c r="AB11" s="37">
        <f>IF(AA11&lt;&gt;"",$O11,"")</f>
        <v>0</v>
      </c>
      <c r="AC11" s="72">
        <f>IF($F11&amp;"/Día"=AC$9,ROUND(AA11/$W$1,1),"")</f>
        <v>0</v>
      </c>
      <c r="AD11" s="73">
        <f>IF(AA11=0,0,IF($F11&amp;"/Día"=AC$9,ROUND(AB11/AA11,4),""))</f>
        <v>0</v>
      </c>
      <c r="AE11" s="73">
        <f>IF(AA11=0,0,IF($F11&amp;"/Día"=AC$9,ROUND(AF11/AA11,4),""))</f>
        <v>0</v>
      </c>
      <c r="AF11" s="37">
        <f>IF(AA11&lt;&gt;"",$P11,"")</f>
        <v>0</v>
      </c>
      <c r="AG11" s="47"/>
      <c r="AH11" s="111" t="str">
        <f t="shared" si="6"/>
        <v/>
      </c>
    </row>
    <row r="12" spans="1:34" x14ac:dyDescent="0.25">
      <c r="A12" s="18" t="s">
        <v>28</v>
      </c>
      <c r="B12" s="19" t="s">
        <v>154</v>
      </c>
      <c r="C12" s="54" t="s">
        <v>31</v>
      </c>
      <c r="D12" s="20" t="s">
        <v>30</v>
      </c>
      <c r="E12" s="54" t="s">
        <v>95</v>
      </c>
      <c r="F12" s="179" t="s">
        <v>37</v>
      </c>
      <c r="G12" s="37">
        <f>Ene!G12+Feb!G12+Mar!G12+Abr!G12+May!G12+Jun!G12+Jul!G12+Ago!G12+Set!G12+Oct!G12+Nov!G12+Dic!G12</f>
        <v>59630</v>
      </c>
      <c r="H12" s="37">
        <f>Ene!H12+Feb!H12+Mar!H12+Abr!H12+May!H12+Jun!H12+Jul!H12+Ago!H12+Set!H12+Oct!H12+Nov!H12+Dic!H12</f>
        <v>123060</v>
      </c>
      <c r="I12" s="37"/>
      <c r="J12" s="37"/>
      <c r="K12" s="37"/>
      <c r="L12" s="37"/>
      <c r="M12" s="37"/>
      <c r="N12" s="37">
        <f>Ene!N12+Feb!N12+Mar!N12+Abr!N12+May!N12+Jun!N12+Jul!N12+Ago!N12+Set!N12+Oct!N12+Nov!N12+Dic!N12</f>
        <v>3989.5693000000001</v>
      </c>
      <c r="O12" s="37">
        <f>Ene!O12+Feb!O12+Mar!O12+Abr!O12+May!O12+Jun!O12+Jul!O12+Ago!O12+Set!O12+Oct!O12+Nov!O12+Dic!O12</f>
        <v>16989315.030699998</v>
      </c>
      <c r="P12" s="37">
        <f>Ene!P12+Feb!P12+Mar!P12+Abr!P12+May!P12+Jun!P12+Jul!P12+Ago!P12+Set!P12+Oct!P12+Nov!P12+Dic!P12</f>
        <v>3185496.58</v>
      </c>
      <c r="Q12" s="37">
        <f>Ene!Q12+Feb!Q12+Mar!Q12+Abr!Q12+May!Q12+Jun!Q12+Jul!Q12+Ago!Q12+Set!Q12+Oct!Q12+Nov!Q12+Dic!Q12</f>
        <v>2548397.25</v>
      </c>
      <c r="R12" s="172">
        <v>0.15</v>
      </c>
      <c r="S12" s="37">
        <f>Ene!S12+Feb!S12+Mar!S12+Abr!S12+May!S12+Jun!S12+Jul!S12+Ago!S12+Set!S12+Oct!S12+Nov!S12+Dic!S12</f>
        <v>637099.31000000006</v>
      </c>
      <c r="T12" s="198">
        <v>3.7499999999999999E-2</v>
      </c>
      <c r="U12" s="37"/>
      <c r="V12" s="37"/>
      <c r="W12" s="72"/>
      <c r="X12" s="73"/>
      <c r="Y12" s="73"/>
      <c r="Z12" s="37"/>
      <c r="AA12" s="37"/>
      <c r="AB12" s="37"/>
      <c r="AC12" s="72"/>
      <c r="AD12" s="73"/>
      <c r="AE12" s="73"/>
      <c r="AF12" s="37"/>
      <c r="AG12" s="47"/>
      <c r="AH12" s="111"/>
    </row>
    <row r="13" spans="1:34" x14ac:dyDescent="0.25">
      <c r="A13" s="18" t="s">
        <v>28</v>
      </c>
      <c r="B13" s="19" t="s">
        <v>153</v>
      </c>
      <c r="C13" s="54" t="s">
        <v>31</v>
      </c>
      <c r="D13" s="20" t="s">
        <v>30</v>
      </c>
      <c r="E13" s="54" t="s">
        <v>95</v>
      </c>
      <c r="F13" s="179" t="s">
        <v>56</v>
      </c>
      <c r="G13" s="37">
        <f>Ene!G13+Feb!G13+Mar!G13+Abr!G13+May!G13+Jun!G13+Jul!G13+Ago!G13+Set!G13+Oct!G13+Nov!G13+Dic!G13</f>
        <v>588019.42899999989</v>
      </c>
      <c r="H13" s="37">
        <f>Ene!H13+Feb!H13+Mar!H13+Abr!H13+May!H13+Jun!H13+Jul!H13+Ago!H13+Set!H13+Oct!H13+Nov!H13+Dic!H13</f>
        <v>611425.83480000007</v>
      </c>
      <c r="I13" s="37"/>
      <c r="J13" s="37"/>
      <c r="K13" s="37"/>
      <c r="L13" s="37"/>
      <c r="M13" s="37"/>
      <c r="N13" s="37">
        <f>Ene!N13+Feb!N13+Mar!N13+Abr!N13+May!N13+Jun!N13+Jul!N13+Ago!N13+Set!N13+Oct!N13+Nov!N13+Dic!N13</f>
        <v>11194.1001</v>
      </c>
      <c r="O13" s="37">
        <f>Ene!O13+Feb!O13+Mar!O13+Abr!O13+May!O13+Jun!O13+Jul!O13+Ago!O13+Set!O13+Oct!O13+Nov!O13+Dic!O13</f>
        <v>3587141.6999000004</v>
      </c>
      <c r="P13" s="37">
        <f>Ene!P13+Feb!P13+Mar!P13+Abr!P13+May!P13+Jun!P13+Jul!P13+Ago!P13+Set!P13+Oct!P13+Nov!P13+Dic!P13</f>
        <v>672589.06</v>
      </c>
      <c r="Q13" s="37">
        <f>Ene!Q13+Feb!Q13+Mar!Q13+Abr!Q13+May!Q13+Jun!Q13+Jul!Q13+Ago!Q13+Set!Q13+Oct!Q13+Nov!Q13+Dic!Q13</f>
        <v>538071.26</v>
      </c>
      <c r="R13" s="172">
        <v>0.15</v>
      </c>
      <c r="S13" s="37">
        <f>Ene!S13+Feb!S13+Mar!S13+Abr!S13+May!S13+Jun!S13+Jul!S13+Ago!S13+Set!S13+Oct!S13+Nov!S13+Dic!S13</f>
        <v>134517.80999999997</v>
      </c>
      <c r="T13" s="198">
        <v>3.7499999999999999E-2</v>
      </c>
      <c r="U13" s="37" t="str">
        <f t="shared" ref="U13" si="7">IF($F13&amp;"/Día"=W$9,SUM($G13:$H13),"")</f>
        <v/>
      </c>
      <c r="V13" s="37" t="str">
        <f t="shared" ref="V13" si="8">IF(U13&lt;&gt;"",$O13,"")</f>
        <v/>
      </c>
      <c r="W13" s="72" t="str">
        <f t="shared" ref="W13" si="9">IF($F13&amp;"/Día"=W$9,ROUND(U13/$W$1,1),"")</f>
        <v/>
      </c>
      <c r="X13" s="73" t="str">
        <f t="shared" ref="X13" si="10">IF(U13=0,0,IF($F13&amp;"/Día"=W$9,ROUND(V13/U13,4),""))</f>
        <v/>
      </c>
      <c r="Y13" s="73" t="str">
        <f t="shared" ref="Y13" si="11">IF(U13=0,0,IF($F13&amp;"/Día"=W$9,ROUND(Z13/U13,4),""))</f>
        <v/>
      </c>
      <c r="Z13" s="37" t="str">
        <f t="shared" ref="Z13" si="12">IF(U13&lt;&gt;"",$P13,"")</f>
        <v/>
      </c>
      <c r="AA13" s="37">
        <f>IF($F13&amp;"/Día"=AC$9,SUM($G13:$H13),"")</f>
        <v>1199445.2637999998</v>
      </c>
      <c r="AB13" s="37">
        <f>IF(AA13&lt;&gt;"",$O13,"")</f>
        <v>3587141.6999000004</v>
      </c>
      <c r="AC13" s="72">
        <f>IF($F13&amp;"/Día"=AC$9,ROUND(AA13/$W$1,1),"")</f>
        <v>3286.2</v>
      </c>
      <c r="AD13" s="73">
        <f>IF(AA13=0,0,IF($F13&amp;"/Día"=AC$9,ROUND(AB13/AA13,4),""))</f>
        <v>2.9906999999999999</v>
      </c>
      <c r="AE13" s="73">
        <f>IF(AA13=0,0,IF($F13&amp;"/Día"=AC$9,ROUND(AF13/AA13,4),""))</f>
        <v>0.56079999999999997</v>
      </c>
      <c r="AF13" s="37">
        <f>IF(AA13&lt;&gt;"",$P13,"")</f>
        <v>672589.06</v>
      </c>
      <c r="AG13" s="47"/>
      <c r="AH13" s="111">
        <f t="shared" ref="AH13" si="13">IF(O13=0,"",IF(I13="",H13*J13-SUM(K13:N13)-O13,+(G13*I13+H13*J13)-SUM(K13:N13)-O13))</f>
        <v>-3598335.8000000003</v>
      </c>
    </row>
    <row r="14" spans="1:34" x14ac:dyDescent="0.25">
      <c r="A14" s="18" t="s">
        <v>28</v>
      </c>
      <c r="B14" s="19" t="s">
        <v>3</v>
      </c>
      <c r="C14" s="54" t="s">
        <v>31</v>
      </c>
      <c r="D14" s="20" t="s">
        <v>30</v>
      </c>
      <c r="E14" s="54" t="s">
        <v>96</v>
      </c>
      <c r="F14" s="30" t="s">
        <v>37</v>
      </c>
      <c r="G14" s="37">
        <f>Ene!G14+Feb!G14+Mar!G14+Abr!G14+May!G14+Jun!G14+Jul!G14+Ago!G14+Set!G14+Oct!G14+Nov!G14+Dic!G14</f>
        <v>75179</v>
      </c>
      <c r="H14" s="37">
        <f>Ene!H14+Feb!H14+Mar!H14+Abr!H14+May!H14+Jun!H14+Jul!H14+Ago!H14+Set!H14+Oct!H14+Nov!H14+Dic!H14</f>
        <v>78534</v>
      </c>
      <c r="I14" s="37"/>
      <c r="J14" s="37"/>
      <c r="K14" s="37"/>
      <c r="L14" s="37"/>
      <c r="M14" s="37"/>
      <c r="N14" s="37">
        <f>Ene!N14+Feb!N14+Mar!N14+Abr!N14+May!N14+Jun!N14+Jul!N14+Ago!N14+Set!N14+Oct!N14+Nov!N14+Dic!N14</f>
        <v>10308.947599999998</v>
      </c>
      <c r="O14" s="37">
        <f>Ene!O14+Feb!O14+Mar!O14+Abr!O14+May!O14+Jun!O14+Jul!O14+Ago!O14+Set!O14+Oct!O14+Nov!O14+Dic!O14</f>
        <v>14918573.212399997</v>
      </c>
      <c r="P14" s="37">
        <f>Ene!P14+Feb!P14+Mar!P14+Abr!P14+May!P14+Jun!P14+Jul!P14+Ago!P14+Set!P14+Oct!P14+Nov!P14+Dic!P14</f>
        <v>2797232.48</v>
      </c>
      <c r="Q14" s="37">
        <f>Ene!Q14+Feb!Q14+Mar!Q14+Abr!Q14+May!Q14+Jun!Q14+Jul!Q14+Ago!Q14+Set!Q14+Oct!Q14+Nov!Q14+Dic!Q14</f>
        <v>2237785.98</v>
      </c>
      <c r="R14" s="172">
        <v>0.15</v>
      </c>
      <c r="S14" s="37">
        <f>Ene!S14+Feb!S14+Mar!S14+Abr!S14+May!S14+Jun!S14+Jul!S14+Ago!S14+Set!S14+Oct!S14+Nov!S14+Dic!S14</f>
        <v>559446.49000000011</v>
      </c>
      <c r="T14" s="198">
        <v>3.7499999999999999E-2</v>
      </c>
      <c r="U14" s="37">
        <f t="shared" si="0"/>
        <v>153713</v>
      </c>
      <c r="V14" s="37">
        <f t="shared" si="1"/>
        <v>14918573.212399997</v>
      </c>
      <c r="W14" s="72">
        <f t="shared" si="2"/>
        <v>421.1</v>
      </c>
      <c r="X14" s="73">
        <f t="shared" si="3"/>
        <v>97.054699999999997</v>
      </c>
      <c r="Y14" s="73">
        <f t="shared" si="4"/>
        <v>18.197800000000001</v>
      </c>
      <c r="Z14" s="37">
        <f t="shared" si="5"/>
        <v>2797232.48</v>
      </c>
      <c r="AA14" s="37" t="str">
        <f t="shared" ref="AA14:AA44" si="14">IF($F14&amp;"/Día"=AC$9,SUM($G14:$H14),"")</f>
        <v/>
      </c>
      <c r="AB14" s="37" t="str">
        <f t="shared" ref="AB14:AB44" si="15">IF(AA14&lt;&gt;"",$O14,"")</f>
        <v/>
      </c>
      <c r="AC14" s="72" t="str">
        <f t="shared" ref="AC14:AC44" si="16">IF($F14&amp;"/Día"=AC$9,ROUND(AA14/$W$1,1),"")</f>
        <v/>
      </c>
      <c r="AD14" s="73" t="str">
        <f t="shared" ref="AD14:AD44" si="17">IF(AA14=0,0,IF($F14&amp;"/Día"=AC$9,ROUND(AB14/AA14,4),""))</f>
        <v/>
      </c>
      <c r="AE14" s="73" t="str">
        <f t="shared" ref="AE14:AE44" si="18">IF(AA14=0,0,IF($F14&amp;"/Día"=AC$9,ROUND(AF14/AA14,4),""))</f>
        <v/>
      </c>
      <c r="AF14" s="37" t="str">
        <f t="shared" ref="AF14:AF44" si="19">IF(AA14&lt;&gt;"",$P14,"")</f>
        <v/>
      </c>
      <c r="AG14" s="47"/>
      <c r="AH14" s="111">
        <f t="shared" si="6"/>
        <v>-14928882.159999996</v>
      </c>
    </row>
    <row r="15" spans="1:34" x14ac:dyDescent="0.25">
      <c r="A15" s="184" t="s">
        <v>28</v>
      </c>
      <c r="B15" s="188" t="s">
        <v>117</v>
      </c>
      <c r="C15" s="179" t="s">
        <v>29</v>
      </c>
      <c r="D15" s="185" t="s">
        <v>21</v>
      </c>
      <c r="E15" s="179" t="s">
        <v>95</v>
      </c>
      <c r="F15" s="179" t="s">
        <v>56</v>
      </c>
      <c r="G15" s="37">
        <f>Ene!G15+Feb!G15+Mar!G15+Abr!G15+May!G15+Jun!G15+Jul!G15+Ago!G15+Set!G15+Oct!G15+Nov!G15+Dic!G15</f>
        <v>263119.62880000001</v>
      </c>
      <c r="H15" s="37">
        <f>Ene!H15+Feb!H15+Mar!H15+Abr!H15+May!H15+Jun!H15+Jul!H15+Ago!H15+Set!H15+Oct!H15+Nov!H15+Dic!H15</f>
        <v>256856.89290000001</v>
      </c>
      <c r="I15" s="37"/>
      <c r="J15" s="37"/>
      <c r="K15" s="37"/>
      <c r="L15" s="37"/>
      <c r="M15" s="37"/>
      <c r="N15" s="37">
        <f>Ene!N15+Feb!N15+Mar!N15+Abr!N15+May!N15+Jun!N15+Jul!N15+Ago!N15+Set!N15+Oct!N15+Nov!N15+Dic!N15</f>
        <v>11013.518599999999</v>
      </c>
      <c r="O15" s="37">
        <f>Ene!O15+Feb!O15+Mar!O15+Abr!O15+May!O15+Jun!O15+Jul!O15+Ago!O15+Set!O15+Oct!O15+Nov!O15+Dic!O15</f>
        <v>1381223.6113999998</v>
      </c>
      <c r="P15" s="37">
        <f>Ene!P15+Feb!P15+Mar!P15+Abr!P15+May!P15+Jun!P15+Jul!P15+Ago!P15+Set!P15+Oct!P15+Nov!P15+Dic!P15</f>
        <v>258979.43</v>
      </c>
      <c r="Q15" s="37">
        <f>Ene!Q15+Feb!Q15+Mar!Q15+Abr!Q15+May!Q15+Jun!Q15+Jul!Q15+Ago!Q15+Set!Q15+Oct!Q15+Nov!Q15+Dic!Q15</f>
        <v>207183.55</v>
      </c>
      <c r="R15" s="172">
        <v>0.15</v>
      </c>
      <c r="S15" s="37">
        <f>Ene!S15+Feb!S15+Mar!S15+Abr!S15+May!S15+Jun!S15+Jul!S15+Ago!S15+Set!S15+Oct!S15+Nov!S15+Dic!S15</f>
        <v>51795.880000000012</v>
      </c>
      <c r="T15" s="198">
        <v>3.7499999999999999E-2</v>
      </c>
      <c r="U15" s="37" t="str">
        <f t="shared" ref="U15" si="20">IF($F15&amp;"/Día"=W$9,SUM($G15:$H15),"")</f>
        <v/>
      </c>
      <c r="V15" s="37" t="str">
        <f t="shared" ref="V15" si="21">IF(U15&lt;&gt;"",$O15,"")</f>
        <v/>
      </c>
      <c r="W15" s="72" t="str">
        <f t="shared" ref="W15" si="22">IF($F15&amp;"/Día"=W$9,ROUND(U15/$W$1,1),"")</f>
        <v/>
      </c>
      <c r="X15" s="73" t="str">
        <f t="shared" ref="X15" si="23">IF(U15=0,0,IF($F15&amp;"/Día"=W$9,ROUND(V15/U15,4),""))</f>
        <v/>
      </c>
      <c r="Y15" s="73" t="str">
        <f t="shared" ref="Y15" si="24">IF(U15=0,0,IF($F15&amp;"/Día"=W$9,ROUND(Z15/U15,4),""))</f>
        <v/>
      </c>
      <c r="Z15" s="37" t="str">
        <f t="shared" ref="Z15" si="25">IF(U15&lt;&gt;"",$P15,"")</f>
        <v/>
      </c>
      <c r="AA15" s="37">
        <f t="shared" si="14"/>
        <v>519976.52170000004</v>
      </c>
      <c r="AB15" s="37">
        <f t="shared" si="15"/>
        <v>1381223.6113999998</v>
      </c>
      <c r="AC15" s="72">
        <f t="shared" si="16"/>
        <v>1424.6</v>
      </c>
      <c r="AD15" s="73">
        <f t="shared" si="17"/>
        <v>2.6562999999999999</v>
      </c>
      <c r="AE15" s="73">
        <f t="shared" si="18"/>
        <v>0.49809999999999999</v>
      </c>
      <c r="AF15" s="37">
        <f t="shared" si="19"/>
        <v>258979.43</v>
      </c>
      <c r="AG15" s="47"/>
      <c r="AH15" s="111">
        <f t="shared" si="6"/>
        <v>-1392237.13</v>
      </c>
    </row>
    <row r="16" spans="1:34" x14ac:dyDescent="0.25">
      <c r="A16" s="18" t="s">
        <v>28</v>
      </c>
      <c r="B16" s="19" t="s">
        <v>4</v>
      </c>
      <c r="C16" s="54" t="s">
        <v>31</v>
      </c>
      <c r="D16" s="20" t="s">
        <v>30</v>
      </c>
      <c r="E16" s="54" t="s">
        <v>96</v>
      </c>
      <c r="F16" s="30" t="s">
        <v>37</v>
      </c>
      <c r="G16" s="37">
        <f>Ene!G16+Feb!G16+Mar!G16+Abr!G16+May!G16+Jun!G16+Jul!G16+Ago!G16+Set!G16+Oct!G16+Nov!G16+Dic!G16</f>
        <v>72349</v>
      </c>
      <c r="H16" s="37">
        <f>Ene!H16+Feb!H16+Mar!H16+Abr!H16+May!H16+Jun!H16+Jul!H16+Ago!H16+Set!H16+Oct!H16+Nov!H16+Dic!H16</f>
        <v>87735</v>
      </c>
      <c r="I16" s="37"/>
      <c r="J16" s="37"/>
      <c r="K16" s="37"/>
      <c r="L16" s="37"/>
      <c r="M16" s="37"/>
      <c r="N16" s="37">
        <f>Ene!N16+Feb!N16+Mar!N16+Abr!N16+May!N16+Jun!N16+Jul!N16+Ago!N16+Set!N16+Oct!N16+Nov!N16+Dic!N16</f>
        <v>6104.235200000001</v>
      </c>
      <c r="O16" s="37">
        <f>Ene!O16+Feb!O16+Mar!O16+Abr!O16+May!O16+Jun!O16+Jul!O16+Ago!O16+Set!O16+Oct!O16+Nov!O16+Dic!O16</f>
        <v>15227586.4848</v>
      </c>
      <c r="P16" s="37">
        <f>Ene!P16+Feb!P16+Mar!P16+Abr!P16+May!P16+Jun!P16+Jul!P16+Ago!P16+Set!P16+Oct!P16+Nov!P16+Dic!P16</f>
        <v>2855172.45</v>
      </c>
      <c r="Q16" s="37">
        <f>Ene!Q16+Feb!Q16+Mar!Q16+Abr!Q16+May!Q16+Jun!Q16+Jul!Q16+Ago!Q16+Set!Q16+Oct!Q16+Nov!Q16+Dic!Q16</f>
        <v>2284137.9499999997</v>
      </c>
      <c r="R16" s="172">
        <v>0.15</v>
      </c>
      <c r="S16" s="37">
        <f>Ene!S16+Feb!S16+Mar!S16+Abr!S16+May!S16+Jun!S16+Jul!S16+Ago!S16+Set!S16+Oct!S16+Nov!S16+Dic!S16</f>
        <v>571034.49</v>
      </c>
      <c r="T16" s="198">
        <v>3.7499999999999999E-2</v>
      </c>
      <c r="U16" s="37">
        <f t="shared" si="0"/>
        <v>160084</v>
      </c>
      <c r="V16" s="37">
        <f t="shared" si="1"/>
        <v>15227586.4848</v>
      </c>
      <c r="W16" s="72">
        <f t="shared" si="2"/>
        <v>438.6</v>
      </c>
      <c r="X16" s="73">
        <f t="shared" si="3"/>
        <v>95.122500000000002</v>
      </c>
      <c r="Y16" s="73">
        <f t="shared" si="4"/>
        <v>17.8355</v>
      </c>
      <c r="Z16" s="37">
        <f t="shared" si="5"/>
        <v>2855172.45</v>
      </c>
      <c r="AA16" s="37" t="str">
        <f t="shared" si="14"/>
        <v/>
      </c>
      <c r="AB16" s="37" t="str">
        <f t="shared" si="15"/>
        <v/>
      </c>
      <c r="AC16" s="72" t="str">
        <f t="shared" si="16"/>
        <v/>
      </c>
      <c r="AD16" s="73" t="str">
        <f t="shared" si="17"/>
        <v/>
      </c>
      <c r="AE16" s="73" t="str">
        <f t="shared" si="18"/>
        <v/>
      </c>
      <c r="AF16" s="37" t="str">
        <f t="shared" si="19"/>
        <v/>
      </c>
      <c r="AG16" s="47"/>
      <c r="AH16" s="111">
        <f t="shared" si="6"/>
        <v>-15233690.720000001</v>
      </c>
    </row>
    <row r="17" spans="1:34" x14ac:dyDescent="0.25">
      <c r="A17" s="18" t="s">
        <v>28</v>
      </c>
      <c r="B17" s="19" t="s">
        <v>5</v>
      </c>
      <c r="C17" s="54" t="s">
        <v>31</v>
      </c>
      <c r="D17" s="20" t="s">
        <v>30</v>
      </c>
      <c r="E17" s="54" t="s">
        <v>96</v>
      </c>
      <c r="F17" s="30" t="s">
        <v>37</v>
      </c>
      <c r="G17" s="37">
        <f>Ene!G17+Feb!G17+Mar!G17+Abr!G17+May!G17+Jun!G17+Jul!G17+Ago!G17+Set!G17+Oct!G17+Nov!G17+Dic!G17</f>
        <v>326970</v>
      </c>
      <c r="H17" s="37">
        <f>Ene!H17+Feb!H17+Mar!H17+Abr!H17+May!H17+Jun!H17+Jul!H17+Ago!H17+Set!H17+Oct!H17+Nov!H17+Dic!H17</f>
        <v>362299</v>
      </c>
      <c r="I17" s="37"/>
      <c r="J17" s="37"/>
      <c r="K17" s="37"/>
      <c r="L17" s="37"/>
      <c r="M17" s="37"/>
      <c r="N17" s="37">
        <f>Ene!N17+Feb!N17+Mar!N17+Abr!N17+May!N17+Jun!N17+Jul!N17+Ago!N17+Set!N17+Oct!N17+Nov!N17+Dic!N17</f>
        <v>15766.4391</v>
      </c>
      <c r="O17" s="37">
        <f>Ene!O17+Feb!O17+Mar!O17+Abr!O17+May!O17+Jun!O17+Jul!O17+Ago!O17+Set!O17+Oct!O17+Nov!O17+Dic!O17</f>
        <v>65774112.170900002</v>
      </c>
      <c r="P17" s="37">
        <f>Ene!P17+Feb!P17+Mar!P17+Abr!P17+May!P17+Jun!P17+Jul!P17+Ago!P17+Set!P17+Oct!P17+Nov!P17+Dic!P17</f>
        <v>12332646.040000001</v>
      </c>
      <c r="Q17" s="37">
        <f>Ene!Q17+Feb!Q17+Mar!Q17+Abr!Q17+May!Q17+Jun!Q17+Jul!Q17+Ago!Q17+Set!Q17+Oct!Q17+Nov!Q17+Dic!Q17</f>
        <v>9866116.8300000001</v>
      </c>
      <c r="R17" s="172">
        <v>0.15</v>
      </c>
      <c r="S17" s="37">
        <f>Ene!S17+Feb!S17+Mar!S17+Abr!S17+May!S17+Jun!S17+Jul!S17+Ago!S17+Set!S17+Oct!S17+Nov!S17+Dic!S17</f>
        <v>2466529.2000000002</v>
      </c>
      <c r="T17" s="198">
        <v>3.7499999999999999E-2</v>
      </c>
      <c r="U17" s="37">
        <f t="shared" si="0"/>
        <v>689269</v>
      </c>
      <c r="V17" s="37">
        <f t="shared" si="1"/>
        <v>65774112.170900002</v>
      </c>
      <c r="W17" s="72">
        <f t="shared" si="2"/>
        <v>1888.4</v>
      </c>
      <c r="X17" s="73">
        <f t="shared" si="3"/>
        <v>95.425899999999999</v>
      </c>
      <c r="Y17" s="73">
        <f t="shared" si="4"/>
        <v>17.892399999999999</v>
      </c>
      <c r="Z17" s="37">
        <f t="shared" si="5"/>
        <v>12332646.040000001</v>
      </c>
      <c r="AA17" s="37" t="str">
        <f t="shared" si="14"/>
        <v/>
      </c>
      <c r="AB17" s="37" t="str">
        <f t="shared" si="15"/>
        <v/>
      </c>
      <c r="AC17" s="72" t="str">
        <f t="shared" si="16"/>
        <v/>
      </c>
      <c r="AD17" s="73" t="str">
        <f t="shared" si="17"/>
        <v/>
      </c>
      <c r="AE17" s="73" t="str">
        <f t="shared" si="18"/>
        <v/>
      </c>
      <c r="AF17" s="37" t="str">
        <f t="shared" si="19"/>
        <v/>
      </c>
      <c r="AG17" s="47"/>
      <c r="AH17" s="111">
        <f t="shared" si="6"/>
        <v>-65789878.609999999</v>
      </c>
    </row>
    <row r="18" spans="1:34" s="212" customFormat="1" ht="12.75" x14ac:dyDescent="0.2">
      <c r="A18" s="303" t="s">
        <v>28</v>
      </c>
      <c r="B18" s="19" t="s">
        <v>176</v>
      </c>
      <c r="C18" s="85" t="s">
        <v>31</v>
      </c>
      <c r="D18" s="304" t="s">
        <v>30</v>
      </c>
      <c r="E18" s="85" t="s">
        <v>96</v>
      </c>
      <c r="F18" s="186" t="s">
        <v>37</v>
      </c>
      <c r="G18" s="37">
        <f>Ene!G18+Feb!G18+Mar!G18+Abr!G18+May!G18+Jun!G18+Jul!G18+Ago!G18+Set!G18+Oct!G18+Nov!G18+Dic!G18</f>
        <v>29903</v>
      </c>
      <c r="H18" s="37">
        <f>Ene!H18+Feb!H18+Mar!H18+Abr!H18+May!H18+Jun!H18+Jul!H18+Ago!H18+Set!H18+Oct!H18+Nov!H18+Dic!H18</f>
        <v>38780</v>
      </c>
      <c r="I18" s="310"/>
      <c r="J18" s="307"/>
      <c r="K18" s="305"/>
      <c r="L18" s="305"/>
      <c r="M18" s="305"/>
      <c r="N18" s="37">
        <f>Ene!N18+Feb!N18+Mar!N18+Abr!N18+May!N18+Jun!N18+Jul!N18+Ago!N18+Set!N18+Oct!N18+Nov!N18+Dic!N18</f>
        <v>1244.3622</v>
      </c>
      <c r="O18" s="37">
        <f>Ene!O18+Feb!O18+Mar!O18+Abr!O18+May!O18+Jun!O18+Jul!O18+Ago!O18+Set!O18+Oct!O18+Nov!O18+Dic!O18</f>
        <v>5566616.9878000002</v>
      </c>
      <c r="P18" s="37">
        <f>Ene!P18+Feb!P18+Mar!P18+Abr!P18+May!P18+Jun!P18+Jul!P18+Ago!P18+Set!P18+Oct!P18+Nov!P18+Dic!P18</f>
        <v>1043740.6799999999</v>
      </c>
      <c r="Q18" s="37">
        <f>Ene!Q18+Feb!Q18+Mar!Q18+Abr!Q18+May!Q18+Jun!Q18+Jul!Q18+Ago!Q18+Set!Q18+Oct!Q18+Nov!Q18+Dic!Q18</f>
        <v>834992.54</v>
      </c>
      <c r="R18" s="172">
        <v>0.15</v>
      </c>
      <c r="S18" s="37">
        <f>Ene!S18+Feb!S18+Mar!S18+Abr!S18+May!S18+Jun!S18+Jul!S18+Ago!S18+Set!S18+Oct!S18+Nov!S18+Dic!S18</f>
        <v>208748.14</v>
      </c>
      <c r="T18" s="198">
        <v>3.7499999999999999E-2</v>
      </c>
    </row>
    <row r="19" spans="1:34" s="212" customFormat="1" ht="12.75" x14ac:dyDescent="0.2">
      <c r="A19" s="303" t="s">
        <v>28</v>
      </c>
      <c r="B19" s="19" t="s">
        <v>177</v>
      </c>
      <c r="C19" s="85" t="s">
        <v>31</v>
      </c>
      <c r="D19" s="304" t="s">
        <v>30</v>
      </c>
      <c r="E19" s="85" t="s">
        <v>96</v>
      </c>
      <c r="F19" s="186" t="s">
        <v>37</v>
      </c>
      <c r="G19" s="37">
        <f>Ene!G19+Feb!G19+Mar!G19+Abr!G19+May!G19+Jun!G19+Jul!G19+Ago!G19+Set!G19+Oct!G19+Nov!G19+Dic!G19</f>
        <v>78053</v>
      </c>
      <c r="H19" s="37">
        <f>Ene!H19+Feb!H19+Mar!H19+Abr!H19+May!H19+Jun!H19+Jul!H19+Ago!H19+Set!H19+Oct!H19+Nov!H19+Dic!H19</f>
        <v>84741</v>
      </c>
      <c r="I19" s="310"/>
      <c r="J19" s="307"/>
      <c r="K19" s="305"/>
      <c r="L19" s="305"/>
      <c r="M19" s="305"/>
      <c r="N19" s="37">
        <f>Ene!N19+Feb!N19+Mar!N19+Abr!N19+May!N19+Jun!N19+Jul!N19+Ago!N19+Set!N19+Oct!N19+Nov!N19+Dic!N19</f>
        <v>3202.547</v>
      </c>
      <c r="O19" s="37">
        <f>Ene!O19+Feb!O19+Mar!O19+Abr!O19+May!O19+Jun!O19+Jul!O19+Ago!O19+Set!O19+Oct!O19+Nov!O19+Dic!O19</f>
        <v>13416920.283</v>
      </c>
      <c r="P19" s="37">
        <f>Ene!P19+Feb!P19+Mar!P19+Abr!P19+May!P19+Jun!P19+Jul!P19+Ago!P19+Set!P19+Oct!P19+Nov!P19+Dic!P19</f>
        <v>2515672.5499999998</v>
      </c>
      <c r="Q19" s="37">
        <f>Ene!Q19+Feb!Q19+Mar!Q19+Abr!Q19+May!Q19+Jun!Q19+Jul!Q19+Ago!Q19+Set!Q19+Oct!Q19+Nov!Q19+Dic!Q19</f>
        <v>2012538.05</v>
      </c>
      <c r="R19" s="172">
        <v>0.15</v>
      </c>
      <c r="S19" s="37">
        <f>Ene!S19+Feb!S19+Mar!S19+Abr!S19+May!S19+Jun!S19+Jul!S19+Ago!S19+Set!S19+Oct!S19+Nov!S19+Dic!S19</f>
        <v>503134.51</v>
      </c>
      <c r="T19" s="198">
        <v>3.7499999999999999E-2</v>
      </c>
    </row>
    <row r="20" spans="1:34" x14ac:dyDescent="0.25">
      <c r="A20" s="18" t="s">
        <v>28</v>
      </c>
      <c r="B20" s="19" t="s">
        <v>145</v>
      </c>
      <c r="C20" s="54" t="s">
        <v>31</v>
      </c>
      <c r="D20" s="20" t="s">
        <v>30</v>
      </c>
      <c r="E20" s="54" t="s">
        <v>96</v>
      </c>
      <c r="F20" s="30" t="s">
        <v>37</v>
      </c>
      <c r="G20" s="37">
        <f>Ene!G20+Feb!G20+Mar!G20+Abr!G18+May!G20+Jun!G20+Jul!G20+Ago!G20+Set!G20+Oct!G20+Nov!G20+Dic!G20</f>
        <v>357728.29240000003</v>
      </c>
      <c r="H20" s="37">
        <f>Ene!H20+Feb!H20+Mar!H20+Abr!H18+May!H20+Jun!H20+Jul!H20+Ago!H20+Set!H20+Oct!H20+Nov!H20+Dic!H20</f>
        <v>420122.39989999996</v>
      </c>
      <c r="I20" s="37"/>
      <c r="J20" s="37"/>
      <c r="K20" s="37"/>
      <c r="L20" s="37"/>
      <c r="M20" s="37"/>
      <c r="N20" s="37">
        <f>Ene!N20+Feb!N20+Mar!N20+Abr!N20+May!N20+Jun!N20+Jul!N20+Ago!N20+Set!N20+Oct!N20+Nov!N20+Dic!N20</f>
        <v>0</v>
      </c>
      <c r="O20" s="37">
        <f>Ene!O20+Feb!O20+Mar!O20+Abr!O20+May!O20+Jun!O20+Jul!O20+Ago!O20+Set!O20+Oct!O20+Nov!O20+Dic!O20</f>
        <v>3804005.7600000002</v>
      </c>
      <c r="P20" s="37">
        <f>Ene!P20+Feb!P20+Mar!P20+Abr!P20+May!P20+Jun!P20+Jul!P20+Ago!P20+Set!P20+Oct!P20+Nov!P20+Dic!P20</f>
        <v>713251.08000000007</v>
      </c>
      <c r="Q20" s="37">
        <f>Ene!Q20+Feb!Q20+Mar!Q20+Abr!Q20+May!Q20+Jun!Q20+Jul!Q20+Ago!Q20+Set!Q20+Oct!Q20+Nov!Q20+Dic!Q20</f>
        <v>570600.88</v>
      </c>
      <c r="R20" s="172">
        <v>0.15</v>
      </c>
      <c r="S20" s="37">
        <f>Ene!S20+Feb!S20+Mar!S20+Abr!S20+May!S20+Jun!S20+Jul!S20+Ago!S20+Set!S20+Oct!S20+Nov!S20+Dic!S20</f>
        <v>142650.21000000002</v>
      </c>
      <c r="T20" s="198">
        <v>3.7499999999999999E-2</v>
      </c>
      <c r="U20" s="37">
        <f t="shared" ref="U20" si="26">IF($F20&amp;"/Día"=W$9,SUM($G20:$H20),"")</f>
        <v>777850.6923</v>
      </c>
      <c r="V20" s="37">
        <f t="shared" ref="V20" si="27">IF(U20&lt;&gt;"",$O20,"")</f>
        <v>3804005.7600000002</v>
      </c>
      <c r="W20" s="72">
        <f t="shared" ref="W20" si="28">IF($F20&amp;"/Día"=W$9,ROUND(U20/$W$1,1),"")</f>
        <v>2131.1</v>
      </c>
      <c r="X20" s="73">
        <f t="shared" ref="X20" si="29">IF(U20=0,0,IF($F20&amp;"/Día"=W$9,ROUND(V20/U20,4),""))</f>
        <v>4.8903999999999996</v>
      </c>
      <c r="Y20" s="73">
        <f t="shared" ref="Y20" si="30">IF(U20=0,0,IF($F20&amp;"/Día"=W$9,ROUND(Z20/U20,4),""))</f>
        <v>0.91700000000000004</v>
      </c>
      <c r="Z20" s="37">
        <f t="shared" ref="Z20" si="31">IF(U20&lt;&gt;"",$P20,"")</f>
        <v>713251.08000000007</v>
      </c>
      <c r="AA20" s="37" t="str">
        <f t="shared" ref="AA20" si="32">IF($F20&amp;"/Día"=AC$9,SUM($G20:$H20),"")</f>
        <v/>
      </c>
      <c r="AB20" s="37" t="str">
        <f t="shared" ref="AB20" si="33">IF(AA20&lt;&gt;"",$O20,"")</f>
        <v/>
      </c>
      <c r="AC20" s="72" t="str">
        <f t="shared" ref="AC20" si="34">IF($F20&amp;"/Día"=AC$9,ROUND(AA20/$W$1,1),"")</f>
        <v/>
      </c>
      <c r="AD20" s="73" t="str">
        <f t="shared" ref="AD20" si="35">IF(AA20=0,0,IF($F20&amp;"/Día"=AC$9,ROUND(AB20/AA20,4),""))</f>
        <v/>
      </c>
      <c r="AE20" s="73" t="str">
        <f t="shared" ref="AE20" si="36">IF(AA20=0,0,IF($F20&amp;"/Día"=AC$9,ROUND(AF20/AA20,4),""))</f>
        <v/>
      </c>
      <c r="AF20" s="37" t="str">
        <f t="shared" ref="AF20" si="37">IF(AA20&lt;&gt;"",$P20,"")</f>
        <v/>
      </c>
      <c r="AG20" s="47"/>
      <c r="AH20" s="111">
        <f t="shared" ref="AH20" si="38">IF(O20=0,"",IF(I20="",H20*J20-SUM(K20:N20)-O20,+(G20*I20+H20*J20)-SUM(K20:N20)-O20))</f>
        <v>-3804005.7600000002</v>
      </c>
    </row>
    <row r="21" spans="1:34" x14ac:dyDescent="0.25">
      <c r="A21" s="18" t="s">
        <v>28</v>
      </c>
      <c r="B21" s="19" t="s">
        <v>17</v>
      </c>
      <c r="C21" s="54" t="s">
        <v>29</v>
      </c>
      <c r="D21" s="20" t="s">
        <v>21</v>
      </c>
      <c r="E21" s="54" t="s">
        <v>95</v>
      </c>
      <c r="F21" s="30" t="s">
        <v>37</v>
      </c>
      <c r="G21" s="37">
        <f>Ene!G21+Feb!G21+Mar!G21+Abr!G19+May!G21+Jun!G21+Jul!G21+Ago!G21+Set!G21+Oct!G21+Nov!G21+Dic!G21</f>
        <v>0</v>
      </c>
      <c r="H21" s="37">
        <f>Ene!H21+Feb!H21+Mar!H21+Abr!H19+May!H21+Jun!H21+Jul!H21+Ago!H21+Set!H21+Oct!H21+Nov!H21+Dic!H21</f>
        <v>35850</v>
      </c>
      <c r="I21" s="37"/>
      <c r="J21" s="37"/>
      <c r="K21" s="37"/>
      <c r="L21" s="37"/>
      <c r="M21" s="37"/>
      <c r="N21" s="37">
        <f>Ene!N21+Feb!N21+Mar!N21+Abr!N21+May!N21+Jun!N21+Jul!N21+Ago!N21+Set!N21+Oct!N21+Nov!N21+Dic!N21</f>
        <v>8696.5392999999985</v>
      </c>
      <c r="O21" s="37">
        <f>Ene!O21+Feb!O21+Mar!O21+Abr!O21+May!O21+Jun!O21+Jul!O21+Ago!O21+Set!O21+Oct!O21+Nov!O21+Dic!O21</f>
        <v>3574390.5806999994</v>
      </c>
      <c r="P21" s="37">
        <f>Ene!P21+Feb!P21+Mar!P21+Abr!P21+May!P21+Jun!P21+Jul!P21+Ago!P21+Set!P21+Oct!P21+Nov!P21+Dic!P21</f>
        <v>670198.23</v>
      </c>
      <c r="Q21" s="37">
        <f>Ene!Q21+Feb!Q21+Mar!Q21+Abr!Q21+May!Q21+Jun!Q21+Jul!Q21+Ago!Q21+Set!Q21+Oct!Q21+Nov!Q21+Dic!Q21</f>
        <v>536158.57999999996</v>
      </c>
      <c r="R21" s="172">
        <v>0.15</v>
      </c>
      <c r="S21" s="37">
        <f>Ene!S21+Feb!S21+Mar!S21+Abr!S21+May!S21+Jun!S21+Jul!S21+Ago!S21+Set!S21+Oct!S21+Nov!S21+Dic!S21</f>
        <v>134039.65</v>
      </c>
      <c r="T21" s="198">
        <v>3.7499999999999999E-2</v>
      </c>
      <c r="U21" s="37">
        <f t="shared" si="0"/>
        <v>35850</v>
      </c>
      <c r="V21" s="37">
        <f t="shared" si="1"/>
        <v>3574390.5806999994</v>
      </c>
      <c r="W21" s="72">
        <f t="shared" si="2"/>
        <v>98.2</v>
      </c>
      <c r="X21" s="73">
        <f t="shared" si="3"/>
        <v>99.704099999999997</v>
      </c>
      <c r="Y21" s="73">
        <f t="shared" si="4"/>
        <v>18.694500000000001</v>
      </c>
      <c r="Z21" s="37">
        <f t="shared" si="5"/>
        <v>670198.23</v>
      </c>
      <c r="AA21" s="37" t="str">
        <f t="shared" si="14"/>
        <v/>
      </c>
      <c r="AB21" s="37" t="str">
        <f t="shared" si="15"/>
        <v/>
      </c>
      <c r="AC21" s="72" t="str">
        <f t="shared" si="16"/>
        <v/>
      </c>
      <c r="AD21" s="73" t="str">
        <f t="shared" si="17"/>
        <v/>
      </c>
      <c r="AE21" s="73" t="str">
        <f t="shared" si="18"/>
        <v/>
      </c>
      <c r="AF21" s="37" t="str">
        <f t="shared" si="19"/>
        <v/>
      </c>
      <c r="AG21" s="47"/>
      <c r="AH21" s="111">
        <f t="shared" si="6"/>
        <v>-3583087.1199999992</v>
      </c>
    </row>
    <row r="22" spans="1:34" x14ac:dyDescent="0.25">
      <c r="A22" s="18" t="s">
        <v>28</v>
      </c>
      <c r="B22" s="19" t="s">
        <v>6</v>
      </c>
      <c r="C22" s="54" t="s">
        <v>31</v>
      </c>
      <c r="D22" s="20" t="s">
        <v>30</v>
      </c>
      <c r="E22" s="54" t="s">
        <v>96</v>
      </c>
      <c r="F22" s="30" t="s">
        <v>37</v>
      </c>
      <c r="G22" s="37">
        <f>Ene!G22+Feb!G22+Mar!G22+Abr!G20+May!G22+Jun!G22+Jul!G22+Ago!G22+Set!G22+Oct!G22+Nov!G22+Dic!G22</f>
        <v>578270.78</v>
      </c>
      <c r="H22" s="37">
        <f>Ene!H22+Feb!H22+Mar!H22+Abr!H20+May!H22+Jun!H22+Jul!H22+Ago!H22+Set!H22+Oct!H22+Nov!H22+Dic!H22</f>
        <v>674593.16999999993</v>
      </c>
      <c r="I22" s="37"/>
      <c r="J22" s="37"/>
      <c r="K22" s="37"/>
      <c r="L22" s="37"/>
      <c r="M22" s="37"/>
      <c r="N22" s="37">
        <f>Ene!N22+Feb!N22+Mar!N22+Abr!N22+May!N22+Jun!N22+Jul!N22+Ago!N22+Set!N22+Oct!N22+Nov!N22+Dic!N22</f>
        <v>52875.930799999995</v>
      </c>
      <c r="O22" s="37">
        <f>Ene!O22+Feb!O22+Mar!O22+Abr!O22+May!O22+Jun!O22+Jul!O22+Ago!O22+Set!O22+Oct!O22+Nov!O22+Dic!O22</f>
        <v>120680778.9992</v>
      </c>
      <c r="P22" s="37">
        <f>Ene!P22+Feb!P22+Mar!P22+Abr!P22+May!P22+Jun!P22+Jul!P22+Ago!P22+Set!P22+Oct!P22+Nov!P22+Dic!P22</f>
        <v>22627646.050000004</v>
      </c>
      <c r="Q22" s="37">
        <f>Ene!Q22+Feb!Q22+Mar!Q22+Abr!Q22+May!Q22+Jun!Q22+Jul!Q22+Ago!Q22+Set!Q22+Oct!Q22+Nov!Q22+Dic!Q22</f>
        <v>18102116.840000004</v>
      </c>
      <c r="R22" s="172">
        <v>0.15</v>
      </c>
      <c r="S22" s="37">
        <f>Ene!S22+Feb!S22+Mar!S22+Abr!S22+May!S22+Jun!S22+Jul!S22+Ago!S22+Set!S22+Oct!S22+Nov!S22+Dic!S22</f>
        <v>4525529.21</v>
      </c>
      <c r="T22" s="198">
        <v>3.7499999999999999E-2</v>
      </c>
      <c r="U22" s="37">
        <f t="shared" si="0"/>
        <v>1252863.95</v>
      </c>
      <c r="V22" s="37">
        <f t="shared" si="1"/>
        <v>120680778.9992</v>
      </c>
      <c r="W22" s="72">
        <f t="shared" si="2"/>
        <v>3432.5</v>
      </c>
      <c r="X22" s="73">
        <f t="shared" si="3"/>
        <v>96.323899999999995</v>
      </c>
      <c r="Y22" s="73">
        <f t="shared" si="4"/>
        <v>18.060700000000001</v>
      </c>
      <c r="Z22" s="37">
        <f t="shared" si="5"/>
        <v>22627646.050000004</v>
      </c>
      <c r="AA22" s="37" t="str">
        <f t="shared" si="14"/>
        <v/>
      </c>
      <c r="AB22" s="37" t="str">
        <f t="shared" si="15"/>
        <v/>
      </c>
      <c r="AC22" s="72" t="str">
        <f t="shared" si="16"/>
        <v/>
      </c>
      <c r="AD22" s="73" t="str">
        <f t="shared" si="17"/>
        <v/>
      </c>
      <c r="AE22" s="73" t="str">
        <f t="shared" si="18"/>
        <v/>
      </c>
      <c r="AF22" s="37" t="str">
        <f t="shared" si="19"/>
        <v/>
      </c>
      <c r="AG22" s="47"/>
      <c r="AH22" s="111">
        <f t="shared" si="6"/>
        <v>-120733654.93000001</v>
      </c>
    </row>
    <row r="23" spans="1:34" x14ac:dyDescent="0.25">
      <c r="A23" s="18" t="s">
        <v>28</v>
      </c>
      <c r="B23" s="21" t="s">
        <v>101</v>
      </c>
      <c r="C23" s="54" t="s">
        <v>29</v>
      </c>
      <c r="D23" s="20" t="s">
        <v>21</v>
      </c>
      <c r="E23" s="54" t="s">
        <v>95</v>
      </c>
      <c r="F23" s="30" t="s">
        <v>37</v>
      </c>
      <c r="G23" s="37">
        <f>Ene!G23+Feb!G23+Mar!G23+Abr!G23+May!G23+Jun!G23+Jul!G23+Ago!G23+Set!G23+Oct!G23+Nov!G23+Dic!G23</f>
        <v>0</v>
      </c>
      <c r="H23" s="37">
        <f>Ene!H23+Feb!H23+Mar!H23+Abr!H23+May!H23+Jun!H23+Jul!H23+Ago!H23+Set!H23+Oct!H23+Nov!H23+Dic!H23</f>
        <v>0</v>
      </c>
      <c r="I23" s="37"/>
      <c r="J23" s="37"/>
      <c r="K23" s="37"/>
      <c r="L23" s="37"/>
      <c r="M23" s="37"/>
      <c r="N23" s="37">
        <f>Ene!N23+Feb!N23+Mar!N23+Abr!N23+May!N23+Jun!N23+Jul!N23+Ago!N23+Set!N23+Oct!N23+Nov!N23+Dic!N23</f>
        <v>0</v>
      </c>
      <c r="O23" s="37">
        <f>Ene!O23+Feb!O23+Mar!O23+Abr!O23+May!O23+Jun!O23+Jul!O23+Ago!O23+Set!O23+Oct!O23+Nov!O23+Dic!O23</f>
        <v>0</v>
      </c>
      <c r="P23" s="37">
        <f>Ene!P23+Feb!P23+Mar!P23+Abr!P23+May!P23+Jun!P23+Jul!P23+Ago!P23+Set!P23+Oct!P23+Nov!P23+Dic!P23</f>
        <v>0</v>
      </c>
      <c r="Q23" s="37">
        <f>Ene!Q23+Feb!Q23+Mar!Q23+Abr!Q23+May!Q23+Jun!Q23+Jul!Q23+Ago!Q23+Set!Q23+Oct!Q23+Nov!Q23+Dic!Q23</f>
        <v>0</v>
      </c>
      <c r="R23" s="172">
        <v>0.15</v>
      </c>
      <c r="S23" s="37">
        <f>Ene!S23+Feb!S23+Mar!S23+Abr!S23+May!S23+Jun!S23+Jul!S23+Ago!S23+Set!S23+Oct!S23+Nov!S23+Dic!S23</f>
        <v>0</v>
      </c>
      <c r="T23" s="198">
        <v>3.7499999999999999E-2</v>
      </c>
      <c r="U23" s="37">
        <f>IF($F23&amp;"/Día"=W$9,SUM($G23:$H23),"")</f>
        <v>0</v>
      </c>
      <c r="V23" s="37">
        <f t="shared" si="1"/>
        <v>0</v>
      </c>
      <c r="W23" s="72">
        <f>IF($F23&amp;"/Día"=W$9,ROUND(U23/$W$1,1),"")</f>
        <v>0</v>
      </c>
      <c r="X23" s="73">
        <f>IF(U23=0,0,IF($F23&amp;"/Día"=W$9,ROUND(V23/U23,4),""))</f>
        <v>0</v>
      </c>
      <c r="Y23" s="73">
        <f>IF(U23=0,0,IF($F23&amp;"/Día"=W$9,ROUND(Z23/U23,4),""))</f>
        <v>0</v>
      </c>
      <c r="Z23" s="37">
        <f>IF(U23&lt;&gt;"",$P23,"")</f>
        <v>0</v>
      </c>
      <c r="AA23" s="37" t="str">
        <f t="shared" si="14"/>
        <v/>
      </c>
      <c r="AB23" s="37" t="str">
        <f t="shared" si="15"/>
        <v/>
      </c>
      <c r="AC23" s="72" t="str">
        <f t="shared" si="16"/>
        <v/>
      </c>
      <c r="AD23" s="73" t="str">
        <f t="shared" si="17"/>
        <v/>
      </c>
      <c r="AE23" s="73" t="str">
        <f t="shared" si="18"/>
        <v/>
      </c>
      <c r="AF23" s="37" t="str">
        <f t="shared" si="19"/>
        <v/>
      </c>
      <c r="AG23" s="47"/>
      <c r="AH23" s="111" t="str">
        <f t="shared" si="6"/>
        <v/>
      </c>
    </row>
    <row r="24" spans="1:34" x14ac:dyDescent="0.25">
      <c r="A24" s="18" t="s">
        <v>28</v>
      </c>
      <c r="B24" s="19" t="s">
        <v>7</v>
      </c>
      <c r="C24" s="54" t="s">
        <v>31</v>
      </c>
      <c r="D24" s="20" t="s">
        <v>30</v>
      </c>
      <c r="E24" s="54" t="s">
        <v>96</v>
      </c>
      <c r="F24" s="30" t="s">
        <v>56</v>
      </c>
      <c r="G24" s="37">
        <f>Ene!G24+Feb!G24+Mar!G24+Abr!G22+May!G24+Jun!G24+Jul!G24+Ago!G24+Set!G24+Oct!G24+Nov!G24+Dic!G24</f>
        <v>774078.26</v>
      </c>
      <c r="H24" s="37">
        <f>Ene!H24+Feb!H24+Mar!H24+Abr!H22+May!H24+Jun!H24+Jul!H24+Ago!H24+Set!H24+Oct!H24+Nov!H24+Dic!H24</f>
        <v>802041.60000000009</v>
      </c>
      <c r="I24" s="37"/>
      <c r="J24" s="37"/>
      <c r="K24" s="37"/>
      <c r="L24" s="37"/>
      <c r="M24" s="37"/>
      <c r="N24" s="37">
        <f>Ene!N24+Feb!N24+Mar!N24+Abr!N24+May!N24+Jun!N24+Jul!N24+Ago!N24+Set!N24+Oct!N24+Nov!N24+Dic!N24</f>
        <v>12385.1585</v>
      </c>
      <c r="O24" s="37">
        <f>Ene!O24+Feb!O24+Mar!O24+Abr!O24+May!O24+Jun!O24+Jul!O24+Ago!O24+Set!O24+Oct!O24+Nov!O24+Dic!O24</f>
        <v>2612238.9214999997</v>
      </c>
      <c r="P24" s="37">
        <f>Ene!P24+Feb!P24+Mar!P24+Abr!P24+May!P24+Jun!P24+Jul!P24+Ago!P24+Set!P24+Oct!P24+Nov!P24+Dic!P24</f>
        <v>489794.78000000009</v>
      </c>
      <c r="Q24" s="37">
        <f>Ene!Q24+Feb!Q24+Mar!Q24+Abr!Q24+May!Q24+Jun!Q24+Jul!Q24+Ago!Q24+Set!Q24+Oct!Q24+Nov!Q24+Dic!Q24</f>
        <v>391835.82</v>
      </c>
      <c r="R24" s="172">
        <v>0.15</v>
      </c>
      <c r="S24" s="37">
        <f>Ene!S24+Feb!S24+Mar!S24+Abr!S24+May!S24+Jun!S24+Jul!S24+Ago!S24+Set!S24+Oct!S24+Nov!S24+Dic!S24</f>
        <v>97958.96</v>
      </c>
      <c r="T24" s="198">
        <v>3.7499999999999999E-2</v>
      </c>
      <c r="U24" s="37" t="str">
        <f t="shared" si="0"/>
        <v/>
      </c>
      <c r="V24" s="37" t="str">
        <f t="shared" si="1"/>
        <v/>
      </c>
      <c r="W24" s="72" t="str">
        <f t="shared" si="2"/>
        <v/>
      </c>
      <c r="X24" s="73" t="str">
        <f t="shared" si="3"/>
        <v/>
      </c>
      <c r="Y24" s="73" t="str">
        <f t="shared" si="4"/>
        <v/>
      </c>
      <c r="Z24" s="37" t="str">
        <f t="shared" si="5"/>
        <v/>
      </c>
      <c r="AA24" s="37">
        <f t="shared" si="14"/>
        <v>1576119.86</v>
      </c>
      <c r="AB24" s="37">
        <f t="shared" si="15"/>
        <v>2612238.9214999997</v>
      </c>
      <c r="AC24" s="72">
        <f t="shared" si="16"/>
        <v>4318.1000000000004</v>
      </c>
      <c r="AD24" s="73">
        <f t="shared" si="17"/>
        <v>1.6574</v>
      </c>
      <c r="AE24" s="73">
        <f t="shared" si="18"/>
        <v>0.31080000000000002</v>
      </c>
      <c r="AF24" s="37">
        <f t="shared" si="19"/>
        <v>489794.78000000009</v>
      </c>
      <c r="AG24" s="47"/>
      <c r="AH24" s="111">
        <f t="shared" si="6"/>
        <v>-2624624.0799999996</v>
      </c>
    </row>
    <row r="25" spans="1:34" x14ac:dyDescent="0.25">
      <c r="A25" s="18" t="s">
        <v>28</v>
      </c>
      <c r="B25" s="19" t="s">
        <v>18</v>
      </c>
      <c r="C25" s="54" t="s">
        <v>29</v>
      </c>
      <c r="D25" s="20" t="s">
        <v>21</v>
      </c>
      <c r="E25" s="54" t="s">
        <v>95</v>
      </c>
      <c r="F25" s="30" t="s">
        <v>37</v>
      </c>
      <c r="G25" s="37">
        <f>Ene!G25+Feb!G25+Mar!G25+Abr!G25+May!G25+Jun!G25+Jul!G25+Ago!G25+Set!G25+Oct!G25+Nov!G25+Dic!G25</f>
        <v>23717</v>
      </c>
      <c r="H25" s="37">
        <f>Ene!H25+Feb!H25+Mar!H25+Abr!H25+May!H25+Jun!H25+Jul!H25+Ago!H25+Set!H25+Oct!H25+Nov!H25+Dic!H25</f>
        <v>32229</v>
      </c>
      <c r="I25" s="37"/>
      <c r="J25" s="37"/>
      <c r="K25" s="37"/>
      <c r="L25" s="37"/>
      <c r="M25" s="37"/>
      <c r="N25" s="37">
        <f>Ene!N25+Feb!N25+Mar!N25+Abr!N25+May!N25+Jun!N25+Jul!N25+Ago!N25+Set!N25+Oct!N25+Nov!N25+Dic!N25</f>
        <v>4290.5414000000001</v>
      </c>
      <c r="O25" s="37">
        <f>Ene!O25+Feb!O25+Mar!O25+Abr!O25+May!O25+Jun!O25+Jul!O25+Ago!O25+Set!O25+Oct!O25+Nov!O25+Dic!O25</f>
        <v>5202212.2185999993</v>
      </c>
      <c r="P25" s="37">
        <f>Ene!P25+Feb!P25+Mar!P25+Abr!P25+May!P25+Jun!P25+Jul!P25+Ago!P25+Set!P25+Oct!P25+Nov!P25+Dic!P25</f>
        <v>975414.78</v>
      </c>
      <c r="Q25" s="37">
        <f>Ene!Q25+Feb!Q25+Mar!Q25+Abr!Q25+May!Q25+Jun!Q25+Jul!Q25+Ago!Q25+Set!Q25+Oct!Q25+Nov!Q25+Dic!Q25</f>
        <v>780331.83000000007</v>
      </c>
      <c r="R25" s="172">
        <v>0.15</v>
      </c>
      <c r="S25" s="37">
        <f>Ene!S25+Feb!S25+Mar!S25+Abr!S25+May!S25+Jun!S25+Jul!S25+Ago!S25+Set!S25+Oct!S25+Nov!S25+Dic!S25</f>
        <v>195082.95</v>
      </c>
      <c r="T25" s="198">
        <v>3.7499999999999999E-2</v>
      </c>
      <c r="U25" s="37">
        <f t="shared" si="0"/>
        <v>55946</v>
      </c>
      <c r="V25" s="37">
        <f t="shared" si="1"/>
        <v>5202212.2185999993</v>
      </c>
      <c r="W25" s="72">
        <f t="shared" si="2"/>
        <v>153.30000000000001</v>
      </c>
      <c r="X25" s="73">
        <f t="shared" si="3"/>
        <v>92.9863</v>
      </c>
      <c r="Y25" s="73">
        <f t="shared" si="4"/>
        <v>17.434899999999999</v>
      </c>
      <c r="Z25" s="37">
        <f t="shared" si="5"/>
        <v>975414.78</v>
      </c>
      <c r="AA25" s="37" t="str">
        <f t="shared" si="14"/>
        <v/>
      </c>
      <c r="AB25" s="37" t="str">
        <f t="shared" si="15"/>
        <v/>
      </c>
      <c r="AC25" s="72" t="str">
        <f t="shared" si="16"/>
        <v/>
      </c>
      <c r="AD25" s="73" t="str">
        <f t="shared" si="17"/>
        <v/>
      </c>
      <c r="AE25" s="73" t="str">
        <f t="shared" si="18"/>
        <v/>
      </c>
      <c r="AF25" s="37" t="str">
        <f t="shared" si="19"/>
        <v/>
      </c>
      <c r="AG25" s="47"/>
      <c r="AH25" s="111">
        <f t="shared" si="6"/>
        <v>-5206502.76</v>
      </c>
    </row>
    <row r="26" spans="1:34" x14ac:dyDescent="0.25">
      <c r="A26" s="18" t="s">
        <v>28</v>
      </c>
      <c r="B26" s="21" t="s">
        <v>20</v>
      </c>
      <c r="C26" s="54" t="s">
        <v>31</v>
      </c>
      <c r="D26" s="20" t="s">
        <v>21</v>
      </c>
      <c r="E26" s="54" t="s">
        <v>96</v>
      </c>
      <c r="F26" s="30" t="s">
        <v>37</v>
      </c>
      <c r="G26" s="37">
        <f>Ene!G26+Feb!G26+Mar!G26+Abr!G26+May!G26+Jun!G26+Jul!G26+Ago!G26+Set!G26+Oct!G26+Nov!G26+Dic!G26</f>
        <v>2021403</v>
      </c>
      <c r="H26" s="37">
        <f>Ene!H26+Feb!H26+Mar!H26+Abr!H26+May!H26+Jun!H26+Jul!H26+Ago!H26+Set!H26+Oct!H26+Nov!H26+Dic!H26</f>
        <v>2128431</v>
      </c>
      <c r="I26" s="37"/>
      <c r="J26" s="37"/>
      <c r="K26" s="37"/>
      <c r="L26" s="37"/>
      <c r="M26" s="37"/>
      <c r="N26" s="37">
        <f>Ene!N26+Feb!N26+Mar!N26+Abr!N26+May!N26+Jun!N26+Jul!N26+Ago!N26+Set!N26+Oct!N26+Nov!N26+Dic!N26</f>
        <v>66192.609400000001</v>
      </c>
      <c r="O26" s="37">
        <f>Ene!O26+Feb!O26+Mar!O26+Abr!O26+May!O26+Jun!O26+Jul!O26+Ago!O26+Set!O26+Oct!O26+Nov!O26+Dic!O26</f>
        <v>386636869.56059998</v>
      </c>
      <c r="P26" s="37">
        <f>Ene!P26+Feb!P26+Mar!P26+Abr!P26+May!P26+Jun!P26+Jul!P26+Ago!P26+Set!P26+Oct!P26+Nov!P26+Dic!P26</f>
        <v>72494413.040000007</v>
      </c>
      <c r="Q26" s="37">
        <f>Ene!Q26+Feb!Q26+Mar!Q26+Abr!Q26+May!Q26+Jun!Q26+Jul!Q26+Ago!Q26+Set!Q26+Oct!Q26+Nov!Q26+Dic!Q26</f>
        <v>57995530.419999994</v>
      </c>
      <c r="R26" s="172">
        <v>0.15</v>
      </c>
      <c r="S26" s="37">
        <f>Ene!S26+Feb!S26+Mar!S26+Abr!S26+May!S26+Jun!S26+Jul!S26+Ago!S26+Set!S26+Oct!S26+Nov!S26+Dic!S26</f>
        <v>14498882.620000001</v>
      </c>
      <c r="T26" s="198">
        <v>3.7499999999999999E-2</v>
      </c>
      <c r="U26" s="37">
        <f t="shared" si="0"/>
        <v>4149834</v>
      </c>
      <c r="V26" s="37">
        <f t="shared" si="1"/>
        <v>386636869.56059998</v>
      </c>
      <c r="W26" s="72">
        <f t="shared" si="2"/>
        <v>11369.4</v>
      </c>
      <c r="X26" s="73">
        <f t="shared" si="3"/>
        <v>93.169200000000004</v>
      </c>
      <c r="Y26" s="73">
        <f t="shared" si="4"/>
        <v>17.469200000000001</v>
      </c>
      <c r="Z26" s="37">
        <f t="shared" si="5"/>
        <v>72494413.040000007</v>
      </c>
      <c r="AA26" s="37" t="str">
        <f t="shared" si="14"/>
        <v/>
      </c>
      <c r="AB26" s="37" t="str">
        <f t="shared" si="15"/>
        <v/>
      </c>
      <c r="AC26" s="72" t="str">
        <f t="shared" si="16"/>
        <v/>
      </c>
      <c r="AD26" s="73" t="str">
        <f t="shared" si="17"/>
        <v/>
      </c>
      <c r="AE26" s="73" t="str">
        <f t="shared" si="18"/>
        <v/>
      </c>
      <c r="AF26" s="37" t="str">
        <f t="shared" si="19"/>
        <v/>
      </c>
      <c r="AG26" s="47"/>
      <c r="AH26" s="111">
        <f t="shared" si="6"/>
        <v>-386703062.16999996</v>
      </c>
    </row>
    <row r="27" spans="1:34" x14ac:dyDescent="0.25">
      <c r="A27" s="18" t="s">
        <v>28</v>
      </c>
      <c r="B27" s="19" t="s">
        <v>8</v>
      </c>
      <c r="C27" s="54" t="s">
        <v>31</v>
      </c>
      <c r="D27" s="20" t="s">
        <v>21</v>
      </c>
      <c r="E27" s="54" t="s">
        <v>96</v>
      </c>
      <c r="F27" s="30" t="s">
        <v>56</v>
      </c>
      <c r="G27" s="37">
        <f>Ene!G27+Feb!G27+Mar!G27+Abr!G75+May!G27+Jun!G27+Jul!G27+Ago!G27+Set!G27+Oct!G27+Nov!G27+Dic!G27</f>
        <v>3001454.6999999997</v>
      </c>
      <c r="H27" s="37">
        <f>Ene!H27+Feb!H27+Mar!H27+Abr!H75+May!H27+Jun!H27+Jul!H27+Ago!H27+Set!H27+Oct!H27+Nov!H27+Dic!H27</f>
        <v>3138422.3600000003</v>
      </c>
      <c r="I27" s="37"/>
      <c r="J27" s="37"/>
      <c r="K27" s="37"/>
      <c r="L27" s="37"/>
      <c r="M27" s="37"/>
      <c r="N27" s="37">
        <f>Ene!N27+Feb!N27+Mar!N27+Abr!N27+May!N27+Jun!N27+Jul!N27+Ago!N27+Set!N27+Oct!N27+Nov!N27+Dic!N27</f>
        <v>13066.0388</v>
      </c>
      <c r="O27" s="37">
        <f>Ene!O27+Feb!O27+Mar!O27+Abr!O27+May!O27+Jun!O27+Jul!O27+Ago!O27+Set!O27+Oct!O27+Nov!O27+Dic!O27</f>
        <v>14723011.701199997</v>
      </c>
      <c r="P27" s="37">
        <f>Ene!P27+Feb!P27+Mar!P27+Abr!P27+May!P27+Jun!P27+Jul!P27+Ago!P27+Set!P27+Oct!P27+Nov!P27+Dic!P27</f>
        <v>2760564.7</v>
      </c>
      <c r="Q27" s="37">
        <f>Ene!Q27+Feb!Q27+Mar!Q27+Abr!Q27+May!Q27+Jun!Q27+Jul!Q27+Ago!Q27+Set!Q27+Oct!Q27+Nov!Q27+Dic!Q27</f>
        <v>2208451.7599999998</v>
      </c>
      <c r="R27" s="172">
        <v>0.15</v>
      </c>
      <c r="S27" s="37">
        <f>Ene!S27+Feb!S27+Mar!S27+Abr!S27+May!S27+Jun!S27+Jul!S27+Ago!S27+Set!S27+Oct!S27+Nov!S27+Dic!S27</f>
        <v>552112.94999999995</v>
      </c>
      <c r="T27" s="198">
        <v>3.7499999999999999E-2</v>
      </c>
      <c r="U27" s="37" t="str">
        <f t="shared" si="0"/>
        <v/>
      </c>
      <c r="V27" s="37" t="str">
        <f t="shared" si="1"/>
        <v/>
      </c>
      <c r="W27" s="72" t="str">
        <f t="shared" si="2"/>
        <v/>
      </c>
      <c r="X27" s="73" t="str">
        <f t="shared" si="3"/>
        <v/>
      </c>
      <c r="Y27" s="73" t="str">
        <f t="shared" si="4"/>
        <v/>
      </c>
      <c r="Z27" s="37" t="str">
        <f t="shared" si="5"/>
        <v/>
      </c>
      <c r="AA27" s="37">
        <f t="shared" si="14"/>
        <v>6139877.0600000005</v>
      </c>
      <c r="AB27" s="37">
        <f t="shared" si="15"/>
        <v>14723011.701199997</v>
      </c>
      <c r="AC27" s="72">
        <f t="shared" si="16"/>
        <v>16821.599999999999</v>
      </c>
      <c r="AD27" s="73">
        <f t="shared" si="17"/>
        <v>2.3978999999999999</v>
      </c>
      <c r="AE27" s="73">
        <f t="shared" si="18"/>
        <v>0.4496</v>
      </c>
      <c r="AF27" s="37">
        <f t="shared" si="19"/>
        <v>2760564.7</v>
      </c>
      <c r="AG27" s="47"/>
      <c r="AH27" s="111">
        <f t="shared" si="6"/>
        <v>-14736077.739999996</v>
      </c>
    </row>
    <row r="28" spans="1:34" x14ac:dyDescent="0.25">
      <c r="A28" s="18" t="s">
        <v>28</v>
      </c>
      <c r="B28" s="21" t="s">
        <v>57</v>
      </c>
      <c r="C28" s="54" t="s">
        <v>31</v>
      </c>
      <c r="D28" s="20" t="s">
        <v>21</v>
      </c>
      <c r="E28" s="54" t="s">
        <v>96</v>
      </c>
      <c r="F28" s="30" t="s">
        <v>37</v>
      </c>
      <c r="G28" s="37">
        <f>Ene!G28+Feb!G28+Mar!G28+Abr!G28+May!G28+Jun!G28+Jul!G28+Ago!G28+Set!G28+Oct!G28+Nov!G28+Dic!G28</f>
        <v>0</v>
      </c>
      <c r="H28" s="37">
        <f>Ene!H28+Feb!H28+Mar!H28+Abr!H28+May!H28+Jun!H28+Jul!H28+Ago!H28+Set!H28+Oct!H28+Nov!H28+Dic!H28</f>
        <v>0</v>
      </c>
      <c r="I28" s="37"/>
      <c r="J28" s="37"/>
      <c r="K28" s="37"/>
      <c r="L28" s="37"/>
      <c r="M28" s="37"/>
      <c r="N28" s="37">
        <f>Ene!N28+Feb!N28+Mar!N28+Abr!N28+May!N28+Jun!N28+Jul!N28+Ago!N28+Set!N28+Oct!N28+Nov!N28+Dic!N28</f>
        <v>0</v>
      </c>
      <c r="O28" s="37">
        <f>Ene!O28+Feb!O28+Mar!O28+Abr!O28+May!O28+Jun!O28+Jul!O28+Ago!O28+Set!O28+Oct!O28+Nov!O28+Dic!O28</f>
        <v>0</v>
      </c>
      <c r="P28" s="37">
        <f>Ene!P28+Feb!P28+Mar!P28+Abr!P28+May!P28+Jun!P28+Jul!P28+Ago!P28+Set!P28+Oct!P28+Nov!P28+Dic!P28</f>
        <v>0</v>
      </c>
      <c r="Q28" s="37">
        <f>Ene!Q28+Feb!Q28+Mar!Q28+Abr!Q28+May!Q28+Jun!Q28+Jul!Q28+Ago!Q28+Set!Q28+Oct!Q28+Nov!Q28+Dic!Q28</f>
        <v>0</v>
      </c>
      <c r="R28" s="172">
        <v>0.15</v>
      </c>
      <c r="S28" s="37">
        <f>Ene!S28+Feb!S28+Mar!S28+Abr!S28+May!S28+Jun!S28+Jul!S28+Ago!S28+Set!S28+Oct!S28+Nov!S28+Dic!S28</f>
        <v>0</v>
      </c>
      <c r="T28" s="198">
        <v>3.7499999999999999E-2</v>
      </c>
      <c r="U28" s="37">
        <f t="shared" si="0"/>
        <v>0</v>
      </c>
      <c r="V28" s="37">
        <f t="shared" si="1"/>
        <v>0</v>
      </c>
      <c r="W28" s="72">
        <f t="shared" si="2"/>
        <v>0</v>
      </c>
      <c r="X28" s="73">
        <f t="shared" si="3"/>
        <v>0</v>
      </c>
      <c r="Y28" s="73">
        <f t="shared" si="4"/>
        <v>0</v>
      </c>
      <c r="Z28" s="37">
        <f t="shared" si="5"/>
        <v>0</v>
      </c>
      <c r="AA28" s="37" t="str">
        <f t="shared" si="14"/>
        <v/>
      </c>
      <c r="AB28" s="37" t="str">
        <f t="shared" si="15"/>
        <v/>
      </c>
      <c r="AC28" s="72" t="str">
        <f t="shared" si="16"/>
        <v/>
      </c>
      <c r="AD28" s="73" t="str">
        <f t="shared" si="17"/>
        <v/>
      </c>
      <c r="AE28" s="73" t="str">
        <f t="shared" si="18"/>
        <v/>
      </c>
      <c r="AF28" s="37" t="str">
        <f t="shared" si="19"/>
        <v/>
      </c>
      <c r="AG28" s="47"/>
      <c r="AH28" s="111" t="str">
        <f t="shared" si="6"/>
        <v/>
      </c>
    </row>
    <row r="29" spans="1:34" x14ac:dyDescent="0.25">
      <c r="A29" s="18" t="s">
        <v>28</v>
      </c>
      <c r="B29" s="19" t="s">
        <v>9</v>
      </c>
      <c r="C29" s="54" t="s">
        <v>31</v>
      </c>
      <c r="D29" s="20" t="s">
        <v>30</v>
      </c>
      <c r="E29" s="54" t="s">
        <v>96</v>
      </c>
      <c r="F29" s="30" t="s">
        <v>37</v>
      </c>
      <c r="G29" s="37">
        <f>Ene!G29+Feb!G29+Mar!G29+Abr!G29+May!G29+Jun!G29+Jul!G29+Ago!G29+Set!G29+Oct!G29+Nov!G29+Dic!G29</f>
        <v>4505</v>
      </c>
      <c r="H29" s="37">
        <f>Ene!H29+Feb!H29+Mar!H29+Abr!H29+May!H29+Jun!H29+Jul!H29+Ago!H29+Set!H29+Oct!H29+Nov!H29+Dic!H29</f>
        <v>5759</v>
      </c>
      <c r="I29" s="37"/>
      <c r="J29" s="37"/>
      <c r="K29" s="37"/>
      <c r="L29" s="37"/>
      <c r="M29" s="37"/>
      <c r="N29" s="37">
        <f>Ene!N29+Feb!N29+Mar!N29+Abr!N29+May!N29+Jun!N29+Jul!N29+Ago!N29+Set!N29+Oct!N29+Nov!N29+Dic!N29</f>
        <v>4670.4616999999998</v>
      </c>
      <c r="O29" s="37">
        <f>Ene!O29+Feb!O29+Mar!O29+Abr!O29+May!O29+Jun!O29+Jul!O29+Ago!O29+Set!O29+Oct!O29+Nov!O29+Dic!O29</f>
        <v>985952.25829999987</v>
      </c>
      <c r="P29" s="37">
        <f>Ene!P29+Feb!P29+Mar!P29+Abr!P29+May!P29+Jun!P29+Jul!P29+Ago!P29+Set!P29+Oct!P29+Nov!P29+Dic!P29</f>
        <v>184866.06</v>
      </c>
      <c r="Q29" s="37">
        <f>Ene!Q29+Feb!Q29+Mar!Q29+Abr!Q29+May!Q29+Jun!Q29+Jul!Q29+Ago!Q29+Set!Q29+Oct!Q29+Nov!Q29+Dic!Q29</f>
        <v>147892.85</v>
      </c>
      <c r="R29" s="172">
        <v>0.15</v>
      </c>
      <c r="S29" s="37">
        <f>Ene!S29+Feb!S29+Mar!S29+Abr!S29+May!S29+Jun!S29+Jul!S29+Ago!S29+Set!S29+Oct!S29+Nov!S29+Dic!S29</f>
        <v>36973.21</v>
      </c>
      <c r="T29" s="198">
        <v>3.7499999999999999E-2</v>
      </c>
      <c r="U29" s="37">
        <f t="shared" si="0"/>
        <v>10264</v>
      </c>
      <c r="V29" s="37">
        <f t="shared" si="1"/>
        <v>985952.25829999987</v>
      </c>
      <c r="W29" s="72">
        <f t="shared" si="2"/>
        <v>28.1</v>
      </c>
      <c r="X29" s="73">
        <f t="shared" si="3"/>
        <v>96.059299999999993</v>
      </c>
      <c r="Y29" s="73">
        <f t="shared" si="4"/>
        <v>18.011099999999999</v>
      </c>
      <c r="Z29" s="37">
        <f t="shared" si="5"/>
        <v>184866.06</v>
      </c>
      <c r="AA29" s="37" t="str">
        <f t="shared" si="14"/>
        <v/>
      </c>
      <c r="AB29" s="37" t="str">
        <f t="shared" si="15"/>
        <v/>
      </c>
      <c r="AC29" s="72" t="str">
        <f t="shared" si="16"/>
        <v/>
      </c>
      <c r="AD29" s="73" t="str">
        <f t="shared" si="17"/>
        <v/>
      </c>
      <c r="AE29" s="73" t="str">
        <f t="shared" si="18"/>
        <v/>
      </c>
      <c r="AF29" s="37" t="str">
        <f t="shared" si="19"/>
        <v/>
      </c>
      <c r="AG29" s="47"/>
      <c r="AH29" s="111">
        <f t="shared" si="6"/>
        <v>-990622.71999999986</v>
      </c>
    </row>
    <row r="30" spans="1:34" x14ac:dyDescent="0.25">
      <c r="A30" s="18" t="s">
        <v>28</v>
      </c>
      <c r="B30" s="21" t="s">
        <v>109</v>
      </c>
      <c r="C30" s="54" t="s">
        <v>31</v>
      </c>
      <c r="D30" s="20" t="s">
        <v>30</v>
      </c>
      <c r="E30" s="54" t="s">
        <v>96</v>
      </c>
      <c r="F30" s="30" t="s">
        <v>37</v>
      </c>
      <c r="G30" s="37">
        <f>Ene!G30+Feb!G30+Mar!G30+Abr!G30+May!G30+Jun!G30+Jul!G30+Ago!G30+Set!G30+Oct!G30+Nov!G30+Dic!G30</f>
        <v>295000</v>
      </c>
      <c r="H30" s="37">
        <f>Ene!H30+Feb!H30+Mar!H30+Abr!H30+May!H30+Jun!H30+Jul!H30+Ago!H30+Set!H30+Oct!H30+Nov!H30+Dic!H30</f>
        <v>359610</v>
      </c>
      <c r="I30" s="37"/>
      <c r="J30" s="37"/>
      <c r="K30" s="37"/>
      <c r="L30" s="37"/>
      <c r="M30" s="37"/>
      <c r="N30" s="37">
        <f>Ene!N30+Feb!N30+Mar!N30+Abr!N30+May!N30+Jun!N30+Jul!N30+Ago!N30+Set!N30+Oct!N30+Nov!N30+Dic!N30</f>
        <v>44456.678799999994</v>
      </c>
      <c r="O30" s="37">
        <f>Ene!O30+Feb!O30+Mar!O30+Abr!O30+May!O30+Jun!O30+Jul!O30+Ago!O30+Set!O30+Oct!O30+Nov!O30+Dic!O30</f>
        <v>60037356.031199999</v>
      </c>
      <c r="P30" s="37">
        <f>Ene!P30+Feb!P30+Mar!P30+Abr!P30+May!P30+Jun!P30+Jul!P30+Ago!P30+Set!P30+Oct!P30+Nov!P30+Dic!P30</f>
        <v>11257004.260000002</v>
      </c>
      <c r="Q30" s="37">
        <f>Ene!Q30+Feb!Q30+Mar!Q30+Abr!Q30+May!Q30+Jun!Q30+Jul!Q30+Ago!Q30+Set!Q30+Oct!Q30+Nov!Q30+Dic!Q30</f>
        <v>9005603.4000000004</v>
      </c>
      <c r="R30" s="172">
        <v>0.15</v>
      </c>
      <c r="S30" s="37">
        <f>Ene!S30+Feb!S30+Mar!S30+Abr!S30+May!S30+Jun!S30+Jul!S30+Ago!S30+Set!S30+Oct!S30+Nov!S30+Dic!S30</f>
        <v>2251400.84</v>
      </c>
      <c r="T30" s="198">
        <v>3.7499999999999999E-2</v>
      </c>
      <c r="U30" s="37">
        <f>IF($F30&amp;"/Día"=W$9,SUM($G30:$H30),"")</f>
        <v>654610</v>
      </c>
      <c r="V30" s="37">
        <f t="shared" si="1"/>
        <v>60037356.031199999</v>
      </c>
      <c r="W30" s="72">
        <f>IF($F30&amp;"/Día"=W$9,ROUND(U30/$W$1,1),"")</f>
        <v>1793.5</v>
      </c>
      <c r="X30" s="73">
        <f>IF(U30=0,0,IF($F30&amp;"/Día"=W$9,ROUND(V30/U30,4),""))</f>
        <v>91.714699999999993</v>
      </c>
      <c r="Y30" s="73">
        <f>IF(U30=0,0,IF($F30&amp;"/Día"=W$9,ROUND(Z30/U30,4),""))</f>
        <v>17.1965</v>
      </c>
      <c r="Z30" s="37">
        <f>IF(U30&lt;&gt;"",$P30,"")</f>
        <v>11257004.260000002</v>
      </c>
      <c r="AA30" s="37" t="str">
        <f t="shared" si="14"/>
        <v/>
      </c>
      <c r="AB30" s="37" t="str">
        <f t="shared" si="15"/>
        <v/>
      </c>
      <c r="AC30" s="72" t="str">
        <f t="shared" si="16"/>
        <v/>
      </c>
      <c r="AD30" s="73" t="str">
        <f t="shared" si="17"/>
        <v/>
      </c>
      <c r="AE30" s="73" t="str">
        <f t="shared" si="18"/>
        <v/>
      </c>
      <c r="AF30" s="37" t="str">
        <f t="shared" si="19"/>
        <v/>
      </c>
      <c r="AG30" s="47"/>
      <c r="AH30" s="111">
        <f t="shared" si="6"/>
        <v>-60081812.710000001</v>
      </c>
    </row>
    <row r="31" spans="1:34" x14ac:dyDescent="0.25">
      <c r="A31" s="18" t="s">
        <v>28</v>
      </c>
      <c r="B31" s="21" t="s">
        <v>125</v>
      </c>
      <c r="C31" s="54" t="s">
        <v>31</v>
      </c>
      <c r="D31" s="20" t="s">
        <v>30</v>
      </c>
      <c r="E31" s="54" t="s">
        <v>96</v>
      </c>
      <c r="F31" s="30" t="s">
        <v>37</v>
      </c>
      <c r="G31" s="37">
        <f>Ene!G31+Feb!G31+Mar!G31+Abr!G31+May!G31+Jun!G31+Jul!G31+Ago!G31+Set!G31+Oct!G31+Nov!G31+Dic!G31</f>
        <v>0</v>
      </c>
      <c r="H31" s="37">
        <f>Ene!H31+Feb!H31+Mar!H31+Abr!H31+May!H31+Jun!H31+Jul!H31+Ago!H31+Set!H31+Oct!H31+Nov!H31+Dic!H31</f>
        <v>0</v>
      </c>
      <c r="I31" s="37"/>
      <c r="J31" s="37"/>
      <c r="K31" s="37"/>
      <c r="L31" s="37"/>
      <c r="M31" s="37"/>
      <c r="N31" s="37">
        <f>Ene!N31+Feb!N31+Mar!N31+Abr!N31+May!N31+Jun!N31+Jul!N31+Ago!N31+Set!N31+Oct!N31+Nov!N31+Dic!N31</f>
        <v>0</v>
      </c>
      <c r="O31" s="37">
        <f>Ene!O31+Feb!O31+Mar!O31+Abr!O31+May!O31+Jun!O31+Jul!O31+Ago!O31+Set!O31+Oct!O31+Nov!O31+Dic!O31</f>
        <v>0</v>
      </c>
      <c r="P31" s="37">
        <f>Ene!P31+Feb!P31+Mar!P31+Abr!P31+May!P31+Jun!P31+Jul!P31+Ago!P31+Set!P31+Oct!P31+Nov!P31+Dic!P31</f>
        <v>0</v>
      </c>
      <c r="Q31" s="37">
        <f>Ene!Q31+Feb!Q31+Mar!Q31+Abr!Q31+May!Q31+Jun!Q31+Jul!Q31+Ago!Q31+Set!Q31+Oct!Q31+Nov!Q31+Dic!Q31</f>
        <v>0</v>
      </c>
      <c r="R31" s="172">
        <v>0.15</v>
      </c>
      <c r="S31" s="37">
        <f>Ene!S31+Feb!S31+Mar!S31+Abr!S31+May!S31+Jun!S31+Jul!S31+Ago!S31+Set!S31+Oct!S31+Nov!S31+Dic!S31</f>
        <v>0</v>
      </c>
      <c r="T31" s="198">
        <v>3.7499999999999999E-2</v>
      </c>
      <c r="U31" s="37">
        <f>IF($F31&amp;"/Día"=W$9,SUM($G31:$H31),"")</f>
        <v>0</v>
      </c>
      <c r="V31" s="37">
        <f>IF(U31&lt;&gt;"",$O31,"")</f>
        <v>0</v>
      </c>
      <c r="W31" s="72">
        <f>IF($F31&amp;"/Día"=W$9,ROUND(U31/$W$1,1),"")</f>
        <v>0</v>
      </c>
      <c r="X31" s="73">
        <f>IF(U31=0,0,IF($F31&amp;"/Día"=W$9,ROUND(V31/U31,4),""))</f>
        <v>0</v>
      </c>
      <c r="Y31" s="73">
        <f>IF(U31=0,0,IF($F31&amp;"/Día"=W$9,ROUND(Z31/U31,4),""))</f>
        <v>0</v>
      </c>
      <c r="Z31" s="37">
        <f>IF(U31&lt;&gt;"",$P31,"")</f>
        <v>0</v>
      </c>
      <c r="AA31" s="37" t="str">
        <f t="shared" si="14"/>
        <v/>
      </c>
      <c r="AB31" s="37" t="str">
        <f t="shared" si="15"/>
        <v/>
      </c>
      <c r="AC31" s="72" t="str">
        <f t="shared" si="16"/>
        <v/>
      </c>
      <c r="AD31" s="73" t="str">
        <f t="shared" si="17"/>
        <v/>
      </c>
      <c r="AE31" s="73" t="str">
        <f t="shared" si="18"/>
        <v/>
      </c>
      <c r="AF31" s="37" t="str">
        <f t="shared" si="19"/>
        <v/>
      </c>
      <c r="AG31" s="47"/>
      <c r="AH31" s="111" t="str">
        <f t="shared" si="6"/>
        <v/>
      </c>
    </row>
    <row r="32" spans="1:34" x14ac:dyDescent="0.25">
      <c r="A32" s="18" t="s">
        <v>28</v>
      </c>
      <c r="B32" s="21" t="s">
        <v>135</v>
      </c>
      <c r="C32" s="54" t="s">
        <v>31</v>
      </c>
      <c r="D32" s="20" t="s">
        <v>30</v>
      </c>
      <c r="E32" s="54" t="s">
        <v>96</v>
      </c>
      <c r="F32" s="30" t="s">
        <v>56</v>
      </c>
      <c r="G32" s="37">
        <f>Ene!G32+Feb!G32+Mar!G32+Abr!G32+May!G32+Jun!G32+Jul!G32+Ago!G32+Set!G32+Oct!G32+Nov!G32+Dic!G32</f>
        <v>1640971.9329999997</v>
      </c>
      <c r="H32" s="37">
        <f>Ene!H32+Feb!H32+Mar!H32+Abr!H32+May!H32+Jun!H32+Jul!H32+Ago!H32+Set!H32+Oct!H32+Nov!H32+Dic!H32</f>
        <v>1722906.7054000001</v>
      </c>
      <c r="I32" s="37"/>
      <c r="J32" s="37"/>
      <c r="K32" s="37"/>
      <c r="L32" s="37"/>
      <c r="M32" s="37"/>
      <c r="N32" s="37">
        <f>Ene!N32+Feb!N32+Mar!N32+Abr!N32+May!N32+Jun!N32+Jul!N32+Ago!N32+Set!N32+Oct!N32+Nov!N32+Dic!N32</f>
        <v>18463.748100000001</v>
      </c>
      <c r="O32" s="37">
        <f>Ene!O32+Feb!O32+Mar!O32+Abr!O32+May!O32+Jun!O32+Jul!O32+Ago!O32+Set!O32+Oct!O32+Nov!O32+Dic!O32</f>
        <v>5365139.7918999996</v>
      </c>
      <c r="P32" s="37">
        <f>Ene!P32+Feb!P32+Mar!P32+Abr!P32+May!P32+Jun!P32+Jul!P32+Ago!P32+Set!P32+Oct!P32+Nov!P32+Dic!P32</f>
        <v>1005963.7100000001</v>
      </c>
      <c r="Q32" s="37">
        <f>Ene!Q32+Feb!Q32+Mar!Q32+Abr!Q32+May!Q32+Jun!Q32+Jul!Q32+Ago!Q32+Set!Q32+Oct!Q32+Nov!Q32+Dic!Q32</f>
        <v>804770.97</v>
      </c>
      <c r="R32" s="172">
        <v>0.15</v>
      </c>
      <c r="S32" s="37">
        <f>Ene!S32+Feb!S32+Mar!S32+Abr!S32+May!S32+Jun!S32+Jul!S32+Ago!S32+Set!S32+Oct!S32+Nov!S32+Dic!S32</f>
        <v>201192.74999999997</v>
      </c>
      <c r="T32" s="198">
        <v>3.7499999999999999E-2</v>
      </c>
      <c r="U32" s="37" t="str">
        <f>IF($F32&amp;"/Día"=W$9,SUM($G32:$H32),"")</f>
        <v/>
      </c>
      <c r="V32" s="37" t="str">
        <f t="shared" si="1"/>
        <v/>
      </c>
      <c r="W32" s="72" t="str">
        <f>IF($F32&amp;"/Día"=W$9,ROUND(U32/$W$1,1),"")</f>
        <v/>
      </c>
      <c r="X32" s="73" t="str">
        <f>IF(U32=0,0,IF($F32&amp;"/Día"=W$9,ROUND(V32/U32,4),""))</f>
        <v/>
      </c>
      <c r="Y32" s="73" t="str">
        <f>IF(U32=0,0,IF($F32&amp;"/Día"=W$9,ROUND(Z32/U32,4),""))</f>
        <v/>
      </c>
      <c r="Z32" s="37" t="str">
        <f>IF(U32&lt;&gt;"",$P32,"")</f>
        <v/>
      </c>
      <c r="AA32" s="37">
        <f t="shared" si="14"/>
        <v>3363878.6383999996</v>
      </c>
      <c r="AB32" s="37">
        <f t="shared" si="15"/>
        <v>5365139.7918999996</v>
      </c>
      <c r="AC32" s="72">
        <f t="shared" si="16"/>
        <v>9216.1</v>
      </c>
      <c r="AD32" s="73">
        <f t="shared" si="17"/>
        <v>1.5949</v>
      </c>
      <c r="AE32" s="73">
        <f t="shared" si="18"/>
        <v>0.29899999999999999</v>
      </c>
      <c r="AF32" s="37">
        <f t="shared" si="19"/>
        <v>1005963.7100000001</v>
      </c>
      <c r="AG32" s="47"/>
      <c r="AH32" s="111">
        <f t="shared" si="6"/>
        <v>-5383603.54</v>
      </c>
    </row>
    <row r="33" spans="1:34" x14ac:dyDescent="0.25">
      <c r="A33" s="18" t="s">
        <v>28</v>
      </c>
      <c r="B33" s="21" t="s">
        <v>136</v>
      </c>
      <c r="C33" s="54" t="s">
        <v>31</v>
      </c>
      <c r="D33" s="20" t="s">
        <v>30</v>
      </c>
      <c r="E33" s="54" t="s">
        <v>96</v>
      </c>
      <c r="F33" s="30" t="s">
        <v>56</v>
      </c>
      <c r="G33" s="37">
        <f>Ene!G33+Feb!G33+Mar!G33+Abr!G33+May!G33+Jun!G33+Jul!G33+Ago!G33+Set!G33+Oct!G33+Nov!G33+Dic!G33</f>
        <v>830578.15630000003</v>
      </c>
      <c r="H33" s="37">
        <f>Ene!H33+Feb!H33+Mar!H33+Abr!H33+May!H33+Jun!H33+Jul!H33+Ago!H33+Set!H33+Oct!H33+Nov!H33+Dic!H33</f>
        <v>851046.34399999992</v>
      </c>
      <c r="I33" s="37"/>
      <c r="J33" s="37"/>
      <c r="K33" s="37"/>
      <c r="L33" s="37"/>
      <c r="M33" s="37"/>
      <c r="N33" s="37">
        <f>Ene!N33+Feb!N33+Mar!N33+Abr!N33+May!N33+Jun!N33+Jul!N33+Ago!N33+Set!N33+Oct!N33+Nov!N33+Dic!N33</f>
        <v>0</v>
      </c>
      <c r="O33" s="37">
        <f>Ene!O33+Feb!O33+Mar!O33+Abr!O33+May!O33+Jun!O33+Jul!O33+Ago!O33+Set!O33+Oct!O33+Nov!O33+Dic!O33</f>
        <v>6238489.3199999984</v>
      </c>
      <c r="P33" s="37">
        <f>Ene!P33+Feb!P33+Mar!P33+Abr!P33+May!P33+Jun!P33+Jul!P33+Ago!P33+Set!P33+Oct!P33+Nov!P33+Dic!P33</f>
        <v>1169716.76</v>
      </c>
      <c r="Q33" s="37">
        <f>Ene!Q33+Feb!Q33+Mar!Q33+Abr!Q33+May!Q33+Jun!Q33+Jul!Q33+Ago!Q33+Set!Q33+Oct!Q33+Nov!Q33+Dic!Q33</f>
        <v>935773.3899999999</v>
      </c>
      <c r="R33" s="172">
        <v>0.15</v>
      </c>
      <c r="S33" s="37">
        <f>Ene!S33+Feb!S33+Mar!S33+Abr!S33+May!S33+Jun!S33+Jul!S33+Ago!S33+Set!S33+Oct!S33+Nov!S33+Dic!S33</f>
        <v>233943.35</v>
      </c>
      <c r="T33" s="198">
        <v>3.7499999999999999E-2</v>
      </c>
      <c r="U33" s="37" t="str">
        <f>IF($F33&amp;"/Día"=W$9,SUM($G33:$H33),"")</f>
        <v/>
      </c>
      <c r="V33" s="37" t="str">
        <f t="shared" ref="V33" si="39">IF(U33&lt;&gt;"",$O33,"")</f>
        <v/>
      </c>
      <c r="W33" s="72" t="str">
        <f>IF($F33&amp;"/Día"=W$9,ROUND(U33/$W$1,1),"")</f>
        <v/>
      </c>
      <c r="X33" s="73" t="str">
        <f>IF(U33=0,0,IF($F33&amp;"/Día"=W$9,ROUND(V33/U33,4),""))</f>
        <v/>
      </c>
      <c r="Y33" s="73" t="str">
        <f>IF(U33=0,0,IF($F33&amp;"/Día"=W$9,ROUND(Z33/U33,4),""))</f>
        <v/>
      </c>
      <c r="Z33" s="37" t="str">
        <f>IF(U33&lt;&gt;"",$P33,"")</f>
        <v/>
      </c>
      <c r="AA33" s="37">
        <f t="shared" ref="AA33" si="40">IF($F33&amp;"/Día"=AC$9,SUM($G33:$H33),"")</f>
        <v>1681624.5003</v>
      </c>
      <c r="AB33" s="37">
        <f t="shared" ref="AB33" si="41">IF(AA33&lt;&gt;"",$O33,"")</f>
        <v>6238489.3199999984</v>
      </c>
      <c r="AC33" s="72">
        <f t="shared" ref="AC33" si="42">IF($F33&amp;"/Día"=AC$9,ROUND(AA33/$W$1,1),"")</f>
        <v>4607.2</v>
      </c>
      <c r="AD33" s="73">
        <f t="shared" ref="AD33" si="43">IF(AA33=0,0,IF($F33&amp;"/Día"=AC$9,ROUND(AB33/AA33,4),""))</f>
        <v>3.7098</v>
      </c>
      <c r="AE33" s="73">
        <f t="shared" ref="AE33" si="44">IF(AA33=0,0,IF($F33&amp;"/Día"=AC$9,ROUND(AF33/AA33,4),""))</f>
        <v>0.6956</v>
      </c>
      <c r="AF33" s="37">
        <f t="shared" ref="AF33" si="45">IF(AA33&lt;&gt;"",$P33,"")</f>
        <v>1169716.76</v>
      </c>
      <c r="AG33" s="47"/>
      <c r="AH33" s="111">
        <f t="shared" si="6"/>
        <v>-6238489.3199999984</v>
      </c>
    </row>
    <row r="34" spans="1:34" s="212" customFormat="1" ht="12.75" x14ac:dyDescent="0.2">
      <c r="A34" s="18" t="s">
        <v>28</v>
      </c>
      <c r="B34" s="21" t="s">
        <v>137</v>
      </c>
      <c r="C34" s="54" t="s">
        <v>31</v>
      </c>
      <c r="D34" s="20" t="s">
        <v>30</v>
      </c>
      <c r="E34" s="54" t="s">
        <v>96</v>
      </c>
      <c r="F34" s="179" t="s">
        <v>56</v>
      </c>
      <c r="G34" s="37">
        <f>Ene!G34+Feb!G34+Mar!G34+Abr!G34+May!G34+Jun!G34+Jul!G34+Ago!G34+Set!G34+Oct!G34+Nov!G34+Dic!G34</f>
        <v>0</v>
      </c>
      <c r="H34" s="37">
        <f>Ene!H34+Feb!H34+Mar!H34+Abr!H34+May!H34+Jun!H34+Jul!H34+Ago!H34+Set!H34+Oct!H34+Nov!H34+Dic!H34</f>
        <v>0</v>
      </c>
      <c r="I34" s="37"/>
      <c r="J34" s="37"/>
      <c r="K34" s="37"/>
      <c r="L34" s="37"/>
      <c r="M34" s="37"/>
      <c r="N34" s="37">
        <f>Ene!N34+Feb!N34+Mar!N34+Abr!N34+May!N34+Jun!N34+Jul!N34+Ago!N34+Set!N34+Oct!N34+Nov!N34+Dic!N34</f>
        <v>0</v>
      </c>
      <c r="O34" s="37">
        <f>Ene!O34+Feb!O34+Mar!O34+Abr!O34+May!O34+Jun!O34+Jul!O34+Ago!O34+Set!O34+Oct!O34+Nov!O34+Dic!O34</f>
        <v>0</v>
      </c>
      <c r="P34" s="37">
        <f>Ene!P34+Feb!P34+Mar!P34+Abr!P34+May!P34+Jun!P34+Jul!P34+Ago!P34+Set!P34+Oct!P34+Nov!P34+Dic!P34</f>
        <v>0</v>
      </c>
      <c r="Q34" s="37">
        <f>Ene!Q34+Feb!Q34+Mar!Q34+Abr!Q34+May!Q34+Jun!Q34+Jul!Q34+Ago!Q34+Set!Q34+Oct!Q34+Nov!Q34+Dic!Q34</f>
        <v>0</v>
      </c>
      <c r="R34" s="172">
        <v>0.15</v>
      </c>
      <c r="S34" s="37">
        <f>Ene!S34+Feb!S34+Mar!S34+Abr!S34+May!S34+Jun!S34+Jul!S34+Ago!S34+Set!S34+Oct!S34+Nov!S34+Dic!S34</f>
        <v>0</v>
      </c>
      <c r="T34" s="198">
        <v>3.7499999999999999E-2</v>
      </c>
      <c r="U34" s="37" t="str">
        <f>IF($F34&amp;"/Día"=W$9,SUM($G34:$H34),"")</f>
        <v/>
      </c>
      <c r="V34" s="37" t="str">
        <f t="shared" ref="V34:V36" si="46">IF(U34&lt;&gt;"",$O34,"")</f>
        <v/>
      </c>
      <c r="W34" s="72" t="str">
        <f>IF($F34&amp;"/Día"=W$9,ROUND(U34/$W$1,1),"")</f>
        <v/>
      </c>
      <c r="X34" s="73" t="str">
        <f>IF(U34=0,0,IF($F34&amp;"/Día"=W$9,ROUND(V34/U34,4),""))</f>
        <v/>
      </c>
      <c r="Y34" s="73" t="str">
        <f>IF(U34=0,0,IF($F34&amp;"/Día"=W$9,ROUND(Z34/U34,4),""))</f>
        <v/>
      </c>
      <c r="Z34" s="37" t="str">
        <f>IF(U34&lt;&gt;"",$P34,"")</f>
        <v/>
      </c>
      <c r="AA34" s="37">
        <f t="shared" ref="AA34:AA36" si="47">IF($F34&amp;"/Día"=AC$9,SUM($G34:$H34),"")</f>
        <v>0</v>
      </c>
      <c r="AB34" s="37">
        <f t="shared" ref="AB34:AB36" si="48">IF(AA34&lt;&gt;"",$O34,"")</f>
        <v>0</v>
      </c>
      <c r="AC34" s="72">
        <f t="shared" ref="AC34:AC36" si="49">IF($F34&amp;"/Día"=AC$9,ROUND(AA34/$W$1,1),"")</f>
        <v>0</v>
      </c>
      <c r="AD34" s="73">
        <f t="shared" ref="AD34:AD36" si="50">IF(AA34=0,0,IF($F34&amp;"/Día"=AC$9,ROUND(AB34/AA34,4),""))</f>
        <v>0</v>
      </c>
      <c r="AE34" s="73">
        <f t="shared" ref="AE34:AE36" si="51">IF(AA34=0,0,IF($F34&amp;"/Día"=AC$9,ROUND(AF34/AA34,4),""))</f>
        <v>0</v>
      </c>
      <c r="AF34" s="37">
        <f t="shared" ref="AF34:AF36" si="52">IF(AA34&lt;&gt;"",$P34,"")</f>
        <v>0</v>
      </c>
      <c r="AG34" s="47"/>
      <c r="AH34" s="111" t="str">
        <f t="shared" si="6"/>
        <v/>
      </c>
    </row>
    <row r="35" spans="1:34" s="212" customFormat="1" ht="12.75" x14ac:dyDescent="0.2">
      <c r="A35" s="18" t="s">
        <v>28</v>
      </c>
      <c r="B35" s="21" t="s">
        <v>144</v>
      </c>
      <c r="C35" s="54" t="s">
        <v>31</v>
      </c>
      <c r="D35" s="20" t="s">
        <v>30</v>
      </c>
      <c r="E35" s="54" t="s">
        <v>96</v>
      </c>
      <c r="F35" s="179" t="s">
        <v>56</v>
      </c>
      <c r="G35" s="37">
        <f>Ene!G35+Feb!G35+Mar!G35+Abr!G35+May!G35+Jun!G35+Jul!G35+Ago!G35+Set!G35+Oct!G35+Nov!G35+Dic!G35</f>
        <v>0</v>
      </c>
      <c r="H35" s="37">
        <f>Ene!H35+Feb!H35+Mar!H35+Abr!H35+May!H35+Jun!H35+Jul!H35+Ago!H35+Set!H35+Oct!H35+Nov!H35+Dic!H35</f>
        <v>0</v>
      </c>
      <c r="I35" s="37"/>
      <c r="J35" s="37"/>
      <c r="K35" s="37"/>
      <c r="L35" s="37"/>
      <c r="M35" s="37"/>
      <c r="N35" s="37">
        <f>Ene!N35+Feb!N35+Mar!N35+Abr!N35+May!N35+Jun!N35+Jul!N35+Ago!N35+Set!N35+Oct!N35+Nov!N35+Dic!N35</f>
        <v>0</v>
      </c>
      <c r="O35" s="37">
        <f>Ene!O35+Feb!O35+Mar!O35+Abr!O35+May!O35+Jun!O35+Jul!O35+Ago!O35+Set!O35+Oct!O35+Nov!O35+Dic!O35</f>
        <v>0</v>
      </c>
      <c r="P35" s="37">
        <f>Ene!P35+Feb!P35+Mar!P35+Abr!P35+May!P35+Jun!P35+Jul!P35+Ago!P35+Set!P35+Oct!P35+Nov!P35+Dic!P35</f>
        <v>0</v>
      </c>
      <c r="Q35" s="37">
        <f>Ene!Q35+Feb!Q35+Mar!Q35+Abr!Q35+May!Q35+Jun!Q35+Jul!Q35+Ago!Q35+Set!Q35+Oct!Q35+Nov!Q35+Dic!Q35</f>
        <v>0</v>
      </c>
      <c r="R35" s="172">
        <v>0.15</v>
      </c>
      <c r="S35" s="37">
        <f>Ene!S35+Feb!S35+Mar!S35+Abr!S35+May!S35+Jun!S35+Jul!S35+Ago!S35+Set!S35+Oct!S35+Nov!S35+Dic!S35</f>
        <v>0</v>
      </c>
      <c r="T35" s="198">
        <v>3.7499999999999999E-2</v>
      </c>
      <c r="U35" s="37" t="str">
        <f t="shared" ref="U35" si="53">IF($F35&amp;"/Día"=W$9,SUM($G35:$H35),"")</f>
        <v/>
      </c>
      <c r="V35" s="37" t="str">
        <f t="shared" si="46"/>
        <v/>
      </c>
      <c r="W35" s="72" t="str">
        <f t="shared" ref="W35:W36" si="54">IF($F35&amp;"/Día"=W$9,ROUND(U35/$W$1,1),"")</f>
        <v/>
      </c>
      <c r="X35" s="73" t="str">
        <f t="shared" ref="X35:X36" si="55">IF(U35=0,0,IF($F35&amp;"/Día"=W$9,ROUND(V35/U35,4),""))</f>
        <v/>
      </c>
      <c r="Y35" s="73" t="str">
        <f t="shared" ref="Y35:Y36" si="56">IF(U35=0,0,IF($F35&amp;"/Día"=W$9,ROUND(Z35/U35,4),""))</f>
        <v/>
      </c>
      <c r="Z35" s="37" t="str">
        <f t="shared" ref="Z35:Z36" si="57">IF(U35&lt;&gt;"",$P35,"")</f>
        <v/>
      </c>
      <c r="AA35" s="37">
        <f t="shared" si="47"/>
        <v>0</v>
      </c>
      <c r="AB35" s="37">
        <f t="shared" si="48"/>
        <v>0</v>
      </c>
      <c r="AC35" s="72">
        <f t="shared" si="49"/>
        <v>0</v>
      </c>
      <c r="AD35" s="73">
        <f t="shared" si="50"/>
        <v>0</v>
      </c>
      <c r="AE35" s="73">
        <f t="shared" si="51"/>
        <v>0</v>
      </c>
      <c r="AF35" s="37">
        <f t="shared" si="52"/>
        <v>0</v>
      </c>
      <c r="AG35" s="47"/>
      <c r="AH35" s="111" t="str">
        <f t="shared" si="6"/>
        <v/>
      </c>
    </row>
    <row r="36" spans="1:34" s="212" customFormat="1" ht="12.75" x14ac:dyDescent="0.2">
      <c r="A36" s="18" t="s">
        <v>28</v>
      </c>
      <c r="B36" s="21" t="s">
        <v>150</v>
      </c>
      <c r="C36" s="54" t="s">
        <v>31</v>
      </c>
      <c r="D36" s="20" t="s">
        <v>30</v>
      </c>
      <c r="E36" s="54" t="s">
        <v>96</v>
      </c>
      <c r="F36" s="179" t="s">
        <v>56</v>
      </c>
      <c r="G36" s="37">
        <f>Ene!G36+Feb!G36+Mar!G36+Abr!G36+May!G36+Jun!G36+Jul!G36+Ago!G36+Set!G36+Oct!G36+Nov!G36+Dic!G36</f>
        <v>262055.55650000001</v>
      </c>
      <c r="H36" s="37">
        <f>Ene!H36+Feb!H36+Mar!H36+Abr!H36+May!H36+Jun!H36+Jul!H36+Ago!H36+Set!H36+Oct!H36+Nov!H36+Dic!H36</f>
        <v>273249.0111</v>
      </c>
      <c r="I36" s="170"/>
      <c r="J36" s="170"/>
      <c r="K36" s="217"/>
      <c r="L36" s="217"/>
      <c r="M36" s="37"/>
      <c r="N36" s="37">
        <f>Ene!N36+Feb!N36+Mar!N36+Abr!N36+May!N36+Jun!N36+Jul!N36+Ago!N36+Set!N36+Oct!N36+Nov!N36+Dic!N36</f>
        <v>0</v>
      </c>
      <c r="O36" s="37">
        <f>Ene!O36+Feb!O36+Mar!O36+Abr!O36+May!O36+Jun!O36+Jul!O36+Ago!O36+Set!O36+Oct!O36+Nov!O36+Dic!O36</f>
        <v>1846292.0499999998</v>
      </c>
      <c r="P36" s="37">
        <f>Ene!P36+Feb!P36+Mar!P36+Abr!P36+May!P36+Jun!P36+Jul!P36+Ago!P36+Set!P36+Oct!P36+Nov!P36+Dic!P36</f>
        <v>346179.77999999997</v>
      </c>
      <c r="Q36" s="37">
        <f>Ene!Q36+Feb!Q36+Mar!Q36+Abr!Q36+May!Q36+Jun!Q36+Jul!Q36+Ago!Q36+Set!Q36+Oct!Q36+Nov!Q36+Dic!Q36</f>
        <v>276943.82999999996</v>
      </c>
      <c r="R36" s="172">
        <v>0.15</v>
      </c>
      <c r="S36" s="37">
        <f>Ene!S36+Feb!S36+Mar!S36+Abr!S36+May!S36+Jun!S36+Jul!S36+Ago!S36+Set!S36+Oct!S36+Nov!S36+Dic!S36</f>
        <v>69235.94</v>
      </c>
      <c r="T36" s="198">
        <v>3.7499999999999999E-2</v>
      </c>
      <c r="U36" s="37" t="str">
        <f t="shared" ref="U36" si="58">IF($F36&amp;"/Día"=W$9,SUM($G36:$H36),"")</f>
        <v/>
      </c>
      <c r="V36" s="37" t="str">
        <f t="shared" si="46"/>
        <v/>
      </c>
      <c r="W36" s="72" t="str">
        <f t="shared" si="54"/>
        <v/>
      </c>
      <c r="X36" s="73" t="str">
        <f t="shared" si="55"/>
        <v/>
      </c>
      <c r="Y36" s="73" t="str">
        <f t="shared" si="56"/>
        <v/>
      </c>
      <c r="Z36" s="37" t="str">
        <f t="shared" si="57"/>
        <v/>
      </c>
      <c r="AA36" s="37">
        <f t="shared" si="47"/>
        <v>535304.56759999995</v>
      </c>
      <c r="AB36" s="37">
        <f t="shared" si="48"/>
        <v>1846292.0499999998</v>
      </c>
      <c r="AC36" s="72">
        <f t="shared" si="49"/>
        <v>1466.6</v>
      </c>
      <c r="AD36" s="73">
        <f t="shared" si="50"/>
        <v>3.4489999999999998</v>
      </c>
      <c r="AE36" s="73">
        <f t="shared" si="51"/>
        <v>0.64670000000000005</v>
      </c>
      <c r="AF36" s="37">
        <f t="shared" si="52"/>
        <v>346179.77999999997</v>
      </c>
      <c r="AG36" s="47"/>
      <c r="AH36" s="111">
        <f t="shared" si="6"/>
        <v>-1846292.0499999998</v>
      </c>
    </row>
    <row r="37" spans="1:34" s="212" customFormat="1" ht="12.75" x14ac:dyDescent="0.2">
      <c r="A37" s="303" t="s">
        <v>28</v>
      </c>
      <c r="B37" s="370" t="s">
        <v>180</v>
      </c>
      <c r="C37" s="85" t="s">
        <v>31</v>
      </c>
      <c r="D37" s="304" t="s">
        <v>30</v>
      </c>
      <c r="E37" s="85" t="s">
        <v>96</v>
      </c>
      <c r="F37" s="186" t="s">
        <v>56</v>
      </c>
      <c r="G37" s="37">
        <f>Ene!G37+Feb!G37+Mar!G37+Abr!G37+May!G37+Jun!G37+Jul!G37+Ago!G37+Set!G37+Oct!G37+Nov!G37+Dic!G37</f>
        <v>623946.41350000002</v>
      </c>
      <c r="H37" s="37">
        <f>Ene!H37+Feb!H37+Mar!H37+Abr!H37+May!H37+Jun!H37+Jul!H37+Ago!H37+Set!H37+Oct!H37+Nov!H37+Dic!H37</f>
        <v>746888.06119999988</v>
      </c>
      <c r="I37" s="170"/>
      <c r="J37" s="170"/>
      <c r="K37" s="217"/>
      <c r="L37" s="217"/>
      <c r="M37" s="37"/>
      <c r="N37" s="37">
        <f>Ene!N37+Feb!N37+Mar!N37+Abr!N37+May!N37+Jun!N37+Jul!N37+Ago!N37+Set!N37+Oct!N37+Nov!N37+Dic!N37</f>
        <v>0</v>
      </c>
      <c r="O37" s="37">
        <f>Ene!O37+Feb!O37+Mar!O37+Abr!O37+May!O37+Jun!O37+Jul!O37+Ago!O37+Set!O37+Oct!O37+Nov!O37+Dic!O37</f>
        <v>4473207.2799999993</v>
      </c>
      <c r="P37" s="37">
        <f>Ene!P37+Feb!P37+Mar!P37+Abr!P37+May!P37+Jun!P37+Jul!P37+Ago!P37+Set!P37+Oct!P37+Nov!P37+Dic!P37</f>
        <v>838726.3600000001</v>
      </c>
      <c r="Q37" s="37">
        <f>Ene!Q37+Feb!Q37+Mar!Q37+Abr!Q37+May!Q37+Jun!Q37+Jul!Q37+Ago!Q37+Set!Q37+Oct!Q37+Nov!Q37+Dic!Q37</f>
        <v>670981.11</v>
      </c>
      <c r="R37" s="172">
        <v>0.15</v>
      </c>
      <c r="S37" s="37">
        <f>Ene!S37+Feb!S37+Mar!S37+Abr!S37+May!S37+Jun!S37+Jul!S37+Ago!S37+Set!S37+Oct!S37+Nov!S37+Dic!S37</f>
        <v>167745.26</v>
      </c>
      <c r="T37" s="198">
        <v>3.7499999999999999E-2</v>
      </c>
      <c r="U37" s="125"/>
      <c r="V37" s="125"/>
      <c r="W37" s="371"/>
      <c r="X37" s="372"/>
      <c r="Y37" s="372"/>
      <c r="Z37" s="125"/>
      <c r="AA37" s="125"/>
      <c r="AB37" s="125"/>
      <c r="AC37" s="371"/>
      <c r="AD37" s="372"/>
      <c r="AE37" s="372"/>
      <c r="AF37" s="125"/>
      <c r="AG37" s="48"/>
      <c r="AH37" s="373"/>
    </row>
    <row r="38" spans="1:34" s="212" customFormat="1" ht="12.75" x14ac:dyDescent="0.2">
      <c r="A38" s="18" t="s">
        <v>28</v>
      </c>
      <c r="B38" s="21" t="s">
        <v>169</v>
      </c>
      <c r="C38" s="54" t="s">
        <v>31</v>
      </c>
      <c r="D38" s="20" t="s">
        <v>30</v>
      </c>
      <c r="E38" s="54" t="s">
        <v>96</v>
      </c>
      <c r="F38" s="179" t="s">
        <v>56</v>
      </c>
      <c r="G38" s="37">
        <f>Ene!G38+Feb!G38+Mar!G38+Abr!G38+May!G38+Jun!G38+Jul!G38+Ago!G38+Set!G38+Oct!G38+Nov!G38+Dic!G38</f>
        <v>26220.698</v>
      </c>
      <c r="H38" s="37">
        <f>Ene!H38+Feb!H38+Mar!H38+Abr!H38+May!H38+Jun!H38+Jul!H38+Ago!H38+Set!H38+Oct!H38+Nov!H38+Dic!H38</f>
        <v>31333.3501</v>
      </c>
      <c r="I38" s="170"/>
      <c r="J38" s="170"/>
      <c r="K38" s="217"/>
      <c r="L38" s="217"/>
      <c r="M38" s="37"/>
      <c r="N38" s="37">
        <f>Ene!N38+Feb!N38+Mar!N38+Abr!N38+May!N38+Jun!N38+Jul!N38+Ago!N38+Set!N38+Oct!N38+Nov!N38+Dic!N38</f>
        <v>0</v>
      </c>
      <c r="O38" s="37">
        <f>Ene!O38+Feb!O38+Mar!O38+Abr!O38+May!O38+Jun!O38+Jul!O38+Ago!O38+Set!O38+Oct!O38+Nov!O38+Dic!O38</f>
        <v>186929.72999999998</v>
      </c>
      <c r="P38" s="37">
        <f>Ene!P38+Feb!P38+Mar!P38+Abr!P38+May!P38+Jun!P38+Jul!P38+Ago!P38+Set!P38+Oct!P38+Nov!P38+Dic!P38</f>
        <v>35049.340000000004</v>
      </c>
      <c r="Q38" s="37">
        <f>Ene!Q38+Feb!Q38+Mar!Q38+Abr!Q38+May!Q38+Jun!Q38+Jul!Q38+Ago!Q38+Set!Q38+Oct!Q38+Nov!Q38+Dic!Q38</f>
        <v>28039.47</v>
      </c>
      <c r="R38" s="172">
        <v>0.15</v>
      </c>
      <c r="S38" s="37">
        <f>Ene!S38+Feb!S38+Mar!S38+Abr!S38+May!S38+Jun!S38+Jul!S38+Ago!S38+Set!S38+Oct!S38+Nov!S38+Dic!S38</f>
        <v>7009.8599999999988</v>
      </c>
      <c r="T38" s="198">
        <v>3.7499999999999999E-2</v>
      </c>
    </row>
    <row r="39" spans="1:34" x14ac:dyDescent="0.25">
      <c r="A39" s="18" t="s">
        <v>28</v>
      </c>
      <c r="B39" s="19" t="s">
        <v>15</v>
      </c>
      <c r="C39" s="54" t="s">
        <v>29</v>
      </c>
      <c r="D39" s="20" t="s">
        <v>21</v>
      </c>
      <c r="E39" s="54" t="s">
        <v>95</v>
      </c>
      <c r="F39" s="30" t="s">
        <v>37</v>
      </c>
      <c r="G39" s="37">
        <f>Ene!G39+Feb!G39+Mar!G39+Abr!G39+May!G39+Jun!G39+Jul!G39+Ago!G39+Set!G39+Oct!G39+Nov!G39+Dic!G39</f>
        <v>0</v>
      </c>
      <c r="H39" s="37">
        <f>Ene!H39+Feb!H39+Mar!H39+Abr!H39+May!H39+Jun!H39+Jul!H39+Ago!H39+Set!H39+Oct!H39+Nov!H39+Dic!H39</f>
        <v>1936989</v>
      </c>
      <c r="I39" s="37"/>
      <c r="J39" s="37"/>
      <c r="K39" s="37"/>
      <c r="L39" s="37"/>
      <c r="M39" s="37"/>
      <c r="N39" s="37">
        <f>Ene!N39+Feb!N39+Mar!N39+Abr!N39+May!N39+Jun!N39+Jul!N39+Ago!N39+Set!N39+Oct!N39+Nov!N39+Dic!N39</f>
        <v>14293.597299999999</v>
      </c>
      <c r="O39" s="37">
        <f>Ene!O39+Feb!O39+Mar!O39+Abr!O39+May!O39+Jun!O39+Jul!O39+Ago!O39+Set!O39+Oct!O39+Nov!O39+Dic!O39</f>
        <v>191728259.64270002</v>
      </c>
      <c r="P39" s="37">
        <f>Ene!P39+Feb!P39+Mar!P39+Abr!P39+May!P39+Jun!P39+Jul!P39+Ago!P39+Set!P39+Oct!P39+Nov!P39+Dic!P39</f>
        <v>35949048.669999994</v>
      </c>
      <c r="Q39" s="37">
        <f>Ene!Q39+Feb!Q39+Mar!Q39+Abr!Q39+May!Q39+Jun!Q39+Jul!Q39+Ago!Q39+Set!Q39+Oct!Q39+Nov!Q39+Dic!Q39</f>
        <v>28759238.949999996</v>
      </c>
      <c r="R39" s="172">
        <v>0.15</v>
      </c>
      <c r="S39" s="37">
        <f>Ene!S39+Feb!S39+Mar!S39+Abr!S39+May!S39+Jun!S39+Jul!S39+Ago!S39+Set!S39+Oct!S39+Nov!S39+Dic!S39</f>
        <v>7189809.7300000004</v>
      </c>
      <c r="T39" s="198">
        <v>3.7499999999999999E-2</v>
      </c>
      <c r="U39" s="37">
        <f t="shared" si="0"/>
        <v>1936989</v>
      </c>
      <c r="V39" s="37">
        <f t="shared" si="1"/>
        <v>191728259.64270002</v>
      </c>
      <c r="W39" s="72">
        <f t="shared" si="2"/>
        <v>5306.8</v>
      </c>
      <c r="X39" s="73">
        <f t="shared" si="3"/>
        <v>98.982600000000005</v>
      </c>
      <c r="Y39" s="73">
        <f t="shared" si="4"/>
        <v>18.559200000000001</v>
      </c>
      <c r="Z39" s="37">
        <f t="shared" si="5"/>
        <v>35949048.669999994</v>
      </c>
      <c r="AA39" s="37" t="str">
        <f t="shared" si="14"/>
        <v/>
      </c>
      <c r="AB39" s="37" t="str">
        <f t="shared" si="15"/>
        <v/>
      </c>
      <c r="AC39" s="72" t="str">
        <f t="shared" si="16"/>
        <v/>
      </c>
      <c r="AD39" s="73" t="str">
        <f t="shared" si="17"/>
        <v/>
      </c>
      <c r="AE39" s="73" t="str">
        <f t="shared" si="18"/>
        <v/>
      </c>
      <c r="AF39" s="37" t="str">
        <f t="shared" si="19"/>
        <v/>
      </c>
      <c r="AG39" s="47"/>
      <c r="AH39" s="111">
        <f t="shared" si="6"/>
        <v>-191742553.24000001</v>
      </c>
    </row>
    <row r="40" spans="1:34" x14ac:dyDescent="0.25">
      <c r="A40" s="18" t="s">
        <v>28</v>
      </c>
      <c r="B40" s="19" t="s">
        <v>16</v>
      </c>
      <c r="C40" s="54" t="s">
        <v>29</v>
      </c>
      <c r="D40" s="20" t="s">
        <v>21</v>
      </c>
      <c r="E40" s="54" t="s">
        <v>95</v>
      </c>
      <c r="F40" s="30" t="s">
        <v>56</v>
      </c>
      <c r="G40" s="37">
        <f>Ene!G40+Feb!G40+Mar!G40+Abr!G40+May!G40+Jun!G40+Jul!G40+Ago!G40+Set!G40+Oct!G40+Nov!G40+Dic!G40</f>
        <v>0</v>
      </c>
      <c r="H40" s="37">
        <f>Ene!H40+Feb!H40+Mar!H40+Abr!H40+May!H40+Jun!H40+Jul!H40+Ago!H40+Set!H40+Oct!H40+Nov!H40+Dic!H40</f>
        <v>4468970.55</v>
      </c>
      <c r="I40" s="37"/>
      <c r="J40" s="37"/>
      <c r="K40" s="37"/>
      <c r="L40" s="37"/>
      <c r="M40" s="37"/>
      <c r="N40" s="37">
        <f>Ene!N40+Feb!N40+Mar!N40+Abr!N40+May!N40+Jun!N40+Jul!N40+Ago!N40+Set!N40+Oct!N40+Nov!N40+Dic!N40</f>
        <v>12584.491400000001</v>
      </c>
      <c r="O40" s="37">
        <f>Ene!O40+Feb!O40+Mar!O40+Abr!O40+May!O40+Jun!O40+Jul!O40+Ago!O40+Set!O40+Oct!O40+Nov!O40+Dic!O40</f>
        <v>38147244.878600001</v>
      </c>
      <c r="P40" s="37">
        <f>Ene!P40+Feb!P40+Mar!P40+Abr!P40+May!P40+Jun!P40+Jul!P40+Ago!P40+Set!P40+Oct!P40+Nov!P40+Dic!P40</f>
        <v>7152608.4299999997</v>
      </c>
      <c r="Q40" s="37">
        <f>Ene!Q40+Feb!Q40+Mar!Q40+Abr!Q40+May!Q40+Jun!Q40+Jul!Q40+Ago!Q40+Set!Q40+Oct!Q40+Nov!Q40+Dic!Q40</f>
        <v>5722086.7299999995</v>
      </c>
      <c r="R40" s="172">
        <v>0.15</v>
      </c>
      <c r="S40" s="37">
        <f>Ene!S40+Feb!S40+Mar!S40+Abr!S40+May!S40+Jun!S40+Jul!S40+Ago!S40+Set!S40+Oct!S40+Nov!S40+Dic!S40</f>
        <v>1430521.6800000002</v>
      </c>
      <c r="T40" s="198">
        <v>3.7499999999999999E-2</v>
      </c>
      <c r="U40" s="37" t="str">
        <f t="shared" ref="U40:U46" si="59">IF($F40&amp;"/Día"=W$9,SUM($G40:$H40),"")</f>
        <v/>
      </c>
      <c r="V40" s="37" t="str">
        <f t="shared" si="1"/>
        <v/>
      </c>
      <c r="W40" s="72" t="str">
        <f t="shared" ref="W40:W46" si="60">IF($F40&amp;"/Día"=W$9,ROUND(U40/$W$1,1),"")</f>
        <v/>
      </c>
      <c r="X40" s="73" t="str">
        <f t="shared" ref="X40:X46" si="61">IF(U40=0,0,IF($F40&amp;"/Día"=W$9,ROUND(V40/U40,4),""))</f>
        <v/>
      </c>
      <c r="Y40" s="73" t="str">
        <f t="shared" ref="Y40:Y46" si="62">IF(U40=0,0,IF($F40&amp;"/Día"=W$9,ROUND(Z40/U40,4),""))</f>
        <v/>
      </c>
      <c r="Z40" s="37" t="str">
        <f t="shared" ref="Z40:Z46" si="63">IF(U40&lt;&gt;"",$P40,"")</f>
        <v/>
      </c>
      <c r="AA40" s="37">
        <f t="shared" si="14"/>
        <v>4468970.55</v>
      </c>
      <c r="AB40" s="37">
        <f t="shared" si="15"/>
        <v>38147244.878600001</v>
      </c>
      <c r="AC40" s="72">
        <f t="shared" si="16"/>
        <v>12243.8</v>
      </c>
      <c r="AD40" s="73">
        <f t="shared" si="17"/>
        <v>8.5359999999999996</v>
      </c>
      <c r="AE40" s="73">
        <f t="shared" si="18"/>
        <v>1.6005</v>
      </c>
      <c r="AF40" s="37">
        <f t="shared" si="19"/>
        <v>7152608.4299999997</v>
      </c>
      <c r="AG40" s="47"/>
      <c r="AH40" s="111">
        <f t="shared" si="6"/>
        <v>-38159829.370000005</v>
      </c>
    </row>
    <row r="41" spans="1:34" x14ac:dyDescent="0.25">
      <c r="A41" s="18" t="s">
        <v>28</v>
      </c>
      <c r="B41" s="21" t="s">
        <v>114</v>
      </c>
      <c r="C41" s="54" t="s">
        <v>31</v>
      </c>
      <c r="D41" s="20" t="s">
        <v>30</v>
      </c>
      <c r="E41" s="54" t="s">
        <v>96</v>
      </c>
      <c r="F41" s="30" t="s">
        <v>37</v>
      </c>
      <c r="G41" s="37">
        <f>Ene!G41+Feb!G41+Mar!G41+Abr!G41+May!G41+Jun!G41+Jul!G41+Ago!G41+Set!G41+Oct!G41+Nov!G41+Dic!G41</f>
        <v>1742</v>
      </c>
      <c r="H41" s="37">
        <f>Ene!H41+Feb!H41+Mar!H41+Abr!H41+May!H41+Jun!H41+Jul!H41+Ago!H41+Set!H41+Oct!H41+Nov!H41+Dic!H41</f>
        <v>2105</v>
      </c>
      <c r="I41" s="37"/>
      <c r="J41" s="37"/>
      <c r="K41" s="37"/>
      <c r="L41" s="37"/>
      <c r="M41" s="37"/>
      <c r="N41" s="37">
        <f>Ene!N41+Feb!N41+Mar!N41+Abr!N41+May!N41+Jun!N41+Jul!N41+Ago!N41+Set!N41+Oct!N41+Nov!N41+Dic!N41</f>
        <v>2738.3333000000002</v>
      </c>
      <c r="O41" s="37">
        <f>Ene!O41+Feb!O41+Mar!O41+Abr!O41+May!O41+Jun!O41+Jul!O41+Ago!O41+Set!O41+Oct!O41+Nov!O41+Dic!O41</f>
        <v>355057.68670000002</v>
      </c>
      <c r="P41" s="37">
        <f>Ene!P41+Feb!P41+Mar!P41+Abr!P41+May!P41+Jun!P41+Jul!P41+Ago!P41+Set!P41+Oct!P41+Nov!P41+Dic!P41</f>
        <v>66573.319999999992</v>
      </c>
      <c r="Q41" s="37">
        <f>Ene!Q41+Feb!Q41+Mar!Q41+Abr!Q41+May!Q41+Jun!Q41+Jul!Q41+Ago!Q41+Set!Q41+Oct!Q41+Nov!Q41+Dic!Q41</f>
        <v>13314.68</v>
      </c>
      <c r="R41" s="198">
        <v>3.7499999999999999E-2</v>
      </c>
      <c r="S41" s="37">
        <f>Ene!S41+Feb!S41+Mar!S41+Abr!S41+May!S41+Jun!S41+Jul!S41+Ago!S41+Set!S41+Oct!S41+Nov!S41+Dic!S41</f>
        <v>53258.659999999996</v>
      </c>
      <c r="T41" s="172">
        <v>0.15</v>
      </c>
      <c r="U41" s="37">
        <f t="shared" si="59"/>
        <v>3847</v>
      </c>
      <c r="V41" s="37">
        <f t="shared" si="1"/>
        <v>355057.68670000002</v>
      </c>
      <c r="W41" s="72">
        <f t="shared" si="60"/>
        <v>10.5</v>
      </c>
      <c r="X41" s="73">
        <f t="shared" si="61"/>
        <v>92.294700000000006</v>
      </c>
      <c r="Y41" s="73">
        <f t="shared" si="62"/>
        <v>17.305299999999999</v>
      </c>
      <c r="Z41" s="37">
        <f t="shared" si="63"/>
        <v>66573.319999999992</v>
      </c>
      <c r="AA41" s="37" t="str">
        <f t="shared" si="14"/>
        <v/>
      </c>
      <c r="AB41" s="37" t="str">
        <f t="shared" si="15"/>
        <v/>
      </c>
      <c r="AC41" s="72" t="str">
        <f t="shared" si="16"/>
        <v/>
      </c>
      <c r="AD41" s="73" t="str">
        <f t="shared" si="17"/>
        <v/>
      </c>
      <c r="AE41" s="73" t="str">
        <f t="shared" si="18"/>
        <v/>
      </c>
      <c r="AF41" s="37" t="str">
        <f t="shared" si="19"/>
        <v/>
      </c>
      <c r="AG41" s="47"/>
      <c r="AH41" s="111">
        <f t="shared" si="6"/>
        <v>-357796.02</v>
      </c>
    </row>
    <row r="42" spans="1:34" x14ac:dyDescent="0.25">
      <c r="A42" s="18" t="s">
        <v>28</v>
      </c>
      <c r="B42" s="21" t="s">
        <v>110</v>
      </c>
      <c r="C42" s="54" t="s">
        <v>31</v>
      </c>
      <c r="D42" s="20" t="s">
        <v>30</v>
      </c>
      <c r="E42" s="54" t="s">
        <v>96</v>
      </c>
      <c r="F42" s="30" t="s">
        <v>37</v>
      </c>
      <c r="G42" s="37">
        <f>Ene!G42+Feb!G42+Mar!G42+Abr!G42+May!G42+Jun!G42+Jul!G42+Ago!G42+Set!G42+Oct!G42+Nov!G42+Dic!G42</f>
        <v>0</v>
      </c>
      <c r="H42" s="37">
        <f>Ene!H42+Feb!H42+Mar!H42+Abr!H42+May!H42+Jun!H42+Jul!H42+Ago!H42+Set!H42+Oct!H42+Nov!H42+Dic!H42</f>
        <v>0</v>
      </c>
      <c r="I42" s="37"/>
      <c r="J42" s="37"/>
      <c r="K42" s="37"/>
      <c r="L42" s="37"/>
      <c r="M42" s="37"/>
      <c r="N42" s="37">
        <f>Ene!N42+Feb!N42+Mar!N42+Abr!N42+May!N42+Jun!N42+Jul!N42+Ago!N42+Set!N42+Oct!N42+Nov!N42+Dic!N42</f>
        <v>0</v>
      </c>
      <c r="O42" s="37">
        <f>Ene!O42+Feb!O42+Mar!O42+Abr!O42+May!O42+Jun!O42+Jul!O42+Ago!O42+Set!O42+Oct!O42+Nov!O42+Dic!O42</f>
        <v>0</v>
      </c>
      <c r="P42" s="37">
        <f>Ene!P42+Feb!P42+Mar!P42+Abr!P42+May!P42+Jun!P42+Jul!P42+Ago!P42+Set!P42+Oct!P42+Nov!P42+Dic!P42</f>
        <v>0</v>
      </c>
      <c r="Q42" s="37">
        <f>Ene!Q42+Feb!Q42+Mar!Q42+Abr!Q42+May!Q42+Jun!Q42+Jul!Q42+Ago!Q42+Set!Q42+Oct!Q42+Nov!Q42+Dic!Q42</f>
        <v>0</v>
      </c>
      <c r="R42" s="198">
        <v>3.7499999999999999E-2</v>
      </c>
      <c r="S42" s="37">
        <f>Ene!S42+Feb!S42+Mar!S42+Abr!S42+May!S42+Jun!S42+Jul!S42+Ago!S42+Set!S42+Oct!S42+Nov!S42+Dic!S42</f>
        <v>0</v>
      </c>
      <c r="T42" s="172">
        <v>0.15</v>
      </c>
      <c r="U42" s="37">
        <f t="shared" si="59"/>
        <v>0</v>
      </c>
      <c r="V42" s="37">
        <f t="shared" si="1"/>
        <v>0</v>
      </c>
      <c r="W42" s="72">
        <f t="shared" si="60"/>
        <v>0</v>
      </c>
      <c r="X42" s="73">
        <f t="shared" si="61"/>
        <v>0</v>
      </c>
      <c r="Y42" s="73">
        <f t="shared" si="62"/>
        <v>0</v>
      </c>
      <c r="Z42" s="37">
        <f t="shared" si="63"/>
        <v>0</v>
      </c>
      <c r="AA42" s="37" t="str">
        <f t="shared" si="14"/>
        <v/>
      </c>
      <c r="AB42" s="37" t="str">
        <f t="shared" si="15"/>
        <v/>
      </c>
      <c r="AC42" s="72" t="str">
        <f t="shared" si="16"/>
        <v/>
      </c>
      <c r="AD42" s="73" t="str">
        <f t="shared" si="17"/>
        <v/>
      </c>
      <c r="AE42" s="73" t="str">
        <f t="shared" si="18"/>
        <v/>
      </c>
      <c r="AF42" s="37" t="str">
        <f t="shared" si="19"/>
        <v/>
      </c>
      <c r="AG42" s="47"/>
      <c r="AH42" s="111" t="str">
        <f t="shared" si="6"/>
        <v/>
      </c>
    </row>
    <row r="43" spans="1:34" x14ac:dyDescent="0.25">
      <c r="A43" s="18" t="s">
        <v>28</v>
      </c>
      <c r="B43" s="21" t="s">
        <v>111</v>
      </c>
      <c r="C43" s="54" t="s">
        <v>31</v>
      </c>
      <c r="D43" s="20" t="s">
        <v>30</v>
      </c>
      <c r="E43" s="54" t="s">
        <v>96</v>
      </c>
      <c r="F43" s="30" t="s">
        <v>56</v>
      </c>
      <c r="G43" s="37">
        <f>Ene!G43+Feb!G43+Mar!G43+Abr!G43+May!G43+Jun!G43+Jul!G43+Ago!G43+Set!G43+Oct!G43+Nov!G43+Dic!G43</f>
        <v>0</v>
      </c>
      <c r="H43" s="37">
        <f>Ene!H43+Feb!H43+Mar!H43+Abr!H43+May!H43+Jun!H43+Jul!H43+Ago!H43+Set!H43+Oct!H43+Nov!H43+Dic!H43</f>
        <v>0</v>
      </c>
      <c r="I43" s="37"/>
      <c r="J43" s="37"/>
      <c r="K43" s="37"/>
      <c r="L43" s="37"/>
      <c r="M43" s="37"/>
      <c r="N43" s="37">
        <f>Ene!N43+Feb!N43+Mar!N43+Abr!N43+May!N43+Jun!N43+Jul!N43+Ago!N43+Set!N43+Oct!N43+Nov!N43+Dic!N43</f>
        <v>0</v>
      </c>
      <c r="O43" s="37">
        <f>Ene!O43+Feb!O43+Mar!O43+Abr!O43+May!O43+Jun!O43+Jul!O43+Ago!O43+Set!O43+Oct!O43+Nov!O43+Dic!O43</f>
        <v>0</v>
      </c>
      <c r="P43" s="37">
        <f>Ene!P43+Feb!P43+Mar!P43+Abr!P43+May!P43+Jun!P43+Jul!P43+Ago!P43+Set!P43+Oct!P43+Nov!P43+Dic!P43</f>
        <v>0</v>
      </c>
      <c r="Q43" s="37">
        <f>Ene!Q43+Feb!Q43+Mar!Q43+Abr!Q43+May!Q43+Jun!Q43+Jul!Q43+Ago!Q43+Set!Q43+Oct!Q43+Nov!Q43+Dic!Q43</f>
        <v>0</v>
      </c>
      <c r="R43" s="198">
        <v>3.7499999999999999E-2</v>
      </c>
      <c r="S43" s="37">
        <f>Ene!S43+Feb!S43+Mar!S43+Abr!S43+May!S43+Jun!S43+Jul!S43+Ago!S43+Set!S43+Oct!S43+Nov!S43+Dic!S43</f>
        <v>0</v>
      </c>
      <c r="T43" s="172">
        <v>0.15</v>
      </c>
      <c r="U43" s="37" t="str">
        <f t="shared" si="59"/>
        <v/>
      </c>
      <c r="V43" s="37" t="str">
        <f t="shared" si="1"/>
        <v/>
      </c>
      <c r="W43" s="72" t="str">
        <f t="shared" si="60"/>
        <v/>
      </c>
      <c r="X43" s="73" t="str">
        <f t="shared" si="61"/>
        <v/>
      </c>
      <c r="Y43" s="73" t="str">
        <f t="shared" si="62"/>
        <v/>
      </c>
      <c r="Z43" s="37" t="str">
        <f t="shared" si="63"/>
        <v/>
      </c>
      <c r="AA43" s="37">
        <f t="shared" si="14"/>
        <v>0</v>
      </c>
      <c r="AB43" s="37">
        <f t="shared" si="15"/>
        <v>0</v>
      </c>
      <c r="AC43" s="72">
        <f t="shared" si="16"/>
        <v>0</v>
      </c>
      <c r="AD43" s="73">
        <f t="shared" si="17"/>
        <v>0</v>
      </c>
      <c r="AE43" s="73">
        <f t="shared" si="18"/>
        <v>0</v>
      </c>
      <c r="AF43" s="37">
        <f t="shared" si="19"/>
        <v>0</v>
      </c>
      <c r="AG43" s="47"/>
      <c r="AH43" s="111" t="str">
        <f t="shared" si="6"/>
        <v/>
      </c>
    </row>
    <row r="44" spans="1:34" x14ac:dyDescent="0.25">
      <c r="A44" s="18" t="s">
        <v>28</v>
      </c>
      <c r="B44" s="21" t="s">
        <v>116</v>
      </c>
      <c r="C44" s="179" t="s">
        <v>29</v>
      </c>
      <c r="D44" s="185" t="s">
        <v>21</v>
      </c>
      <c r="E44" s="179" t="s">
        <v>95</v>
      </c>
      <c r="F44" s="179" t="s">
        <v>37</v>
      </c>
      <c r="G44" s="37">
        <f>Ene!G44+Feb!G44+Mar!G44+Abr!G44+May!G44+Jun!G44+Jul!G44+Ago!G44+Set!G44+Oct!G44+Nov!G44+Dic!G44</f>
        <v>0</v>
      </c>
      <c r="H44" s="37">
        <f>Ene!H44+Feb!H44+Mar!H44+Abr!H44+May!H44+Jun!H44+Jul!H44+Ago!H44+Set!H44+Oct!H44+Nov!H44+Dic!H44</f>
        <v>225698</v>
      </c>
      <c r="I44" s="37"/>
      <c r="J44" s="37"/>
      <c r="K44" s="37"/>
      <c r="L44" s="37"/>
      <c r="M44" s="37"/>
      <c r="N44" s="37">
        <f>Ene!N44+Feb!N44+Mar!N44+Abr!N44+May!N44+Jun!N44+Jul!N44+Ago!N44+Set!N44+Oct!N44+Nov!N44+Dic!N44</f>
        <v>13696.578300000001</v>
      </c>
      <c r="O44" s="37">
        <f>Ene!O44+Feb!O44+Mar!O44+Abr!O44+May!O44+Jun!O44+Jul!O44+Ago!O44+Set!O44+Oct!O44+Nov!O44+Dic!O44</f>
        <v>19777191.151700001</v>
      </c>
      <c r="P44" s="37">
        <f>Ene!P44+Feb!P44+Mar!P44+Abr!P44+May!P44+Jun!P44+Jul!P44+Ago!P44+Set!P44+Oct!P44+Nov!P44+Dic!P44</f>
        <v>3708223.3299999996</v>
      </c>
      <c r="Q44" s="37">
        <f>Ene!Q44+Feb!Q44+Mar!Q44+Abr!Q44+May!Q44+Jun!Q44+Jul!Q44+Ago!Q44+Set!Q44+Oct!Q44+Nov!Q44+Dic!Q44</f>
        <v>2966578.6699999995</v>
      </c>
      <c r="R44" s="173">
        <v>0.15</v>
      </c>
      <c r="S44" s="37">
        <f>Ene!S44+Feb!S44+Mar!S44+Abr!S44+May!S44+Jun!S44+Jul!S44+Ago!S44+Set!S44+Oct!S44+Nov!S44+Dic!S44</f>
        <v>741644.65999999992</v>
      </c>
      <c r="T44" s="198">
        <v>3.7499999999999999E-2</v>
      </c>
      <c r="U44" s="37">
        <f t="shared" si="59"/>
        <v>225698</v>
      </c>
      <c r="V44" s="37">
        <f t="shared" si="1"/>
        <v>19777191.151700001</v>
      </c>
      <c r="W44" s="72">
        <f t="shared" si="60"/>
        <v>618.4</v>
      </c>
      <c r="X44" s="73">
        <f t="shared" si="61"/>
        <v>87.626800000000003</v>
      </c>
      <c r="Y44" s="73">
        <f t="shared" si="62"/>
        <v>16.43</v>
      </c>
      <c r="Z44" s="37">
        <f t="shared" si="63"/>
        <v>3708223.3299999996</v>
      </c>
      <c r="AA44" s="37" t="str">
        <f t="shared" si="14"/>
        <v/>
      </c>
      <c r="AB44" s="37" t="str">
        <f t="shared" si="15"/>
        <v/>
      </c>
      <c r="AC44" s="72" t="str">
        <f t="shared" si="16"/>
        <v/>
      </c>
      <c r="AD44" s="73" t="str">
        <f t="shared" si="17"/>
        <v/>
      </c>
      <c r="AE44" s="73" t="str">
        <f t="shared" si="18"/>
        <v/>
      </c>
      <c r="AF44" s="37" t="str">
        <f t="shared" si="19"/>
        <v/>
      </c>
      <c r="AG44" s="47"/>
      <c r="AH44" s="111">
        <f t="shared" si="6"/>
        <v>-19790887.73</v>
      </c>
    </row>
    <row r="45" spans="1:34" x14ac:dyDescent="0.25">
      <c r="A45" s="18" t="s">
        <v>28</v>
      </c>
      <c r="B45" s="21" t="s">
        <v>119</v>
      </c>
      <c r="C45" s="179" t="s">
        <v>31</v>
      </c>
      <c r="D45" s="185" t="s">
        <v>30</v>
      </c>
      <c r="E45" s="179" t="s">
        <v>96</v>
      </c>
      <c r="F45" s="179" t="s">
        <v>37</v>
      </c>
      <c r="G45" s="37">
        <f>Ene!G45+Feb!G45+Mar!G45+Abr!G45+May!G45+Jun!G45+Jul!G45+Ago!G45+Set!G45+Oct!G45+Nov!G45+Dic!G45</f>
        <v>0</v>
      </c>
      <c r="H45" s="37">
        <f>Ene!H45+Feb!H45+Mar!H45+Abr!H45+May!H45+Jun!H45+Jul!H45+Ago!H45+Set!H45+Oct!H45+Nov!H45+Dic!H45</f>
        <v>0</v>
      </c>
      <c r="I45" s="37"/>
      <c r="J45" s="37"/>
      <c r="K45" s="37"/>
      <c r="L45" s="37"/>
      <c r="M45" s="37"/>
      <c r="N45" s="37">
        <f>Ene!N45+Feb!N45+Mar!N45+Abr!N45+May!N45+Jun!N45+Jul!N45+Ago!N45+Set!N45+Oct!N45+Nov!N45+Dic!N45</f>
        <v>0</v>
      </c>
      <c r="O45" s="37">
        <f>Ene!O45+Feb!O45+Mar!O45+Abr!O45+May!O45+Jun!O45+Jul!O45+Ago!O45+Set!O45+Oct!O45+Nov!O45+Dic!O45</f>
        <v>0</v>
      </c>
      <c r="P45" s="37">
        <f>Ene!P45+Feb!P45+Mar!P45+Abr!P45+May!P45+Jun!P45+Jul!P45+Ago!P45+Set!P45+Oct!P45+Nov!P45+Dic!P45</f>
        <v>0</v>
      </c>
      <c r="Q45" s="37">
        <f>Ene!Q45+Feb!Q45+Mar!Q45+Abr!Q45+May!Q45+Jun!Q45+Jul!Q45+Ago!Q45+Set!Q45+Oct!Q45+Nov!Q45+Dic!Q45</f>
        <v>0</v>
      </c>
      <c r="R45" s="173">
        <v>0.15</v>
      </c>
      <c r="S45" s="37">
        <f>Ene!S45+Feb!S45+Mar!S45+Abr!S45+May!S45+Jun!S45+Jul!S45+Ago!S45+Set!S45+Oct!S45+Nov!S45+Dic!S45</f>
        <v>0</v>
      </c>
      <c r="T45" s="198">
        <v>3.7499999999999999E-2</v>
      </c>
      <c r="U45" s="37">
        <f t="shared" ref="U45" si="64">IF($F45&amp;"/Día"=W$9,SUM($G45:$H45),"")</f>
        <v>0</v>
      </c>
      <c r="V45" s="37">
        <f t="shared" ref="V45" si="65">IF(U45&lt;&gt;"",$O45,"")</f>
        <v>0</v>
      </c>
      <c r="W45" s="72">
        <f t="shared" ref="W45" si="66">IF($F45&amp;"/Día"=W$9,ROUND(U45/$W$1,1),"")</f>
        <v>0</v>
      </c>
      <c r="X45" s="73">
        <f t="shared" ref="X45" si="67">IF(U45=0,0,IF($F45&amp;"/Día"=W$9,ROUND(V45/U45,4),""))</f>
        <v>0</v>
      </c>
      <c r="Y45" s="73">
        <f t="shared" ref="Y45" si="68">IF(U45=0,0,IF($F45&amp;"/Día"=W$9,ROUND(Z45/U45,4),""))</f>
        <v>0</v>
      </c>
      <c r="Z45" s="37">
        <f t="shared" ref="Z45" si="69">IF(U45&lt;&gt;"",$P45,"")</f>
        <v>0</v>
      </c>
      <c r="AA45" s="37" t="str">
        <f t="shared" ref="AA45" si="70">IF($F45&amp;"/Día"=AC$9,SUM($G45:$H45),"")</f>
        <v/>
      </c>
      <c r="AB45" s="37" t="str">
        <f t="shared" ref="AB45" si="71">IF(AA45&lt;&gt;"",$O45,"")</f>
        <v/>
      </c>
      <c r="AC45" s="72" t="str">
        <f t="shared" ref="AC45" si="72">IF($F45&amp;"/Día"=AC$9,ROUND(AA45/$W$1,1),"")</f>
        <v/>
      </c>
      <c r="AD45" s="73" t="str">
        <f t="shared" ref="AD45" si="73">IF(AA45=0,0,IF($F45&amp;"/Día"=AC$9,ROUND(AB45/AA45,4),""))</f>
        <v/>
      </c>
      <c r="AE45" s="73" t="str">
        <f t="shared" ref="AE45" si="74">IF(AA45=0,0,IF($F45&amp;"/Día"=AC$9,ROUND(AF45/AA45,4),""))</f>
        <v/>
      </c>
      <c r="AF45" s="37" t="str">
        <f t="shared" ref="AF45" si="75">IF(AA45&lt;&gt;"",$P45,"")</f>
        <v/>
      </c>
      <c r="AG45" s="47"/>
      <c r="AH45" s="111" t="str">
        <f t="shared" si="6"/>
        <v/>
      </c>
    </row>
    <row r="46" spans="1:34" x14ac:dyDescent="0.25">
      <c r="A46" s="22" t="s">
        <v>28</v>
      </c>
      <c r="B46" s="25" t="s">
        <v>52</v>
      </c>
      <c r="C46" s="53"/>
      <c r="D46" s="53"/>
      <c r="E46" s="191"/>
      <c r="F46" s="193"/>
      <c r="G46" s="37"/>
      <c r="H46" s="37"/>
      <c r="I46" s="37"/>
      <c r="J46" s="37"/>
      <c r="K46" s="37"/>
      <c r="L46" s="37"/>
      <c r="M46" s="37"/>
      <c r="N46" s="37">
        <f>Ene!N46+Feb!N46+Mar!N46+Abr!N46+May!N46+Jun!N46+Jul!N46+Ago!N46+Set!N46+Oct!N46+Nov!N46+Dic!N46</f>
        <v>0</v>
      </c>
      <c r="O46" s="37">
        <f>Ene!O46+Feb!O46+Mar!O46+Abr!O46+May!O46+Jun!O46+Jul!O46+Ago!O46+Set!O46+Oct!O46+Nov!O46+Dic!O46</f>
        <v>-1155300.3083999993</v>
      </c>
      <c r="P46" s="37">
        <f>Ene!P46+Feb!P46+Mar!P46+Abr!P46+May!P46+Jun!P46+Jul!P46+Ago!P46+Set!P46+Oct!P46+Nov!P46+Dic!P46</f>
        <v>-216618.76999999996</v>
      </c>
      <c r="Q46" s="37">
        <f>Ene!Q46+Feb!Q46+Mar!Q46+Abr!Q46+May!Q46+Jun!Q46+Jul!Q46+Ago!Q46+Set!Q46+Oct!Q46+Nov!Q46+Dic!Q46</f>
        <v>-173295.07000000015</v>
      </c>
      <c r="R46" s="39"/>
      <c r="S46" s="37">
        <f>Ene!S46+Feb!S46+Mar!S46+Abr!S46+May!S46+Jun!S46+Jul!S46+Ago!S46+Set!S46+Oct!S46+Nov!S46+Dic!S46</f>
        <v>-43323.729999999967</v>
      </c>
      <c r="T46" s="39"/>
      <c r="U46" s="37" t="str">
        <f t="shared" si="59"/>
        <v/>
      </c>
      <c r="V46" s="37" t="str">
        <f t="shared" si="1"/>
        <v/>
      </c>
      <c r="W46" s="72" t="str">
        <f t="shared" si="60"/>
        <v/>
      </c>
      <c r="X46" s="73" t="str">
        <f t="shared" si="61"/>
        <v/>
      </c>
      <c r="Y46" s="73" t="str">
        <f t="shared" si="62"/>
        <v/>
      </c>
      <c r="Z46" s="37" t="str">
        <f t="shared" si="63"/>
        <v/>
      </c>
      <c r="AA46" s="37" t="str">
        <f>IF($F46&amp;"/Día"=AC$9,SUM($G46:$H46),"")</f>
        <v/>
      </c>
      <c r="AB46" s="37" t="str">
        <f>IF(AA46&lt;&gt;"",$O46,"")</f>
        <v/>
      </c>
      <c r="AC46" s="72" t="str">
        <f>IF($F46&amp;"/Día"=AC$9,ROUND(AA46/$W$1,1),"")</f>
        <v/>
      </c>
      <c r="AD46" s="73" t="str">
        <f>IF(AA46=0,0,IF($F46&amp;"/Día"=AC$9,ROUND(AB46/AA46,4),""))</f>
        <v/>
      </c>
      <c r="AE46" s="73" t="str">
        <f>IF(AA46=0,0,IF($F46&amp;"/Día"=AC$9,ROUND(AF46/AA46,4),""))</f>
        <v/>
      </c>
      <c r="AF46" s="37" t="str">
        <f>IF(AA46&lt;&gt;"",$P46,"")</f>
        <v/>
      </c>
      <c r="AG46" s="47"/>
      <c r="AH46" s="111">
        <f t="shared" si="6"/>
        <v>1155300.3083999993</v>
      </c>
    </row>
    <row r="47" spans="1:34" x14ac:dyDescent="0.25">
      <c r="A47" s="26"/>
      <c r="B47" s="135" t="s">
        <v>99</v>
      </c>
      <c r="C47" s="27" t="str">
        <f>TEXT(A$9,)&amp;" US$"</f>
        <v>Piura / Tumbes US$</v>
      </c>
      <c r="D47" s="15"/>
      <c r="E47" s="36"/>
      <c r="F47" s="35"/>
      <c r="G47" s="41"/>
      <c r="H47" s="41"/>
      <c r="I47" s="41"/>
      <c r="J47" s="41"/>
      <c r="K47" s="41"/>
      <c r="L47" s="41"/>
      <c r="M47" s="41"/>
      <c r="N47" s="57">
        <f>SUM(N10:N46)</f>
        <v>331234.42620000005</v>
      </c>
      <c r="O47" s="57">
        <f t="shared" ref="O47:S47" si="76">SUM(O10:O46)</f>
        <v>1002150595.7254001</v>
      </c>
      <c r="P47" s="57">
        <f t="shared" si="76"/>
        <v>187903236.74000004</v>
      </c>
      <c r="Q47" s="57">
        <f t="shared" si="76"/>
        <v>150282645.36999997</v>
      </c>
      <c r="R47" s="42"/>
      <c r="S47" s="57">
        <f t="shared" si="76"/>
        <v>37620591.299999997</v>
      </c>
      <c r="T47" s="42"/>
      <c r="U47" s="74">
        <f>SUM(U10:U44)</f>
        <v>10107644.6423</v>
      </c>
      <c r="V47" s="74">
        <f>SUM(V10:V44)</f>
        <v>888772124.74779999</v>
      </c>
      <c r="W47" s="75">
        <f>SUM(W10:W44)</f>
        <v>27692.2</v>
      </c>
      <c r="X47" s="76">
        <f>ROUND(V47/U47,4)</f>
        <v>87.930700000000002</v>
      </c>
      <c r="Y47" s="76">
        <f>ROUND(Z47/U47,4)</f>
        <v>16.486999999999998</v>
      </c>
      <c r="Z47" s="74">
        <f>SUM(Z10:Z44)</f>
        <v>166644773.35000002</v>
      </c>
      <c r="AA47" s="74">
        <f>SUM(AA10:AA44)</f>
        <v>19485196.961799998</v>
      </c>
      <c r="AB47" s="74">
        <f>SUM(AB10:AB44)</f>
        <v>73900781.9745</v>
      </c>
      <c r="AC47" s="75">
        <f>SUM(AC10:AC44)</f>
        <v>53384.2</v>
      </c>
      <c r="AD47" s="76">
        <f>ROUND(AB47/AA47,4)</f>
        <v>3.7927</v>
      </c>
      <c r="AE47" s="76">
        <f>ROUND(AF47/AA47,4)</f>
        <v>0.71109999999999995</v>
      </c>
      <c r="AF47" s="74">
        <f>SUM(AF10:AF44)</f>
        <v>13856396.65</v>
      </c>
      <c r="AG47" s="40">
        <f>P47-Z47-AF47</f>
        <v>7402066.7400000151</v>
      </c>
      <c r="AH47" s="74">
        <f>SUM(AH10:AH44)</f>
        <v>-962995704.67000008</v>
      </c>
    </row>
    <row r="48" spans="1:34" x14ac:dyDescent="0.25">
      <c r="A48" s="114"/>
      <c r="B48" s="115"/>
      <c r="C48" s="27" t="str">
        <f>TEXT(A$9,)&amp;" S/."</f>
        <v>Piura / Tumbes S/.</v>
      </c>
      <c r="D48" s="118"/>
      <c r="E48" s="118"/>
      <c r="F48" s="119"/>
      <c r="G48" s="48"/>
      <c r="H48" s="48"/>
      <c r="I48" s="48"/>
      <c r="J48" s="48"/>
      <c r="K48" s="48"/>
      <c r="L48" s="48"/>
      <c r="M48" s="125"/>
      <c r="N48" s="48"/>
      <c r="O48" s="120" t="e">
        <f>P47-#REF!</f>
        <v>#REF!</v>
      </c>
      <c r="P48" s="255">
        <f>Ene!P48+Feb!P48+Mar!P48+Abr!P48+May!P48+Jun!P48+Jul!P48+Ago!P48+Set!P48+Oct!P48+Nov!P48+Dic!P48</f>
        <v>717142277.72000003</v>
      </c>
      <c r="Q48" s="255">
        <f>Ene!Q48+Feb!Q48+Mar!Q48+Abr!Q48+May!Q48+Jun!Q48+Jul!Q48+Ago!Q48+Set!Q48+Oct!Q48+Nov!Q48+Dic!Q48</f>
        <v>573561164.88</v>
      </c>
      <c r="R48" s="256"/>
      <c r="S48" s="255">
        <f>Ene!S48+Feb!S48+Mar!S48+Abr!S48+May!S48+Jun!S48+Jul!S48+Ago!S48+Set!S48+Oct!S48+Nov!S48+Dic!S48</f>
        <v>143581112.55999997</v>
      </c>
      <c r="T48" s="42"/>
      <c r="U48" s="122"/>
      <c r="V48" s="122"/>
      <c r="W48" s="123"/>
      <c r="X48" s="124"/>
      <c r="Y48" s="124"/>
      <c r="Z48" s="122"/>
      <c r="AA48" s="122"/>
      <c r="AB48" s="122"/>
      <c r="AC48" s="123"/>
      <c r="AD48" s="124"/>
      <c r="AE48" s="124"/>
      <c r="AF48" s="122"/>
      <c r="AG48" s="122"/>
      <c r="AH48" s="122"/>
    </row>
    <row r="49" spans="1:34" x14ac:dyDescent="0.25">
      <c r="A49" s="218" t="s">
        <v>22</v>
      </c>
      <c r="B49" s="11"/>
      <c r="C49" s="55"/>
      <c r="D49" s="55"/>
      <c r="E49" s="12"/>
      <c r="F49" s="31"/>
      <c r="G49" s="43"/>
      <c r="H49" s="44"/>
      <c r="I49" s="45"/>
      <c r="J49" s="43"/>
      <c r="K49" s="43"/>
      <c r="L49" s="43"/>
      <c r="M49" s="43"/>
      <c r="N49" s="43"/>
      <c r="O49" s="109"/>
      <c r="P49" s="43"/>
      <c r="Q49" s="290"/>
      <c r="R49" s="281"/>
      <c r="S49" s="145"/>
      <c r="T49" s="281"/>
      <c r="U49" s="46"/>
      <c r="V49" s="46"/>
      <c r="W49" s="77"/>
      <c r="X49" s="78"/>
      <c r="Y49" s="78"/>
      <c r="Z49" s="78"/>
      <c r="AA49" s="46"/>
      <c r="AB49" s="46"/>
      <c r="AC49" s="77"/>
      <c r="AD49" s="78"/>
      <c r="AE49" s="78"/>
      <c r="AF49" s="78"/>
      <c r="AG49" s="43"/>
      <c r="AH49" s="110"/>
    </row>
    <row r="50" spans="1:34" x14ac:dyDescent="0.25">
      <c r="A50" s="22" t="s">
        <v>28</v>
      </c>
      <c r="B50" s="19" t="s">
        <v>11</v>
      </c>
      <c r="C50" s="54" t="s">
        <v>31</v>
      </c>
      <c r="D50" s="20" t="s">
        <v>30</v>
      </c>
      <c r="E50" s="54" t="s">
        <v>96</v>
      </c>
      <c r="F50" s="32" t="s">
        <v>37</v>
      </c>
      <c r="G50" s="37">
        <f>Ene!G50+Feb!G50+Mar!G50+Abr!G50+May!G50+Jun!G50+Jul!G50+Ago!G50+Set!G50+Oct!G50+Nov!G50+Dic!G50</f>
        <v>0</v>
      </c>
      <c r="H50" s="37">
        <f>Ene!H50+Feb!H50+Mar!H50+Abr!H50+May!H50+Jun!H50+Jul!H50+Ago!H50+Set!H50+Oct!H50+Nov!H50+Dic!H50</f>
        <v>0</v>
      </c>
      <c r="I50" s="37"/>
      <c r="J50" s="37"/>
      <c r="K50" s="37"/>
      <c r="L50" s="37"/>
      <c r="M50" s="37"/>
      <c r="N50" s="37">
        <f>Ene!N50+Feb!N50+Mar!N50+Abr!N50+May!N50+Jun!N50+Jul!N50+Ago!N50+Set!N50+Oct!N50+Nov!N50+Dic!N50</f>
        <v>0</v>
      </c>
      <c r="O50" s="37">
        <f>Ene!O50+Feb!O50+Mar!O50+Abr!O50+May!O50+Jun!O50+Jul!O50+Ago!O50+Set!O50+Oct!O50+Nov!O50+Dic!O50</f>
        <v>0</v>
      </c>
      <c r="P50" s="37">
        <f>Ene!P50+Feb!P50+Mar!P50+Abr!P50+May!P50+Jun!P50+Jul!P50+Ago!P50+Set!P50+Oct!P50+Nov!P50+Dic!P50</f>
        <v>0</v>
      </c>
      <c r="Q50" s="37">
        <f>Ene!Q50+Feb!Q50+Mar!Q50+Abr!Q50+May!Q50+Jun!Q50+Jul!Q50+Ago!Q50+Set!Q50+Oct!Q50+Nov!Q50+Dic!Q50</f>
        <v>0</v>
      </c>
      <c r="R50" s="238">
        <v>0.15</v>
      </c>
      <c r="S50" s="37"/>
      <c r="T50" s="28"/>
      <c r="U50" s="37">
        <f>IF($F50&amp;"/Día"=W$9,SUM($G50:$H50),"")</f>
        <v>0</v>
      </c>
      <c r="V50" s="37">
        <f>IF(U50&lt;&gt;"",$O50,"")</f>
        <v>0</v>
      </c>
      <c r="W50" s="72">
        <f>IF($F50&amp;"/Día"=W$9,ROUND(U50/$W$1,1),"")</f>
        <v>0</v>
      </c>
      <c r="X50" s="73">
        <f>IF(U50=0,0,IF($F50&amp;"/Día"=W$9,ROUND(V50/U50,4),""))</f>
        <v>0</v>
      </c>
      <c r="Y50" s="73">
        <f>IF(U50=0,0,IF($F50&amp;"/Día"=W$9,ROUND(Z50/U50,4),""))</f>
        <v>0</v>
      </c>
      <c r="Z50" s="37">
        <f>IF(U50&lt;&gt;"",$P50,"")</f>
        <v>0</v>
      </c>
      <c r="AA50" s="37" t="str">
        <f>IF($F50&amp;"/Día"=AC$9,SUM($G50:$H50),"")</f>
        <v/>
      </c>
      <c r="AB50" s="37" t="str">
        <f>IF(AA50&lt;&gt;"",$O50,"")</f>
        <v/>
      </c>
      <c r="AC50" s="72" t="str">
        <f>IF($F50&amp;"/Día"=AC$9,ROUND(AA50/$W$1,1),"")</f>
        <v/>
      </c>
      <c r="AD50" s="73" t="str">
        <f>IF(AA50=0,0,IF($F50&amp;"/Día"=AC$9,ROUND(AB50/AA50,4),""))</f>
        <v/>
      </c>
      <c r="AE50" s="73" t="str">
        <f>IF(AA50=0,0,IF($F50&amp;"/Día"=AC$9,ROUND(AF50/AA50,4),""))</f>
        <v/>
      </c>
      <c r="AF50" s="37" t="str">
        <f>IF(AA50&lt;&gt;"",$P50,"")</f>
        <v/>
      </c>
      <c r="AG50" s="47"/>
      <c r="AH50" s="111" t="str">
        <f>IF(O50=0,"",IF(I50="",H50*J50-SUM(K50:N50)-O50,+(G50*I50+H50*J50)-SUM(K50:N50)-O50))</f>
        <v/>
      </c>
    </row>
    <row r="51" spans="1:34" s="212" customFormat="1" ht="12.75" x14ac:dyDescent="0.2">
      <c r="A51" s="22" t="s">
        <v>28</v>
      </c>
      <c r="B51" s="220">
        <v>131</v>
      </c>
      <c r="C51" s="54" t="s">
        <v>31</v>
      </c>
      <c r="D51" s="20" t="s">
        <v>30</v>
      </c>
      <c r="E51" s="54" t="s">
        <v>96</v>
      </c>
      <c r="F51" s="32" t="s">
        <v>37</v>
      </c>
      <c r="G51" s="37">
        <f>Ene!G51+Feb!G51+Mar!G51+Abr!G51+May!G51+Jun!G51+Jul!G51+Ago!G51+Set!G51+Oct!G51+Nov!G51+Dic!G51</f>
        <v>219543</v>
      </c>
      <c r="H51" s="37">
        <f>Ene!H51+Feb!H51+Mar!H51+Abr!H51+May!H51+Jun!H51+Jul!H51+Ago!H51+Set!H51+Oct!H51+Nov!H51+Dic!H51</f>
        <v>234373</v>
      </c>
      <c r="I51" s="37"/>
      <c r="J51" s="37"/>
      <c r="K51" s="37"/>
      <c r="L51" s="37"/>
      <c r="M51" s="37"/>
      <c r="N51" s="37">
        <f>Ene!N51+Feb!N51+Mar!N51+Abr!N51+May!N51+Jun!N51+Jul!N51+Ago!N51+Set!N51+Oct!N51+Nov!N51+Dic!N51</f>
        <v>55132.729099999997</v>
      </c>
      <c r="O51" s="37">
        <f>Ene!O51+Feb!O51+Mar!O51+Abr!O51+May!O51+Jun!O51+Jul!O51+Ago!O51+Set!O51+Oct!O51+Nov!O51+Dic!O51</f>
        <v>40566786.570899993</v>
      </c>
      <c r="P51" s="37">
        <f>Ene!P51+Feb!P51+Mar!P51+Abr!P51+May!P51+Jun!P51+Jul!P51+Ago!P51+Set!P51+Oct!P51+Nov!P51+Dic!P51</f>
        <v>6085017.9800000004</v>
      </c>
      <c r="Q51" s="37">
        <f>Ene!Q51+Feb!Q51+Mar!Q51+Abr!Q51+May!Q51+Jun!Q51+Jul!Q51+Ago!Q51+Set!Q51+Oct!Q51+Nov!Q51+Dic!Q51</f>
        <v>6085017.9800000004</v>
      </c>
      <c r="R51" s="239">
        <v>0.15</v>
      </c>
      <c r="S51" s="233"/>
      <c r="T51" s="176"/>
      <c r="U51" s="37">
        <f>IF($F51&amp;"/Día"=W$9,SUM($G51:$H51),"")</f>
        <v>453916</v>
      </c>
      <c r="V51" s="37">
        <f>IF(U51&lt;&gt;"",$O51,"")</f>
        <v>40566786.570899993</v>
      </c>
      <c r="W51" s="72">
        <f>IF($F51&amp;"/Día"=W$9,ROUND(U51/$W$1,1),"")</f>
        <v>1243.5999999999999</v>
      </c>
      <c r="X51" s="73">
        <f>IF(U51=0,0,IF($F51&amp;"/Día"=W$9,ROUND(V51/U51,4),""))</f>
        <v>89.370699999999999</v>
      </c>
      <c r="Y51" s="73">
        <f>IF(U51=0,0,IF($F51&amp;"/Día"=W$9,ROUND(Z51/U51,4),""))</f>
        <v>13.4056</v>
      </c>
      <c r="Z51" s="37">
        <f>IF(U51&lt;&gt;"",$P51,"")</f>
        <v>6085017.9800000004</v>
      </c>
      <c r="AA51" s="37" t="str">
        <f>IF($F51&amp;"/Día"=AC$9,SUM($G51:$H51),"")</f>
        <v/>
      </c>
      <c r="AB51" s="37" t="str">
        <f>IF(AA51&lt;&gt;"",$O51,"")</f>
        <v/>
      </c>
      <c r="AC51" s="72" t="str">
        <f>IF($F51&amp;"/Día"=AC$9,ROUND(AA51/$W$1,1),"")</f>
        <v/>
      </c>
      <c r="AD51" s="73" t="str">
        <f>IF(AA51=0,0,IF($F51&amp;"/Día"=AC$9,ROUND(AB51/AA51,4),""))</f>
        <v/>
      </c>
      <c r="AE51" s="73" t="str">
        <f>IF(AA51=0,0,IF($F51&amp;"/Día"=AC$9,ROUND(AF51/AA51,4),""))</f>
        <v/>
      </c>
      <c r="AF51" s="37" t="str">
        <f>IF(AA51&lt;&gt;"",$P51,"")</f>
        <v/>
      </c>
      <c r="AG51" s="47"/>
    </row>
    <row r="52" spans="1:34" x14ac:dyDescent="0.25">
      <c r="A52" s="22" t="s">
        <v>28</v>
      </c>
      <c r="B52" s="25" t="s">
        <v>53</v>
      </c>
      <c r="C52" s="53"/>
      <c r="D52" s="53"/>
      <c r="E52" s="5"/>
      <c r="F52" s="85"/>
      <c r="G52" s="37"/>
      <c r="H52" s="37"/>
      <c r="I52" s="37"/>
      <c r="J52" s="37"/>
      <c r="K52" s="37"/>
      <c r="L52" s="37"/>
      <c r="M52" s="37"/>
      <c r="N52" s="37">
        <f>Ene!N52+Feb!N52+Mar!N52+Abr!N52+May!N52+Jun!N52+Jul!N52+Ago!N52+Set!N52+Oct!N52+Nov!N52+Dic!N52</f>
        <v>0</v>
      </c>
      <c r="O52" s="37">
        <f>Ene!O52+Feb!O52+Mar!O52+Abr!O52+May!O52+Jun!O52+Jul!O52+Ago!O52+Set!O52+Oct!O52+Nov!O52+Dic!O52</f>
        <v>263352.37000000011</v>
      </c>
      <c r="P52" s="37">
        <f>Ene!P52+Feb!P52+Mar!P52+Abr!P52+May!P52+Jun!P52+Jul!P52+Ago!P52+Set!P52+Oct!P52+Nov!P52+Dic!P52</f>
        <v>39502.869999999937</v>
      </c>
      <c r="Q52" s="37">
        <f>Ene!Q52+Feb!Q52+Mar!Q52+Abr!Q52+May!Q52+Jun!Q52+Jul!Q52+Ago!Q52+Set!Q52+Oct!Q52+Nov!Q52+Dic!Q52</f>
        <v>39502.869999999937</v>
      </c>
      <c r="R52" s="240"/>
      <c r="S52" s="37"/>
      <c r="T52" s="39"/>
      <c r="U52" s="37" t="str">
        <f>IF($F52&amp;"/Día"=W$9,SUM($G52:$H52),"")</f>
        <v/>
      </c>
      <c r="V52" s="37" t="str">
        <f>IF(U52&lt;&gt;"",$O52,"")</f>
        <v/>
      </c>
      <c r="W52" s="72" t="str">
        <f>IF($F52&amp;"/Día"=W$9,ROUND(U52/$W$1,1),"")</f>
        <v/>
      </c>
      <c r="X52" s="73" t="str">
        <f>IF(U52=0,0,IF($F52&amp;"/Día"=W$9,ROUND(V52/U52,4),""))</f>
        <v/>
      </c>
      <c r="Y52" s="73" t="str">
        <f>IF(U52=0,0,IF($F52&amp;"/Día"=W$9,ROUND(Z52/U52,4),""))</f>
        <v/>
      </c>
      <c r="Z52" s="37" t="str">
        <f>IF(U52&lt;&gt;"",$P52,"")</f>
        <v/>
      </c>
      <c r="AA52" s="37" t="str">
        <f>IF($F52&amp;"/Día"=AC$9,SUM($G52:$H52),"")</f>
        <v/>
      </c>
      <c r="AB52" s="37" t="str">
        <f>IF(AA52&lt;&gt;"",$O52,"")</f>
        <v/>
      </c>
      <c r="AC52" s="72" t="str">
        <f>IF($F52&amp;"/Día"=AC$9,ROUND(AA52/$W$1,1),"")</f>
        <v/>
      </c>
      <c r="AD52" s="73" t="str">
        <f>IF(AA52=0,0,IF($F52&amp;"/Día"=AC$9,ROUND(AB52/AA52,4),""))</f>
        <v/>
      </c>
      <c r="AE52" s="73" t="str">
        <f>IF(AA52=0,0,IF($F52&amp;"/Día"=AC$9,ROUND(AF52/AA52,4),""))</f>
        <v/>
      </c>
      <c r="AF52" s="37" t="str">
        <f>IF(AA52&lt;&gt;"",$P52,"")</f>
        <v/>
      </c>
      <c r="AG52" s="47"/>
      <c r="AH52" s="111">
        <f>IF(O52=0,"",IF(I52="",H52*J52-SUM(K52:N52)-O52,+(G52*I52+H52*J52)-SUM(K52:N52)-O52))</f>
        <v>-263352.37000000011</v>
      </c>
    </row>
    <row r="53" spans="1:34" x14ac:dyDescent="0.25">
      <c r="A53" s="26"/>
      <c r="B53" s="135" t="s">
        <v>99</v>
      </c>
      <c r="C53" s="27" t="str">
        <f>TEXT(A$49,)&amp;" US$"</f>
        <v>Provincia Puerto Inca Huanuco US$</v>
      </c>
      <c r="D53" s="15"/>
      <c r="E53" s="36"/>
      <c r="F53" s="35"/>
      <c r="G53" s="49"/>
      <c r="H53" s="49"/>
      <c r="I53" s="50"/>
      <c r="J53" s="50"/>
      <c r="K53" s="50"/>
      <c r="L53" s="50"/>
      <c r="M53" s="49"/>
      <c r="N53" s="257">
        <f>SUM(N50:N52)</f>
        <v>55132.729099999997</v>
      </c>
      <c r="O53" s="257">
        <f>SUM(O50:O52)</f>
        <v>40830138.94089999</v>
      </c>
      <c r="P53" s="257">
        <f>SUM(P50:P52)</f>
        <v>6124520.8500000006</v>
      </c>
      <c r="Q53" s="257">
        <f>SUM(Q50:Q52)</f>
        <v>6124520.8500000006</v>
      </c>
      <c r="R53" s="49"/>
      <c r="S53" s="74"/>
      <c r="T53" s="49"/>
      <c r="U53" s="40">
        <f>SUM(U50:U52)</f>
        <v>453916</v>
      </c>
      <c r="V53" s="40">
        <f>SUM(V50:V52)</f>
        <v>40566786.570899993</v>
      </c>
      <c r="W53" s="79">
        <f>SUM(W50:W52)</f>
        <v>1243.5999999999999</v>
      </c>
      <c r="X53" s="80">
        <f>ROUND(V53/U53,4)</f>
        <v>89.370699999999999</v>
      </c>
      <c r="Y53" s="80">
        <f>ROUND(Z53/U53,4)</f>
        <v>13.4056</v>
      </c>
      <c r="Z53" s="40">
        <f>SUM(Z50:Z52)</f>
        <v>6085017.9800000004</v>
      </c>
      <c r="AA53" s="40">
        <f>SUM(AA50:AA52)</f>
        <v>0</v>
      </c>
      <c r="AB53" s="40">
        <f>SUM(AB50:AB52)</f>
        <v>0</v>
      </c>
      <c r="AC53" s="79">
        <f>SUM(AC50:AC52)</f>
        <v>0</v>
      </c>
      <c r="AD53" s="80">
        <f>IF(AA53=0,0,ROUND(AB53/AA53,4))</f>
        <v>0</v>
      </c>
      <c r="AE53" s="80">
        <f>IF(AA53=0,0,ROUND(AF53/AA53,4))</f>
        <v>0</v>
      </c>
      <c r="AF53" s="40">
        <f>SUM(AF50:AF52)</f>
        <v>0</v>
      </c>
      <c r="AG53" s="74">
        <f>P53-Z53-AF53</f>
        <v>39502.870000000112</v>
      </c>
      <c r="AH53" s="112"/>
    </row>
    <row r="54" spans="1:34" x14ac:dyDescent="0.25">
      <c r="A54" s="114"/>
      <c r="B54" s="115"/>
      <c r="C54" s="27" t="str">
        <f>TEXT(A$49,)&amp;" S/."</f>
        <v>Provincia Puerto Inca Huanuco S/.</v>
      </c>
      <c r="D54" s="118"/>
      <c r="E54" s="118"/>
      <c r="F54" s="119"/>
      <c r="G54" s="125"/>
      <c r="H54" s="125"/>
      <c r="I54" s="126"/>
      <c r="J54" s="126"/>
      <c r="K54" s="126"/>
      <c r="L54" s="126"/>
      <c r="M54" s="125"/>
      <c r="N54" s="125"/>
      <c r="O54" s="120"/>
      <c r="P54" s="255">
        <f>Ene!P54+Feb!P54+Mar!P54+Abr!P54+May!P54+Jun!P54+Jul!P54+Ago!P54+Set!P54+Oct!P54+Nov!P54+Dic!P54</f>
        <v>23313246.920000002</v>
      </c>
      <c r="Q54" s="255">
        <f>Ene!Q54+Feb!Q54+Mar!Q54+Abr!Q54+May!Q54+Jun!Q54+Jul!Q54+Ago!Q54+Set!Q54+Oct!Q54+Nov!Q54+Dic!Q54</f>
        <v>23313246.920000002</v>
      </c>
      <c r="R54" s="136"/>
      <c r="S54" s="137"/>
      <c r="T54" s="121"/>
      <c r="U54" s="122"/>
      <c r="V54" s="122"/>
      <c r="W54" s="123"/>
      <c r="X54" s="124"/>
      <c r="Y54" s="124"/>
      <c r="Z54" s="122"/>
      <c r="AA54" s="122"/>
      <c r="AB54" s="122"/>
      <c r="AC54" s="123"/>
      <c r="AD54" s="124"/>
      <c r="AE54" s="124"/>
      <c r="AF54" s="122"/>
      <c r="AG54" s="122"/>
      <c r="AH54" s="134"/>
    </row>
    <row r="55" spans="1:34" x14ac:dyDescent="0.25">
      <c r="A55" s="218" t="s">
        <v>24</v>
      </c>
      <c r="B55" s="11"/>
      <c r="C55" s="55"/>
      <c r="D55" s="55"/>
      <c r="E55" s="12"/>
      <c r="F55" s="31"/>
      <c r="G55" s="43"/>
      <c r="H55" s="44"/>
      <c r="I55" s="45"/>
      <c r="J55" s="43"/>
      <c r="K55" s="43"/>
      <c r="L55" s="61"/>
      <c r="M55" s="43"/>
      <c r="N55" s="43"/>
      <c r="O55" s="45"/>
      <c r="P55" s="43"/>
      <c r="Q55" s="290" t="s">
        <v>47</v>
      </c>
      <c r="R55" s="281"/>
      <c r="S55" s="291" t="s">
        <v>48</v>
      </c>
      <c r="T55" s="281"/>
      <c r="U55" s="43"/>
      <c r="V55" s="43"/>
      <c r="W55" s="70"/>
      <c r="X55" s="71"/>
      <c r="Y55" s="71"/>
      <c r="Z55" s="71"/>
      <c r="AA55" s="43"/>
      <c r="AB55" s="43"/>
      <c r="AC55" s="70"/>
      <c r="AD55" s="71"/>
      <c r="AE55" s="71"/>
      <c r="AF55" s="71"/>
      <c r="AG55" s="43"/>
      <c r="AH55" s="110"/>
    </row>
    <row r="56" spans="1:34" x14ac:dyDescent="0.25">
      <c r="A56" s="18" t="s">
        <v>28</v>
      </c>
      <c r="B56" s="21" t="s">
        <v>108</v>
      </c>
      <c r="C56" s="54" t="s">
        <v>31</v>
      </c>
      <c r="D56" s="54" t="s">
        <v>30</v>
      </c>
      <c r="E56" s="54" t="s">
        <v>96</v>
      </c>
      <c r="F56" s="32" t="s">
        <v>37</v>
      </c>
      <c r="G56" s="37">
        <f>Ene!G56+Feb!G56+Mar!G56+Abr!G56+May!G56+Jun!G56+Jul!G56+Ago!G56+Set!G56+Oct!G56+Nov!G56+Dic!G56</f>
        <v>0</v>
      </c>
      <c r="H56" s="37">
        <f>Ene!H56+Feb!H56+Mar!H56+Abr!H56+May!H56+Jun!H56+Jul!H56+Ago!H56+Set!H56+Oct!H56+Nov!H56+Dic!H56</f>
        <v>0</v>
      </c>
      <c r="I56" s="37"/>
      <c r="J56" s="37"/>
      <c r="K56" s="37"/>
      <c r="L56" s="37"/>
      <c r="M56" s="37"/>
      <c r="N56" s="37">
        <f>Ene!N56+Feb!N56+Mar!N56+Abr!N56+May!N56+Jun!N56+Jul!N56+Ago!N56+Set!N56+Oct!N56+Nov!N56+Dic!N56</f>
        <v>0</v>
      </c>
      <c r="O56" s="37">
        <f>Ene!O56+Feb!O56+Mar!O56+Abr!O56+May!O56+Jun!O56+Jul!O56+Ago!O56+Set!O56+Oct!O56+Nov!O56+Dic!O56</f>
        <v>0</v>
      </c>
      <c r="P56" s="37">
        <f>Ene!P56+Feb!P56+Mar!P56+Abr!P56+May!P56+Jun!P56+Jul!P56+Ago!P56+Set!P56+Oct!P56+Nov!P56+Dic!P56</f>
        <v>0</v>
      </c>
      <c r="Q56" s="37">
        <f>Ene!Q56+Feb!Q56+Mar!Q56+Abr!Q56+May!Q56+Jun!Q56+Jul!Q56+Ago!Q56+Set!Q56+Oct!Q56+Nov!Q56+Dic!Q56</f>
        <v>0</v>
      </c>
      <c r="R56" s="39">
        <v>0.15</v>
      </c>
      <c r="S56" s="37">
        <f>Ene!S56+Feb!S56+Mar!S56+Abr!S56+May!S56+Jun!S56+Jul!S56+Ago!S56+Set!S56+Oct!S56+Nov!S56+Dic!S56</f>
        <v>0</v>
      </c>
      <c r="T56" s="198">
        <v>3.7499999999999999E-2</v>
      </c>
      <c r="U56" s="37">
        <f t="shared" ref="U56:U67" si="77">IF($F56&amp;"/Día"=W$9,SUM($G56:$H56),"")</f>
        <v>0</v>
      </c>
      <c r="V56" s="37">
        <f t="shared" ref="V56:V67" si="78">IF(U56&lt;&gt;"",$O56,"")</f>
        <v>0</v>
      </c>
      <c r="W56" s="72">
        <f t="shared" ref="W56:W67" si="79">IF($F56&amp;"/Día"=W$9,ROUND(U56/$W$1,1),"")</f>
        <v>0</v>
      </c>
      <c r="X56" s="73">
        <f t="shared" ref="X56:X67" si="80">IF(U56=0,0,IF($F56&amp;"/Día"=W$9,ROUND(V56/U56,4),""))</f>
        <v>0</v>
      </c>
      <c r="Y56" s="73">
        <f t="shared" ref="Y56:Y67" si="81">IF(U56=0,0,IF($F56&amp;"/Día"=W$9,ROUND(Z56/U56,4),""))</f>
        <v>0</v>
      </c>
      <c r="Z56" s="37">
        <f t="shared" ref="Z56:Z67" si="82">IF(U56&lt;&gt;"",$P56,"")</f>
        <v>0</v>
      </c>
      <c r="AA56" s="37" t="str">
        <f t="shared" ref="AA56:AA63" si="83">IF($F56&amp;"/Día"=AC$9,SUM($G56:$H56),"")</f>
        <v/>
      </c>
      <c r="AB56" s="37" t="str">
        <f t="shared" ref="AB56:AB63" si="84">IF(AA56&lt;&gt;"",$O56,"")</f>
        <v/>
      </c>
      <c r="AC56" s="72" t="str">
        <f t="shared" ref="AC56:AC63" si="85">IF($F56&amp;"/Día"=AC$9,ROUND(AA56/$W$1,1),"")</f>
        <v/>
      </c>
      <c r="AD56" s="73" t="str">
        <f t="shared" ref="AD56:AD63" si="86">IF(AA56=0,0,IF($F56&amp;"/Día"=AC$9,ROUND(AB56/AA56,4),""))</f>
        <v/>
      </c>
      <c r="AE56" s="73" t="str">
        <f t="shared" ref="AE56:AE63" si="87">IF(AA56=0,0,IF($F56&amp;"/Día"=AC$9,ROUND(AF56/AA56,4),""))</f>
        <v/>
      </c>
      <c r="AF56" s="37" t="str">
        <f t="shared" ref="AF56:AF63" si="88">IF(AA56&lt;&gt;"",$P56,"")</f>
        <v/>
      </c>
      <c r="AG56" s="47"/>
      <c r="AH56" s="111" t="str">
        <f t="shared" ref="AH56:AH63" si="89">IF(O56=0,"",IF(I56="",H56*J56-SUM(K56:N56)-O56,+(G56*I56+H56*J56)-SUM(K56:N56)-O56))</f>
        <v/>
      </c>
    </row>
    <row r="57" spans="1:34" x14ac:dyDescent="0.25">
      <c r="A57" s="18" t="s">
        <v>28</v>
      </c>
      <c r="B57" s="24">
        <v>192</v>
      </c>
      <c r="C57" s="54" t="s">
        <v>31</v>
      </c>
      <c r="D57" s="20" t="s">
        <v>30</v>
      </c>
      <c r="E57" s="54" t="s">
        <v>96</v>
      </c>
      <c r="F57" s="32" t="s">
        <v>37</v>
      </c>
      <c r="G57" s="37">
        <f>Ene!G57+Feb!G57+Mar!G57+Abr!G57+May!G57+Jun!G57+Jul!G57+Ago!G57+Set!G57+Oct!G57+Nov!G57+Dic!G57</f>
        <v>0</v>
      </c>
      <c r="H57" s="37">
        <f>Ene!H57+Feb!H57+Mar!H57+Abr!H57+May!H57+Jun!H57+Jul!H57+Ago!H57+Set!H57+Oct!H57+Nov!H57+Dic!H57</f>
        <v>0</v>
      </c>
      <c r="I57" s="37"/>
      <c r="J57" s="37"/>
      <c r="K57" s="37"/>
      <c r="L57" s="37"/>
      <c r="M57" s="37"/>
      <c r="N57" s="37">
        <f>Ene!N57+Feb!N57+Mar!N57+Abr!N57+May!N57+Jun!N57+Jul!N57+Ago!N57+Set!N57+Oct!N57+Nov!N57+Dic!N57</f>
        <v>0</v>
      </c>
      <c r="O57" s="37">
        <f>Ene!O57+Feb!O57+Mar!O57+Abr!O57+May!O57+Jun!O57+Jul!O57+Ago!O57+Set!O57+Oct!O57+Nov!O57+Dic!O57</f>
        <v>0</v>
      </c>
      <c r="P57" s="37">
        <f>Ene!P57+Feb!P57+Mar!P57+Abr!P57+May!P57+Jun!P57+Jul!P57+Ago!P57+Set!P57+Oct!P57+Nov!P57+Dic!P57</f>
        <v>0</v>
      </c>
      <c r="Q57" s="37">
        <f>Ene!Q57+Feb!Q57+Mar!Q57+Abr!Q57+May!Q57+Jun!Q57+Jul!Q57+Ago!Q57+Set!Q57+Oct!Q57+Nov!Q57+Dic!Q57</f>
        <v>0</v>
      </c>
      <c r="R57" s="39">
        <v>0.15</v>
      </c>
      <c r="S57" s="37">
        <f>Ene!S57+Feb!S57+Mar!S57+Abr!S57+May!S57+Jun!S57+Jul!S57+Ago!S57+Set!S57+Oct!S57+Nov!S57+Dic!S57</f>
        <v>0</v>
      </c>
      <c r="T57" s="198">
        <v>3.7499999999999999E-2</v>
      </c>
      <c r="U57" s="37">
        <f t="shared" si="77"/>
        <v>0</v>
      </c>
      <c r="V57" s="37">
        <f t="shared" si="78"/>
        <v>0</v>
      </c>
      <c r="W57" s="72">
        <f t="shared" si="79"/>
        <v>0</v>
      </c>
      <c r="X57" s="73">
        <f t="shared" si="80"/>
        <v>0</v>
      </c>
      <c r="Y57" s="73">
        <f t="shared" si="81"/>
        <v>0</v>
      </c>
      <c r="Z57" s="37">
        <f t="shared" si="82"/>
        <v>0</v>
      </c>
      <c r="AA57" s="37" t="str">
        <f t="shared" si="83"/>
        <v/>
      </c>
      <c r="AB57" s="37" t="str">
        <f t="shared" si="84"/>
        <v/>
      </c>
      <c r="AC57" s="72" t="str">
        <f t="shared" si="85"/>
        <v/>
      </c>
      <c r="AD57" s="73" t="str">
        <f t="shared" si="86"/>
        <v/>
      </c>
      <c r="AE57" s="73" t="str">
        <f t="shared" si="87"/>
        <v/>
      </c>
      <c r="AF57" s="37" t="str">
        <f t="shared" si="88"/>
        <v/>
      </c>
      <c r="AG57" s="47"/>
      <c r="AH57" s="111" t="str">
        <f t="shared" si="89"/>
        <v/>
      </c>
    </row>
    <row r="58" spans="1:34" x14ac:dyDescent="0.25">
      <c r="A58" s="18" t="s">
        <v>28</v>
      </c>
      <c r="B58" s="24">
        <v>8</v>
      </c>
      <c r="C58" s="54" t="s">
        <v>31</v>
      </c>
      <c r="D58" s="20" t="s">
        <v>21</v>
      </c>
      <c r="E58" s="54" t="s">
        <v>96</v>
      </c>
      <c r="F58" s="32" t="s">
        <v>37</v>
      </c>
      <c r="G58" s="37">
        <f>Ene!G58+Feb!G58+Mar!G58+Abr!G58+May!G58+Jun!G58+Jul!G58+Ago!G58+Set!G58+Oct!G58+Nov!G58+Dic!G58</f>
        <v>0</v>
      </c>
      <c r="H58" s="37">
        <f>Ene!H58+Feb!H58+Mar!H58+Abr!H58+May!H58+Jun!H58+Jul!H58+Ago!H58+Set!H58+Oct!H58+Nov!H58+Dic!H58</f>
        <v>0</v>
      </c>
      <c r="I58" s="37"/>
      <c r="J58" s="37"/>
      <c r="K58" s="37"/>
      <c r="L58" s="37"/>
      <c r="M58" s="37"/>
      <c r="N58" s="37">
        <f>Ene!N58+Feb!N58+Mar!N58+Abr!N58+May!N58+Jun!N58+Jul!N58+Ago!N58+Set!N58+Oct!N58+Nov!N58+Dic!N58</f>
        <v>0</v>
      </c>
      <c r="O58" s="37">
        <f>Ene!O58+Feb!O58+Mar!O58+Abr!O58+May!O58+Jun!O58+Jul!O58+Ago!O58+Set!O58+Oct!O58+Nov!O58+Dic!O58</f>
        <v>0</v>
      </c>
      <c r="P58" s="37">
        <f>Ene!P58+Feb!P58+Mar!P58+Abr!P58+May!P58+Jun!P58+Jul!P58+Ago!P58+Set!P58+Oct!P58+Nov!P58+Dic!P58</f>
        <v>0</v>
      </c>
      <c r="Q58" s="37">
        <f>Ene!Q58+Feb!Q58+Mar!Q58+Abr!Q58+May!Q58+Jun!Q58+Jul!Q58+Ago!Q58+Set!Q58+Oct!Q58+Nov!Q58+Dic!Q58</f>
        <v>0</v>
      </c>
      <c r="R58" s="39">
        <v>0.15</v>
      </c>
      <c r="S58" s="37">
        <f>Ene!S58+Feb!S58+Mar!S58+Abr!S58+May!S58+Jun!S58+Jul!S58+Ago!S58+Set!S58+Oct!S58+Nov!S58+Dic!S58</f>
        <v>0</v>
      </c>
      <c r="T58" s="198">
        <v>3.7499999999999999E-2</v>
      </c>
      <c r="U58" s="37">
        <f t="shared" si="77"/>
        <v>0</v>
      </c>
      <c r="V58" s="37">
        <f t="shared" si="78"/>
        <v>0</v>
      </c>
      <c r="W58" s="72">
        <f t="shared" si="79"/>
        <v>0</v>
      </c>
      <c r="X58" s="73">
        <f t="shared" si="80"/>
        <v>0</v>
      </c>
      <c r="Y58" s="73">
        <f t="shared" si="81"/>
        <v>0</v>
      </c>
      <c r="Z58" s="37">
        <f t="shared" si="82"/>
        <v>0</v>
      </c>
      <c r="AA58" s="37" t="str">
        <f t="shared" si="83"/>
        <v/>
      </c>
      <c r="AB58" s="37" t="str">
        <f t="shared" si="84"/>
        <v/>
      </c>
      <c r="AC58" s="72" t="str">
        <f t="shared" si="85"/>
        <v/>
      </c>
      <c r="AD58" s="73" t="str">
        <f t="shared" si="86"/>
        <v/>
      </c>
      <c r="AE58" s="73" t="str">
        <f t="shared" si="87"/>
        <v/>
      </c>
      <c r="AF58" s="37" t="str">
        <f t="shared" si="88"/>
        <v/>
      </c>
      <c r="AG58" s="47"/>
      <c r="AH58" s="111" t="str">
        <f t="shared" si="89"/>
        <v/>
      </c>
    </row>
    <row r="59" spans="1:34" x14ac:dyDescent="0.25">
      <c r="A59" s="18" t="s">
        <v>28</v>
      </c>
      <c r="B59" s="24">
        <v>8</v>
      </c>
      <c r="C59" s="54" t="s">
        <v>31</v>
      </c>
      <c r="D59" s="20" t="s">
        <v>21</v>
      </c>
      <c r="E59" s="54" t="s">
        <v>96</v>
      </c>
      <c r="F59" s="32" t="s">
        <v>37</v>
      </c>
      <c r="G59" s="37">
        <f>Ene!G59+Feb!G59+Mar!G59+Abr!G59+May!G59+Jun!G59+Jul!G59+Ago!G59+Set!G59+Oct!G59+Nov!G59+Dic!G59</f>
        <v>0</v>
      </c>
      <c r="H59" s="37">
        <f>Ene!H59+Feb!H59+Mar!H59+Abr!H59+May!H59+Jun!H59+Jul!H59+Ago!H59+Set!H59+Oct!H59+Nov!H59+Dic!H59</f>
        <v>0</v>
      </c>
      <c r="I59" s="37"/>
      <c r="J59" s="37"/>
      <c r="K59" s="37"/>
      <c r="L59" s="37"/>
      <c r="M59" s="37"/>
      <c r="N59" s="37">
        <f>Ene!N59+Feb!N59+Mar!N59+Abr!N59+May!N59+Jun!N59+Jul!N59+Ago!N59+Set!N59+Oct!N59+Nov!N59+Dic!N59</f>
        <v>0</v>
      </c>
      <c r="O59" s="37">
        <f>Ene!O59+Feb!O59+Mar!O59+Abr!O59+May!O59+Jun!O59+Jul!O59+Ago!O59+Set!O59+Oct!O59+Nov!O59+Dic!O59</f>
        <v>0</v>
      </c>
      <c r="P59" s="37">
        <f>Ene!P59+Feb!P59+Mar!P59+Abr!P59+May!P59+Jun!P59+Jul!P59+Ago!P59+Set!P59+Oct!P59+Nov!P59+Dic!P59</f>
        <v>0</v>
      </c>
      <c r="Q59" s="37">
        <f>Ene!Q59+Feb!Q59+Mar!Q59+Abr!Q59+May!Q59+Jun!Q59+Jul!Q59+Ago!Q59+Set!Q59+Oct!Q59+Nov!Q59+Dic!Q59</f>
        <v>0</v>
      </c>
      <c r="R59" s="39">
        <v>0.15</v>
      </c>
      <c r="S59" s="37">
        <f>Ene!S59+Feb!S59+Mar!S59+Abr!S59+May!S59+Jun!S59+Jul!S59+Ago!S59+Set!S59+Oct!S59+Nov!S59+Dic!S59</f>
        <v>0</v>
      </c>
      <c r="T59" s="198">
        <v>3.7499999999999999E-2</v>
      </c>
      <c r="U59" s="37">
        <f t="shared" ref="U59" si="90">IF($F59&amp;"/Día"=W$9,SUM($G59:$H59),"")</f>
        <v>0</v>
      </c>
      <c r="V59" s="37">
        <f t="shared" ref="V59" si="91">IF(U59&lt;&gt;"",$O59,"")</f>
        <v>0</v>
      </c>
      <c r="W59" s="72">
        <f t="shared" ref="W59" si="92">IF($F59&amp;"/Día"=W$9,ROUND(U59/$W$1,1),"")</f>
        <v>0</v>
      </c>
      <c r="X59" s="73">
        <f t="shared" ref="X59" si="93">IF(U59=0,0,IF($F59&amp;"/Día"=W$9,ROUND(V59/U59,4),""))</f>
        <v>0</v>
      </c>
      <c r="Y59" s="73">
        <f t="shared" ref="Y59" si="94">IF(U59=0,0,IF($F59&amp;"/Día"=W$9,ROUND(Z59/U59,4),""))</f>
        <v>0</v>
      </c>
      <c r="Z59" s="37">
        <f t="shared" ref="Z59" si="95">IF(U59&lt;&gt;"",$P59,"")</f>
        <v>0</v>
      </c>
      <c r="AA59" s="37" t="str">
        <f t="shared" ref="AA59" si="96">IF($F59&amp;"/Día"=AC$9,SUM($G59:$H59),"")</f>
        <v/>
      </c>
      <c r="AB59" s="37" t="str">
        <f t="shared" ref="AB59" si="97">IF(AA59&lt;&gt;"",$O59,"")</f>
        <v/>
      </c>
      <c r="AC59" s="72" t="str">
        <f t="shared" ref="AC59" si="98">IF($F59&amp;"/Día"=AC$9,ROUND(AA59/$W$1,1),"")</f>
        <v/>
      </c>
      <c r="AD59" s="73" t="str">
        <f t="shared" ref="AD59" si="99">IF(AA59=0,0,IF($F59&amp;"/Día"=AC$9,ROUND(AB59/AA59,4),""))</f>
        <v/>
      </c>
      <c r="AE59" s="73" t="str">
        <f t="shared" ref="AE59" si="100">IF(AA59=0,0,IF($F59&amp;"/Día"=AC$9,ROUND(AF59/AA59,4),""))</f>
        <v/>
      </c>
      <c r="AF59" s="37" t="str">
        <f t="shared" ref="AF59" si="101">IF(AA59&lt;&gt;"",$P59,"")</f>
        <v/>
      </c>
      <c r="AG59" s="47"/>
      <c r="AH59" s="111" t="str">
        <f t="shared" ref="AH59" si="102">IF(O59=0,"",IF(I59="",H59*J59-SUM(K59:N59)-O59,+(G59*I59+H59*J59)-SUM(K59:N59)-O59))</f>
        <v/>
      </c>
    </row>
    <row r="60" spans="1:34" x14ac:dyDescent="0.25">
      <c r="A60" s="18" t="s">
        <v>28</v>
      </c>
      <c r="B60" s="19" t="s">
        <v>10</v>
      </c>
      <c r="C60" s="54" t="s">
        <v>31</v>
      </c>
      <c r="D60" s="20" t="s">
        <v>30</v>
      </c>
      <c r="E60" s="54" t="s">
        <v>96</v>
      </c>
      <c r="F60" s="32" t="s">
        <v>37</v>
      </c>
      <c r="G60" s="37">
        <f>Ene!G60+Feb!G60+Mar!G60+Abr!G60+May!G60+Jun!G60+Jul!G60+Ago!G60+Set!G60+Oct!G60+Nov!G60+Dic!G60</f>
        <v>0</v>
      </c>
      <c r="H60" s="37">
        <f>Ene!H60+Feb!H60+Mar!H60+Abr!H60+May!H60+Jun!H60+Jul!H60+Ago!H60+Set!H60+Oct!H60+Nov!H60+Dic!H60</f>
        <v>0</v>
      </c>
      <c r="I60" s="37"/>
      <c r="J60" s="37"/>
      <c r="K60" s="37"/>
      <c r="L60" s="37"/>
      <c r="M60" s="37"/>
      <c r="N60" s="37">
        <f>Ene!N60+Feb!N60+Mar!N60+Abr!N60+May!N60+Jun!N60+Jul!N60+Ago!N60+Set!N60+Oct!N60+Nov!N60+Dic!N60</f>
        <v>0</v>
      </c>
      <c r="O60" s="37">
        <f>Ene!O60+Feb!O60+Mar!O60+Abr!O60+May!O60+Jun!O60+Jul!O60+Ago!O60+Set!O60+Oct!O60+Nov!O60+Dic!O60</f>
        <v>0</v>
      </c>
      <c r="P60" s="37">
        <f>Ene!P60+Feb!P60+Mar!P60+Abr!P60+May!P60+Jun!P60+Jul!P60+Ago!P60+Set!P60+Oct!P60+Nov!P60+Dic!P60</f>
        <v>0</v>
      </c>
      <c r="Q60" s="37">
        <f>Ene!Q60+Feb!Q60+Mar!Q60+Abr!Q60+May!Q60+Jun!Q60+Jul!Q60+Ago!Q60+Set!Q60+Oct!Q60+Nov!Q60+Dic!Q60</f>
        <v>0</v>
      </c>
      <c r="R60" s="39">
        <v>0.15</v>
      </c>
      <c r="S60" s="37">
        <f>Ene!S60+Feb!S60+Mar!S60+Abr!S60+May!S60+Jun!S60+Jul!S60+Ago!S60+Set!S60+Oct!S60+Nov!S60+Dic!S60</f>
        <v>0</v>
      </c>
      <c r="T60" s="198">
        <v>3.7499999999999999E-2</v>
      </c>
      <c r="U60" s="37">
        <f t="shared" si="77"/>
        <v>0</v>
      </c>
      <c r="V60" s="37">
        <f t="shared" si="78"/>
        <v>0</v>
      </c>
      <c r="W60" s="72">
        <f t="shared" si="79"/>
        <v>0</v>
      </c>
      <c r="X60" s="73">
        <f t="shared" si="80"/>
        <v>0</v>
      </c>
      <c r="Y60" s="73">
        <f t="shared" si="81"/>
        <v>0</v>
      </c>
      <c r="Z60" s="37">
        <f t="shared" si="82"/>
        <v>0</v>
      </c>
      <c r="AA60" s="37" t="str">
        <f t="shared" si="83"/>
        <v/>
      </c>
      <c r="AB60" s="37" t="str">
        <f t="shared" si="84"/>
        <v/>
      </c>
      <c r="AC60" s="72" t="str">
        <f t="shared" si="85"/>
        <v/>
      </c>
      <c r="AD60" s="73" t="str">
        <f t="shared" si="86"/>
        <v/>
      </c>
      <c r="AE60" s="73" t="str">
        <f t="shared" si="87"/>
        <v/>
      </c>
      <c r="AF60" s="37" t="str">
        <f t="shared" si="88"/>
        <v/>
      </c>
      <c r="AG60" s="47"/>
      <c r="AH60" s="111" t="str">
        <f t="shared" si="89"/>
        <v/>
      </c>
    </row>
    <row r="61" spans="1:34" x14ac:dyDescent="0.25">
      <c r="A61" s="18" t="s">
        <v>28</v>
      </c>
      <c r="B61" s="19" t="s">
        <v>12</v>
      </c>
      <c r="C61" s="54" t="s">
        <v>31</v>
      </c>
      <c r="D61" s="20" t="s">
        <v>30</v>
      </c>
      <c r="E61" s="54" t="s">
        <v>96</v>
      </c>
      <c r="F61" s="30" t="s">
        <v>56</v>
      </c>
      <c r="G61" s="37">
        <f>Ene!G61+Feb!G61+Mar!G61+Abr!G61+May!G61+Jun!G61+Jul!G61+Ago!G61+Set!G61+Oct!G61+Nov!G61+Dic!G61</f>
        <v>1818988.5020000001</v>
      </c>
      <c r="H61" s="37">
        <f>Ene!H61+Feb!H61+Mar!H61+Abr!H61+May!H61+Jun!H61+Jul!H61+Ago!H61+Set!H61+Oct!H61+Nov!H61+Dic!H61</f>
        <v>1817284.1921999999</v>
      </c>
      <c r="I61" s="37"/>
      <c r="J61" s="37"/>
      <c r="K61" s="37"/>
      <c r="L61" s="37"/>
      <c r="M61" s="37"/>
      <c r="N61" s="37">
        <f>Ene!N61+Feb!N61+Mar!N61+Abr!N61+May!N61+Jun!N61+Jul!N61+Ago!N61+Set!N61+Oct!N61+Nov!N61+Dic!N61</f>
        <v>6908.4914999999992</v>
      </c>
      <c r="O61" s="37">
        <f>Ene!O61+Feb!O61+Mar!O61+Abr!O61+May!O61+Jun!O61+Jul!O61+Ago!O61+Set!O61+Oct!O61+Nov!O61+Dic!O61</f>
        <v>13409747.5285</v>
      </c>
      <c r="P61" s="37">
        <f>Ene!P61+Feb!P61+Mar!P61+Abr!P61+May!P61+Jun!P61+Jul!P61+Ago!P61+Set!P61+Oct!P61+Nov!P61+Dic!P61</f>
        <v>2514327.65</v>
      </c>
      <c r="Q61" s="37">
        <f>Ene!Q61+Feb!Q61+Mar!Q61+Abr!Q61+May!Q61+Jun!Q61+Jul!Q61+Ago!Q61+Set!Q61+Oct!Q61+Nov!Q61+Dic!Q61</f>
        <v>502865.54</v>
      </c>
      <c r="R61" s="198">
        <v>3.7499999999999999E-2</v>
      </c>
      <c r="S61" s="37">
        <f>Ene!S61+Feb!S61+Mar!S61+Abr!S61+May!S61+Jun!S61+Jul!S61+Ago!S61+Set!S61+Oct!S61+Nov!S61+Dic!S61</f>
        <v>2011462.1199999999</v>
      </c>
      <c r="T61" s="39">
        <v>0.15</v>
      </c>
      <c r="U61" s="37" t="str">
        <f t="shared" si="77"/>
        <v/>
      </c>
      <c r="V61" s="37" t="str">
        <f t="shared" si="78"/>
        <v/>
      </c>
      <c r="W61" s="72" t="str">
        <f t="shared" si="79"/>
        <v/>
      </c>
      <c r="X61" s="73" t="str">
        <f t="shared" si="80"/>
        <v/>
      </c>
      <c r="Y61" s="73" t="str">
        <f t="shared" si="81"/>
        <v/>
      </c>
      <c r="Z61" s="37" t="str">
        <f t="shared" si="82"/>
        <v/>
      </c>
      <c r="AA61" s="37">
        <f t="shared" si="83"/>
        <v>3636272.6941999998</v>
      </c>
      <c r="AB61" s="37">
        <f t="shared" si="84"/>
        <v>13409747.5285</v>
      </c>
      <c r="AC61" s="72">
        <f t="shared" si="85"/>
        <v>9962.4</v>
      </c>
      <c r="AD61" s="73">
        <f t="shared" si="86"/>
        <v>3.6878000000000002</v>
      </c>
      <c r="AE61" s="73">
        <f t="shared" si="87"/>
        <v>0.6915</v>
      </c>
      <c r="AF61" s="37">
        <f t="shared" si="88"/>
        <v>2514327.65</v>
      </c>
      <c r="AG61" s="47"/>
      <c r="AH61" s="111">
        <f t="shared" si="89"/>
        <v>-13416656.02</v>
      </c>
    </row>
    <row r="62" spans="1:34" x14ac:dyDescent="0.25">
      <c r="A62" s="18" t="s">
        <v>28</v>
      </c>
      <c r="B62" s="21" t="s">
        <v>72</v>
      </c>
      <c r="C62" s="54" t="s">
        <v>31</v>
      </c>
      <c r="D62" s="20" t="s">
        <v>30</v>
      </c>
      <c r="E62" s="54" t="s">
        <v>97</v>
      </c>
      <c r="F62" s="32" t="s">
        <v>37</v>
      </c>
      <c r="G62" s="37">
        <f>Ene!G62+Feb!G62+Mar!G62+Abr!G62+May!G62+Jun!G62+Jul!G62+Ago!G62+Set!G62+Oct!G62+Nov!G62+Dic!G62</f>
        <v>40631</v>
      </c>
      <c r="H62" s="37">
        <f>Ene!H62+Feb!H62+Mar!H62+Abr!H62+May!H62+Jun!H62+Jul!H62+Ago!H62+Set!H62+Oct!H62+Nov!H62+Dic!H62</f>
        <v>42384</v>
      </c>
      <c r="I62" s="37"/>
      <c r="J62" s="37"/>
      <c r="K62" s="37"/>
      <c r="L62" s="37"/>
      <c r="M62" s="37"/>
      <c r="N62" s="37">
        <f>Ene!N62+Feb!N62+Mar!N62+Abr!N62+May!N62+Jun!N62+Jul!N62+Ago!N62+Set!N62+Oct!N62+Nov!N62+Dic!N62</f>
        <v>31293.952600000001</v>
      </c>
      <c r="O62" s="37">
        <f>Ene!O62+Feb!O62+Mar!O62+Abr!O62+May!O62+Jun!O62+Jul!O62+Ago!O62+Set!O62+Oct!O62+Nov!O62+Dic!O62</f>
        <v>5640159.6973999999</v>
      </c>
      <c r="P62" s="37">
        <f>Ene!P62+Feb!P62+Mar!P62+Abr!P62+May!P62+Jun!P62+Jul!P62+Ago!P62+Set!P62+Oct!P62+Nov!P62+Dic!P62</f>
        <v>1057529.9599999997</v>
      </c>
      <c r="Q62" s="37">
        <f>Ene!Q62+Feb!Q62+Mar!Q62+Abr!Q62+May!Q62+Jun!Q62+Jul!Q62+Ago!Q62+Set!Q62+Oct!Q62+Nov!Q62+Dic!Q62</f>
        <v>211506.00000000003</v>
      </c>
      <c r="R62" s="198">
        <v>3.7499999999999999E-2</v>
      </c>
      <c r="S62" s="37">
        <f>Ene!S62+Feb!S62+Mar!S62+Abr!S62+May!S62+Jun!S62+Jul!S62+Ago!S62+Set!S62+Oct!S62+Nov!S62+Dic!S62</f>
        <v>846023.94000000006</v>
      </c>
      <c r="T62" s="39">
        <v>0.15</v>
      </c>
      <c r="U62" s="37">
        <f t="shared" si="77"/>
        <v>83015</v>
      </c>
      <c r="V62" s="37">
        <f t="shared" si="78"/>
        <v>5640159.6973999999</v>
      </c>
      <c r="W62" s="72">
        <f t="shared" si="79"/>
        <v>227.4</v>
      </c>
      <c r="X62" s="73">
        <f t="shared" si="80"/>
        <v>67.941500000000005</v>
      </c>
      <c r="Y62" s="73">
        <f t="shared" si="81"/>
        <v>12.739000000000001</v>
      </c>
      <c r="Z62" s="37">
        <f t="shared" si="82"/>
        <v>1057529.9599999997</v>
      </c>
      <c r="AA62" s="37" t="str">
        <f t="shared" si="83"/>
        <v/>
      </c>
      <c r="AB62" s="37" t="str">
        <f t="shared" si="84"/>
        <v/>
      </c>
      <c r="AC62" s="72" t="str">
        <f t="shared" si="85"/>
        <v/>
      </c>
      <c r="AD62" s="73" t="str">
        <f t="shared" si="86"/>
        <v/>
      </c>
      <c r="AE62" s="73" t="str">
        <f t="shared" si="87"/>
        <v/>
      </c>
      <c r="AF62" s="37" t="str">
        <f t="shared" si="88"/>
        <v/>
      </c>
      <c r="AG62" s="47"/>
      <c r="AH62" s="111">
        <f t="shared" si="89"/>
        <v>-5671453.6500000004</v>
      </c>
    </row>
    <row r="63" spans="1:34" x14ac:dyDescent="0.25">
      <c r="A63" s="18" t="s">
        <v>28</v>
      </c>
      <c r="B63" s="21" t="s">
        <v>32</v>
      </c>
      <c r="C63" s="54" t="s">
        <v>31</v>
      </c>
      <c r="D63" s="20" t="s">
        <v>30</v>
      </c>
      <c r="E63" s="54" t="s">
        <v>96</v>
      </c>
      <c r="F63" s="32" t="s">
        <v>37</v>
      </c>
      <c r="G63" s="37">
        <f>Ene!G63+Feb!G63+Mar!G63+Abr!G63+May!G63+Jun!G63+Jul!G63+Ago!G63+Set!G63+Oct!G63+Nov!G63+Dic!G63</f>
        <v>0</v>
      </c>
      <c r="H63" s="37">
        <f>Ene!H63+Feb!H63+Mar!H63+Abr!H63+May!H63+Jun!H63+Jul!H63+Ago!H63+Set!H63+Oct!H63+Nov!H63+Dic!H63</f>
        <v>0</v>
      </c>
      <c r="I63" s="37"/>
      <c r="J63" s="37"/>
      <c r="K63" s="37"/>
      <c r="L63" s="37"/>
      <c r="M63" s="37"/>
      <c r="N63" s="37">
        <f>Ene!N63+Feb!N63+Mar!N63+Abr!N63+May!N63+Jun!N63+Jul!N63+Ago!N63+Set!N63+Oct!N63+Nov!N63+Dic!N63</f>
        <v>0</v>
      </c>
      <c r="O63" s="37">
        <f>Ene!O63+Feb!O63+Mar!O63+Abr!O63+May!O63+Jun!O63+Jul!O63+Ago!O63+Set!O63+Oct!O63+Nov!O63+Dic!O63</f>
        <v>0</v>
      </c>
      <c r="P63" s="37">
        <f>Ene!P63+Feb!P63+Mar!P63+Abr!P63+May!P63+Jun!P63+Jul!P63+Ago!P63+Set!P63+Oct!P63+Nov!P63+Dic!P63</f>
        <v>0</v>
      </c>
      <c r="Q63" s="37">
        <f>Ene!Q63+Feb!Q63+Mar!Q63+Abr!Q63+May!Q63+Jun!Q63+Jul!Q63+Ago!Q63+Set!Q63+Oct!Q63+Nov!Q63+Dic!Q63</f>
        <v>0</v>
      </c>
      <c r="R63" s="198">
        <v>3.7499999999999999E-2</v>
      </c>
      <c r="S63" s="37">
        <f>Ene!S63+Feb!S63+Mar!S63+Abr!S63+May!S63+Jun!S63+Jul!S63+Ago!S63+Set!S63+Oct!S63+Nov!S63+Dic!S63</f>
        <v>0</v>
      </c>
      <c r="T63" s="39">
        <v>0.15</v>
      </c>
      <c r="U63" s="37">
        <f t="shared" si="77"/>
        <v>0</v>
      </c>
      <c r="V63" s="37">
        <f t="shared" si="78"/>
        <v>0</v>
      </c>
      <c r="W63" s="72">
        <f t="shared" si="79"/>
        <v>0</v>
      </c>
      <c r="X63" s="73">
        <f t="shared" si="80"/>
        <v>0</v>
      </c>
      <c r="Y63" s="73">
        <f t="shared" si="81"/>
        <v>0</v>
      </c>
      <c r="Z63" s="37">
        <f t="shared" si="82"/>
        <v>0</v>
      </c>
      <c r="AA63" s="37" t="str">
        <f t="shared" si="83"/>
        <v/>
      </c>
      <c r="AB63" s="37" t="str">
        <f t="shared" si="84"/>
        <v/>
      </c>
      <c r="AC63" s="72" t="str">
        <f t="shared" si="85"/>
        <v/>
      </c>
      <c r="AD63" s="73" t="str">
        <f t="shared" si="86"/>
        <v/>
      </c>
      <c r="AE63" s="73" t="str">
        <f t="shared" si="87"/>
        <v/>
      </c>
      <c r="AF63" s="37" t="str">
        <f t="shared" si="88"/>
        <v/>
      </c>
      <c r="AG63" s="47"/>
      <c r="AH63" s="111" t="str">
        <f t="shared" si="89"/>
        <v/>
      </c>
    </row>
    <row r="64" spans="1:34" x14ac:dyDescent="0.25">
      <c r="A64" s="18" t="s">
        <v>28</v>
      </c>
      <c r="B64" s="24">
        <v>102</v>
      </c>
      <c r="C64" s="54" t="s">
        <v>31</v>
      </c>
      <c r="D64" s="54" t="s">
        <v>30</v>
      </c>
      <c r="E64" s="54" t="s">
        <v>96</v>
      </c>
      <c r="F64" s="180" t="s">
        <v>37</v>
      </c>
      <c r="G64" s="37">
        <f>Ene!G64+Feb!G64+Mar!G64+Abr!G64+May!G64+Jun!G64+Jul!G64+Ago!G64+Set!G64+Oct!G64+Nov!G64+Dic!G64</f>
        <v>0</v>
      </c>
      <c r="H64" s="37">
        <f>Ene!H64+Feb!H64+Mar!H64+Abr!H64+May!H64+Jun!H64+Jul!H64+Ago!H64+Set!H64+Oct!H64+Nov!H64+Dic!H64</f>
        <v>0</v>
      </c>
      <c r="I64" s="37"/>
      <c r="J64" s="37"/>
      <c r="K64" s="37"/>
      <c r="L64" s="37"/>
      <c r="M64" s="37"/>
      <c r="N64" s="37">
        <f>Ene!N64+Feb!N64+Mar!N64+Abr!N64+May!N64+Jun!N64+Jul!N64+Ago!N64+Set!N64+Oct!N64+Nov!N64+Dic!N64</f>
        <v>0</v>
      </c>
      <c r="O64" s="37">
        <f>Ene!O64+Feb!O64+Mar!O64+Abr!O64+May!O64+Jun!O64+Jul!O64+Ago!O64+Set!O64+Oct!O64+Nov!O64+Dic!O64</f>
        <v>0</v>
      </c>
      <c r="P64" s="37">
        <f>Ene!P64+Feb!P64+Mar!P64+Abr!P64+May!P64+Jun!P64+Jul!P64+Ago!P64+Set!P64+Oct!P64+Nov!P64+Dic!P64</f>
        <v>0</v>
      </c>
      <c r="Q64" s="37">
        <f>Ene!Q64+Feb!Q64+Mar!Q64+Abr!Q64+May!Q64+Jun!Q64+Jul!Q64+Ago!Q64+Set!Q64+Oct!Q64+Nov!Q64+Dic!Q64</f>
        <v>0</v>
      </c>
      <c r="R64" s="39">
        <v>0.15</v>
      </c>
      <c r="S64" s="37">
        <f>Ene!S64+Feb!S64+Mar!S64+Abr!S64+May!S64+Jun!S64+Jul!S64+Ago!S64+Set!S64+Oct!S64+Nov!S64+Dic!S64</f>
        <v>0</v>
      </c>
      <c r="T64" s="211">
        <v>3.7499999999999999E-2</v>
      </c>
      <c r="U64" s="37">
        <f t="shared" ref="U64:U66" si="103">IF($F64&amp;"/Día"=W$9,SUM($G64:$H64),"")</f>
        <v>0</v>
      </c>
      <c r="V64" s="37">
        <f t="shared" ref="V64:V66" si="104">IF(U64&lt;&gt;"",$O64,"")</f>
        <v>0</v>
      </c>
      <c r="W64" s="72">
        <f t="shared" ref="W64:W66" si="105">IF($F64&amp;"/Día"=W$9,ROUND(U64/$W$1,1),"")</f>
        <v>0</v>
      </c>
      <c r="X64" s="73">
        <f t="shared" ref="X64:X66" si="106">IF(U64=0,0,IF($F64&amp;"/Día"=W$9,ROUND(V64/U64,4),""))</f>
        <v>0</v>
      </c>
      <c r="Y64" s="73">
        <f t="shared" ref="Y64:Y66" si="107">IF(U64=0,0,IF($F64&amp;"/Día"=W$9,ROUND(Z64/U64,4),""))</f>
        <v>0</v>
      </c>
      <c r="Z64" s="37">
        <f t="shared" ref="Z64:Z66" si="108">IF(U64&lt;&gt;"",$P64,"")</f>
        <v>0</v>
      </c>
      <c r="AA64" s="37" t="str">
        <f t="shared" ref="AA64:AA67" si="109">IF($F64&amp;"/Día"=AC$9,SUM($G64:$H64),"")</f>
        <v/>
      </c>
      <c r="AB64" s="37" t="str">
        <f t="shared" ref="AB64:AB67" si="110">IF(AA64&lt;&gt;"",$O64,"")</f>
        <v/>
      </c>
      <c r="AC64" s="72" t="str">
        <f t="shared" ref="AC64:AC67" si="111">IF($F64&amp;"/Día"=AC$9,ROUND(AA64/$W$1,1),"")</f>
        <v/>
      </c>
      <c r="AD64" s="73" t="str">
        <f t="shared" ref="AD64:AD67" si="112">IF(AA64=0,0,IF($F64&amp;"/Día"=AC$9,ROUND(AB64/AA64,4),""))</f>
        <v/>
      </c>
      <c r="AE64" s="73" t="str">
        <f t="shared" ref="AE64:AE67" si="113">IF(AA64=0,0,IF($F64&amp;"/Día"=AC$9,ROUND(AF64/AA64,4),""))</f>
        <v/>
      </c>
      <c r="AF64" s="37" t="str">
        <f t="shared" ref="AF64:AF67" si="114">IF(AA64&lt;&gt;"",$P64,"")</f>
        <v/>
      </c>
      <c r="AG64" s="47"/>
      <c r="AH64" s="111"/>
    </row>
    <row r="65" spans="1:36" x14ac:dyDescent="0.25">
      <c r="A65" s="18" t="s">
        <v>28</v>
      </c>
      <c r="B65" s="24">
        <v>95</v>
      </c>
      <c r="C65" s="54" t="s">
        <v>31</v>
      </c>
      <c r="D65" s="54" t="s">
        <v>30</v>
      </c>
      <c r="E65" s="54" t="s">
        <v>96</v>
      </c>
      <c r="F65" s="180" t="s">
        <v>37</v>
      </c>
      <c r="G65" s="37">
        <f>Ene!G65+Feb!G65+Mar!G65+Abr!G65+May!G65+Jun!G65+Jul!G65+Ago!G65+Set!G65+Oct!G65+Nov!G65+Dic!G65</f>
        <v>2027330</v>
      </c>
      <c r="H65" s="37">
        <f>Ene!H65+Feb!H65+Mar!H65+Abr!H65+May!H65+Jun!H65+Jul!H65+Ago!H65+Set!H65+Oct!H65+Nov!H65+Dic!H65</f>
        <v>2380132</v>
      </c>
      <c r="I65" s="37"/>
      <c r="J65" s="37"/>
      <c r="K65" s="37"/>
      <c r="L65" s="37"/>
      <c r="M65" s="37"/>
      <c r="N65" s="37">
        <f>Ene!N65+Feb!N65+Mar!N65+Abr!N65+May!N65+Jun!N65+Jul!N65+Ago!N65+Set!N65+Oct!N65+Nov!N65+Dic!N65</f>
        <v>73796.733800000002</v>
      </c>
      <c r="O65" s="37">
        <f>Ene!O65+Feb!O65+Mar!O65+Abr!O65+May!O65+Jun!O65+Jul!O65+Ago!O65+Set!O65+Oct!O65+Nov!O65+Dic!O65</f>
        <v>347089432.29619998</v>
      </c>
      <c r="P65" s="37">
        <f>Ene!P65+Feb!P65+Mar!P65+Abr!P65+May!P65+Jun!P65+Jul!P65+Ago!P65+Set!P65+Oct!P65+Nov!P65+Dic!P65</f>
        <v>65079268.569999985</v>
      </c>
      <c r="Q65" s="37">
        <f>Ene!Q65+Feb!Q65+Mar!Q65+Abr!Q65+May!Q65+Jun!Q65+Jul!Q65+Ago!Q65+Set!Q65+Oct!Q65+Nov!Q65+Dic!Q65</f>
        <v>52063414.849999994</v>
      </c>
      <c r="R65" s="39">
        <v>0.15</v>
      </c>
      <c r="S65" s="37">
        <f>Ene!S65+Feb!S65+Mar!S65+Abr!S65+May!S65+Jun!S65+Jul!S65+Ago!S65+Set!S65+Oct!S65+Nov!S65+Dic!S65</f>
        <v>13015853.709999999</v>
      </c>
      <c r="T65" s="211">
        <v>3.7499999999999999E-2</v>
      </c>
      <c r="U65" s="37">
        <f t="shared" si="103"/>
        <v>4407462</v>
      </c>
      <c r="V65" s="37">
        <f t="shared" si="104"/>
        <v>347089432.29619998</v>
      </c>
      <c r="W65" s="72">
        <f t="shared" si="105"/>
        <v>12075.2</v>
      </c>
      <c r="X65" s="73">
        <f t="shared" si="106"/>
        <v>78.750399999999999</v>
      </c>
      <c r="Y65" s="73">
        <f t="shared" si="107"/>
        <v>14.765700000000001</v>
      </c>
      <c r="Z65" s="37">
        <f t="shared" si="108"/>
        <v>65079268.569999985</v>
      </c>
      <c r="AA65" s="37" t="str">
        <f t="shared" si="109"/>
        <v/>
      </c>
      <c r="AB65" s="37" t="str">
        <f t="shared" si="110"/>
        <v/>
      </c>
      <c r="AC65" s="72" t="str">
        <f t="shared" si="111"/>
        <v/>
      </c>
      <c r="AD65" s="73" t="str">
        <f t="shared" si="112"/>
        <v/>
      </c>
      <c r="AE65" s="73" t="str">
        <f t="shared" si="113"/>
        <v/>
      </c>
      <c r="AF65" s="37" t="str">
        <f t="shared" si="114"/>
        <v/>
      </c>
      <c r="AG65" s="47"/>
      <c r="AH65" s="111"/>
    </row>
    <row r="66" spans="1:36" x14ac:dyDescent="0.25">
      <c r="A66" s="22" t="s">
        <v>28</v>
      </c>
      <c r="B66" s="210">
        <v>67</v>
      </c>
      <c r="C66" s="54" t="s">
        <v>31</v>
      </c>
      <c r="D66" s="54" t="s">
        <v>30</v>
      </c>
      <c r="E66" s="54" t="s">
        <v>96</v>
      </c>
      <c r="F66" s="180" t="s">
        <v>37</v>
      </c>
      <c r="G66" s="37">
        <f>Ene!G66+Feb!G66+Mar!G66+Abr!G66+May!G66+Jun!G66+Jul!G66+Ago!G66+Set!G66+Oct!G66+Nov!G66+Dic!G66</f>
        <v>195347</v>
      </c>
      <c r="H66" s="37">
        <f>Ene!H66+Feb!H66+Mar!H66+Abr!H66+May!H66+Jun!H66+Jul!H66+Ago!H66+Set!H66+Oct!H66+Nov!H66+Dic!H66</f>
        <v>171272</v>
      </c>
      <c r="I66" s="37"/>
      <c r="J66" s="37"/>
      <c r="K66" s="37"/>
      <c r="L66" s="37"/>
      <c r="M66" s="37"/>
      <c r="N66" s="37">
        <f>Ene!N66+Feb!N66+Mar!N66+Abr!N66+May!N66+Jun!N66+Jul!N66+Ago!N66+Set!N66+Oct!N66+Nov!N66+Dic!N66</f>
        <v>30898.512899999998</v>
      </c>
      <c r="O66" s="37">
        <f>Ene!O66+Feb!O66+Mar!O66+Abr!O66+May!O66+Jun!O66+Jul!O66+Ago!O66+Set!O66+Oct!O66+Nov!O66+Dic!O66</f>
        <v>23541376.687100001</v>
      </c>
      <c r="P66" s="37">
        <f>Ene!P66+Feb!P66+Mar!P66+Abr!P66+May!P66+Jun!P66+Jul!P66+Ago!P66+Set!P66+Oct!P66+Nov!P66+Dic!P66</f>
        <v>4414008.1400000006</v>
      </c>
      <c r="Q66" s="37">
        <f>Ene!Q66+Feb!Q66+Mar!Q66+Abr!Q66+May!Q66+Jun!Q66+Jul!Q66+Ago!Q66+Set!Q66+Oct!Q66+Nov!Q66+Dic!Q66</f>
        <v>3531206.5</v>
      </c>
      <c r="R66" s="39">
        <v>0.15</v>
      </c>
      <c r="S66" s="37">
        <f>Ene!S66+Feb!S66+Mar!S66+Abr!S66+May!S66+Jun!S66+Jul!S66+Ago!S66+Set!S66+Oct!S66+Nov!S66+Dic!S66</f>
        <v>882801.64000000013</v>
      </c>
      <c r="T66" s="211">
        <v>3.7499999999999999E-2</v>
      </c>
      <c r="U66" s="37">
        <f t="shared" si="103"/>
        <v>366619</v>
      </c>
      <c r="V66" s="37">
        <f t="shared" si="104"/>
        <v>23541376.687100001</v>
      </c>
      <c r="W66" s="72">
        <f t="shared" si="105"/>
        <v>1004.4</v>
      </c>
      <c r="X66" s="73">
        <f t="shared" si="106"/>
        <v>64.212100000000007</v>
      </c>
      <c r="Y66" s="73">
        <f t="shared" si="107"/>
        <v>12.0398</v>
      </c>
      <c r="Z66" s="37">
        <f t="shared" si="108"/>
        <v>4414008.1400000006</v>
      </c>
      <c r="AA66" s="37" t="str">
        <f t="shared" si="109"/>
        <v/>
      </c>
      <c r="AB66" s="37" t="str">
        <f t="shared" si="110"/>
        <v/>
      </c>
      <c r="AC66" s="72" t="str">
        <f t="shared" si="111"/>
        <v/>
      </c>
      <c r="AD66" s="73" t="str">
        <f t="shared" si="112"/>
        <v/>
      </c>
      <c r="AE66" s="73" t="str">
        <f t="shared" si="113"/>
        <v/>
      </c>
      <c r="AF66" s="37" t="str">
        <f t="shared" si="114"/>
        <v/>
      </c>
      <c r="AG66" s="47"/>
      <c r="AH66" s="111"/>
    </row>
    <row r="67" spans="1:36" x14ac:dyDescent="0.25">
      <c r="A67" s="13" t="s">
        <v>28</v>
      </c>
      <c r="B67" s="25" t="s">
        <v>54</v>
      </c>
      <c r="C67" s="53"/>
      <c r="D67" s="53"/>
      <c r="E67" s="23"/>
      <c r="F67" s="54"/>
      <c r="G67" s="37"/>
      <c r="H67" s="37"/>
      <c r="I67" s="37"/>
      <c r="J67" s="37"/>
      <c r="K67" s="37"/>
      <c r="L67" s="37"/>
      <c r="M67" s="37"/>
      <c r="N67" s="37">
        <f>Ene!N67+Feb!N67+Mar!N67+Abr!N67+May!N67+Jun!N67+Jul!N67+Ago!N67+Set!N67+Oct!N67+Nov!N67+Dic!N67</f>
        <v>0</v>
      </c>
      <c r="O67" s="37">
        <f>Ene!O67+Feb!O67+Mar!O67+Abr!O67+May!O67+Jun!O67+Jul!O67+Ago!O67+Set!O67+Oct!O67+Nov!O67+Dic!O67</f>
        <v>0</v>
      </c>
      <c r="P67" s="37">
        <f>Ene!P67+Feb!P67+Mar!P67+Abr!P67+May!P67+Jun!P67+Jul!P67+Ago!P67+Set!P67+Oct!P67+Nov!P67+Dic!P67</f>
        <v>0</v>
      </c>
      <c r="Q67" s="37">
        <f>Ene!Q67+Feb!Q67+Mar!Q67+Abr!Q67+May!Q67+Jun!Q67+Jul!Q67+Ago!Q67+Set!Q67+Oct!Q67+Nov!Q67+Dic!Q67</f>
        <v>0</v>
      </c>
      <c r="R67" s="84"/>
      <c r="S67" s="37">
        <f>Ene!S67+Feb!S67+Mar!S67+Abr!S67+May!S67+Jun!S67+Jul!S67+Ago!S67+Set!S67+Oct!S67+Nov!S67+Dic!S67</f>
        <v>0</v>
      </c>
      <c r="T67" s="84"/>
      <c r="U67" s="37" t="str">
        <f t="shared" si="77"/>
        <v/>
      </c>
      <c r="V67" s="37" t="str">
        <f t="shared" si="78"/>
        <v/>
      </c>
      <c r="W67" s="72" t="str">
        <f t="shared" si="79"/>
        <v/>
      </c>
      <c r="X67" s="73" t="str">
        <f t="shared" si="80"/>
        <v/>
      </c>
      <c r="Y67" s="73" t="str">
        <f t="shared" si="81"/>
        <v/>
      </c>
      <c r="Z67" s="37" t="str">
        <f t="shared" si="82"/>
        <v/>
      </c>
      <c r="AA67" s="37" t="str">
        <f t="shared" si="109"/>
        <v/>
      </c>
      <c r="AB67" s="37" t="str">
        <f t="shared" si="110"/>
        <v/>
      </c>
      <c r="AC67" s="72" t="str">
        <f t="shared" si="111"/>
        <v/>
      </c>
      <c r="AD67" s="73" t="str">
        <f t="shared" si="112"/>
        <v/>
      </c>
      <c r="AE67" s="73" t="str">
        <f t="shared" si="113"/>
        <v/>
      </c>
      <c r="AF67" s="37" t="str">
        <f t="shared" si="114"/>
        <v/>
      </c>
      <c r="AG67" s="47"/>
      <c r="AH67" s="111"/>
    </row>
    <row r="68" spans="1:36" x14ac:dyDescent="0.25">
      <c r="A68" s="26"/>
      <c r="B68" s="135" t="s">
        <v>99</v>
      </c>
      <c r="C68" s="27" t="str">
        <f>TEXT(A$55,)&amp;" US$"</f>
        <v>Loreto / Ucayali US$</v>
      </c>
      <c r="D68" s="27"/>
      <c r="E68" s="113"/>
      <c r="F68" s="26"/>
      <c r="G68" s="41"/>
      <c r="H68" s="41"/>
      <c r="I68" s="41"/>
      <c r="J68" s="41"/>
      <c r="K68" s="41"/>
      <c r="L68" s="41"/>
      <c r="M68" s="49"/>
      <c r="N68" s="57">
        <f>SUM(N56:N67)</f>
        <v>142897.69080000001</v>
      </c>
      <c r="O68" s="57">
        <f>SUM(O56:O67)</f>
        <v>389680716.20919997</v>
      </c>
      <c r="P68" s="57">
        <f>SUM(P56:P67)</f>
        <v>73065134.319999978</v>
      </c>
      <c r="Q68" s="57">
        <f>SUM(Q56:Q67)</f>
        <v>56308992.889999993</v>
      </c>
      <c r="R68" s="58"/>
      <c r="S68" s="57">
        <f>SUM(S56:S67)</f>
        <v>16756141.41</v>
      </c>
      <c r="T68" s="42"/>
      <c r="U68" s="74">
        <f>SUM(U56:U67)</f>
        <v>4857096</v>
      </c>
      <c r="V68" s="74">
        <f>SUM(V56:V67)</f>
        <v>376270968.68069994</v>
      </c>
      <c r="W68" s="75">
        <f>SUM(W56:W67)</f>
        <v>13307</v>
      </c>
      <c r="X68" s="76">
        <f>ROUND(V68/U68,4)</f>
        <v>77.468299999999999</v>
      </c>
      <c r="Y68" s="76">
        <f>ROUND(Z68/U68,4)</f>
        <v>14.5253</v>
      </c>
      <c r="Z68" s="74">
        <f>SUM(Z56:Z67)</f>
        <v>70550806.669999987</v>
      </c>
      <c r="AA68" s="74">
        <f>SUM(AA56:AA67)</f>
        <v>3636272.6941999998</v>
      </c>
      <c r="AB68" s="74">
        <f>SUM(AB56:AB67)</f>
        <v>13409747.5285</v>
      </c>
      <c r="AC68" s="75">
        <f>SUM(AC56:AC67)</f>
        <v>9962.4</v>
      </c>
      <c r="AD68" s="76">
        <f>ROUND(AB68/AA68,4)</f>
        <v>3.6878000000000002</v>
      </c>
      <c r="AE68" s="76">
        <f>ROUND(AF68/AA68,4)</f>
        <v>0.6915</v>
      </c>
      <c r="AF68" s="74">
        <f>SUM(AF56:AF67)</f>
        <v>2514327.65</v>
      </c>
      <c r="AG68" s="74">
        <f>P68-Z68-AF68</f>
        <v>-8.8475644588470459E-9</v>
      </c>
      <c r="AH68" s="74">
        <f>SUM(AH56:AH67)</f>
        <v>-19088109.670000002</v>
      </c>
    </row>
    <row r="69" spans="1:36" x14ac:dyDescent="0.25">
      <c r="A69" s="127"/>
      <c r="B69" s="128"/>
      <c r="C69" s="27" t="str">
        <f>TEXT(A$55,)&amp;" S/."</f>
        <v>Loreto / Ucayali S/.</v>
      </c>
      <c r="D69" s="97"/>
      <c r="E69" s="113"/>
      <c r="F69" s="127"/>
      <c r="G69" s="86"/>
      <c r="H69" s="86"/>
      <c r="I69" s="86"/>
      <c r="J69" s="86"/>
      <c r="K69" s="86"/>
      <c r="L69" s="86"/>
      <c r="M69" s="129"/>
      <c r="N69" s="129"/>
      <c r="O69" s="265"/>
      <c r="P69" s="255">
        <f>Ene!P69+Feb!P69+Mar!P69+Abr!P69+May!P69+Jun!P69+Jul!P69+Ago!P69+Set!P69+Oct!P69+Nov!P69+Dic!P69</f>
        <v>279092675.05000001</v>
      </c>
      <c r="Q69" s="255">
        <f>Ene!Q69+Feb!Q69+Mar!Q69+Abr!Q69+May!Q69+Jun!Q69+Jul!Q69+Ago!Q69+Set!Q69+Oct!Q69+Nov!Q69+Dic!Q69</f>
        <v>215031226.17000005</v>
      </c>
      <c r="R69" s="255"/>
      <c r="S69" s="255">
        <f>Ene!S69+Feb!S69+Mar!S69+Abr!S69+May!S69+Jun!S69+Jul!S69+Ago!S69+Set!S69+Oct!S69+Nov!S69+Dic!S69</f>
        <v>64061448.829999998</v>
      </c>
      <c r="T69" s="130"/>
      <c r="U69" s="131"/>
      <c r="V69" s="131"/>
      <c r="W69" s="132"/>
      <c r="X69" s="133"/>
      <c r="Y69" s="133"/>
      <c r="Z69" s="131"/>
      <c r="AA69" s="131"/>
      <c r="AB69" s="131"/>
      <c r="AC69" s="132"/>
      <c r="AD69" s="133"/>
      <c r="AE69" s="133"/>
      <c r="AF69" s="131"/>
      <c r="AG69" s="131"/>
      <c r="AH69" s="131"/>
    </row>
    <row r="70" spans="1:36" x14ac:dyDescent="0.25">
      <c r="A70" s="218" t="s">
        <v>105</v>
      </c>
      <c r="B70" s="11"/>
      <c r="C70" s="11"/>
      <c r="D70" s="11"/>
      <c r="E70" s="16"/>
      <c r="F70" s="218"/>
      <c r="G70" s="17"/>
      <c r="H70" s="29"/>
      <c r="I70" s="11"/>
      <c r="J70" s="17"/>
      <c r="K70" s="17"/>
      <c r="L70" s="17"/>
      <c r="M70" s="17"/>
      <c r="N70" s="17"/>
      <c r="O70" s="17"/>
      <c r="P70" s="290" t="s">
        <v>107</v>
      </c>
      <c r="Q70" s="292" t="s">
        <v>105</v>
      </c>
      <c r="R70" s="281"/>
      <c r="S70" s="145"/>
      <c r="T70" s="146"/>
      <c r="U70" s="81">
        <f>U47+U53+U68</f>
        <v>15418656.6423</v>
      </c>
      <c r="V70" s="81">
        <f>V47+V53+V68</f>
        <v>1305609879.9993999</v>
      </c>
      <c r="W70" s="82">
        <f>W47+W53+W68</f>
        <v>42242.8</v>
      </c>
      <c r="X70" s="83">
        <f>ROUND(V70/U70,4)</f>
        <v>84.677300000000002</v>
      </c>
      <c r="Y70" s="83">
        <f>ROUND(Z70/U70,4)</f>
        <v>15.7783</v>
      </c>
      <c r="Z70" s="81">
        <f>Z47+Z53+Z68</f>
        <v>243280598</v>
      </c>
      <c r="AA70" s="81">
        <f>AA47+AA53+AA68</f>
        <v>23121469.655999996</v>
      </c>
      <c r="AB70" s="81">
        <f>AB47+AB53+AB68</f>
        <v>87310529.503000006</v>
      </c>
      <c r="AC70" s="82">
        <f>AC47+AC53+AC68</f>
        <v>63346.6</v>
      </c>
      <c r="AD70" s="83">
        <f>ROUND(AB70/AA70,4)</f>
        <v>3.7761999999999998</v>
      </c>
      <c r="AE70" s="83">
        <f>ROUND(AF70/AA70,4)</f>
        <v>0.70799999999999996</v>
      </c>
      <c r="AF70" s="81">
        <f>AF47+AF53+AF68</f>
        <v>16370724.300000001</v>
      </c>
      <c r="AG70" s="81" t="e">
        <f>P70-Z70-AF70</f>
        <v>#VALUE!</v>
      </c>
      <c r="AH70" s="81">
        <f>AH47+AH53+AH68</f>
        <v>-982083814.34000003</v>
      </c>
    </row>
    <row r="71" spans="1:36" x14ac:dyDescent="0.25">
      <c r="A71" s="18" t="s">
        <v>28</v>
      </c>
      <c r="B71" s="21" t="s">
        <v>104</v>
      </c>
      <c r="C71" s="54" t="s">
        <v>31</v>
      </c>
      <c r="D71" s="20" t="s">
        <v>30</v>
      </c>
      <c r="E71" s="54" t="s">
        <v>102</v>
      </c>
      <c r="F71" s="32" t="s">
        <v>37</v>
      </c>
      <c r="G71" s="37">
        <f>Ene!G71+Feb!G71+Mar!G71+Abr!G71+May!G71+Jun!G71+Jul!G71+Ago!G71+Set!G71+Oct!G71+Nov!G71+Dic!G71</f>
        <v>8822674</v>
      </c>
      <c r="H71" s="37">
        <f>Ene!H71+Feb!H71+Mar!H71+Abr!H71+May!H71+Jun!H71+Jul!H71+Ago!H71+Set!H71+Oct!H71+Nov!H71+Dic!H71</f>
        <v>9267267</v>
      </c>
      <c r="I71" s="37"/>
      <c r="J71" s="37"/>
      <c r="K71" s="37"/>
      <c r="L71" s="37"/>
      <c r="M71" s="37"/>
      <c r="N71" s="37">
        <f>Ene!N71+Feb!N71+Mar!N71+Abr!N71+May!N71+Jun!N71+Jul!N71+Ago!N71+Set!N71+Oct!N71+Nov!N71+Dic!N71</f>
        <v>0</v>
      </c>
      <c r="O71" s="37">
        <f>Ene!O71+Feb!O71+Mar!O71+Abr!O71+May!O71+Jun!O71+Jul!O71+Ago!O71+Set!O71+Oct!O71+Nov!O71+Dic!O71</f>
        <v>1087978760.7507</v>
      </c>
      <c r="P71" s="37">
        <f>Ene!P71+Feb!P71+Mar!P71+Abr!P71+May!P71+Jun!P71+Jul!P71+Ago!P71+Set!P71+Oct!P71+Nov!P71+Dic!P71</f>
        <v>405163290.51999998</v>
      </c>
      <c r="Q71" s="37">
        <f>Ene!Q71+Feb!Q71+Mar!Q71+Abr!Q71+May!Q71+Jun!Q71+Jul!Q71+Ago!Q71+Set!Q71+Oct!Q71+Nov!Q71+Dic!Q71</f>
        <v>202581645.28999996</v>
      </c>
      <c r="R71" s="39">
        <v>0.5</v>
      </c>
      <c r="S71" s="37"/>
      <c r="T71" s="39"/>
      <c r="U71" s="37">
        <f t="shared" ref="U71:U75" si="115">IF($F71&amp;"/Día"=W$9,SUM($G71:$H71),"")</f>
        <v>18089941</v>
      </c>
      <c r="V71" s="37">
        <f t="shared" ref="V71:V75" si="116">IF(U71&lt;&gt;"",$O71,"")</f>
        <v>1087978760.7507</v>
      </c>
      <c r="W71" s="72">
        <f t="shared" ref="W71:W75" si="117">IF($F71&amp;"/Día"=W$9,ROUND(U71/$W$1,1),"")</f>
        <v>49561.5</v>
      </c>
      <c r="X71" s="73">
        <f t="shared" ref="X71:X75" si="118">IF(U71=0,0,IF($F71&amp;"/Día"=W$9,ROUND(V71/U71,4),""))</f>
        <v>60.142699999999998</v>
      </c>
      <c r="Y71" s="73">
        <f t="shared" ref="Y71:Y75" si="119">IF(U71=0,0,IF($F71&amp;"/Día"=W$9,ROUND(Z71/U71,4),""))</f>
        <v>11.198600000000001</v>
      </c>
      <c r="Z71" s="37">
        <f t="shared" ref="Z71:Z75" si="120">IF(U71&lt;&gt;"",$Q71,"")</f>
        <v>202581645.28999996</v>
      </c>
      <c r="AA71" s="37" t="str">
        <f t="shared" ref="AA71:AA76" si="121">IF($F71&amp;"/Día"=AC$9,SUM($G71:$H71),"")</f>
        <v/>
      </c>
      <c r="AB71" s="37" t="str">
        <f t="shared" ref="AB71:AB76" si="122">IF(AA71&lt;&gt;"",$O71,"")</f>
        <v/>
      </c>
      <c r="AC71" s="72" t="str">
        <f t="shared" ref="AC71:AC76" si="123">IF($F71&amp;"/Día"=AC$9,ROUND(AA71/$W$1,1),"")</f>
        <v/>
      </c>
      <c r="AD71" s="73" t="str">
        <f t="shared" ref="AD71:AD76" si="124">IF(AA71=0,0,IF($F71&amp;"/Día"=AC$9,ROUND(AB71/AA71,4),""))</f>
        <v/>
      </c>
      <c r="AE71" s="73" t="str">
        <f t="shared" ref="AE71:AE76" si="125">IF(AA71=0,0,IF($F71&amp;"/Día"=AC$9,ROUND(AF71/AA71,4),""))</f>
        <v/>
      </c>
      <c r="AF71" s="37" t="str">
        <f t="shared" ref="AF71:AF76" si="126">IF(AA71&lt;&gt;"",$Q71,"")</f>
        <v/>
      </c>
      <c r="AG71" s="131"/>
    </row>
    <row r="72" spans="1:36" x14ac:dyDescent="0.25">
      <c r="A72" s="18" t="s">
        <v>28</v>
      </c>
      <c r="B72" s="21" t="s">
        <v>103</v>
      </c>
      <c r="C72" s="54" t="s">
        <v>31</v>
      </c>
      <c r="D72" s="20" t="s">
        <v>30</v>
      </c>
      <c r="E72" s="54" t="s">
        <v>102</v>
      </c>
      <c r="F72" s="30" t="s">
        <v>56</v>
      </c>
      <c r="G72" s="37">
        <f>Ene!G72+Feb!G72+Mar!G72+Abr!G72+May!G72+Jun!G72+Jul!G72+Ago!G72+Set!G72+Oct!G72+Nov!G72+Dic!G72</f>
        <v>140384177.60229999</v>
      </c>
      <c r="H72" s="37">
        <f>Ene!H72+Feb!H72+Mar!H72+Abr!H72+May!H72+Jun!H72+Jul!H72+Ago!H72+Set!H72+Oct!H72+Nov!H72+Dic!H72</f>
        <v>145552187.2933</v>
      </c>
      <c r="I72" s="37"/>
      <c r="J72" s="37"/>
      <c r="K72" s="37"/>
      <c r="L72" s="37"/>
      <c r="M72" s="37"/>
      <c r="N72" s="37">
        <f>Ene!N72+Feb!N72+Mar!N72+Abr!N72+May!N72+Jun!N72+Jul!N72+Ago!N72+Set!N72+Oct!N72+Nov!N72+Dic!N72</f>
        <v>0</v>
      </c>
      <c r="O72" s="37">
        <f>Ene!O72+Feb!O72+Mar!O72+Abr!O72+May!O72+Jun!O72+Jul!O72+Ago!O72+Set!O72+Oct!O72+Nov!O72+Dic!O72</f>
        <v>651723262.05209005</v>
      </c>
      <c r="P72" s="37">
        <f>Ene!P72+Feb!P72+Mar!P72+Abr!P72+May!P72+Jun!P72+Jul!P72+Ago!P72+Set!P72+Oct!P72+Nov!P72+Dic!P72</f>
        <v>242701742.78999999</v>
      </c>
      <c r="Q72" s="37">
        <f>Ene!Q72+Feb!Q72+Mar!Q72+Abr!Q72+May!Q72+Jun!Q72+Jul!Q72+Ago!Q72+Set!Q72+Oct!Q72+Nov!Q72+Dic!Q72</f>
        <v>121350871.41</v>
      </c>
      <c r="R72" s="39">
        <v>0.5</v>
      </c>
      <c r="S72" s="37"/>
      <c r="T72" s="39"/>
      <c r="U72" s="37" t="str">
        <f t="shared" si="115"/>
        <v/>
      </c>
      <c r="V72" s="37" t="str">
        <f t="shared" si="116"/>
        <v/>
      </c>
      <c r="W72" s="72" t="str">
        <f t="shared" si="117"/>
        <v/>
      </c>
      <c r="X72" s="73" t="str">
        <f t="shared" si="118"/>
        <v/>
      </c>
      <c r="Y72" s="73" t="str">
        <f t="shared" si="119"/>
        <v/>
      </c>
      <c r="Z72" s="37" t="str">
        <f t="shared" si="120"/>
        <v/>
      </c>
      <c r="AA72" s="37">
        <f t="shared" si="121"/>
        <v>285936364.89559996</v>
      </c>
      <c r="AB72" s="37">
        <f t="shared" si="122"/>
        <v>651723262.05209005</v>
      </c>
      <c r="AC72" s="72">
        <f t="shared" si="123"/>
        <v>783387.3</v>
      </c>
      <c r="AD72" s="73">
        <f t="shared" si="124"/>
        <v>2.2793000000000001</v>
      </c>
      <c r="AE72" s="73">
        <f t="shared" si="125"/>
        <v>0.4244</v>
      </c>
      <c r="AF72" s="37">
        <f t="shared" si="126"/>
        <v>121350871.41</v>
      </c>
      <c r="AG72" s="131"/>
    </row>
    <row r="73" spans="1:36" s="212" customFormat="1" ht="15" customHeight="1" x14ac:dyDescent="0.2">
      <c r="A73" s="18" t="s">
        <v>28</v>
      </c>
      <c r="B73" s="19" t="s">
        <v>122</v>
      </c>
      <c r="C73" s="54" t="s">
        <v>31</v>
      </c>
      <c r="D73" s="54" t="s">
        <v>30</v>
      </c>
      <c r="E73" s="54" t="s">
        <v>102</v>
      </c>
      <c r="F73" s="181" t="s">
        <v>56</v>
      </c>
      <c r="G73" s="37">
        <f>Ene!G73+Feb!G73+Mar!G73+Abr!G73+May!G73+Jun!G73+Jul!G73+Ago!G73+Set!G73+Oct!G73+Nov!G73+Dic!G73</f>
        <v>278556.10390000005</v>
      </c>
      <c r="H73" s="37">
        <f>Ene!H73+Feb!H73+Mar!H73+Abr!H73+May!H73+Jun!H73+Jul!H73+Ago!H73+Set!H73+Oct!H73+Nov!H73+Dic!H73</f>
        <v>250618.88889999999</v>
      </c>
      <c r="I73" s="37"/>
      <c r="J73" s="37"/>
      <c r="K73" s="37"/>
      <c r="L73" s="37"/>
      <c r="M73" s="37"/>
      <c r="N73" s="37">
        <f>Ene!N73+Feb!N73+Mar!N73+Abr!N73+May!N73+Jun!N73+Jul!N73+Ago!N73+Set!N73+Oct!N73+Nov!N73+Dic!N73</f>
        <v>0</v>
      </c>
      <c r="O73" s="37">
        <f>Ene!O73+Feb!O73+Mar!O73+Abr!O73+May!O73+Jun!O73+Jul!O73+Ago!O73+Set!O73+Oct!O73+Nov!O73+Dic!O73</f>
        <v>1601482.0000418101</v>
      </c>
      <c r="P73" s="37">
        <f>Ene!P73+Feb!P73+Mar!P73+Abr!P73+May!P73+Jun!P73+Jul!P73+Ago!P73+Set!P73+Oct!P73+Nov!P73+Dic!P73</f>
        <v>596391.90999999992</v>
      </c>
      <c r="Q73" s="37">
        <f>Ene!Q73+Feb!Q73+Mar!Q73+Abr!Q73+May!Q73+Jun!Q73+Jul!Q73+Ago!Q73+Set!Q73+Oct!Q73+Nov!Q73+Dic!Q73</f>
        <v>298195.99</v>
      </c>
      <c r="R73" s="172">
        <v>0.5</v>
      </c>
      <c r="S73" s="171"/>
      <c r="T73" s="172"/>
      <c r="U73" s="37" t="str">
        <f t="shared" si="115"/>
        <v/>
      </c>
      <c r="V73" s="37" t="str">
        <f t="shared" si="116"/>
        <v/>
      </c>
      <c r="W73" s="72" t="str">
        <f t="shared" si="117"/>
        <v/>
      </c>
      <c r="X73" s="73" t="str">
        <f t="shared" si="118"/>
        <v/>
      </c>
      <c r="Y73" s="73" t="str">
        <f t="shared" si="119"/>
        <v/>
      </c>
      <c r="Z73" s="37" t="str">
        <f t="shared" si="120"/>
        <v/>
      </c>
      <c r="AA73" s="37">
        <f t="shared" si="121"/>
        <v>529174.99280000001</v>
      </c>
      <c r="AB73" s="37">
        <f t="shared" si="122"/>
        <v>1601482.0000418101</v>
      </c>
      <c r="AC73" s="72">
        <f t="shared" si="123"/>
        <v>1449.8</v>
      </c>
      <c r="AD73" s="73">
        <f t="shared" si="124"/>
        <v>3.0264000000000002</v>
      </c>
      <c r="AE73" s="73">
        <f t="shared" si="125"/>
        <v>0.5635</v>
      </c>
      <c r="AF73" s="37">
        <f t="shared" si="126"/>
        <v>298195.99</v>
      </c>
      <c r="AG73" s="131"/>
    </row>
    <row r="74" spans="1:36" s="212" customFormat="1" ht="12.75" x14ac:dyDescent="0.2">
      <c r="A74" s="18" t="s">
        <v>28</v>
      </c>
      <c r="B74" s="19" t="s">
        <v>123</v>
      </c>
      <c r="C74" s="54" t="s">
        <v>31</v>
      </c>
      <c r="D74" s="54" t="s">
        <v>30</v>
      </c>
      <c r="E74" s="54" t="s">
        <v>102</v>
      </c>
      <c r="F74" s="181" t="s">
        <v>56</v>
      </c>
      <c r="G74" s="37">
        <f>Ene!G74+Feb!G74+Mar!G74+Abr!G71+May!G74+Jun!G74+Jul!G74+Ago!G74+Set!G74+Oct!G74+Nov!G74+Dic!G74</f>
        <v>9351824.4407000002</v>
      </c>
      <c r="H74" s="37">
        <f>Ene!H74+Feb!H74+Mar!H74+Abr!H71+May!H74+Jun!H74+Jul!H74+Ago!H74+Set!H74+Oct!H74+Nov!H74+Dic!H74</f>
        <v>9569486.2899000011</v>
      </c>
      <c r="I74" s="37"/>
      <c r="J74" s="37"/>
      <c r="K74" s="217"/>
      <c r="L74" s="217"/>
      <c r="M74" s="217"/>
      <c r="N74" s="37">
        <f>Ene!N74+Feb!N74+Mar!N74+Abr!N71+May!N74+Jun!N74+Jul!N74+Ago!N74+Set!N74+Oct!N74+Nov!N74+Dic!N74</f>
        <v>0</v>
      </c>
      <c r="O74" s="37">
        <f>Ene!O74+Feb!O74+Mar!O74+Abr!O74+May!O74+Jun!O74+Jul!O74+Ago!O74+Set!O74+Oct!O74+Nov!O74+Dic!O74</f>
        <v>241305630.26320133</v>
      </c>
      <c r="P74" s="37">
        <f>Ene!P74+Feb!P74+Mar!P74+Abr!P74+May!P74+Jun!P74+Jul!P74+Ago!P74+Set!P74+Oct!P74+Nov!P74+Dic!P74</f>
        <v>91696139.499999985</v>
      </c>
      <c r="Q74" s="37">
        <f>Ene!Q74+Feb!Q74+Mar!Q74+Abr!Q74+May!Q74+Jun!Q74+Jul!Q74+Ago!Q74+Set!Q74+Oct!Q74+Nov!Q74+Dic!Q74</f>
        <v>45848069.789999999</v>
      </c>
      <c r="R74" s="219">
        <v>0.5</v>
      </c>
      <c r="S74" s="171"/>
      <c r="T74" s="172"/>
      <c r="U74" s="37" t="str">
        <f t="shared" si="115"/>
        <v/>
      </c>
      <c r="V74" s="37" t="str">
        <f t="shared" si="116"/>
        <v/>
      </c>
      <c r="W74" s="72" t="str">
        <f t="shared" si="117"/>
        <v/>
      </c>
      <c r="X74" s="73" t="str">
        <f t="shared" si="118"/>
        <v/>
      </c>
      <c r="Y74" s="73" t="str">
        <f t="shared" si="119"/>
        <v/>
      </c>
      <c r="Z74" s="37" t="str">
        <f t="shared" si="120"/>
        <v/>
      </c>
      <c r="AA74" s="37">
        <f t="shared" si="121"/>
        <v>18921310.730599999</v>
      </c>
      <c r="AB74" s="37">
        <f t="shared" si="122"/>
        <v>241305630.26320133</v>
      </c>
      <c r="AC74" s="72">
        <f t="shared" si="123"/>
        <v>51839.199999999997</v>
      </c>
      <c r="AD74" s="73">
        <f t="shared" si="124"/>
        <v>12.7531</v>
      </c>
      <c r="AE74" s="73">
        <f t="shared" si="125"/>
        <v>2.4230999999999998</v>
      </c>
      <c r="AF74" s="37">
        <f t="shared" si="126"/>
        <v>45848069.789999999</v>
      </c>
      <c r="AG74" s="131"/>
    </row>
    <row r="75" spans="1:36" x14ac:dyDescent="0.25">
      <c r="A75" s="18" t="s">
        <v>28</v>
      </c>
      <c r="B75" s="21" t="s">
        <v>112</v>
      </c>
      <c r="C75" s="54" t="s">
        <v>31</v>
      </c>
      <c r="D75" s="20" t="s">
        <v>30</v>
      </c>
      <c r="E75" s="54" t="s">
        <v>102</v>
      </c>
      <c r="F75" s="32" t="s">
        <v>37</v>
      </c>
      <c r="G75" s="37">
        <f>Ene!G75+Feb!G75+Mar!G75+Abr!G75+May!G75+Jun!G75+Jul!G75+Ago!G75+Set!G75+Oct!G75+Nov!G75+Dic!G75</f>
        <v>2811378</v>
      </c>
      <c r="H75" s="37">
        <f>Ene!H75+Feb!H75+Mar!H75+Abr!H75+May!H75+Jun!H75+Jul!H75+Ago!H75+Set!H75+Oct!H75+Nov!H75+Dic!H75</f>
        <v>2921371</v>
      </c>
      <c r="I75" s="37"/>
      <c r="J75" s="37"/>
      <c r="K75" s="37"/>
      <c r="L75" s="37"/>
      <c r="M75" s="37"/>
      <c r="N75" s="37">
        <f>Ene!N75+Feb!N75+Mar!N75+Abr!N75+May!N75+Jun!N75+Jul!N75+Ago!N75+Set!N75+Oct!N75+Nov!N75+Dic!N75</f>
        <v>0</v>
      </c>
      <c r="O75" s="37">
        <f>Ene!O75+Feb!O75+Mar!O75+Abr!O75+May!O75+Jun!O75+Jul!O75+Ago!O75+Set!O75+Oct!O75+Nov!O75+Dic!O75</f>
        <v>347662598.95389998</v>
      </c>
      <c r="P75" s="37">
        <f>Ene!P75+Feb!P75+Mar!P75+Abr!P75+May!P75+Jun!P75+Jul!P75+Ago!P75+Set!P75+Oct!P75+Nov!P75+Dic!P75</f>
        <v>139065039.58000001</v>
      </c>
      <c r="Q75" s="37">
        <f>Ene!Q75+Feb!Q75+Mar!Q75+Abr!Q75+May!Q75+Jun!Q75+Jul!Q75+Ago!Q75+Set!Q75+Oct!Q75+Nov!Q75+Dic!Q75</f>
        <v>69532519.809999987</v>
      </c>
      <c r="R75" s="121">
        <v>0.5</v>
      </c>
      <c r="S75" s="38"/>
      <c r="T75" s="172"/>
      <c r="U75" s="37">
        <f t="shared" si="115"/>
        <v>5732749</v>
      </c>
      <c r="V75" s="37">
        <f t="shared" si="116"/>
        <v>347662598.95389998</v>
      </c>
      <c r="W75" s="72">
        <f t="shared" si="117"/>
        <v>15706.2</v>
      </c>
      <c r="X75" s="73">
        <f t="shared" si="118"/>
        <v>60.645000000000003</v>
      </c>
      <c r="Y75" s="73">
        <f t="shared" si="119"/>
        <v>12.129</v>
      </c>
      <c r="Z75" s="37">
        <f t="shared" si="120"/>
        <v>69532519.809999987</v>
      </c>
      <c r="AA75" s="37" t="str">
        <f t="shared" si="121"/>
        <v/>
      </c>
      <c r="AB75" s="37" t="str">
        <f t="shared" si="122"/>
        <v/>
      </c>
      <c r="AC75" s="72" t="str">
        <f t="shared" si="123"/>
        <v/>
      </c>
      <c r="AD75" s="73" t="str">
        <f t="shared" si="124"/>
        <v/>
      </c>
      <c r="AE75" s="73" t="str">
        <f t="shared" si="125"/>
        <v/>
      </c>
      <c r="AF75" s="37" t="str">
        <f t="shared" si="126"/>
        <v/>
      </c>
      <c r="AG75" s="131"/>
    </row>
    <row r="76" spans="1:36" x14ac:dyDescent="0.25">
      <c r="A76" s="18" t="s">
        <v>28</v>
      </c>
      <c r="B76" s="21" t="s">
        <v>113</v>
      </c>
      <c r="C76" s="54" t="s">
        <v>31</v>
      </c>
      <c r="D76" s="20" t="s">
        <v>30</v>
      </c>
      <c r="E76" s="54" t="s">
        <v>102</v>
      </c>
      <c r="F76" s="30" t="s">
        <v>56</v>
      </c>
      <c r="G76" s="37">
        <f>Ene!G76+Feb!G76+Mar!G76+Abr!G76+May!G76+Jun!G76+Jul!G76+Ago!G76+Set!G76+Oct!G76+Nov!G76+Dic!G76</f>
        <v>60292498.399099998</v>
      </c>
      <c r="H76" s="37">
        <f>Ene!H76+Feb!H76+Mar!H76+Abr!H76+May!H76+Jun!H76+Jul!H76+Ago!H76+Set!H76+Oct!H76+Nov!H76+Dic!H76</f>
        <v>59251274.4155</v>
      </c>
      <c r="I76" s="37"/>
      <c r="J76" s="37"/>
      <c r="K76" s="37"/>
      <c r="L76" s="37"/>
      <c r="M76" s="37"/>
      <c r="N76" s="37">
        <f>Ene!N76+Feb!N76+Mar!N76+Abr!N76+May!N76+Jun!N76+Jul!N76+Ago!N76+Set!N76+Oct!N76+Nov!N76+Dic!N76</f>
        <v>0</v>
      </c>
      <c r="O76" s="37">
        <f>Ene!O76+Feb!O76+Mar!O76+Abr!O76+May!O76+Jun!O76+Jul!O76+Ago!O76+Set!O76+Oct!O76+Nov!O76+Dic!O76</f>
        <v>1410038164.2924123</v>
      </c>
      <c r="P76" s="37">
        <f>Ene!P76+Feb!P76+Mar!P76+Abr!P76+May!P76+Jun!P76+Jul!P76+Ago!P76+Set!P76+Oct!P76+Nov!P76+Dic!P76</f>
        <v>535814502.42999995</v>
      </c>
      <c r="Q76" s="37">
        <f>Ene!Q76+Feb!Q76+Mar!Q76+Abr!Q76+May!Q76+Jun!Q76+Jul!Q76+Ago!Q76+Set!Q76+Oct!Q76+Nov!Q76+Dic!Q76</f>
        <v>267907251.25</v>
      </c>
      <c r="R76" s="121">
        <v>0.5</v>
      </c>
      <c r="S76" s="38"/>
      <c r="T76" s="172"/>
      <c r="U76" s="37" t="str">
        <f t="shared" ref="U76:U79" si="127">IF($F76&amp;"/Día"=W$9,SUM($G76:$H76),"")</f>
        <v/>
      </c>
      <c r="V76" s="37" t="str">
        <f t="shared" ref="V76:V79" si="128">IF(U76&lt;&gt;"",$O76,"")</f>
        <v/>
      </c>
      <c r="W76" s="72" t="str">
        <f t="shared" ref="W76:W79" si="129">IF($F76&amp;"/Día"=W$9,ROUND(U76/$W$1,1),"")</f>
        <v/>
      </c>
      <c r="X76" s="73" t="str">
        <f t="shared" ref="X76:X79" si="130">IF(U76=0,0,IF($F76&amp;"/Día"=W$9,ROUND(V76/U76,4),""))</f>
        <v/>
      </c>
      <c r="Y76" s="73" t="str">
        <f t="shared" ref="Y76:Y79" si="131">IF(U76=0,0,IF($F76&amp;"/Día"=W$9,ROUND(Z76/U76,4),""))</f>
        <v/>
      </c>
      <c r="Z76" s="37" t="str">
        <f t="shared" ref="Z76:Z79" si="132">IF(U76&lt;&gt;"",$Q76,"")</f>
        <v/>
      </c>
      <c r="AA76" s="37">
        <f t="shared" si="121"/>
        <v>119543772.81459999</v>
      </c>
      <c r="AB76" s="37">
        <f t="shared" si="122"/>
        <v>1410038164.2924123</v>
      </c>
      <c r="AC76" s="72">
        <f t="shared" si="123"/>
        <v>327517.2</v>
      </c>
      <c r="AD76" s="73">
        <f t="shared" si="124"/>
        <v>11.795199999999999</v>
      </c>
      <c r="AE76" s="73">
        <f t="shared" si="125"/>
        <v>2.2410999999999999</v>
      </c>
      <c r="AF76" s="37">
        <f t="shared" si="126"/>
        <v>267907251.25</v>
      </c>
      <c r="AG76" s="131"/>
    </row>
    <row r="77" spans="1:36" x14ac:dyDescent="0.25">
      <c r="A77" s="18" t="s">
        <v>28</v>
      </c>
      <c r="B77" s="21" t="s">
        <v>113</v>
      </c>
      <c r="C77" s="54" t="s">
        <v>31</v>
      </c>
      <c r="D77" s="20" t="s">
        <v>30</v>
      </c>
      <c r="E77" s="54" t="s">
        <v>102</v>
      </c>
      <c r="F77" s="30" t="s">
        <v>56</v>
      </c>
      <c r="G77" s="37">
        <f>Ene!G77+Feb!G77+Mar!G77+Abr!G77+May!G77+Jun!G77+Jul!G77+Ago!G77+Set!G77+Oct!G77+Nov!G77+Dic!G77</f>
        <v>2321534.7867000001</v>
      </c>
      <c r="H77" s="37">
        <f>Ene!H77+Feb!H77+Mar!H77+Abr!H77+May!H77+Jun!H77+Jul!H77+Ago!H77+Set!H77+Oct!H77+Nov!H77+Dic!H77</f>
        <v>2263826.7854999998</v>
      </c>
      <c r="I77" s="37"/>
      <c r="J77" s="37"/>
      <c r="K77" s="37"/>
      <c r="L77" s="37"/>
      <c r="M77" s="37"/>
      <c r="N77" s="37">
        <f>Ene!N77+Feb!N77+Mar!N77+Abr!N77+May!N77+Jun!N77+Jul!N77+Ago!N77+Set!N77+Oct!N77+Nov!N77+Dic!N77</f>
        <v>0</v>
      </c>
      <c r="O77" s="37">
        <f>Ene!O77+Feb!O77+Mar!O77+Abr!O77+May!O77+Jun!O77+Jul!O77+Ago!O77+Set!O77+Oct!O77+Nov!O77+Dic!O77</f>
        <v>9671654.6398217101</v>
      </c>
      <c r="P77" s="37">
        <f>Ene!P77+Feb!P77+Mar!P77+Abr!P77+May!P77+Jun!P77+Jul!P77+Ago!P77+Set!P77+Oct!P77+Nov!P77+Dic!P77</f>
        <v>3601724.1799999997</v>
      </c>
      <c r="Q77" s="37">
        <f>Ene!Q77+Feb!Q77+Mar!Q77+Abr!Q77+May!Q77+Jun!Q77+Jul!Q77+Ago!Q77+Set!Q77+Oct!Q77+Nov!Q77+Dic!Q77</f>
        <v>1800862.1100000003</v>
      </c>
      <c r="R77" s="121">
        <v>0.5</v>
      </c>
      <c r="S77" s="38"/>
      <c r="T77" s="172"/>
      <c r="U77" s="37" t="str">
        <f t="shared" si="127"/>
        <v/>
      </c>
      <c r="V77" s="37" t="str">
        <f t="shared" si="128"/>
        <v/>
      </c>
      <c r="W77" s="72" t="str">
        <f t="shared" si="129"/>
        <v/>
      </c>
      <c r="X77" s="73" t="str">
        <f t="shared" si="130"/>
        <v/>
      </c>
      <c r="Y77" s="73" t="str">
        <f t="shared" si="131"/>
        <v/>
      </c>
      <c r="Z77" s="37" t="str">
        <f t="shared" si="132"/>
        <v/>
      </c>
      <c r="AA77" s="37">
        <f t="shared" ref="AA77:AA79" si="133">IF($F77&amp;"/Día"=AC$9,SUM($G77:$H77),"")</f>
        <v>4585361.5722000003</v>
      </c>
      <c r="AB77" s="37">
        <f t="shared" ref="AB77:AB79" si="134">IF(AA77&lt;&gt;"",$O77,"")</f>
        <v>9671654.6398217101</v>
      </c>
      <c r="AC77" s="72">
        <f t="shared" ref="AC77:AC79" si="135">IF($F77&amp;"/Día"=AC$9,ROUND(AA77/$W$1,1),"")</f>
        <v>12562.6</v>
      </c>
      <c r="AD77" s="73">
        <f t="shared" ref="AD77:AD79" si="136">IF(AA77=0,0,IF($F77&amp;"/Día"=AC$9,ROUND(AB77/AA77,4),""))</f>
        <v>2.1092</v>
      </c>
      <c r="AE77" s="73">
        <f t="shared" ref="AE77:AE79" si="137">IF(AA77=0,0,IF($F77&amp;"/Día"=AC$9,ROUND(AF77/AA77,4),""))</f>
        <v>0.39269999999999999</v>
      </c>
      <c r="AF77" s="37">
        <f t="shared" ref="AF77:AF79" si="138">IF(AA77&lt;&gt;"",$Q77,"")</f>
        <v>1800862.1100000003</v>
      </c>
      <c r="AG77" s="131"/>
    </row>
    <row r="78" spans="1:36" x14ac:dyDescent="0.25">
      <c r="A78" s="18" t="s">
        <v>28</v>
      </c>
      <c r="B78" s="21" t="s">
        <v>120</v>
      </c>
      <c r="C78" s="54" t="s">
        <v>31</v>
      </c>
      <c r="D78" s="20" t="s">
        <v>30</v>
      </c>
      <c r="E78" s="54" t="s">
        <v>102</v>
      </c>
      <c r="F78" s="32" t="s">
        <v>37</v>
      </c>
      <c r="G78" s="37">
        <f>Ene!G78+Feb!G78+Mar!G78+Abr!G78+May!G78+Jun!G78+Jul!G78+Ago!G78+Set!G78+Oct!G78+Nov!G78+Dic!G78</f>
        <v>2048175</v>
      </c>
      <c r="H78" s="37">
        <f>Ene!H78+Feb!H78+Mar!H78+Abr!H78+May!H78+Jun!H78+Jul!H78+Ago!H78+Set!H78+Oct!H78+Nov!H78+Dic!H78</f>
        <v>1803596</v>
      </c>
      <c r="I78" s="37"/>
      <c r="J78" s="37"/>
      <c r="K78" s="37"/>
      <c r="L78" s="37"/>
      <c r="M78" s="37"/>
      <c r="N78" s="37">
        <f>Ene!N78+Feb!N78+Mar!N78+Abr!N78+May!N78+Jun!N78+Jul!N78+Ago!N78+Set!N78+Oct!N78+Nov!N78+Dic!N78</f>
        <v>0</v>
      </c>
      <c r="O78" s="37">
        <f>Ene!O78+Feb!O78+Mar!O78+Abr!O78+May!O78+Jun!O78+Jul!O78+Ago!O78+Set!O78+Oct!O78+Nov!O78+Dic!O78</f>
        <v>208216643.2694</v>
      </c>
      <c r="P78" s="37">
        <f>Ene!P78+Feb!P78+Mar!P78+Abr!P78+May!P78+Jun!P78+Jul!P78+Ago!P78+Set!P78+Oct!P78+Nov!P78+Dic!P78</f>
        <v>13194170.315467</v>
      </c>
      <c r="Q78" s="37">
        <f>Ene!Q78+Feb!Q78+Mar!Q78+Abr!Q78+May!Q78+Jun!Q78+Jul!Q78+Ago!Q78+Set!Q78+Oct!Q78+Nov!Q78+Dic!Q78</f>
        <v>6597085.1500000013</v>
      </c>
      <c r="R78" s="121">
        <v>0.5</v>
      </c>
      <c r="S78" s="38"/>
      <c r="T78" s="172"/>
      <c r="U78" s="37">
        <f t="shared" si="127"/>
        <v>3851771</v>
      </c>
      <c r="V78" s="37">
        <f t="shared" si="128"/>
        <v>208216643.2694</v>
      </c>
      <c r="W78" s="72">
        <f t="shared" si="129"/>
        <v>10552.8</v>
      </c>
      <c r="X78" s="73">
        <f t="shared" si="130"/>
        <v>54.057400000000001</v>
      </c>
      <c r="Y78" s="73">
        <f t="shared" si="131"/>
        <v>1.7126999999999999</v>
      </c>
      <c r="Z78" s="37">
        <f t="shared" si="132"/>
        <v>6597085.1500000013</v>
      </c>
      <c r="AA78" s="37" t="str">
        <f t="shared" si="133"/>
        <v/>
      </c>
      <c r="AB78" s="37" t="str">
        <f t="shared" si="134"/>
        <v/>
      </c>
      <c r="AC78" s="72" t="str">
        <f t="shared" si="135"/>
        <v/>
      </c>
      <c r="AD78" s="73" t="str">
        <f t="shared" si="136"/>
        <v/>
      </c>
      <c r="AE78" s="73" t="str">
        <f t="shared" si="137"/>
        <v/>
      </c>
      <c r="AF78" s="37" t="str">
        <f t="shared" si="138"/>
        <v/>
      </c>
      <c r="AG78" s="131"/>
      <c r="AJ78" s="212"/>
    </row>
    <row r="79" spans="1:36" x14ac:dyDescent="0.25">
      <c r="A79" s="18" t="s">
        <v>28</v>
      </c>
      <c r="B79" s="21" t="s">
        <v>121</v>
      </c>
      <c r="C79" s="54" t="s">
        <v>31</v>
      </c>
      <c r="D79" s="20" t="s">
        <v>30</v>
      </c>
      <c r="E79" s="54" t="s">
        <v>102</v>
      </c>
      <c r="F79" s="30" t="s">
        <v>56</v>
      </c>
      <c r="G79" s="37">
        <f>Ene!G79+Feb!G79+Mar!G79+Abr!G79+May!G79+Jun!G79+Jul!G79+Ago!G79+Set!G79+Oct!G79+Nov!G79+Dic!G79</f>
        <v>32569808.838299997</v>
      </c>
      <c r="H79" s="37">
        <f>Ene!H79+Feb!H79+Mar!H79+Abr!H79+May!H79+Jun!H79+Jul!H79+Ago!H79+Set!H79+Oct!H79+Nov!H79+Dic!H79</f>
        <v>28755598.703599997</v>
      </c>
      <c r="I79" s="37"/>
      <c r="J79" s="37"/>
      <c r="K79" s="37"/>
      <c r="L79" s="37"/>
      <c r="M79" s="37"/>
      <c r="N79" s="37">
        <f>Ene!N79+Feb!N79+Mar!N79+Abr!N79+May!N79+Jun!N79+Jul!N79+Ago!N79+Set!N79+Oct!N79+Nov!N79+Dic!N79</f>
        <v>0</v>
      </c>
      <c r="O79" s="37">
        <f>Ene!O79+Feb!O79+Mar!O79+Abr!O79+May!O79+Jun!O79+Jul!O79+Ago!O79+Set!O79+Oct!O79+Nov!O79+Dic!O79</f>
        <v>765079609.4345243</v>
      </c>
      <c r="P79" s="37">
        <f>Ene!P79+Feb!P79+Mar!P79+Abr!P79+May!P79+Jun!P79+Jul!P79+Ago!P79+Set!P79+Oct!P79+Nov!P79+Dic!P79</f>
        <v>74727910.883266002</v>
      </c>
      <c r="Q79" s="37">
        <f>Ene!Q79+Feb!Q79+Mar!Q79+Abr!Q79+May!Q79+Jun!Q79+Jul!Q79+Ago!Q79+Set!Q79+Oct!Q79+Nov!Q79+Dic!Q79</f>
        <v>37363955.450000003</v>
      </c>
      <c r="R79" s="121">
        <v>0.5</v>
      </c>
      <c r="S79" s="38"/>
      <c r="T79" s="172"/>
      <c r="U79" s="37" t="str">
        <f t="shared" si="127"/>
        <v/>
      </c>
      <c r="V79" s="37" t="str">
        <f t="shared" si="128"/>
        <v/>
      </c>
      <c r="W79" s="72" t="str">
        <f t="shared" si="129"/>
        <v/>
      </c>
      <c r="X79" s="73" t="str">
        <f t="shared" si="130"/>
        <v/>
      </c>
      <c r="Y79" s="73" t="str">
        <f t="shared" si="131"/>
        <v/>
      </c>
      <c r="Z79" s="37" t="str">
        <f t="shared" si="132"/>
        <v/>
      </c>
      <c r="AA79" s="37">
        <f t="shared" si="133"/>
        <v>61325407.541899994</v>
      </c>
      <c r="AB79" s="37">
        <f t="shared" si="134"/>
        <v>765079609.4345243</v>
      </c>
      <c r="AC79" s="72">
        <f t="shared" si="135"/>
        <v>168014.8</v>
      </c>
      <c r="AD79" s="73">
        <f t="shared" si="136"/>
        <v>12.4757</v>
      </c>
      <c r="AE79" s="73">
        <f t="shared" si="137"/>
        <v>0.60929999999999995</v>
      </c>
      <c r="AF79" s="37">
        <f t="shared" si="138"/>
        <v>37363955.450000003</v>
      </c>
      <c r="AG79" s="131"/>
      <c r="AJ79" s="212"/>
    </row>
    <row r="80" spans="1:36" x14ac:dyDescent="0.25">
      <c r="A80" s="147" t="s">
        <v>28</v>
      </c>
      <c r="B80" s="148" t="s">
        <v>106</v>
      </c>
      <c r="C80" s="149"/>
      <c r="D80" s="149"/>
      <c r="E80" s="150"/>
      <c r="F80" s="30"/>
      <c r="G80" s="37"/>
      <c r="H80" s="37"/>
      <c r="I80" s="37"/>
      <c r="J80" s="37"/>
      <c r="K80" s="37"/>
      <c r="L80" s="37"/>
      <c r="M80" s="37"/>
      <c r="N80" s="37">
        <f>Ene!N80+Feb!N80+Mar!N80+Abr!N77+May!N80+Jun!N80+Jul!N80+Ago!N80+Set!N80+Oct!N80+Nov!N80+Dic!N80</f>
        <v>0</v>
      </c>
      <c r="O80" s="37">
        <f>Ene!O80+Feb!O80+Mar!O80+Abr!O80+May!O80+Jun!O80+Jul!O80+Ago!O80+Set!O80+Oct!O80+Nov!O80+Dic!O80</f>
        <v>22024100.551960811</v>
      </c>
      <c r="P80" s="37">
        <f>Ene!P80+Feb!P80+Mar!P80+Abr!P80+May!P80+Jun!P80+Jul!P80+Ago!P80+Set!P80+Oct!P80+Nov!P80+Dic!P80</f>
        <v>14815651.401601773</v>
      </c>
      <c r="Q80" s="37">
        <f>Ene!Q80+Feb!Q80+Mar!Q80+Abr!Q80+May!Q80+Jun!Q80+Jul!Q80+Ago!Q80+Set!Q80+Oct!Q80+Nov!Q80+Dic!Q80</f>
        <v>7407825.730000006</v>
      </c>
      <c r="R80" s="130">
        <v>0.5</v>
      </c>
      <c r="S80" s="39"/>
      <c r="T80" s="130"/>
      <c r="U80" s="37" t="str">
        <f>IF($F80&amp;"/Día"=W$9,SUM($G80:$H80),"")</f>
        <v/>
      </c>
      <c r="V80" s="37" t="str">
        <f>IF(U80&lt;&gt;"",$O80,"")</f>
        <v/>
      </c>
      <c r="W80" s="72" t="str">
        <f>IF($F80&amp;"/Día"=W$9,ROUND(U80/$W$1,1),"")</f>
        <v/>
      </c>
      <c r="X80" s="73" t="str">
        <f>IF(U80=0,0,IF($F80&amp;"/Día"=W$9,ROUND(V80/U80,4),""))</f>
        <v/>
      </c>
      <c r="Y80" s="73" t="str">
        <f>IF(U80=0,0,IF($F80&amp;"/Día"=W$9,ROUND(Z80/U80,4),""))</f>
        <v/>
      </c>
      <c r="Z80" s="37" t="str">
        <f>IF(U80&lt;&gt;"",$Q80,"")</f>
        <v/>
      </c>
      <c r="AA80" s="37" t="str">
        <f>IF($F80&amp;"/Día"=AC$9,SUM($G80:$H80),"")</f>
        <v/>
      </c>
      <c r="AB80" s="37" t="str">
        <f>IF(AA80&lt;&gt;"",$O80,"")</f>
        <v/>
      </c>
      <c r="AC80" s="72" t="str">
        <f>IF($F80&amp;"/Día"=AC$9,ROUND(AA80/$W$1,1),"")</f>
        <v/>
      </c>
      <c r="AD80" s="73" t="str">
        <f>IF(AA80=0,0,IF($F80&amp;"/Día"=AC$9,ROUND(AB80/AA80,4),""))</f>
        <v/>
      </c>
      <c r="AE80" s="73" t="str">
        <f>IF(AA80=0,0,IF($F80&amp;"/Día"=AC$9,ROUND(AF80/AA80,4),""))</f>
        <v/>
      </c>
      <c r="AF80" s="37" t="str">
        <f>IF(AA80&lt;&gt;"",$Q80,"")</f>
        <v/>
      </c>
      <c r="AG80" s="131"/>
    </row>
    <row r="81" spans="1:33" x14ac:dyDescent="0.25">
      <c r="A81" s="26"/>
      <c r="B81" s="135" t="s">
        <v>99</v>
      </c>
      <c r="C81" s="27" t="str">
        <f>TEXT(A$70,)&amp;" US$"</f>
        <v>Cusco US$</v>
      </c>
      <c r="D81" s="14"/>
      <c r="E81" s="14"/>
      <c r="F81" s="26"/>
      <c r="G81" s="41"/>
      <c r="H81" s="41"/>
      <c r="I81" s="41"/>
      <c r="J81" s="41"/>
      <c r="K81" s="41"/>
      <c r="L81" s="41"/>
      <c r="M81" s="41"/>
      <c r="N81" s="57">
        <f>SUM(N71:N80)</f>
        <v>0</v>
      </c>
      <c r="O81" s="57">
        <f t="shared" ref="O81:Q81" si="139">SUM(O71:O80)</f>
        <v>4745301906.2080526</v>
      </c>
      <c r="P81" s="57">
        <f t="shared" si="139"/>
        <v>1521376563.510335</v>
      </c>
      <c r="Q81" s="272">
        <f t="shared" si="139"/>
        <v>760688281.98000002</v>
      </c>
      <c r="R81" s="152"/>
      <c r="S81" s="138"/>
      <c r="T81" s="130"/>
      <c r="U81" s="74">
        <f>SUM(U71:U80)</f>
        <v>27674461</v>
      </c>
      <c r="V81" s="74">
        <f>SUM(V71:V80)</f>
        <v>1643858002.974</v>
      </c>
      <c r="W81" s="75">
        <f>SUM(W71:W80)</f>
        <v>75820.5</v>
      </c>
      <c r="X81" s="76">
        <f>ROUND(V81/U81,4)</f>
        <v>59.399799999999999</v>
      </c>
      <c r="Y81" s="76">
        <f>ROUND(Z81/U81,4)</f>
        <v>10.071099999999999</v>
      </c>
      <c r="Z81" s="74">
        <f>SUM(Z71:Z80)</f>
        <v>278711250.24999994</v>
      </c>
      <c r="AA81" s="74">
        <f>SUM(AA71:AA80)</f>
        <v>490841392.54769993</v>
      </c>
      <c r="AB81" s="74">
        <f>SUM(AB71:AB80)</f>
        <v>3079419802.6820917</v>
      </c>
      <c r="AC81" s="75">
        <f>SUM(AC71:AC80)</f>
        <v>1344770.9000000001</v>
      </c>
      <c r="AD81" s="76">
        <f>ROUND(AB81/AA81,4)</f>
        <v>6.2737999999999996</v>
      </c>
      <c r="AE81" s="76">
        <f>ROUND(AF81/AA81,4)</f>
        <v>0.96679999999999999</v>
      </c>
      <c r="AF81" s="74">
        <f>SUM(AF71:AF80)</f>
        <v>474569206</v>
      </c>
      <c r="AG81" s="74">
        <f>Q81-Z81-AF81</f>
        <v>7407825.7300000787</v>
      </c>
    </row>
    <row r="82" spans="1:33" x14ac:dyDescent="0.25">
      <c r="A82" s="127"/>
      <c r="B82" s="128"/>
      <c r="C82" s="27" t="str">
        <f>TEXT(A$70,)&amp;" S/."</f>
        <v>Cusco S/.</v>
      </c>
      <c r="D82" s="97"/>
      <c r="E82" s="97"/>
      <c r="F82" s="127"/>
      <c r="G82" s="86"/>
      <c r="H82" s="86"/>
      <c r="I82" s="86"/>
      <c r="J82" s="86"/>
      <c r="K82" s="86"/>
      <c r="L82" s="86"/>
      <c r="M82" s="86"/>
      <c r="N82" s="86"/>
      <c r="O82" s="120"/>
      <c r="P82" s="120"/>
      <c r="Q82" s="293">
        <f>Ene!Q82+Feb!Q82+Mar!Q82+Abr!Q82+May!Q82+Jun!Q82+Jul!Q82+Ago!Q82+Set!Q82+Oct!Q82+Nov!Q82+Dic!Q82</f>
        <v>2894275937.9464102</v>
      </c>
      <c r="R82" s="151"/>
      <c r="S82" s="138"/>
      <c r="T82" s="130"/>
      <c r="U82" s="131"/>
      <c r="V82" s="131"/>
      <c r="W82" s="132"/>
      <c r="X82" s="133"/>
      <c r="Y82" s="133"/>
      <c r="Z82" s="131"/>
      <c r="AA82" s="131"/>
      <c r="AB82" s="131"/>
      <c r="AC82" s="132"/>
      <c r="AD82" s="133"/>
      <c r="AE82" s="133"/>
      <c r="AF82" s="131"/>
      <c r="AG82" s="131"/>
    </row>
    <row r="83" spans="1:33" x14ac:dyDescent="0.25">
      <c r="A83" s="7" t="s">
        <v>55</v>
      </c>
      <c r="B83" s="213"/>
      <c r="C83" s="213"/>
      <c r="D83" s="213"/>
      <c r="E83" s="213"/>
      <c r="F83" s="10"/>
      <c r="G83" s="51"/>
      <c r="H83" s="51"/>
      <c r="I83" s="51"/>
      <c r="J83" s="51"/>
      <c r="K83" s="51"/>
      <c r="L83" s="51"/>
      <c r="M83" s="51"/>
      <c r="N83" s="273">
        <f>N81+N68+N53+N47</f>
        <v>529264.84610000008</v>
      </c>
      <c r="O83" s="274">
        <f>O81+O68+O53+O47</f>
        <v>6177963357.0835524</v>
      </c>
      <c r="P83" s="274">
        <f>Q81+P68+P53+P47</f>
        <v>1027781173.89</v>
      </c>
      <c r="Q83" s="138">
        <f>Q82+Q69+S69+Q54+Q48+S48</f>
        <v>3913824137.3064103</v>
      </c>
      <c r="R83" s="52"/>
      <c r="S83" s="138"/>
      <c r="T83" s="52"/>
      <c r="U83" s="81">
        <f>U47+U53+U68+U81</f>
        <v>43093117.642300002</v>
      </c>
      <c r="V83" s="81">
        <f>V47+V53+V68+V81</f>
        <v>2949467882.9734001</v>
      </c>
      <c r="W83" s="82">
        <f>W47+W53+W68+W81</f>
        <v>118063.3</v>
      </c>
      <c r="X83" s="83">
        <f>ROUND(V83/U83,4)</f>
        <v>68.444100000000006</v>
      </c>
      <c r="Y83" s="83">
        <f>ROUND(Z83/U83,4)</f>
        <v>12.113099999999999</v>
      </c>
      <c r="Z83" s="81">
        <f>Z47+Z53+Z68+Z81</f>
        <v>521991848.24999994</v>
      </c>
      <c r="AA83" s="81">
        <f>AA47+AA53+AA68+AA81</f>
        <v>513962862.20369995</v>
      </c>
      <c r="AB83" s="81">
        <f>AB47+AB53+AB68+AB81</f>
        <v>3166730332.1850915</v>
      </c>
      <c r="AC83" s="81">
        <f>AC47+AC53+AC68+AC81</f>
        <v>1408117.5000000002</v>
      </c>
      <c r="AD83" s="83">
        <f>ROUND(AB83/AA83,4)</f>
        <v>6.1614000000000004</v>
      </c>
      <c r="AE83" s="83">
        <f>ROUND(AF83/AA83,4)</f>
        <v>0.95520000000000005</v>
      </c>
      <c r="AF83" s="81">
        <f>AF47+AF53+AF68+AF81</f>
        <v>490939930.30000001</v>
      </c>
      <c r="AG83" s="81">
        <f>P83-Z83-AF83</f>
        <v>14849395.340000033</v>
      </c>
    </row>
    <row r="84" spans="1:33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62"/>
      <c r="R84" s="212"/>
      <c r="S84" s="212"/>
      <c r="T84" s="212"/>
    </row>
    <row r="85" spans="1:33" x14ac:dyDescent="0.25">
      <c r="Q85" s="190"/>
      <c r="S85" s="190"/>
    </row>
    <row r="86" spans="1:33" ht="16.350000000000001" customHeight="1" x14ac:dyDescent="0.25"/>
    <row r="87" spans="1:33" ht="15.6" hidden="1" customHeight="1" x14ac:dyDescent="0.25">
      <c r="P87" s="252" t="s">
        <v>126</v>
      </c>
      <c r="Q87" s="253">
        <f>Q48+S48+Q54+Q69+S69+Q82</f>
        <v>3913824137.3064103</v>
      </c>
      <c r="S87" s="242">
        <f>[1]Memoria!$AG$49*1000</f>
        <v>1151842493.8700001</v>
      </c>
      <c r="T87" s="268">
        <f>Q87-S87</f>
        <v>2761981643.43641</v>
      </c>
    </row>
    <row r="88" spans="1:33" ht="15.6" hidden="1" customHeight="1" x14ac:dyDescent="0.25">
      <c r="P88" s="252" t="s">
        <v>133</v>
      </c>
      <c r="Q88" s="242">
        <f>Q47+Q53+Q68+Q81+S47+S68</f>
        <v>1027781173.7999998</v>
      </c>
      <c r="S88" s="242">
        <f>[1]Memoria!$AG$104*1000</f>
        <v>325987029.88040507</v>
      </c>
      <c r="T88" s="268">
        <f>S88-Q88</f>
        <v>-701794143.91959476</v>
      </c>
      <c r="U88" s="241"/>
    </row>
    <row r="89" spans="1:33" ht="4.5" hidden="1" customHeight="1" x14ac:dyDescent="0.25">
      <c r="Q89" s="241"/>
    </row>
    <row r="90" spans="1:33" ht="15.6" hidden="1" customHeight="1" x14ac:dyDescent="0.25">
      <c r="O90" s="597" t="s">
        <v>142</v>
      </c>
      <c r="P90" s="598"/>
      <c r="Q90" s="598"/>
      <c r="R90" s="598"/>
      <c r="S90" s="598"/>
      <c r="T90" s="599"/>
      <c r="U90" s="243"/>
    </row>
    <row r="91" spans="1:33" ht="29.25" hidden="1" customHeight="1" x14ac:dyDescent="0.25">
      <c r="O91" s="249"/>
      <c r="P91" s="249"/>
      <c r="Q91" s="250" t="s">
        <v>132</v>
      </c>
      <c r="R91" s="251"/>
      <c r="S91" s="250" t="s">
        <v>146</v>
      </c>
      <c r="T91" s="254" t="s">
        <v>134</v>
      </c>
      <c r="U91" s="243"/>
    </row>
    <row r="92" spans="1:33" ht="15.6" hidden="1" customHeight="1" x14ac:dyDescent="0.25">
      <c r="O92" s="244" t="s">
        <v>127</v>
      </c>
      <c r="P92" s="244" t="s">
        <v>128</v>
      </c>
      <c r="Q92" s="245">
        <f>SUM(Ene!Q83+Feb!Q82+Mar!Q82)</f>
        <v>1049993265.6030998</v>
      </c>
      <c r="R92" s="244"/>
      <c r="S92" s="245">
        <f>'[1]2020'!$F$50+'[1]2020'!$G$50+'[1]2020'!$H$50</f>
        <v>326306144.82999998</v>
      </c>
      <c r="T92" s="245">
        <f>S92-Q92</f>
        <v>-723687120.7730999</v>
      </c>
      <c r="U92" s="243"/>
    </row>
    <row r="93" spans="1:33" ht="15.6" hidden="1" customHeight="1" x14ac:dyDescent="0.25">
      <c r="O93" s="244" t="s">
        <v>129</v>
      </c>
      <c r="P93" s="244" t="s">
        <v>128</v>
      </c>
      <c r="Q93" s="245">
        <f>SUM(Abr!Q79+May!Q82+Jun!Q82)</f>
        <v>408737449.54620004</v>
      </c>
      <c r="R93" s="244"/>
      <c r="S93" s="245">
        <f>'[1]2020'!$I$50+'[1]2020'!$J$50+'[1]2020'!$K$50</f>
        <v>151054752.81</v>
      </c>
      <c r="T93" s="245">
        <f>S93-Q93</f>
        <v>-257682696.73620003</v>
      </c>
      <c r="U93" s="243"/>
    </row>
    <row r="94" spans="1:33" ht="15.6" hidden="1" customHeight="1" x14ac:dyDescent="0.25">
      <c r="O94" s="244" t="s">
        <v>130</v>
      </c>
      <c r="P94" s="244" t="s">
        <v>128</v>
      </c>
      <c r="Q94" s="245">
        <f>SUM(Jul!Q82+Ago!Q82+Set!Q82)</f>
        <v>627082657.46397007</v>
      </c>
      <c r="R94" s="244"/>
      <c r="S94" s="245">
        <f>'[1]2020'!$L$50+'[1]2020'!$M$50+'[1]2020'!$N$50</f>
        <v>279255234.50999999</v>
      </c>
      <c r="T94" s="245">
        <f>S94-Q94</f>
        <v>-347827422.95397007</v>
      </c>
      <c r="U94" s="243"/>
    </row>
    <row r="95" spans="1:33" ht="15.6" hidden="1" customHeight="1" x14ac:dyDescent="0.25">
      <c r="O95" s="244" t="s">
        <v>131</v>
      </c>
      <c r="P95" s="244" t="s">
        <v>128</v>
      </c>
      <c r="Q95" s="248">
        <f>SUM(Oct!Q82+Nov!Q82+Dic!Q82)</f>
        <v>588863702.31466007</v>
      </c>
      <c r="R95" s="247"/>
      <c r="S95" s="248">
        <f>'[1]2020'!$O$50+'[1]2020'!$P$50+'[1]2020'!$Q$50</f>
        <v>395226361.72000003</v>
      </c>
      <c r="T95" s="245">
        <f>S95-Q95</f>
        <v>-193637340.59466004</v>
      </c>
      <c r="U95" s="243"/>
    </row>
    <row r="96" spans="1:33" ht="15.6" hidden="1" customHeight="1" x14ac:dyDescent="0.25">
      <c r="O96" s="244"/>
      <c r="P96" s="244"/>
      <c r="Q96" s="246">
        <f>SUM(Q92:Q95)</f>
        <v>2674677074.9279299</v>
      </c>
      <c r="R96" s="244"/>
      <c r="S96" s="246">
        <f>SUM(S92:S95)</f>
        <v>1151842493.8699999</v>
      </c>
      <c r="T96" s="245">
        <f>S96-Q96</f>
        <v>-1522834581.05793</v>
      </c>
      <c r="U96" s="243"/>
    </row>
    <row r="97" spans="15:21" ht="15.6" hidden="1" customHeight="1" x14ac:dyDescent="0.25">
      <c r="O97" s="247"/>
      <c r="P97" s="247"/>
      <c r="Q97" s="247"/>
      <c r="R97" s="247"/>
      <c r="S97" s="247"/>
      <c r="T97" s="247"/>
      <c r="U97" s="243"/>
    </row>
    <row r="98" spans="15:21" ht="15.6" hidden="1" customHeight="1" x14ac:dyDescent="0.25">
      <c r="O98" s="243"/>
      <c r="P98" s="243"/>
      <c r="Q98" s="243"/>
      <c r="R98" s="243"/>
      <c r="S98" s="241">
        <f>Q96-S96</f>
        <v>1522834581.05793</v>
      </c>
      <c r="T98" s="243"/>
      <c r="U98" s="243"/>
    </row>
    <row r="99" spans="15:21" ht="15.6" hidden="1" customHeight="1" x14ac:dyDescent="0.25">
      <c r="Q99" s="268"/>
    </row>
    <row r="100" spans="15:21" ht="15.6" hidden="1" customHeight="1" x14ac:dyDescent="0.25">
      <c r="O100" s="597" t="s">
        <v>142</v>
      </c>
      <c r="P100" s="598"/>
      <c r="Q100" s="598"/>
      <c r="R100" s="598"/>
      <c r="S100" s="598"/>
      <c r="T100" s="599"/>
    </row>
    <row r="101" spans="15:21" ht="22.5" hidden="1" x14ac:dyDescent="0.25">
      <c r="O101" s="249"/>
      <c r="P101" s="249"/>
      <c r="Q101" s="250" t="s">
        <v>148</v>
      </c>
      <c r="R101" s="251"/>
      <c r="S101" s="250" t="s">
        <v>148</v>
      </c>
      <c r="T101" s="254" t="s">
        <v>149</v>
      </c>
    </row>
    <row r="102" spans="15:21" ht="15.6" hidden="1" customHeight="1" x14ac:dyDescent="0.25">
      <c r="O102" s="244" t="s">
        <v>127</v>
      </c>
      <c r="P102" s="244" t="s">
        <v>147</v>
      </c>
      <c r="Q102" s="245">
        <f>SUM(Ene!P83+Feb!P82+Mar!P82)</f>
        <v>100668970.67999998</v>
      </c>
      <c r="R102" s="244"/>
      <c r="S102" s="245">
        <f>SUM(('[2]2020'!$F$50/'[2]2020'!$F$53)+('[2]2020'!$G$50/'[2]2020'!$G$53)+('[2]2020'!$H$50/'[2]2020'!$H$53))*1000</f>
        <v>94527029.845069215</v>
      </c>
      <c r="T102" s="245">
        <f>S102-Q102</f>
        <v>-6141940.8349307626</v>
      </c>
    </row>
    <row r="103" spans="15:21" ht="15.6" hidden="1" customHeight="1" x14ac:dyDescent="0.25">
      <c r="O103" s="244" t="s">
        <v>129</v>
      </c>
      <c r="P103" s="244" t="s">
        <v>147</v>
      </c>
      <c r="Q103" s="245">
        <f>SUM(Abr!P79+May!P82+Jun!P82)</f>
        <v>13403054.202096</v>
      </c>
      <c r="R103" s="244"/>
      <c r="S103" s="245">
        <f>SUM(('[1]2020'!$I$50/'[1]2020'!$I$53)+'[1]2020'!$J$50/'[1]2020'!$J$53+('[1]2020'!$K$50/'[1]2020'!$K$53))*1000</f>
        <v>43317947.767177008</v>
      </c>
      <c r="T103" s="245">
        <f>S103-Q103</f>
        <v>29914893.565081008</v>
      </c>
    </row>
    <row r="104" spans="15:21" ht="15.6" hidden="1" customHeight="1" x14ac:dyDescent="0.25">
      <c r="O104" s="244" t="s">
        <v>130</v>
      </c>
      <c r="P104" s="244" t="s">
        <v>147</v>
      </c>
      <c r="Q104" s="245">
        <f>SUM(Jul!P82+Ago!P82+Set!P82)</f>
        <v>0</v>
      </c>
      <c r="R104" s="244"/>
      <c r="S104" s="245">
        <f>SUM(('[1]2020'!$L$50/'[1]2020'!$L$53)+('[1]2020'!$M$50/'[1]2020'!$M$53)+('[1]2020'!$N$50/'[1]2020'!$N$53))*1000</f>
        <v>78355699.421371341</v>
      </c>
      <c r="T104" s="245">
        <f>S104-Q104</f>
        <v>78355699.421371341</v>
      </c>
    </row>
    <row r="105" spans="15:21" ht="15.6" hidden="1" customHeight="1" x14ac:dyDescent="0.25">
      <c r="O105" s="244" t="s">
        <v>131</v>
      </c>
      <c r="P105" s="244" t="s">
        <v>147</v>
      </c>
      <c r="Q105" s="248">
        <f>SUM(Oct!P82+Nov!P82+Dic!P82)</f>
        <v>0</v>
      </c>
      <c r="R105" s="247"/>
      <c r="S105" s="248">
        <f>SUM(('[1]2020'!$O$50/'[1]2020'!$O$53)+('[1]2020'!$P$50/'[1]2020'!$P$53)+('[1]2020'!$Q$50/'[1]2020'!$Q$53))*1000</f>
        <v>109786352.84678751</v>
      </c>
      <c r="T105" s="245">
        <f>S105-Q105</f>
        <v>109786352.84678751</v>
      </c>
    </row>
    <row r="106" spans="15:21" ht="15.6" hidden="1" customHeight="1" x14ac:dyDescent="0.25">
      <c r="O106" s="244"/>
      <c r="P106" s="244"/>
      <c r="Q106" s="246">
        <f>SUM(Q102:Q105)</f>
        <v>114072024.88209598</v>
      </c>
      <c r="R106" s="244"/>
      <c r="S106" s="246">
        <f>SUM(S102:S105)</f>
        <v>325987029.88040507</v>
      </c>
      <c r="T106" s="245">
        <f>S106-Q106</f>
        <v>211915004.99830908</v>
      </c>
    </row>
    <row r="107" spans="15:21" ht="15.6" hidden="1" customHeight="1" x14ac:dyDescent="0.25">
      <c r="O107" s="247"/>
      <c r="P107" s="247"/>
      <c r="Q107" s="247"/>
      <c r="R107" s="247"/>
      <c r="S107" s="247"/>
      <c r="T107" s="247"/>
    </row>
    <row r="108" spans="15:21" ht="15.6" hidden="1" customHeight="1" x14ac:dyDescent="0.25">
      <c r="O108" s="243"/>
      <c r="P108" s="243"/>
      <c r="Q108" s="243"/>
      <c r="R108" s="243"/>
      <c r="S108" s="241"/>
      <c r="T108" s="243"/>
    </row>
    <row r="111" spans="15:21" x14ac:dyDescent="0.25">
      <c r="P111" s="282"/>
    </row>
  </sheetData>
  <mergeCells count="4">
    <mergeCell ref="C7:C8"/>
    <mergeCell ref="O7:O8"/>
    <mergeCell ref="O90:T90"/>
    <mergeCell ref="O100:T100"/>
  </mergeCells>
  <phoneticPr fontId="3" type="noConversion"/>
  <printOptions horizontalCentered="1"/>
  <pageMargins left="0.59055118110236227" right="0.47244094488188981" top="0.98425196850393704" bottom="1" header="0" footer="0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15</vt:i4>
      </vt:variant>
    </vt:vector>
  </HeadingPairs>
  <TitlesOfParts>
    <vt:vector size="28" baseType="lpstr">
      <vt:lpstr>Ene</vt:lpstr>
      <vt:lpstr>Feb</vt:lpstr>
      <vt:lpstr>Mar</vt:lpstr>
      <vt:lpstr>Abr</vt:lpstr>
      <vt:lpstr>May</vt:lpstr>
      <vt:lpstr>Jun</vt:lpstr>
      <vt:lpstr>Jul</vt:lpstr>
      <vt:lpstr>Ago</vt:lpstr>
      <vt:lpstr>Set</vt:lpstr>
      <vt:lpstr>Oct</vt:lpstr>
      <vt:lpstr>Nov</vt:lpstr>
      <vt:lpstr>Dic</vt:lpstr>
      <vt:lpstr>Tot.22</vt:lpstr>
      <vt:lpstr>Abr!Área_de_impresión</vt:lpstr>
      <vt:lpstr>Ago!Área_de_impresión</vt:lpstr>
      <vt:lpstr>Dic!Área_de_impresión</vt:lpstr>
      <vt:lpstr>Ene!Área_de_impresión</vt:lpstr>
      <vt:lpstr>Feb!Área_de_impresión</vt:lpstr>
      <vt:lpstr>Jul!Área_de_impresión</vt:lpstr>
      <vt:lpstr>Jun!Área_de_impresión</vt:lpstr>
      <vt:lpstr>Mar!Área_de_impresión</vt:lpstr>
      <vt:lpstr>May!Área_de_impresión</vt:lpstr>
      <vt:lpstr>Nov!Área_de_impresión</vt:lpstr>
      <vt:lpstr>Oct!Área_de_impresión</vt:lpstr>
      <vt:lpstr>Set!Área_de_impresión</vt:lpstr>
      <vt:lpstr>Tot.22!Área_de_impresión</vt:lpstr>
      <vt:lpstr>Set!tc</vt:lpstr>
      <vt:lpstr>tc</vt:lpstr>
    </vt:vector>
  </TitlesOfParts>
  <Company>PERUPETRO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Vásquez Guevara</dc:creator>
  <cp:lastModifiedBy>Jessica Gallo Cabrera</cp:lastModifiedBy>
  <cp:lastPrinted>2018-10-05T13:28:15Z</cp:lastPrinted>
  <dcterms:created xsi:type="dcterms:W3CDTF">2000-02-15T17:08:19Z</dcterms:created>
  <dcterms:modified xsi:type="dcterms:W3CDTF">2023-01-26T21:23:28Z</dcterms:modified>
</cp:coreProperties>
</file>