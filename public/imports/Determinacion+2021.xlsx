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U:\ADMI\GFTE\ESTADISTICAS\Canon\Portal\2021\"/>
    </mc:Choice>
  </mc:AlternateContent>
  <bookViews>
    <workbookView xWindow="0" yWindow="0" windowWidth="23040" windowHeight="8328" tabRatio="649" firstSheet="3" activeTab="15"/>
  </bookViews>
  <sheets>
    <sheet name="Dic (2)" sheetId="21" state="hidden" r:id="rId1"/>
    <sheet name="Feb (2)" sheetId="23" state="hidden" r:id="rId2"/>
    <sheet name="Abr (2)" sheetId="24" state="hidden" r:id="rId3"/>
    <sheet name="Ene" sheetId="22" r:id="rId4"/>
    <sheet name="Ene-2" sheetId="17" state="hidden" r:id="rId5"/>
    <sheet name="Feb" sheetId="2" r:id="rId6"/>
    <sheet name="Mar" sheetId="3" r:id="rId7"/>
    <sheet name="Abr" sheetId="19" r:id="rId8"/>
    <sheet name="May" sheetId="5" r:id="rId9"/>
    <sheet name="Jun" sheetId="6" r:id="rId10"/>
    <sheet name="Jul" sheetId="7" r:id="rId11"/>
    <sheet name="Ago" sheetId="8" r:id="rId12"/>
    <sheet name="Set" sheetId="18" r:id="rId13"/>
    <sheet name="Oct" sheetId="10" r:id="rId14"/>
    <sheet name="Nov" sheetId="20" r:id="rId15"/>
    <sheet name="Dic" sheetId="12" r:id="rId16"/>
    <sheet name="Tot.21" sheetId="13" state="hidden" r:id="rId17"/>
    <sheet name="Nomenclatura" sheetId="14" state="hidden" r:id="rId18"/>
    <sheet name="Formulas" sheetId="15" state="hidden" r:id="rId19"/>
  </sheets>
  <externalReferences>
    <externalReference r:id="rId20"/>
    <externalReference r:id="rId21"/>
  </externalReferences>
  <definedNames>
    <definedName name="_Order1" hidden="1">255</definedName>
    <definedName name="_Order2" hidden="1">255</definedName>
    <definedName name="_xlnm.Print_Area" localSheetId="7">Abr!$A$2:$T$88</definedName>
    <definedName name="_xlnm.Print_Area" localSheetId="2">'Abr (2)'!$A$2:$T$81</definedName>
    <definedName name="_xlnm.Print_Area" localSheetId="11">Ago!$A$2:$T$88</definedName>
    <definedName name="_xlnm.Print_Area" localSheetId="15">Dic!$A$2:$T$88</definedName>
    <definedName name="_xlnm.Print_Area" localSheetId="0">'Dic (2)'!$A$2:$T$81</definedName>
    <definedName name="_xlnm.Print_Area" localSheetId="3">Ene!$A$2:$T$88</definedName>
    <definedName name="_xlnm.Print_Area" localSheetId="4">'Ene-2'!$A$2:$T$81</definedName>
    <definedName name="_xlnm.Print_Area" localSheetId="5">Feb!$A$2:$T$88</definedName>
    <definedName name="_xlnm.Print_Area" localSheetId="1">'Feb (2)'!$A$2:$T$81</definedName>
    <definedName name="_xlnm.Print_Area" localSheetId="10">Jul!$A$2:$T$88</definedName>
    <definedName name="_xlnm.Print_Area" localSheetId="9">Jun!$A$2:$T$88</definedName>
    <definedName name="_xlnm.Print_Area" localSheetId="6">Mar!$A$2:$T$88</definedName>
    <definedName name="_xlnm.Print_Area" localSheetId="8">May!$A$2:$T$88</definedName>
    <definedName name="_xlnm.Print_Area" localSheetId="17">Nomenclatura!$A$5:$C$46</definedName>
    <definedName name="_xlnm.Print_Area" localSheetId="14">Nov!$A$2:$T$88</definedName>
    <definedName name="_xlnm.Print_Area" localSheetId="13">Oct!$A$2:$T$88</definedName>
    <definedName name="_xlnm.Print_Area" localSheetId="12">Set!$A$2:$T$88</definedName>
    <definedName name="_xlnm.Print_Area" localSheetId="16">Tot.21!$A$2:$T$80</definedName>
    <definedName name="tc" localSheetId="12">Set!$N$1</definedName>
    <definedName name="tc">Ago!$N$1</definedName>
    <definedName name="_xlnm.Print_Titles" localSheetId="17">Nomenclatura!$1:$4</definedName>
  </definedNames>
  <calcPr calcId="162913"/>
</workbook>
</file>

<file path=xl/calcChain.xml><?xml version="1.0" encoding="utf-8"?>
<calcChain xmlns="http://schemas.openxmlformats.org/spreadsheetml/2006/main">
  <c r="M12" i="13" l="1"/>
  <c r="S12" i="13" l="1"/>
  <c r="Q12" i="13"/>
  <c r="P12" i="13"/>
  <c r="O12" i="13"/>
  <c r="N12" i="13"/>
  <c r="N11" i="13"/>
  <c r="W12" i="13"/>
  <c r="U12" i="13"/>
  <c r="Y12" i="13" s="1"/>
  <c r="H12" i="13"/>
  <c r="G12" i="13"/>
  <c r="AA12" i="13" l="1"/>
  <c r="AC12" i="13" s="1"/>
  <c r="X12" i="13"/>
  <c r="Z12" i="13"/>
  <c r="V12" i="13"/>
  <c r="S99" i="13" l="1"/>
  <c r="S100" i="13"/>
  <c r="S98" i="13"/>
  <c r="S97" i="13"/>
  <c r="S90" i="13"/>
  <c r="S89" i="13"/>
  <c r="S88" i="13"/>
  <c r="S87" i="13"/>
  <c r="S83" i="13"/>
  <c r="S82" i="13"/>
  <c r="N33" i="13" l="1"/>
  <c r="M33" i="13"/>
  <c r="H33" i="13"/>
  <c r="G33" i="13"/>
  <c r="A4" i="13" l="1"/>
  <c r="N10" i="13" l="1"/>
  <c r="AA33" i="13"/>
  <c r="W33" i="13"/>
  <c r="U33" i="13"/>
  <c r="X33" i="13" s="1"/>
  <c r="O33" i="13" l="1"/>
  <c r="AB33" i="13" s="1"/>
  <c r="AD33" i="13" s="1"/>
  <c r="V33" i="13"/>
  <c r="Y33" i="13"/>
  <c r="Z33" i="13"/>
  <c r="AC33" i="13"/>
  <c r="AH33" i="13" l="1"/>
  <c r="S33" i="13"/>
  <c r="Q33" i="13"/>
  <c r="P33" i="13"/>
  <c r="AF33" i="13" s="1"/>
  <c r="AE33" i="13" s="1"/>
  <c r="N75" i="13" l="1"/>
  <c r="N74" i="13"/>
  <c r="N73" i="13"/>
  <c r="N72" i="13"/>
  <c r="N71" i="13"/>
  <c r="N70" i="13"/>
  <c r="N69" i="13"/>
  <c r="N68" i="13"/>
  <c r="N67" i="13"/>
  <c r="N66" i="13"/>
  <c r="H75" i="13"/>
  <c r="G75" i="13"/>
  <c r="H74" i="13"/>
  <c r="G74" i="13"/>
  <c r="H73" i="13"/>
  <c r="G73" i="13"/>
  <c r="H72" i="13"/>
  <c r="G72" i="13"/>
  <c r="H71" i="13"/>
  <c r="G71" i="13"/>
  <c r="H70" i="13"/>
  <c r="G70" i="13"/>
  <c r="H69" i="13"/>
  <c r="G69" i="13"/>
  <c r="H68" i="13"/>
  <c r="G68" i="13"/>
  <c r="H67" i="13"/>
  <c r="G67" i="13"/>
  <c r="H66" i="13"/>
  <c r="G66" i="13"/>
  <c r="N62" i="13"/>
  <c r="N61" i="13"/>
  <c r="N60" i="13"/>
  <c r="N59" i="13"/>
  <c r="N58" i="13"/>
  <c r="N57" i="13"/>
  <c r="N56" i="13"/>
  <c r="N55" i="13"/>
  <c r="N54" i="13"/>
  <c r="N53" i="13"/>
  <c r="N52" i="13"/>
  <c r="N51" i="13"/>
  <c r="H61" i="13"/>
  <c r="H60" i="13"/>
  <c r="H59" i="13"/>
  <c r="H58" i="13"/>
  <c r="H57" i="13"/>
  <c r="H56" i="13"/>
  <c r="H55" i="13"/>
  <c r="H54" i="13"/>
  <c r="H53" i="13"/>
  <c r="H52" i="13"/>
  <c r="H51" i="13"/>
  <c r="G61" i="13"/>
  <c r="G60" i="13"/>
  <c r="G59" i="13"/>
  <c r="G58" i="13"/>
  <c r="G57" i="13"/>
  <c r="G56" i="13"/>
  <c r="G55" i="13"/>
  <c r="G54" i="13"/>
  <c r="G53" i="13"/>
  <c r="G52" i="13"/>
  <c r="G51" i="13"/>
  <c r="N47" i="13"/>
  <c r="N46" i="13"/>
  <c r="N45" i="13"/>
  <c r="H46" i="13"/>
  <c r="G46" i="13"/>
  <c r="H45" i="13"/>
  <c r="G45" i="13"/>
  <c r="N41" i="13"/>
  <c r="M40" i="13"/>
  <c r="M39" i="13"/>
  <c r="M38" i="13"/>
  <c r="M37" i="13"/>
  <c r="M36" i="13"/>
  <c r="M35" i="13"/>
  <c r="M34" i="13"/>
  <c r="M32" i="13"/>
  <c r="M31" i="13"/>
  <c r="M30" i="13"/>
  <c r="M29" i="13"/>
  <c r="M28" i="13"/>
  <c r="M27" i="13"/>
  <c r="M26" i="13"/>
  <c r="M25" i="13"/>
  <c r="M24" i="13"/>
  <c r="M23" i="13"/>
  <c r="M22" i="13"/>
  <c r="M21" i="13"/>
  <c r="M20" i="13"/>
  <c r="M19" i="13"/>
  <c r="M18" i="13"/>
  <c r="M17" i="13"/>
  <c r="M16" i="13"/>
  <c r="M15" i="13"/>
  <c r="M14" i="13"/>
  <c r="M13" i="13"/>
  <c r="M11" i="13"/>
  <c r="M10" i="13"/>
  <c r="N40" i="13"/>
  <c r="N39" i="13"/>
  <c r="N38" i="13"/>
  <c r="N37" i="13"/>
  <c r="N36" i="13"/>
  <c r="N35" i="13"/>
  <c r="N34" i="13"/>
  <c r="N32" i="13"/>
  <c r="N31" i="13"/>
  <c r="N30" i="13"/>
  <c r="N29" i="13"/>
  <c r="N28" i="13"/>
  <c r="N27" i="13"/>
  <c r="N26" i="13"/>
  <c r="N25" i="13"/>
  <c r="N24" i="13"/>
  <c r="N23" i="13"/>
  <c r="N22" i="13"/>
  <c r="N21" i="13"/>
  <c r="N20" i="13"/>
  <c r="N19" i="13"/>
  <c r="N18" i="13"/>
  <c r="N17" i="13"/>
  <c r="N16" i="13"/>
  <c r="N15" i="13"/>
  <c r="N14" i="13"/>
  <c r="N13" i="13"/>
  <c r="H40" i="13"/>
  <c r="H39" i="13"/>
  <c r="H38" i="13"/>
  <c r="H37" i="13"/>
  <c r="H36" i="13"/>
  <c r="H35" i="13"/>
  <c r="H34" i="13"/>
  <c r="H32" i="13"/>
  <c r="H31" i="13"/>
  <c r="H30" i="13"/>
  <c r="H29" i="13"/>
  <c r="H28" i="13"/>
  <c r="H27" i="13"/>
  <c r="H26" i="13"/>
  <c r="H25" i="13"/>
  <c r="H24" i="13"/>
  <c r="H23" i="13"/>
  <c r="H22" i="13"/>
  <c r="H21" i="13"/>
  <c r="H20" i="13"/>
  <c r="H19" i="13"/>
  <c r="H18" i="13"/>
  <c r="H17" i="13"/>
  <c r="H16" i="13"/>
  <c r="H15" i="13"/>
  <c r="H14" i="13"/>
  <c r="H13" i="13"/>
  <c r="H11" i="13"/>
  <c r="H10" i="13"/>
  <c r="G40" i="13"/>
  <c r="G39" i="13"/>
  <c r="G38" i="13"/>
  <c r="G37" i="13"/>
  <c r="G36" i="13"/>
  <c r="G35" i="13"/>
  <c r="G34" i="13"/>
  <c r="G32" i="13"/>
  <c r="G31" i="13"/>
  <c r="G30" i="13"/>
  <c r="G29" i="13"/>
  <c r="G28" i="13"/>
  <c r="G27" i="13"/>
  <c r="G26" i="13"/>
  <c r="G25" i="13"/>
  <c r="G24" i="13"/>
  <c r="G23" i="13"/>
  <c r="G22" i="13"/>
  <c r="G21" i="13"/>
  <c r="G20" i="13"/>
  <c r="G19" i="13"/>
  <c r="G18" i="13"/>
  <c r="G17" i="13"/>
  <c r="G16" i="13"/>
  <c r="G15" i="13"/>
  <c r="G14" i="13"/>
  <c r="G13" i="13"/>
  <c r="G11" i="13"/>
  <c r="G10" i="13"/>
  <c r="S101" i="13" l="1"/>
  <c r="AC17" i="13" l="1"/>
  <c r="AA17" i="13"/>
  <c r="AD17" i="13" s="1"/>
  <c r="O17" i="13" l="1"/>
  <c r="AH17" i="13" s="1"/>
  <c r="U17" i="13"/>
  <c r="AB17" i="13"/>
  <c r="AE17" i="13"/>
  <c r="AF17" i="13"/>
  <c r="S17" i="13" l="1"/>
  <c r="V17" i="13"/>
  <c r="X17" i="13" s="1"/>
  <c r="Q17" i="13"/>
  <c r="P17" i="13"/>
  <c r="Z17" i="13" s="1"/>
  <c r="Y17" i="13" s="1"/>
  <c r="W17" i="13"/>
  <c r="AA32" i="13" l="1"/>
  <c r="W32" i="13"/>
  <c r="U32" i="13"/>
  <c r="Z32" i="13" s="1"/>
  <c r="X32" i="13" l="1"/>
  <c r="Y32" i="13"/>
  <c r="AC32" i="13"/>
  <c r="V32" i="13"/>
  <c r="P32" i="13" l="1"/>
  <c r="AF32" i="13" s="1"/>
  <c r="AE32" i="13" s="1"/>
  <c r="O32" i="13"/>
  <c r="S32" i="13"/>
  <c r="Q32" i="13"/>
  <c r="AB32" i="13" l="1"/>
  <c r="AD32" i="13" s="1"/>
  <c r="AH32" i="13"/>
  <c r="AC73" i="13" l="1"/>
  <c r="AA73" i="13"/>
  <c r="AF73" i="13" s="1"/>
  <c r="W74" i="13"/>
  <c r="U74" i="13"/>
  <c r="Z74" i="13" s="1"/>
  <c r="W72" i="13"/>
  <c r="U72" i="13"/>
  <c r="Z72" i="13" s="1"/>
  <c r="W71" i="13"/>
  <c r="U71" i="13"/>
  <c r="X71" i="13" s="1"/>
  <c r="AC62" i="13"/>
  <c r="AA62" i="13"/>
  <c r="AE62" i="13" s="1"/>
  <c r="AC61" i="13"/>
  <c r="AA61" i="13"/>
  <c r="AF61" i="13" s="1"/>
  <c r="AC60" i="13"/>
  <c r="AA60" i="13"/>
  <c r="AE60" i="13" s="1"/>
  <c r="AC59" i="13"/>
  <c r="AA59" i="13"/>
  <c r="AE59" i="13" s="1"/>
  <c r="AC40" i="13"/>
  <c r="AA40" i="13"/>
  <c r="AF40" i="13" s="1"/>
  <c r="W14" i="13"/>
  <c r="U14" i="13"/>
  <c r="Z14" i="13" s="1"/>
  <c r="AF60" i="13" l="1"/>
  <c r="AD59" i="13"/>
  <c r="AB60" i="13"/>
  <c r="AD61" i="13"/>
  <c r="AD73" i="13"/>
  <c r="AF62" i="13"/>
  <c r="AB62" i="13"/>
  <c r="AE73" i="13"/>
  <c r="AB73" i="13"/>
  <c r="Y71" i="13"/>
  <c r="V71" i="13"/>
  <c r="Z71" i="13"/>
  <c r="X72" i="13"/>
  <c r="X74" i="13"/>
  <c r="Y74" i="13"/>
  <c r="Y72" i="13"/>
  <c r="V72" i="13"/>
  <c r="V74" i="13"/>
  <c r="AE61" i="13"/>
  <c r="AB59" i="13"/>
  <c r="AF59" i="13"/>
  <c r="AD60" i="13"/>
  <c r="AB61" i="13"/>
  <c r="AD62" i="13"/>
  <c r="AD40" i="13"/>
  <c r="AE40" i="13"/>
  <c r="AB40" i="13"/>
  <c r="X14" i="13"/>
  <c r="Y14" i="13"/>
  <c r="V14" i="13"/>
  <c r="N42" i="13" l="1"/>
  <c r="U40" i="13"/>
  <c r="W40" i="13" s="1"/>
  <c r="P75" i="13" l="1"/>
  <c r="O41" i="13"/>
  <c r="Q41" i="13" l="1"/>
  <c r="P41" i="13"/>
  <c r="AC54" i="13" l="1"/>
  <c r="AA54" i="13"/>
  <c r="AE54" i="13" s="1"/>
  <c r="O54" i="13" l="1"/>
  <c r="AH54" i="13" s="1"/>
  <c r="S41" i="13"/>
  <c r="AB54" i="13"/>
  <c r="U54" i="13"/>
  <c r="W54" i="13" s="1"/>
  <c r="AD54" i="13"/>
  <c r="AF54" i="13"/>
  <c r="S54" i="13" l="1"/>
  <c r="P54" i="13"/>
  <c r="Z54" i="13" s="1"/>
  <c r="Y54" i="13" s="1"/>
  <c r="Q54" i="13"/>
  <c r="V54" i="13"/>
  <c r="X54" i="13" s="1"/>
  <c r="P74" i="13" l="1"/>
  <c r="P73" i="13"/>
  <c r="U31" i="13" l="1"/>
  <c r="V31" i="13" s="1"/>
  <c r="W31" i="13"/>
  <c r="Q75" i="13"/>
  <c r="O75" i="13"/>
  <c r="O62" i="13"/>
  <c r="O47" i="13"/>
  <c r="O11" i="13" l="1"/>
  <c r="P62" i="13"/>
  <c r="P47" i="13"/>
  <c r="Q62" i="13"/>
  <c r="Q47" i="13"/>
  <c r="S62" i="13"/>
  <c r="O30" i="13"/>
  <c r="AH30" i="13" s="1"/>
  <c r="AA31" i="13"/>
  <c r="X31" i="13"/>
  <c r="Y31" i="13"/>
  <c r="Z31" i="13"/>
  <c r="AH12" i="13" l="1"/>
  <c r="AB12" i="13"/>
  <c r="AD12" i="13" s="1"/>
  <c r="AF12" i="13"/>
  <c r="AE12" i="13" s="1"/>
  <c r="Q30" i="13"/>
  <c r="S30" i="13"/>
  <c r="P30" i="13"/>
  <c r="U59" i="13"/>
  <c r="W59" i="13" s="1"/>
  <c r="AA72" i="13"/>
  <c r="AC72" i="13" s="1"/>
  <c r="AA74" i="13"/>
  <c r="AC74" i="13" s="1"/>
  <c r="U60" i="13"/>
  <c r="W60" i="13" s="1"/>
  <c r="U73" i="13"/>
  <c r="U61" i="13"/>
  <c r="W61" i="13" s="1"/>
  <c r="AC31" i="13"/>
  <c r="Y59" i="13" l="1"/>
  <c r="X59" i="13"/>
  <c r="W73" i="13"/>
  <c r="Q100" i="13" l="1"/>
  <c r="T100" i="13" s="1"/>
  <c r="Q99" i="13"/>
  <c r="T99" i="13" s="1"/>
  <c r="Q98" i="13"/>
  <c r="T98" i="13" s="1"/>
  <c r="Q89" i="13"/>
  <c r="Q77" i="13" l="1"/>
  <c r="Q90" i="13"/>
  <c r="Q88" i="13"/>
  <c r="P31" i="13" l="1"/>
  <c r="AF31" i="13" s="1"/>
  <c r="AE31" i="13" s="1"/>
  <c r="O31" i="13"/>
  <c r="AH31" i="13" s="1"/>
  <c r="Q31" i="13"/>
  <c r="S31" i="13"/>
  <c r="AB31" i="13" l="1"/>
  <c r="AD31" i="13" s="1"/>
  <c r="W30" i="13" l="1"/>
  <c r="U30" i="13"/>
  <c r="Y30" i="13" s="1"/>
  <c r="X30" i="13" l="1"/>
  <c r="V30" i="13"/>
  <c r="Z30" i="13"/>
  <c r="V76" i="24" l="1"/>
  <c r="V74" i="24"/>
  <c r="V73" i="24"/>
  <c r="O73" i="24"/>
  <c r="O77" i="24"/>
  <c r="V77" i="24" l="1"/>
  <c r="N427" i="24"/>
  <c r="J427" i="24"/>
  <c r="I427" i="24"/>
  <c r="H427" i="24"/>
  <c r="G427" i="24"/>
  <c r="O426" i="24"/>
  <c r="Q426" i="24" s="1"/>
  <c r="F426" i="24"/>
  <c r="E426" i="24"/>
  <c r="B426" i="24"/>
  <c r="O425" i="24"/>
  <c r="Q425" i="24" s="1"/>
  <c r="N420" i="24"/>
  <c r="J420" i="24"/>
  <c r="I420" i="24"/>
  <c r="H420" i="24"/>
  <c r="G420" i="24"/>
  <c r="O419" i="24"/>
  <c r="O445" i="24" s="1"/>
  <c r="F419" i="24"/>
  <c r="E419" i="24"/>
  <c r="B419" i="24"/>
  <c r="O418" i="24"/>
  <c r="S418" i="24" s="1"/>
  <c r="N414" i="24"/>
  <c r="J414" i="24"/>
  <c r="I414" i="24"/>
  <c r="H414" i="24"/>
  <c r="G414" i="24"/>
  <c r="O413" i="24"/>
  <c r="O412" i="24"/>
  <c r="P412" i="24" s="1"/>
  <c r="O414" i="24" l="1"/>
  <c r="O446" i="24" s="1"/>
  <c r="O447" i="24" s="1"/>
  <c r="O55" i="24" s="1"/>
  <c r="P425" i="24"/>
  <c r="P418" i="24"/>
  <c r="O420" i="24"/>
  <c r="Q412" i="24"/>
  <c r="Q413" i="24"/>
  <c r="Q419" i="24"/>
  <c r="Q445" i="24" s="1"/>
  <c r="Q427" i="24"/>
  <c r="Q442" i="24" s="1"/>
  <c r="S412" i="24"/>
  <c r="S413" i="24"/>
  <c r="Q418" i="24"/>
  <c r="S419" i="24"/>
  <c r="O427" i="24"/>
  <c r="O442" i="24" s="1"/>
  <c r="P426" i="24"/>
  <c r="P427" i="24" s="1"/>
  <c r="P442" i="24" s="1"/>
  <c r="P413" i="24"/>
  <c r="P414" i="24" s="1"/>
  <c r="P446" i="24" s="1"/>
  <c r="P419" i="24"/>
  <c r="P445" i="24" s="1"/>
  <c r="P447" i="24" l="1"/>
  <c r="P55" i="24" s="1"/>
  <c r="O443" i="24"/>
  <c r="O41" i="24"/>
  <c r="Q443" i="24"/>
  <c r="Q41" i="24"/>
  <c r="S420" i="24"/>
  <c r="S445" i="24"/>
  <c r="P443" i="24"/>
  <c r="P41" i="24"/>
  <c r="Q420" i="24"/>
  <c r="P420" i="24"/>
  <c r="S414" i="24"/>
  <c r="S446" i="24" s="1"/>
  <c r="Q414" i="24"/>
  <c r="Q446" i="24" s="1"/>
  <c r="Q447" i="24" s="1"/>
  <c r="Q55" i="24" s="1"/>
  <c r="S447" i="24" l="1"/>
  <c r="S55" i="24" s="1"/>
  <c r="Q460" i="24"/>
  <c r="P460" i="24"/>
  <c r="O460" i="24"/>
  <c r="N407" i="24"/>
  <c r="M407" i="24"/>
  <c r="L407" i="24"/>
  <c r="K407" i="24"/>
  <c r="J407" i="24"/>
  <c r="I407" i="24"/>
  <c r="H406" i="24"/>
  <c r="H407" i="24" s="1"/>
  <c r="G406" i="24"/>
  <c r="F406" i="24"/>
  <c r="B406" i="24"/>
  <c r="O405" i="24"/>
  <c r="P405" i="24" s="1"/>
  <c r="Q405" i="24" s="1"/>
  <c r="N401" i="24"/>
  <c r="M401" i="24"/>
  <c r="L401" i="24"/>
  <c r="K401" i="24"/>
  <c r="J401" i="24"/>
  <c r="I401" i="24"/>
  <c r="H400" i="24"/>
  <c r="H401" i="24" s="1"/>
  <c r="G400" i="24"/>
  <c r="F400" i="24"/>
  <c r="B400" i="24"/>
  <c r="O399" i="24"/>
  <c r="P399" i="24" s="1"/>
  <c r="Q399" i="24" s="1"/>
  <c r="N395" i="24"/>
  <c r="M395" i="24"/>
  <c r="L395" i="24"/>
  <c r="K395" i="24"/>
  <c r="J395" i="24"/>
  <c r="I395" i="24"/>
  <c r="H394" i="24"/>
  <c r="H395" i="24" s="1"/>
  <c r="G394" i="24"/>
  <c r="F394" i="24"/>
  <c r="B394" i="24"/>
  <c r="O393" i="24"/>
  <c r="P393" i="24" s="1"/>
  <c r="Q393" i="24" s="1"/>
  <c r="N389" i="24"/>
  <c r="M389" i="24"/>
  <c r="L389" i="24"/>
  <c r="K389" i="24"/>
  <c r="J389" i="24"/>
  <c r="I389" i="24"/>
  <c r="H388" i="24"/>
  <c r="H389" i="24" s="1"/>
  <c r="G388" i="24"/>
  <c r="F388" i="24"/>
  <c r="B388" i="24"/>
  <c r="O387" i="24"/>
  <c r="P387" i="24" s="1"/>
  <c r="Q387" i="24" s="1"/>
  <c r="N383" i="24"/>
  <c r="M383" i="24"/>
  <c r="L383" i="24"/>
  <c r="K383" i="24"/>
  <c r="J383" i="24"/>
  <c r="I383" i="24"/>
  <c r="H382" i="24"/>
  <c r="H383" i="24" s="1"/>
  <c r="G382" i="24"/>
  <c r="F382" i="24"/>
  <c r="B382" i="24"/>
  <c r="O381" i="24"/>
  <c r="P381" i="24" s="1"/>
  <c r="Q381" i="24" s="1"/>
  <c r="N377" i="24"/>
  <c r="M377" i="24"/>
  <c r="L377" i="24"/>
  <c r="K377" i="24"/>
  <c r="J377" i="24"/>
  <c r="I377" i="24"/>
  <c r="H376" i="24"/>
  <c r="H377" i="24" s="1"/>
  <c r="G376" i="24"/>
  <c r="F376" i="24"/>
  <c r="B376" i="24"/>
  <c r="O375" i="24"/>
  <c r="P375" i="24" s="1"/>
  <c r="Q375" i="24" s="1"/>
  <c r="N371" i="24"/>
  <c r="M371" i="24"/>
  <c r="L371" i="24"/>
  <c r="K371" i="24"/>
  <c r="J371" i="24"/>
  <c r="I371" i="24"/>
  <c r="H370" i="24"/>
  <c r="H371" i="24" s="1"/>
  <c r="G370" i="24"/>
  <c r="G371" i="24" s="1"/>
  <c r="F370" i="24"/>
  <c r="B370" i="24"/>
  <c r="O369" i="24"/>
  <c r="P369" i="24" s="1"/>
  <c r="Q369" i="24" s="1"/>
  <c r="N365" i="24"/>
  <c r="M365" i="24"/>
  <c r="L365" i="24"/>
  <c r="K365" i="24"/>
  <c r="J365" i="24"/>
  <c r="I365" i="24"/>
  <c r="H364" i="24"/>
  <c r="H365" i="24" s="1"/>
  <c r="G364" i="24"/>
  <c r="G365" i="24" s="1"/>
  <c r="F364" i="24"/>
  <c r="B364" i="24"/>
  <c r="O363" i="24"/>
  <c r="P363" i="24" s="1"/>
  <c r="Q363" i="24" s="1"/>
  <c r="N359" i="24"/>
  <c r="M359" i="24"/>
  <c r="L359" i="24"/>
  <c r="K359" i="24"/>
  <c r="J359" i="24"/>
  <c r="I359" i="24"/>
  <c r="H358" i="24"/>
  <c r="H359" i="24" s="1"/>
  <c r="G358" i="24"/>
  <c r="G359" i="24" s="1"/>
  <c r="F358" i="24"/>
  <c r="B358" i="24"/>
  <c r="O357" i="24"/>
  <c r="P357" i="24" s="1"/>
  <c r="Q357" i="24" s="1"/>
  <c r="N353" i="24"/>
  <c r="M353" i="24"/>
  <c r="L353" i="24"/>
  <c r="K353" i="24"/>
  <c r="J353" i="24"/>
  <c r="I353" i="24"/>
  <c r="H352" i="24"/>
  <c r="H353" i="24" s="1"/>
  <c r="G352" i="24"/>
  <c r="F352" i="24"/>
  <c r="B352" i="24"/>
  <c r="O351" i="24"/>
  <c r="P351" i="24" s="1"/>
  <c r="Q351" i="24" s="1"/>
  <c r="N347" i="24"/>
  <c r="M347" i="24"/>
  <c r="L347" i="24"/>
  <c r="K347" i="24"/>
  <c r="J347" i="24"/>
  <c r="I347" i="24"/>
  <c r="H346" i="24"/>
  <c r="H347" i="24" s="1"/>
  <c r="G346" i="24"/>
  <c r="G347" i="24" s="1"/>
  <c r="F346" i="24"/>
  <c r="B346" i="24"/>
  <c r="O345" i="24"/>
  <c r="P345" i="24" s="1"/>
  <c r="Q345" i="24" s="1"/>
  <c r="N341" i="24"/>
  <c r="M341" i="24"/>
  <c r="L341" i="24"/>
  <c r="K341" i="24"/>
  <c r="J341" i="24"/>
  <c r="I341" i="24"/>
  <c r="H340" i="24"/>
  <c r="H341" i="24" s="1"/>
  <c r="G340" i="24"/>
  <c r="G341" i="24" s="1"/>
  <c r="F340" i="24"/>
  <c r="B340" i="24"/>
  <c r="O339" i="24"/>
  <c r="P339" i="24" s="1"/>
  <c r="Q339" i="24" s="1"/>
  <c r="N335" i="24"/>
  <c r="M335" i="24"/>
  <c r="L335" i="24"/>
  <c r="K335" i="24"/>
  <c r="J335" i="24"/>
  <c r="I335" i="24"/>
  <c r="H334" i="24"/>
  <c r="G334" i="24"/>
  <c r="G335" i="24" s="1"/>
  <c r="F334" i="24"/>
  <c r="B334" i="24"/>
  <c r="O333" i="24"/>
  <c r="P333" i="24" s="1"/>
  <c r="Q333" i="24" s="1"/>
  <c r="N329" i="24"/>
  <c r="M329" i="24"/>
  <c r="L329" i="24"/>
  <c r="K329" i="24"/>
  <c r="J329" i="24"/>
  <c r="I329" i="24"/>
  <c r="H328" i="24"/>
  <c r="H329" i="24" s="1"/>
  <c r="G328" i="24"/>
  <c r="F328" i="24"/>
  <c r="B328" i="24"/>
  <c r="O327" i="24"/>
  <c r="P327" i="24" s="1"/>
  <c r="Q327" i="24" s="1"/>
  <c r="N323" i="24"/>
  <c r="M323" i="24"/>
  <c r="L323" i="24"/>
  <c r="K323" i="24"/>
  <c r="J323" i="24"/>
  <c r="I323" i="24"/>
  <c r="H322" i="24"/>
  <c r="H323" i="24" s="1"/>
  <c r="G322" i="24"/>
  <c r="F322" i="24"/>
  <c r="B322" i="24"/>
  <c r="O321" i="24"/>
  <c r="P321" i="24" s="1"/>
  <c r="Q321" i="24" s="1"/>
  <c r="N317" i="24"/>
  <c r="M317" i="24"/>
  <c r="L317" i="24"/>
  <c r="K317" i="24"/>
  <c r="J317" i="24"/>
  <c r="I317" i="24"/>
  <c r="H316" i="24"/>
  <c r="H317" i="24" s="1"/>
  <c r="G316" i="24"/>
  <c r="G317" i="24" s="1"/>
  <c r="F316" i="24"/>
  <c r="B316" i="24"/>
  <c r="O315" i="24"/>
  <c r="P315" i="24" s="1"/>
  <c r="Q315" i="24" s="1"/>
  <c r="N311" i="24"/>
  <c r="M311" i="24"/>
  <c r="L311" i="24"/>
  <c r="K311" i="24"/>
  <c r="J311" i="24"/>
  <c r="I311" i="24"/>
  <c r="H310" i="24"/>
  <c r="G310" i="24"/>
  <c r="G311" i="24" s="1"/>
  <c r="F310" i="24"/>
  <c r="B310" i="24"/>
  <c r="O309" i="24"/>
  <c r="P309" i="24" s="1"/>
  <c r="Q309" i="24" s="1"/>
  <c r="N305" i="24"/>
  <c r="M305" i="24"/>
  <c r="L305" i="24"/>
  <c r="K305" i="24"/>
  <c r="J305" i="24"/>
  <c r="I305" i="24"/>
  <c r="H304" i="24"/>
  <c r="H305" i="24" s="1"/>
  <c r="G304" i="24"/>
  <c r="F304" i="24"/>
  <c r="B304" i="24"/>
  <c r="O303" i="24"/>
  <c r="P303" i="24" s="1"/>
  <c r="Q303" i="24" s="1"/>
  <c r="N299" i="24"/>
  <c r="M299" i="24"/>
  <c r="L299" i="24"/>
  <c r="K299" i="24"/>
  <c r="J299" i="24"/>
  <c r="I299" i="24"/>
  <c r="H298" i="24"/>
  <c r="H299" i="24" s="1"/>
  <c r="G298" i="24"/>
  <c r="F298" i="24"/>
  <c r="B298" i="24"/>
  <c r="O297" i="24"/>
  <c r="P297" i="24" s="1"/>
  <c r="Q297" i="24" s="1"/>
  <c r="N293" i="24"/>
  <c r="M293" i="24"/>
  <c r="L293" i="24"/>
  <c r="K293" i="24"/>
  <c r="J293" i="24"/>
  <c r="I293" i="24"/>
  <c r="H292" i="24"/>
  <c r="H293" i="24" s="1"/>
  <c r="G292" i="24"/>
  <c r="G293" i="24" s="1"/>
  <c r="F292" i="24"/>
  <c r="B292" i="24"/>
  <c r="O291" i="24"/>
  <c r="P291" i="24" s="1"/>
  <c r="Q291" i="24" s="1"/>
  <c r="N287" i="24"/>
  <c r="M287" i="24"/>
  <c r="L287" i="24"/>
  <c r="K287" i="24"/>
  <c r="J287" i="24"/>
  <c r="I287" i="24"/>
  <c r="H286" i="24"/>
  <c r="H287" i="24" s="1"/>
  <c r="G286" i="24"/>
  <c r="G287" i="24" s="1"/>
  <c r="F286" i="24"/>
  <c r="B286" i="24"/>
  <c r="O285" i="24"/>
  <c r="P285" i="24" s="1"/>
  <c r="Q285" i="24" s="1"/>
  <c r="N281" i="24"/>
  <c r="M281" i="24"/>
  <c r="L281" i="24"/>
  <c r="K281" i="24"/>
  <c r="J281" i="24"/>
  <c r="I281" i="24"/>
  <c r="H280" i="24"/>
  <c r="H281" i="24" s="1"/>
  <c r="G280" i="24"/>
  <c r="G281" i="24" s="1"/>
  <c r="F280" i="24"/>
  <c r="B280" i="24"/>
  <c r="O279" i="24"/>
  <c r="P279" i="24" s="1"/>
  <c r="Q279" i="24" s="1"/>
  <c r="N275" i="24"/>
  <c r="M275" i="24"/>
  <c r="L275" i="24"/>
  <c r="K275" i="24"/>
  <c r="J275" i="24"/>
  <c r="I275" i="24"/>
  <c r="H274" i="24"/>
  <c r="G274" i="24"/>
  <c r="G275" i="24" s="1"/>
  <c r="F274" i="24"/>
  <c r="B274" i="24"/>
  <c r="O273" i="24"/>
  <c r="P273" i="24" s="1"/>
  <c r="Q273" i="24" s="1"/>
  <c r="N269" i="24"/>
  <c r="M269" i="24"/>
  <c r="L269" i="24"/>
  <c r="K269" i="24"/>
  <c r="J269" i="24"/>
  <c r="I269" i="24"/>
  <c r="H268" i="24"/>
  <c r="H269" i="24" s="1"/>
  <c r="G268" i="24"/>
  <c r="F268" i="24"/>
  <c r="B268" i="24"/>
  <c r="O267" i="24"/>
  <c r="P267" i="24" s="1"/>
  <c r="Q267" i="24" s="1"/>
  <c r="N263" i="24"/>
  <c r="M263" i="24"/>
  <c r="L263" i="24"/>
  <c r="K263" i="24"/>
  <c r="J263" i="24"/>
  <c r="I263" i="24"/>
  <c r="H262" i="24"/>
  <c r="H263" i="24" s="1"/>
  <c r="G262" i="24"/>
  <c r="F262" i="24"/>
  <c r="B262" i="24"/>
  <c r="O261" i="24"/>
  <c r="P261" i="24" s="1"/>
  <c r="Q261" i="24" s="1"/>
  <c r="N257" i="24"/>
  <c r="M257" i="24"/>
  <c r="L257" i="24"/>
  <c r="K257" i="24"/>
  <c r="J257" i="24"/>
  <c r="I257" i="24"/>
  <c r="H256" i="24"/>
  <c r="H257" i="24" s="1"/>
  <c r="G256" i="24"/>
  <c r="F256" i="24"/>
  <c r="B256" i="24"/>
  <c r="O255" i="24"/>
  <c r="P255" i="24" s="1"/>
  <c r="Q255" i="24" s="1"/>
  <c r="N251" i="24"/>
  <c r="M251" i="24"/>
  <c r="L251" i="24"/>
  <c r="K251" i="24"/>
  <c r="J251" i="24"/>
  <c r="I251" i="24"/>
  <c r="H250" i="24"/>
  <c r="G250" i="24"/>
  <c r="G251" i="24" s="1"/>
  <c r="F250" i="24"/>
  <c r="B250" i="24"/>
  <c r="O249" i="24"/>
  <c r="P249" i="24" s="1"/>
  <c r="Q249" i="24" s="1"/>
  <c r="N245" i="24"/>
  <c r="M245" i="24"/>
  <c r="L245" i="24"/>
  <c r="K245" i="24"/>
  <c r="J245" i="24"/>
  <c r="I245" i="24"/>
  <c r="H244" i="24"/>
  <c r="H245" i="24" s="1"/>
  <c r="G244" i="24"/>
  <c r="G245" i="24" s="1"/>
  <c r="F244" i="24"/>
  <c r="B244" i="24"/>
  <c r="O243" i="24"/>
  <c r="P243" i="24" s="1"/>
  <c r="Q243" i="24" s="1"/>
  <c r="N239" i="24"/>
  <c r="M239" i="24"/>
  <c r="L239" i="24"/>
  <c r="K239" i="24"/>
  <c r="J239" i="24"/>
  <c r="I239" i="24"/>
  <c r="H238" i="24"/>
  <c r="H239" i="24" s="1"/>
  <c r="G238" i="24"/>
  <c r="G239" i="24" s="1"/>
  <c r="F238" i="24"/>
  <c r="B238" i="24"/>
  <c r="O237" i="24"/>
  <c r="P237" i="24" s="1"/>
  <c r="Q237" i="24" s="1"/>
  <c r="N233" i="24"/>
  <c r="M233" i="24"/>
  <c r="L233" i="24"/>
  <c r="K233" i="24"/>
  <c r="J233" i="24"/>
  <c r="I233" i="24"/>
  <c r="H232" i="24"/>
  <c r="H233" i="24" s="1"/>
  <c r="G232" i="24"/>
  <c r="G233" i="24" s="1"/>
  <c r="F232" i="24"/>
  <c r="B232" i="24"/>
  <c r="O231" i="24"/>
  <c r="P231" i="24" s="1"/>
  <c r="Q231" i="24" s="1"/>
  <c r="N227" i="24"/>
  <c r="M227" i="24"/>
  <c r="L227" i="24"/>
  <c r="K227" i="24"/>
  <c r="J227" i="24"/>
  <c r="I227" i="24"/>
  <c r="H226" i="24"/>
  <c r="H227" i="24" s="1"/>
  <c r="G226" i="24"/>
  <c r="G227" i="24" s="1"/>
  <c r="F226" i="24"/>
  <c r="B226" i="24"/>
  <c r="O225" i="24"/>
  <c r="P225" i="24" s="1"/>
  <c r="Q225" i="24" s="1"/>
  <c r="N221" i="24"/>
  <c r="M221" i="24"/>
  <c r="L221" i="24"/>
  <c r="K221" i="24"/>
  <c r="J221" i="24"/>
  <c r="I221" i="24"/>
  <c r="H220" i="24"/>
  <c r="H221" i="24" s="1"/>
  <c r="G220" i="24"/>
  <c r="G221" i="24" s="1"/>
  <c r="F220" i="24"/>
  <c r="B220" i="24"/>
  <c r="O219" i="24"/>
  <c r="P219" i="24" s="1"/>
  <c r="Q219" i="24" s="1"/>
  <c r="N215" i="24"/>
  <c r="M215" i="24"/>
  <c r="L215" i="24"/>
  <c r="K215" i="24"/>
  <c r="J215" i="24"/>
  <c r="I215" i="24"/>
  <c r="H214" i="24"/>
  <c r="H215" i="24" s="1"/>
  <c r="G214" i="24"/>
  <c r="G215" i="24" s="1"/>
  <c r="F214" i="24"/>
  <c r="B214" i="24"/>
  <c r="O213" i="24"/>
  <c r="P213" i="24" s="1"/>
  <c r="Q213" i="24" s="1"/>
  <c r="N209" i="24"/>
  <c r="M209" i="24"/>
  <c r="L209" i="24"/>
  <c r="K209" i="24"/>
  <c r="J209" i="24"/>
  <c r="I209" i="24"/>
  <c r="H208" i="24"/>
  <c r="G208" i="24"/>
  <c r="G209" i="24" s="1"/>
  <c r="F208" i="24"/>
  <c r="B208" i="24"/>
  <c r="O207" i="24"/>
  <c r="P207" i="24" s="1"/>
  <c r="Q207" i="24" s="1"/>
  <c r="N203" i="24"/>
  <c r="M203" i="24"/>
  <c r="L203" i="24"/>
  <c r="K203" i="24"/>
  <c r="J203" i="24"/>
  <c r="I203" i="24"/>
  <c r="H202" i="24"/>
  <c r="H203" i="24" s="1"/>
  <c r="G202" i="24"/>
  <c r="F202" i="24"/>
  <c r="B202" i="24"/>
  <c r="O201" i="24"/>
  <c r="P201" i="24" s="1"/>
  <c r="Q201" i="24" s="1"/>
  <c r="N197" i="24"/>
  <c r="M197" i="24"/>
  <c r="L197" i="24"/>
  <c r="K197" i="24"/>
  <c r="J197" i="24"/>
  <c r="I197" i="24"/>
  <c r="H196" i="24"/>
  <c r="H197" i="24" s="1"/>
  <c r="G196" i="24"/>
  <c r="F196" i="24"/>
  <c r="B196" i="24"/>
  <c r="O195" i="24"/>
  <c r="P195" i="24" s="1"/>
  <c r="Q195" i="24" s="1"/>
  <c r="N191" i="24"/>
  <c r="M191" i="24"/>
  <c r="L191" i="24"/>
  <c r="K191" i="24"/>
  <c r="J191" i="24"/>
  <c r="I191" i="24"/>
  <c r="H190" i="24"/>
  <c r="H191" i="24" s="1"/>
  <c r="G190" i="24"/>
  <c r="F190" i="24"/>
  <c r="B190" i="24"/>
  <c r="O189" i="24"/>
  <c r="P189" i="24" s="1"/>
  <c r="Q189" i="24" s="1"/>
  <c r="N185" i="24"/>
  <c r="M185" i="24"/>
  <c r="L185" i="24"/>
  <c r="K185" i="24"/>
  <c r="J185" i="24"/>
  <c r="I185" i="24"/>
  <c r="H184" i="24"/>
  <c r="G184" i="24"/>
  <c r="G185" i="24" s="1"/>
  <c r="F184" i="24"/>
  <c r="B184" i="24"/>
  <c r="O183" i="24"/>
  <c r="P183" i="24" s="1"/>
  <c r="Q183" i="24" s="1"/>
  <c r="N179" i="24"/>
  <c r="M179" i="24"/>
  <c r="L179" i="24"/>
  <c r="K179" i="24"/>
  <c r="J179" i="24"/>
  <c r="I179" i="24"/>
  <c r="H178" i="24"/>
  <c r="H179" i="24" s="1"/>
  <c r="G178" i="24"/>
  <c r="G179" i="24" s="1"/>
  <c r="F178" i="24"/>
  <c r="B178" i="24"/>
  <c r="O177" i="24"/>
  <c r="P177" i="24" s="1"/>
  <c r="Q177" i="24" s="1"/>
  <c r="N173" i="24"/>
  <c r="M173" i="24"/>
  <c r="L173" i="24"/>
  <c r="K173" i="24"/>
  <c r="J173" i="24"/>
  <c r="I173" i="24"/>
  <c r="H172" i="24"/>
  <c r="H173" i="24" s="1"/>
  <c r="G172" i="24"/>
  <c r="F172" i="24"/>
  <c r="B172" i="24"/>
  <c r="O171" i="24"/>
  <c r="P171" i="24" s="1"/>
  <c r="Q171" i="24" s="1"/>
  <c r="N167" i="24"/>
  <c r="M167" i="24"/>
  <c r="L167" i="24"/>
  <c r="K167" i="24"/>
  <c r="J167" i="24"/>
  <c r="I167" i="24"/>
  <c r="H166" i="24"/>
  <c r="H167" i="24" s="1"/>
  <c r="G166" i="24"/>
  <c r="G167" i="24" s="1"/>
  <c r="F166" i="24"/>
  <c r="B166" i="24"/>
  <c r="O165" i="24"/>
  <c r="P165" i="24" s="1"/>
  <c r="Q165" i="24" s="1"/>
  <c r="N161" i="24"/>
  <c r="M161" i="24"/>
  <c r="L161" i="24"/>
  <c r="K161" i="24"/>
  <c r="J161" i="24"/>
  <c r="I161" i="24"/>
  <c r="H160" i="24"/>
  <c r="G160" i="24"/>
  <c r="G161" i="24" s="1"/>
  <c r="F160" i="24"/>
  <c r="B160" i="24"/>
  <c r="O159" i="24"/>
  <c r="P159" i="24" s="1"/>
  <c r="Q159" i="24" s="1"/>
  <c r="N155" i="24"/>
  <c r="M155" i="24"/>
  <c r="L155" i="24"/>
  <c r="K155" i="24"/>
  <c r="J155" i="24"/>
  <c r="I155" i="24"/>
  <c r="H155" i="24"/>
  <c r="G154" i="24"/>
  <c r="F154" i="24"/>
  <c r="B154" i="24"/>
  <c r="O153" i="24"/>
  <c r="P153" i="24" s="1"/>
  <c r="Q153" i="24" s="1"/>
  <c r="N149" i="24"/>
  <c r="M149" i="24"/>
  <c r="L149" i="24"/>
  <c r="K149" i="24"/>
  <c r="J149" i="24"/>
  <c r="I149" i="24"/>
  <c r="H148" i="24"/>
  <c r="G148" i="24"/>
  <c r="G149" i="24" s="1"/>
  <c r="F148" i="24"/>
  <c r="B148" i="24"/>
  <c r="O147" i="24"/>
  <c r="P147" i="24" s="1"/>
  <c r="Q147" i="24" s="1"/>
  <c r="N143" i="24"/>
  <c r="M143" i="24"/>
  <c r="L143" i="24"/>
  <c r="K143" i="24"/>
  <c r="J143" i="24"/>
  <c r="I143" i="24"/>
  <c r="H142" i="24"/>
  <c r="H143" i="24" s="1"/>
  <c r="G142" i="24"/>
  <c r="F142" i="24"/>
  <c r="B142" i="24"/>
  <c r="O141" i="24"/>
  <c r="P141" i="24" s="1"/>
  <c r="Q141" i="24" s="1"/>
  <c r="N137" i="24"/>
  <c r="M137" i="24"/>
  <c r="L137" i="24"/>
  <c r="K137" i="24"/>
  <c r="J137" i="24"/>
  <c r="I137" i="24"/>
  <c r="H136" i="24"/>
  <c r="H137" i="24" s="1"/>
  <c r="G136" i="24"/>
  <c r="G137" i="24" s="1"/>
  <c r="F136" i="24"/>
  <c r="B136" i="24"/>
  <c r="O135" i="24"/>
  <c r="P135" i="24" s="1"/>
  <c r="Q135" i="24" s="1"/>
  <c r="N131" i="24"/>
  <c r="M131" i="24"/>
  <c r="L131" i="24"/>
  <c r="K131" i="24"/>
  <c r="J131" i="24"/>
  <c r="I131" i="24"/>
  <c r="H130" i="24"/>
  <c r="H131" i="24" s="1"/>
  <c r="G130" i="24"/>
  <c r="G131" i="24" s="1"/>
  <c r="F130" i="24"/>
  <c r="B130" i="24"/>
  <c r="O129" i="24"/>
  <c r="P129" i="24" s="1"/>
  <c r="Q129" i="24" s="1"/>
  <c r="N125" i="24"/>
  <c r="M125" i="24"/>
  <c r="L125" i="24"/>
  <c r="K125" i="24"/>
  <c r="J125" i="24"/>
  <c r="I125" i="24"/>
  <c r="G125" i="24"/>
  <c r="H124" i="24"/>
  <c r="O124" i="24" s="1"/>
  <c r="F124" i="24"/>
  <c r="B124" i="24"/>
  <c r="O123" i="24"/>
  <c r="P123" i="24" s="1"/>
  <c r="Q123" i="24" s="1"/>
  <c r="N434" i="24"/>
  <c r="M434" i="24"/>
  <c r="L434" i="24"/>
  <c r="K434" i="24"/>
  <c r="J434" i="24"/>
  <c r="I434" i="24"/>
  <c r="H433" i="24"/>
  <c r="H434" i="24" s="1"/>
  <c r="G433" i="24"/>
  <c r="F433" i="24"/>
  <c r="B433" i="24"/>
  <c r="O432" i="24"/>
  <c r="P432" i="24" s="1"/>
  <c r="N119" i="24"/>
  <c r="M119" i="24"/>
  <c r="L119" i="24"/>
  <c r="K119" i="24"/>
  <c r="J119" i="24"/>
  <c r="I119" i="24"/>
  <c r="H118" i="24"/>
  <c r="H119" i="24" s="1"/>
  <c r="G118" i="24"/>
  <c r="F118" i="24"/>
  <c r="B118" i="24"/>
  <c r="P117" i="24"/>
  <c r="Q117" i="24" s="1"/>
  <c r="O117" i="24"/>
  <c r="N113" i="24"/>
  <c r="M113" i="24"/>
  <c r="L113" i="24"/>
  <c r="K113" i="24"/>
  <c r="J113" i="24"/>
  <c r="I113" i="24"/>
  <c r="H112" i="24"/>
  <c r="H113" i="24" s="1"/>
  <c r="G112" i="24"/>
  <c r="G113" i="24" s="1"/>
  <c r="F112" i="24"/>
  <c r="B112" i="24"/>
  <c r="O111" i="24"/>
  <c r="P111" i="24" s="1"/>
  <c r="Q111" i="24" s="1"/>
  <c r="N107" i="24"/>
  <c r="M107" i="24"/>
  <c r="L107" i="24"/>
  <c r="K107" i="24"/>
  <c r="J107" i="24"/>
  <c r="I107" i="24"/>
  <c r="H106" i="24"/>
  <c r="G106" i="24"/>
  <c r="G107" i="24" s="1"/>
  <c r="F106" i="24"/>
  <c r="B106" i="24"/>
  <c r="P105" i="24"/>
  <c r="Q105" i="24" s="1"/>
  <c r="O105" i="24"/>
  <c r="N101" i="24"/>
  <c r="M101" i="24"/>
  <c r="L101" i="24"/>
  <c r="K101" i="24"/>
  <c r="J101" i="24"/>
  <c r="I101" i="24"/>
  <c r="H100" i="24"/>
  <c r="H101" i="24" s="1"/>
  <c r="G100" i="24"/>
  <c r="F100" i="24"/>
  <c r="B100" i="24"/>
  <c r="P99" i="24"/>
  <c r="Q99" i="24" s="1"/>
  <c r="O99" i="24"/>
  <c r="N95" i="24"/>
  <c r="M95" i="24"/>
  <c r="L95" i="24"/>
  <c r="K95" i="24"/>
  <c r="J95" i="24"/>
  <c r="I95" i="24"/>
  <c r="H94" i="24"/>
  <c r="H95" i="24" s="1"/>
  <c r="G94" i="24"/>
  <c r="G95" i="24" s="1"/>
  <c r="F94" i="24"/>
  <c r="B94" i="24"/>
  <c r="P93" i="24"/>
  <c r="Q93" i="24" s="1"/>
  <c r="O93" i="24"/>
  <c r="N89" i="24"/>
  <c r="M89" i="24"/>
  <c r="L89" i="24"/>
  <c r="K89" i="24"/>
  <c r="J89" i="24"/>
  <c r="I89" i="24"/>
  <c r="H88" i="24"/>
  <c r="H89" i="24" s="1"/>
  <c r="G88" i="24"/>
  <c r="F88" i="24"/>
  <c r="B88" i="24"/>
  <c r="V88" i="24"/>
  <c r="P87" i="24"/>
  <c r="Q87" i="24" s="1"/>
  <c r="O87" i="24"/>
  <c r="V84" i="24"/>
  <c r="A83" i="24"/>
  <c r="H80" i="24"/>
  <c r="AB80" i="24"/>
  <c r="H79" i="24"/>
  <c r="H76" i="24"/>
  <c r="H75" i="24"/>
  <c r="V87" i="24"/>
  <c r="N71" i="24"/>
  <c r="M71" i="24"/>
  <c r="J70" i="24"/>
  <c r="H70" i="24"/>
  <c r="G70" i="24"/>
  <c r="C70" i="24"/>
  <c r="H69" i="24"/>
  <c r="G69" i="24"/>
  <c r="C69" i="24"/>
  <c r="AC68" i="24"/>
  <c r="AA68" i="24"/>
  <c r="AD68" i="24" s="1"/>
  <c r="W68" i="24"/>
  <c r="U68" i="24"/>
  <c r="Y68" i="24" s="1"/>
  <c r="AA67" i="24"/>
  <c r="W67" i="24"/>
  <c r="U67" i="24"/>
  <c r="X67" i="24" s="1"/>
  <c r="P67" i="24"/>
  <c r="Q67" i="24" s="1"/>
  <c r="O67" i="24"/>
  <c r="AC66" i="24"/>
  <c r="AA66" i="24"/>
  <c r="AE66" i="24" s="1"/>
  <c r="U66" i="24"/>
  <c r="P66" i="24"/>
  <c r="Q66" i="24" s="1"/>
  <c r="O66" i="24"/>
  <c r="AA65" i="24"/>
  <c r="W65" i="24"/>
  <c r="U65" i="24"/>
  <c r="Y65" i="24" s="1"/>
  <c r="P65" i="24"/>
  <c r="Q65" i="24" s="1"/>
  <c r="O65" i="24"/>
  <c r="AA64" i="24"/>
  <c r="W64" i="24"/>
  <c r="U64" i="24"/>
  <c r="X64" i="24" s="1"/>
  <c r="P64" i="24"/>
  <c r="Q64" i="24" s="1"/>
  <c r="O64" i="24"/>
  <c r="AC63" i="24"/>
  <c r="AA63" i="24"/>
  <c r="AE63" i="24" s="1"/>
  <c r="U63" i="24"/>
  <c r="P63" i="24"/>
  <c r="Q63" i="24" s="1"/>
  <c r="O63" i="24"/>
  <c r="AA62" i="24"/>
  <c r="W62" i="24"/>
  <c r="U62" i="24"/>
  <c r="X62" i="24" s="1"/>
  <c r="P62" i="24"/>
  <c r="Q62" i="24" s="1"/>
  <c r="O62" i="24"/>
  <c r="AA61" i="24"/>
  <c r="W61" i="24"/>
  <c r="U61" i="24"/>
  <c r="Y61" i="24" s="1"/>
  <c r="O61" i="24"/>
  <c r="P61" i="24" s="1"/>
  <c r="Q61" i="24" s="1"/>
  <c r="AA60" i="24"/>
  <c r="W60" i="24"/>
  <c r="U60" i="24"/>
  <c r="Z60" i="24" s="1"/>
  <c r="P60" i="24"/>
  <c r="Q60" i="24" s="1"/>
  <c r="O60" i="24"/>
  <c r="AC59" i="24"/>
  <c r="AA59" i="24"/>
  <c r="U59" i="24"/>
  <c r="P59" i="24"/>
  <c r="O59" i="24"/>
  <c r="C57" i="24"/>
  <c r="C56" i="24"/>
  <c r="AC55" i="24"/>
  <c r="AA55" i="24"/>
  <c r="AD55" i="24" s="1"/>
  <c r="W55" i="24"/>
  <c r="U55" i="24"/>
  <c r="Z55" i="24" s="1"/>
  <c r="AC54" i="24"/>
  <c r="AA54" i="24"/>
  <c r="AD54" i="24" s="1"/>
  <c r="U54" i="24"/>
  <c r="O54" i="24"/>
  <c r="P54" i="24" s="1"/>
  <c r="AC53" i="24"/>
  <c r="AA53" i="24"/>
  <c r="AD53" i="24" s="1"/>
  <c r="U53" i="24"/>
  <c r="O53" i="24"/>
  <c r="P53" i="24" s="1"/>
  <c r="AC52" i="24"/>
  <c r="AA52" i="24"/>
  <c r="AD52" i="24" s="1"/>
  <c r="U52" i="24"/>
  <c r="O52" i="24"/>
  <c r="P52" i="24" s="1"/>
  <c r="AC51" i="24"/>
  <c r="AA51" i="24"/>
  <c r="AD51" i="24" s="1"/>
  <c r="U51" i="24"/>
  <c r="X51" i="24" s="1"/>
  <c r="O51" i="24"/>
  <c r="P51" i="24" s="1"/>
  <c r="AC50" i="24"/>
  <c r="AA50" i="24"/>
  <c r="AD50" i="24" s="1"/>
  <c r="U50" i="24"/>
  <c r="O50" i="24"/>
  <c r="P50" i="24" s="1"/>
  <c r="AA49" i="24"/>
  <c r="W49" i="24"/>
  <c r="U49" i="24"/>
  <c r="Z49" i="24" s="1"/>
  <c r="O49" i="24"/>
  <c r="P49" i="24" s="1"/>
  <c r="AC48" i="24"/>
  <c r="AA48" i="24"/>
  <c r="AD48" i="24" s="1"/>
  <c r="U48" i="24"/>
  <c r="O48" i="24"/>
  <c r="P48" i="24" s="1"/>
  <c r="AC47" i="24"/>
  <c r="AA47" i="24"/>
  <c r="AD47" i="24" s="1"/>
  <c r="U47" i="24"/>
  <c r="O47" i="24"/>
  <c r="S47" i="24" s="1"/>
  <c r="AC46" i="24"/>
  <c r="AA46" i="24"/>
  <c r="AD46" i="24" s="1"/>
  <c r="U46" i="24"/>
  <c r="O46" i="24"/>
  <c r="AC45" i="24"/>
  <c r="AA45" i="24"/>
  <c r="AD45" i="24" s="1"/>
  <c r="U45" i="24"/>
  <c r="X45" i="24" s="1"/>
  <c r="O45" i="24"/>
  <c r="S45" i="24" s="1"/>
  <c r="C43" i="24"/>
  <c r="S42" i="24"/>
  <c r="S43" i="24" s="1"/>
  <c r="C42" i="24"/>
  <c r="AC41" i="24"/>
  <c r="AA41" i="24"/>
  <c r="AE41" i="24" s="1"/>
  <c r="W41" i="24"/>
  <c r="U41" i="24"/>
  <c r="X41" i="24" s="1"/>
  <c r="AC40" i="24"/>
  <c r="AA40" i="24"/>
  <c r="AE40" i="24" s="1"/>
  <c r="U40" i="24"/>
  <c r="O40" i="24"/>
  <c r="AC39" i="24"/>
  <c r="AA39" i="24"/>
  <c r="U39" i="24"/>
  <c r="O39" i="24"/>
  <c r="Q39" i="24" s="1"/>
  <c r="C37" i="24"/>
  <c r="C36" i="24"/>
  <c r="AC35" i="24"/>
  <c r="AA35" i="24"/>
  <c r="AE35" i="24" s="1"/>
  <c r="W35" i="24"/>
  <c r="U35" i="24"/>
  <c r="X35" i="24" s="1"/>
  <c r="O34" i="24"/>
  <c r="Q34" i="24" s="1"/>
  <c r="AC33" i="24"/>
  <c r="AA33" i="24"/>
  <c r="AE33" i="24" s="1"/>
  <c r="H33" i="24"/>
  <c r="O33" i="24" s="1"/>
  <c r="AA32" i="24"/>
  <c r="W32" i="24"/>
  <c r="U32" i="24"/>
  <c r="X32" i="24" s="1"/>
  <c r="O32" i="24"/>
  <c r="S32" i="24" s="1"/>
  <c r="AC31" i="24"/>
  <c r="AA31" i="24"/>
  <c r="U31" i="24"/>
  <c r="X31" i="24" s="1"/>
  <c r="O31" i="24"/>
  <c r="S31" i="24" s="1"/>
  <c r="AC30" i="24"/>
  <c r="AA30" i="24"/>
  <c r="U30" i="24"/>
  <c r="O30" i="24"/>
  <c r="S30" i="24" s="1"/>
  <c r="W29" i="24"/>
  <c r="U29" i="24"/>
  <c r="X29" i="24" s="1"/>
  <c r="H29" i="24"/>
  <c r="AA29" i="24" s="1"/>
  <c r="AC28" i="24"/>
  <c r="AA28" i="24"/>
  <c r="AF28" i="24" s="1"/>
  <c r="H28" i="24"/>
  <c r="G28" i="24"/>
  <c r="W27" i="24"/>
  <c r="U27" i="24"/>
  <c r="Z27" i="24" s="1"/>
  <c r="H27" i="24"/>
  <c r="G27" i="24"/>
  <c r="AC26" i="24"/>
  <c r="AA26" i="24"/>
  <c r="AE26" i="24" s="1"/>
  <c r="U26" i="24"/>
  <c r="Y26" i="24" s="1"/>
  <c r="O26" i="24"/>
  <c r="P26" i="24" s="1"/>
  <c r="AC25" i="24"/>
  <c r="AA25" i="24"/>
  <c r="AD25" i="24" s="1"/>
  <c r="U25" i="24"/>
  <c r="O25" i="24"/>
  <c r="P25" i="24" s="1"/>
  <c r="AC24" i="24"/>
  <c r="AA24" i="24"/>
  <c r="AF24" i="24" s="1"/>
  <c r="U24" i="24"/>
  <c r="O24" i="24"/>
  <c r="Q24" i="24" s="1"/>
  <c r="AC23" i="24"/>
  <c r="AA23" i="24"/>
  <c r="AE23" i="24" s="1"/>
  <c r="U23" i="24"/>
  <c r="Y23" i="24" s="1"/>
  <c r="O23" i="24"/>
  <c r="S23" i="24" s="1"/>
  <c r="AA22" i="24"/>
  <c r="W22" i="24"/>
  <c r="U22" i="24"/>
  <c r="Y22" i="24" s="1"/>
  <c r="O22" i="24"/>
  <c r="P22" i="24" s="1"/>
  <c r="AC21" i="24"/>
  <c r="AA21" i="24"/>
  <c r="AF21" i="24" s="1"/>
  <c r="U21" i="24"/>
  <c r="O21" i="24"/>
  <c r="S21" i="24" s="1"/>
  <c r="AC20" i="24"/>
  <c r="AA20" i="24"/>
  <c r="AE20" i="24" s="1"/>
  <c r="U20" i="24"/>
  <c r="O20" i="24"/>
  <c r="S20" i="24" s="1"/>
  <c r="AA19" i="24"/>
  <c r="W19" i="24"/>
  <c r="U19" i="24"/>
  <c r="Z19" i="24" s="1"/>
  <c r="O19" i="24"/>
  <c r="Q19" i="24" s="1"/>
  <c r="AC18" i="24"/>
  <c r="AA18" i="24"/>
  <c r="AE18" i="24" s="1"/>
  <c r="U18" i="24"/>
  <c r="X18" i="24" s="1"/>
  <c r="O18" i="24"/>
  <c r="Q18" i="24" s="1"/>
  <c r="AC17" i="24"/>
  <c r="AA17" i="24"/>
  <c r="AE17" i="24" s="1"/>
  <c r="U17" i="24"/>
  <c r="O17" i="24"/>
  <c r="Q17" i="24" s="1"/>
  <c r="AC16" i="24"/>
  <c r="AA16" i="24"/>
  <c r="AE16" i="24" s="1"/>
  <c r="U16" i="24"/>
  <c r="O16" i="24"/>
  <c r="Q16" i="24" s="1"/>
  <c r="AC15" i="24"/>
  <c r="AA15" i="24"/>
  <c r="AE15" i="24" s="1"/>
  <c r="U15" i="24"/>
  <c r="O15" i="24"/>
  <c r="Q15" i="24" s="1"/>
  <c r="AC14" i="24"/>
  <c r="AA14" i="24"/>
  <c r="AE14" i="24" s="1"/>
  <c r="U14" i="24"/>
  <c r="O14" i="24"/>
  <c r="Q14" i="24" s="1"/>
  <c r="AA13" i="24"/>
  <c r="W13" i="24"/>
  <c r="U13" i="24"/>
  <c r="Z13" i="24" s="1"/>
  <c r="O13" i="24"/>
  <c r="P13" i="24" s="1"/>
  <c r="AC12" i="24"/>
  <c r="AA12" i="24"/>
  <c r="AE12" i="24" s="1"/>
  <c r="U12" i="24"/>
  <c r="O12" i="24"/>
  <c r="Q12" i="24" s="1"/>
  <c r="AA11" i="24"/>
  <c r="W11" i="24"/>
  <c r="U11" i="24"/>
  <c r="Z11" i="24" s="1"/>
  <c r="O11" i="24"/>
  <c r="Q11" i="24" s="1"/>
  <c r="AC10" i="24"/>
  <c r="AA10" i="24"/>
  <c r="AF10" i="24" s="1"/>
  <c r="U10" i="24"/>
  <c r="O10" i="24"/>
  <c r="Q10" i="24" s="1"/>
  <c r="A5" i="24"/>
  <c r="A4" i="24"/>
  <c r="W1" i="24"/>
  <c r="O125" i="24" l="1"/>
  <c r="O27" i="24"/>
  <c r="O29" i="24"/>
  <c r="S29" i="24" s="1"/>
  <c r="Z62" i="24"/>
  <c r="P39" i="24"/>
  <c r="Z39" i="24" s="1"/>
  <c r="Z53" i="24"/>
  <c r="Z54" i="24"/>
  <c r="Z26" i="24"/>
  <c r="O322" i="24"/>
  <c r="P322" i="24" s="1"/>
  <c r="Q322" i="24" s="1"/>
  <c r="Q323" i="24" s="1"/>
  <c r="V25" i="24"/>
  <c r="X25" i="24" s="1"/>
  <c r="Q26" i="24"/>
  <c r="AD40" i="24"/>
  <c r="Q25" i="24"/>
  <c r="AB26" i="24"/>
  <c r="AB40" i="24"/>
  <c r="V41" i="24"/>
  <c r="S52" i="24"/>
  <c r="Q52" i="24" s="1"/>
  <c r="P100" i="24"/>
  <c r="P101" i="24" s="1"/>
  <c r="V40" i="24"/>
  <c r="X40" i="24" s="1"/>
  <c r="Z25" i="24"/>
  <c r="Y25" i="24" s="1"/>
  <c r="X26" i="24"/>
  <c r="AF26" i="24"/>
  <c r="Y32" i="24"/>
  <c r="AB33" i="24"/>
  <c r="AA42" i="24"/>
  <c r="AE42" i="24" s="1"/>
  <c r="AB60" i="24"/>
  <c r="AD60" i="24" s="1"/>
  <c r="V62" i="24"/>
  <c r="O226" i="24"/>
  <c r="O227" i="24" s="1"/>
  <c r="AB13" i="24"/>
  <c r="AD13" i="24" s="1"/>
  <c r="S25" i="24"/>
  <c r="S26" i="24"/>
  <c r="AB39" i="24"/>
  <c r="Z52" i="24"/>
  <c r="AF52" i="24"/>
  <c r="X53" i="24"/>
  <c r="AF53" i="24"/>
  <c r="X54" i="24"/>
  <c r="AF54" i="24"/>
  <c r="P106" i="24"/>
  <c r="Q106" i="24" s="1"/>
  <c r="O178" i="24"/>
  <c r="O179" i="24" s="1"/>
  <c r="O196" i="24"/>
  <c r="P196" i="24" s="1"/>
  <c r="AD41" i="24"/>
  <c r="O298" i="24"/>
  <c r="P298" i="24" s="1"/>
  <c r="W63" i="24"/>
  <c r="V26" i="24"/>
  <c r="AB52" i="24"/>
  <c r="S53" i="24"/>
  <c r="Q53" i="24" s="1"/>
  <c r="AB53" i="24"/>
  <c r="S54" i="24"/>
  <c r="Q54" i="24" s="1"/>
  <c r="AB54" i="24"/>
  <c r="V67" i="24"/>
  <c r="G71" i="24"/>
  <c r="H71" i="24"/>
  <c r="O88" i="24"/>
  <c r="O89" i="24" s="1"/>
  <c r="O449" i="24" s="1"/>
  <c r="O112" i="24"/>
  <c r="P112" i="24" s="1"/>
  <c r="Q112" i="24" s="1"/>
  <c r="Q113" i="24" s="1"/>
  <c r="O166" i="24"/>
  <c r="P166" i="24" s="1"/>
  <c r="O172" i="24"/>
  <c r="O173" i="24" s="1"/>
  <c r="O262" i="24"/>
  <c r="O263" i="24" s="1"/>
  <c r="AB12" i="24"/>
  <c r="AF61" i="24"/>
  <c r="AE61" i="24" s="1"/>
  <c r="AB65" i="24"/>
  <c r="AD65" i="24" s="1"/>
  <c r="AD21" i="24"/>
  <c r="J71" i="24"/>
  <c r="S12" i="24"/>
  <c r="O197" i="24"/>
  <c r="AB55" i="24"/>
  <c r="Q107" i="24"/>
  <c r="S22" i="24"/>
  <c r="X60" i="24"/>
  <c r="AB45" i="24"/>
  <c r="AF67" i="24"/>
  <c r="AE67" i="24" s="1"/>
  <c r="AF12" i="24"/>
  <c r="AB15" i="24"/>
  <c r="AF45" i="24"/>
  <c r="AB49" i="24"/>
  <c r="AD49" i="24" s="1"/>
  <c r="AC11" i="24"/>
  <c r="W16" i="24"/>
  <c r="X19" i="24"/>
  <c r="Q20" i="24"/>
  <c r="AB20" i="24"/>
  <c r="Q22" i="24"/>
  <c r="S24" i="24"/>
  <c r="AA27" i="24"/>
  <c r="AB27" i="24" s="1"/>
  <c r="V32" i="24"/>
  <c r="AD33" i="24"/>
  <c r="U42" i="24"/>
  <c r="AF39" i="24"/>
  <c r="AF40" i="24"/>
  <c r="Z41" i="24"/>
  <c r="Z48" i="24"/>
  <c r="V86" i="24"/>
  <c r="V89" i="24" s="1"/>
  <c r="H107" i="24"/>
  <c r="Q432" i="24"/>
  <c r="O214" i="24"/>
  <c r="P214" i="24" s="1"/>
  <c r="O232" i="24"/>
  <c r="O233" i="24" s="1"/>
  <c r="O244" i="24"/>
  <c r="O245" i="24" s="1"/>
  <c r="O280" i="24"/>
  <c r="O281" i="24" s="1"/>
  <c r="O286" i="24"/>
  <c r="O287" i="24" s="1"/>
  <c r="O292" i="24"/>
  <c r="O293" i="24" s="1"/>
  <c r="O340" i="24"/>
  <c r="P340" i="24" s="1"/>
  <c r="O358" i="24"/>
  <c r="P358" i="24" s="1"/>
  <c r="O364" i="24"/>
  <c r="O365" i="24" s="1"/>
  <c r="AC13" i="24"/>
  <c r="W17" i="24"/>
  <c r="W18" i="24"/>
  <c r="AB19" i="24"/>
  <c r="AD19" i="24" s="1"/>
  <c r="X22" i="24"/>
  <c r="AF33" i="24"/>
  <c r="AD35" i="24"/>
  <c r="AF46" i="24"/>
  <c r="AF55" i="24"/>
  <c r="V63" i="24"/>
  <c r="X63" i="24" s="1"/>
  <c r="V20" i="24"/>
  <c r="X20" i="24" s="1"/>
  <c r="AC22" i="24"/>
  <c r="W26" i="24"/>
  <c r="AF35" i="24"/>
  <c r="AB67" i="24"/>
  <c r="AD67" i="24" s="1"/>
  <c r="O106" i="24"/>
  <c r="O107" i="24" s="1"/>
  <c r="O316" i="24"/>
  <c r="O317" i="24" s="1"/>
  <c r="X11" i="24"/>
  <c r="W12" i="24"/>
  <c r="W14" i="24"/>
  <c r="W15" i="24"/>
  <c r="AF16" i="24"/>
  <c r="P20" i="24"/>
  <c r="Z20" i="24" s="1"/>
  <c r="Y20" i="24" s="1"/>
  <c r="V22" i="24"/>
  <c r="Y31" i="24"/>
  <c r="S34" i="24"/>
  <c r="AB35" i="24"/>
  <c r="AC42" i="24"/>
  <c r="AB46" i="24"/>
  <c r="AF49" i="24"/>
  <c r="AE49" i="24" s="1"/>
  <c r="X52" i="24"/>
  <c r="AF60" i="24"/>
  <c r="AE60" i="24" s="1"/>
  <c r="O130" i="24"/>
  <c r="O131" i="24" s="1"/>
  <c r="G173" i="24"/>
  <c r="G197" i="24"/>
  <c r="G263" i="24"/>
  <c r="AD28" i="24"/>
  <c r="V29" i="24"/>
  <c r="AB47" i="24"/>
  <c r="S48" i="24"/>
  <c r="AB48" i="24"/>
  <c r="S49" i="24"/>
  <c r="Z50" i="24"/>
  <c r="Y50" i="24" s="1"/>
  <c r="AF50" i="24"/>
  <c r="AF51" i="24"/>
  <c r="AF62" i="24"/>
  <c r="AE62" i="24" s="1"/>
  <c r="Y64" i="24"/>
  <c r="X65" i="24"/>
  <c r="AF66" i="24"/>
  <c r="V68" i="24"/>
  <c r="AF23" i="24"/>
  <c r="X13" i="24"/>
  <c r="AB14" i="24"/>
  <c r="S15" i="24"/>
  <c r="AB17" i="24"/>
  <c r="S18" i="24"/>
  <c r="AB18" i="24"/>
  <c r="S19" i="24"/>
  <c r="P21" i="24"/>
  <c r="Z21" i="24" s="1"/>
  <c r="Y21" i="24" s="1"/>
  <c r="V21" i="24"/>
  <c r="X21" i="24" s="1"/>
  <c r="P23" i="24"/>
  <c r="Z23" i="24" s="1"/>
  <c r="V23" i="24"/>
  <c r="AB23" i="24"/>
  <c r="AA56" i="24"/>
  <c r="Z65" i="24"/>
  <c r="AE68" i="24"/>
  <c r="S432" i="24"/>
  <c r="P124" i="24"/>
  <c r="P125" i="24" s="1"/>
  <c r="AB10" i="24"/>
  <c r="S14" i="24"/>
  <c r="AF15" i="24"/>
  <c r="AB16" i="24"/>
  <c r="S17" i="24"/>
  <c r="AD20" i="24"/>
  <c r="Q21" i="24"/>
  <c r="Z22" i="24"/>
  <c r="Q23" i="24"/>
  <c r="X23" i="24"/>
  <c r="P24" i="24"/>
  <c r="Z24" i="24" s="1"/>
  <c r="Y24" i="24" s="1"/>
  <c r="V24" i="24"/>
  <c r="X24" i="24" s="1"/>
  <c r="AD24" i="24"/>
  <c r="AF47" i="24"/>
  <c r="X48" i="24"/>
  <c r="AF48" i="24"/>
  <c r="AB50" i="24"/>
  <c r="S51" i="24"/>
  <c r="AB51" i="24"/>
  <c r="Z63" i="24"/>
  <c r="Y63" i="24" s="1"/>
  <c r="V65" i="24"/>
  <c r="AB66" i="24"/>
  <c r="Z68" i="24"/>
  <c r="AF14" i="24"/>
  <c r="AF17" i="24"/>
  <c r="AF18" i="24"/>
  <c r="AF20" i="24"/>
  <c r="AD23" i="24"/>
  <c r="X27" i="24"/>
  <c r="X49" i="24"/>
  <c r="S50" i="24"/>
  <c r="Z51" i="24"/>
  <c r="X55" i="24"/>
  <c r="S10" i="24"/>
  <c r="AB11" i="24"/>
  <c r="AD11" i="24" s="1"/>
  <c r="S11" i="24"/>
  <c r="S16" i="24"/>
  <c r="Q27" i="24"/>
  <c r="S27" i="24"/>
  <c r="P27" i="24"/>
  <c r="Q13" i="24"/>
  <c r="S13" i="24" s="1"/>
  <c r="AF13" i="24"/>
  <c r="AE13" i="24" s="1"/>
  <c r="Q33" i="24"/>
  <c r="S33" i="24"/>
  <c r="P33" i="24"/>
  <c r="AE25" i="24"/>
  <c r="U28" i="24"/>
  <c r="O28" i="24"/>
  <c r="AB29" i="24"/>
  <c r="AD29" i="24" s="1"/>
  <c r="V30" i="24"/>
  <c r="X30" i="24" s="1"/>
  <c r="AF30" i="24"/>
  <c r="AB30" i="24"/>
  <c r="V31" i="24"/>
  <c r="AF31" i="24"/>
  <c r="AB31" i="24"/>
  <c r="AB32" i="24"/>
  <c r="U33" i="24"/>
  <c r="Y35" i="24"/>
  <c r="P46" i="24"/>
  <c r="Z46" i="24" s="1"/>
  <c r="Y46" i="24" s="1"/>
  <c r="Q46" i="24"/>
  <c r="AA69" i="24"/>
  <c r="AF59" i="24"/>
  <c r="AB59" i="24"/>
  <c r="AD59" i="24"/>
  <c r="G143" i="24"/>
  <c r="O142" i="24"/>
  <c r="AF22" i="24"/>
  <c r="AE22" i="24" s="1"/>
  <c r="Y11" i="24"/>
  <c r="Y18" i="24"/>
  <c r="Y19" i="24"/>
  <c r="AC19" i="24"/>
  <c r="AE21" i="24"/>
  <c r="AB22" i="24"/>
  <c r="AD22" i="24" s="1"/>
  <c r="AE24" i="24"/>
  <c r="W25" i="24"/>
  <c r="AB25" i="24"/>
  <c r="AF25" i="24"/>
  <c r="AE28" i="24"/>
  <c r="P29" i="24"/>
  <c r="AF29" i="24" s="1"/>
  <c r="AE29" i="24" s="1"/>
  <c r="AC29" i="24"/>
  <c r="P30" i="24"/>
  <c r="Z30" i="24" s="1"/>
  <c r="Y30" i="24" s="1"/>
  <c r="W30" i="24"/>
  <c r="P31" i="24"/>
  <c r="Z31" i="24" s="1"/>
  <c r="W31" i="24"/>
  <c r="P32" i="24"/>
  <c r="AF32" i="24" s="1"/>
  <c r="AC32" i="24"/>
  <c r="V35" i="24"/>
  <c r="Z35" i="24"/>
  <c r="U56" i="24"/>
  <c r="V45" i="24"/>
  <c r="W45" i="24"/>
  <c r="S46" i="24"/>
  <c r="P47" i="24"/>
  <c r="Z47" i="24" s="1"/>
  <c r="Y47" i="24" s="1"/>
  <c r="Q47" i="24"/>
  <c r="Q59" i="24"/>
  <c r="Z61" i="24"/>
  <c r="V61" i="24"/>
  <c r="X61" i="24"/>
  <c r="AC61" i="24"/>
  <c r="Y13" i="24"/>
  <c r="AC67" i="24"/>
  <c r="AC60" i="24"/>
  <c r="AC49" i="24"/>
  <c r="AC56" i="24" s="1"/>
  <c r="AC64" i="24"/>
  <c r="P10" i="24"/>
  <c r="Z10" i="24" s="1"/>
  <c r="V10" i="24"/>
  <c r="AD10" i="24"/>
  <c r="P11" i="24"/>
  <c r="AF11" i="24" s="1"/>
  <c r="AE11" i="24" s="1"/>
  <c r="V11" i="24"/>
  <c r="P12" i="24"/>
  <c r="Z12" i="24" s="1"/>
  <c r="Y12" i="24" s="1"/>
  <c r="V12" i="24"/>
  <c r="X12" i="24" s="1"/>
  <c r="AD12" i="24"/>
  <c r="V13" i="24"/>
  <c r="P14" i="24"/>
  <c r="Z14" i="24" s="1"/>
  <c r="Y14" i="24" s="1"/>
  <c r="V14" i="24"/>
  <c r="X14" i="24" s="1"/>
  <c r="AD14" i="24"/>
  <c r="P15" i="24"/>
  <c r="Z15" i="24" s="1"/>
  <c r="Y15" i="24" s="1"/>
  <c r="V15" i="24"/>
  <c r="X15" i="24" s="1"/>
  <c r="AD15" i="24"/>
  <c r="P16" i="24"/>
  <c r="Z16" i="24" s="1"/>
  <c r="Y16" i="24" s="1"/>
  <c r="V16" i="24"/>
  <c r="X16" i="24" s="1"/>
  <c r="AD16" i="24"/>
  <c r="P17" i="24"/>
  <c r="Z17" i="24" s="1"/>
  <c r="Y17" i="24" s="1"/>
  <c r="V17" i="24"/>
  <c r="X17" i="24" s="1"/>
  <c r="AD17" i="24"/>
  <c r="P18" i="24"/>
  <c r="Z18" i="24" s="1"/>
  <c r="V18" i="24"/>
  <c r="AD18" i="24"/>
  <c r="P19" i="24"/>
  <c r="AF19" i="24" s="1"/>
  <c r="AE19" i="24" s="1"/>
  <c r="V19" i="24"/>
  <c r="W21" i="24"/>
  <c r="AB21" i="24"/>
  <c r="W24" i="24"/>
  <c r="AB24" i="24"/>
  <c r="AD26" i="24"/>
  <c r="Y27" i="24"/>
  <c r="AB28" i="24"/>
  <c r="Q29" i="24"/>
  <c r="Y29" i="24"/>
  <c r="Q30" i="24"/>
  <c r="AD30" i="24"/>
  <c r="Q31" i="24"/>
  <c r="AD31" i="24"/>
  <c r="Q32" i="24"/>
  <c r="AD32" i="24"/>
  <c r="P40" i="24"/>
  <c r="Q40" i="24"/>
  <c r="AF41" i="24"/>
  <c r="AB41" i="24"/>
  <c r="V46" i="24"/>
  <c r="X46" i="24" s="1"/>
  <c r="W46" i="24"/>
  <c r="AE59" i="24"/>
  <c r="AF63" i="24"/>
  <c r="AB63" i="24"/>
  <c r="AD63" i="24"/>
  <c r="G269" i="24"/>
  <c r="O268" i="24"/>
  <c r="W10" i="24"/>
  <c r="AE10" i="24"/>
  <c r="W20" i="24"/>
  <c r="W23" i="24"/>
  <c r="V27" i="24"/>
  <c r="Z29" i="24"/>
  <c r="AE30" i="24"/>
  <c r="AE31" i="24"/>
  <c r="Z32" i="24"/>
  <c r="AE32" i="24"/>
  <c r="P34" i="24"/>
  <c r="V39" i="24"/>
  <c r="W39" i="24"/>
  <c r="W40" i="24"/>
  <c r="O56" i="24"/>
  <c r="P45" i="24"/>
  <c r="Q45" i="24"/>
  <c r="Y45" i="24"/>
  <c r="V47" i="24"/>
  <c r="X47" i="24" s="1"/>
  <c r="W47" i="24"/>
  <c r="W59" i="24"/>
  <c r="AE39" i="24"/>
  <c r="Y41" i="24"/>
  <c r="AE45" i="24"/>
  <c r="AE46" i="24"/>
  <c r="AE47" i="24"/>
  <c r="Q48" i="24"/>
  <c r="W48" i="24"/>
  <c r="AE48" i="24"/>
  <c r="Q49" i="24"/>
  <c r="Q50" i="24"/>
  <c r="W50" i="24"/>
  <c r="AE50" i="24"/>
  <c r="Q51" i="24"/>
  <c r="W51" i="24"/>
  <c r="AE51" i="24"/>
  <c r="W52" i="24"/>
  <c r="AE52" i="24"/>
  <c r="W53" i="24"/>
  <c r="AE53" i="24"/>
  <c r="W54" i="24"/>
  <c r="AE54" i="24"/>
  <c r="AE55" i="24"/>
  <c r="V59" i="24"/>
  <c r="AB61" i="24"/>
  <c r="AD61" i="24" s="1"/>
  <c r="Y62" i="24"/>
  <c r="AC62" i="24"/>
  <c r="Z67" i="24"/>
  <c r="G89" i="24"/>
  <c r="P107" i="24"/>
  <c r="P118" i="24"/>
  <c r="O118" i="24"/>
  <c r="O119" i="24" s="1"/>
  <c r="O451" i="24" s="1"/>
  <c r="P130" i="24"/>
  <c r="G203" i="24"/>
  <c r="O202" i="24"/>
  <c r="O220" i="24"/>
  <c r="H251" i="24"/>
  <c r="O250" i="24"/>
  <c r="G257" i="24"/>
  <c r="O256" i="24"/>
  <c r="Y48" i="24"/>
  <c r="Y49" i="24"/>
  <c r="Y51" i="24"/>
  <c r="Y52" i="24"/>
  <c r="Y53" i="24"/>
  <c r="Y54" i="24"/>
  <c r="Y55" i="24"/>
  <c r="Y60" i="24"/>
  <c r="Z64" i="24"/>
  <c r="AF68" i="24"/>
  <c r="AB68" i="24"/>
  <c r="U69" i="24"/>
  <c r="P88" i="24"/>
  <c r="O100" i="24"/>
  <c r="O101" i="24" s="1"/>
  <c r="G101" i="24"/>
  <c r="O154" i="24"/>
  <c r="G155" i="24"/>
  <c r="O382" i="24"/>
  <c r="G383" i="24"/>
  <c r="O394" i="24"/>
  <c r="G395" i="24"/>
  <c r="AD39" i="24"/>
  <c r="V48" i="24"/>
  <c r="V49" i="24"/>
  <c r="V50" i="24"/>
  <c r="X50" i="24" s="1"/>
  <c r="V51" i="24"/>
  <c r="V52" i="24"/>
  <c r="V53" i="24"/>
  <c r="V54" i="24"/>
  <c r="V55" i="24"/>
  <c r="V60" i="24"/>
  <c r="AB62" i="24"/>
  <c r="AD62" i="24" s="1"/>
  <c r="V64" i="24"/>
  <c r="AF64" i="24"/>
  <c r="AE64" i="24" s="1"/>
  <c r="AB64" i="24"/>
  <c r="AD64" i="24" s="1"/>
  <c r="AC65" i="24"/>
  <c r="AF65" i="24"/>
  <c r="AE65" i="24" s="1"/>
  <c r="W66" i="24"/>
  <c r="Z66" i="24"/>
  <c r="Y66" i="24" s="1"/>
  <c r="V66" i="24"/>
  <c r="X66" i="24" s="1"/>
  <c r="Y67" i="24"/>
  <c r="P94" i="24"/>
  <c r="O94" i="24"/>
  <c r="O95" i="24" s="1"/>
  <c r="O450" i="24" s="1"/>
  <c r="G119" i="24"/>
  <c r="H185" i="24"/>
  <c r="O184" i="24"/>
  <c r="G191" i="24"/>
  <c r="O190" i="24"/>
  <c r="O238" i="24"/>
  <c r="AD66" i="24"/>
  <c r="X68" i="24"/>
  <c r="G434" i="24"/>
  <c r="O433" i="24"/>
  <c r="H125" i="24"/>
  <c r="H161" i="24"/>
  <c r="O160" i="24"/>
  <c r="H209" i="24"/>
  <c r="O208" i="24"/>
  <c r="H275" i="24"/>
  <c r="O274" i="24"/>
  <c r="H335" i="24"/>
  <c r="O334" i="24"/>
  <c r="O406" i="24"/>
  <c r="G407" i="24"/>
  <c r="O136" i="24"/>
  <c r="H149" i="24"/>
  <c r="O148" i="24"/>
  <c r="O304" i="24"/>
  <c r="G305" i="24"/>
  <c r="H311" i="24"/>
  <c r="O310" i="24"/>
  <c r="O352" i="24"/>
  <c r="G353" i="24"/>
  <c r="O376" i="24"/>
  <c r="G377" i="24"/>
  <c r="O400" i="24"/>
  <c r="G401" i="24"/>
  <c r="O323" i="24"/>
  <c r="O328" i="24"/>
  <c r="G329" i="24"/>
  <c r="O388" i="24"/>
  <c r="G389" i="24"/>
  <c r="G299" i="24"/>
  <c r="G323" i="24"/>
  <c r="O346" i="24"/>
  <c r="O370" i="24"/>
  <c r="P226" i="24" l="1"/>
  <c r="AD42" i="24"/>
  <c r="P323" i="24"/>
  <c r="O452" i="24"/>
  <c r="P262" i="24"/>
  <c r="Q262" i="24" s="1"/>
  <c r="Q263" i="24" s="1"/>
  <c r="P452" i="24"/>
  <c r="AF27" i="24"/>
  <c r="AE27" i="24" s="1"/>
  <c r="AA36" i="24"/>
  <c r="AA71" i="24" s="1"/>
  <c r="O215" i="24"/>
  <c r="Q100" i="24"/>
  <c r="Q101" i="24" s="1"/>
  <c r="Q452" i="24" s="1"/>
  <c r="P172" i="24"/>
  <c r="Q172" i="24" s="1"/>
  <c r="Q173" i="24" s="1"/>
  <c r="AC27" i="24"/>
  <c r="AC36" i="24" s="1"/>
  <c r="P197" i="24"/>
  <c r="Q196" i="24"/>
  <c r="Q197" i="24" s="1"/>
  <c r="P364" i="24"/>
  <c r="P365" i="24" s="1"/>
  <c r="Q124" i="24"/>
  <c r="Q125" i="24" s="1"/>
  <c r="P286" i="24"/>
  <c r="Q286" i="24" s="1"/>
  <c r="Q287" i="24" s="1"/>
  <c r="P280" i="24"/>
  <c r="P281" i="24" s="1"/>
  <c r="O113" i="24"/>
  <c r="P316" i="24"/>
  <c r="P317" i="24" s="1"/>
  <c r="O341" i="24"/>
  <c r="O299" i="24"/>
  <c r="P244" i="24"/>
  <c r="P245" i="24" s="1"/>
  <c r="AD27" i="24"/>
  <c r="O359" i="24"/>
  <c r="P178" i="24"/>
  <c r="Q178" i="24" s="1"/>
  <c r="Q179" i="24" s="1"/>
  <c r="AB42" i="24"/>
  <c r="AF42" i="24"/>
  <c r="O167" i="24"/>
  <c r="I71" i="24"/>
  <c r="K71" i="24" s="1"/>
  <c r="AB56" i="24"/>
  <c r="AD56" i="24" s="1"/>
  <c r="P232" i="24"/>
  <c r="P233" i="24" s="1"/>
  <c r="P292" i="24"/>
  <c r="P293" i="24" s="1"/>
  <c r="P113" i="24"/>
  <c r="AF56" i="24"/>
  <c r="AE56" i="24" s="1"/>
  <c r="P56" i="24"/>
  <c r="P57" i="24" s="1"/>
  <c r="P263" i="24"/>
  <c r="S56" i="24"/>
  <c r="S57" i="24" s="1"/>
  <c r="W69" i="24"/>
  <c r="AB36" i="24"/>
  <c r="Y10" i="24"/>
  <c r="P376" i="24"/>
  <c r="O377" i="24"/>
  <c r="O161" i="24"/>
  <c r="P160" i="24"/>
  <c r="P256" i="24"/>
  <c r="O257" i="24"/>
  <c r="W56" i="24"/>
  <c r="Q28" i="24"/>
  <c r="P28" i="24"/>
  <c r="Z28" i="24" s="1"/>
  <c r="S28" i="24"/>
  <c r="O371" i="24"/>
  <c r="P370" i="24"/>
  <c r="P400" i="24"/>
  <c r="O401" i="24"/>
  <c r="P310" i="24"/>
  <c r="O311" i="24"/>
  <c r="Q358" i="24"/>
  <c r="Q359" i="24" s="1"/>
  <c r="P359" i="24"/>
  <c r="P215" i="24"/>
  <c r="Q214" i="24"/>
  <c r="Q215" i="24" s="1"/>
  <c r="P394" i="24"/>
  <c r="O395" i="24"/>
  <c r="O155" i="24"/>
  <c r="P154" i="24"/>
  <c r="Q88" i="24"/>
  <c r="Q89" i="24" s="1"/>
  <c r="Q449" i="24" s="1"/>
  <c r="P89" i="24"/>
  <c r="P449" i="24" s="1"/>
  <c r="V56" i="24"/>
  <c r="X56" i="24" s="1"/>
  <c r="AB69" i="24"/>
  <c r="AD69" i="24" s="1"/>
  <c r="W33" i="24"/>
  <c r="V33" i="24"/>
  <c r="X33" i="24" s="1"/>
  <c r="Z33" i="24"/>
  <c r="Y33" i="24" s="1"/>
  <c r="W28" i="24"/>
  <c r="V28" i="24"/>
  <c r="X28" i="24" s="1"/>
  <c r="O149" i="24"/>
  <c r="P148" i="24"/>
  <c r="O275" i="24"/>
  <c r="P274" i="24"/>
  <c r="Y39" i="24"/>
  <c r="Q340" i="24"/>
  <c r="Q341" i="24" s="1"/>
  <c r="P341" i="24"/>
  <c r="P299" i="24"/>
  <c r="Q298" i="24"/>
  <c r="Q299" i="24" s="1"/>
  <c r="O251" i="24"/>
  <c r="P250" i="24"/>
  <c r="P119" i="24"/>
  <c r="P451" i="24" s="1"/>
  <c r="Q118" i="24"/>
  <c r="Q119" i="24" s="1"/>
  <c r="Q451" i="24" s="1"/>
  <c r="P227" i="24"/>
  <c r="Q226" i="24"/>
  <c r="Q227" i="24" s="1"/>
  <c r="Q56" i="24"/>
  <c r="Q57" i="24" s="1"/>
  <c r="W42" i="24"/>
  <c r="X10" i="24"/>
  <c r="AC69" i="24"/>
  <c r="Z59" i="24"/>
  <c r="Z45" i="24"/>
  <c r="Z56" i="24" s="1"/>
  <c r="Y56" i="24" s="1"/>
  <c r="AF69" i="24"/>
  <c r="AE69" i="24" s="1"/>
  <c r="P334" i="24"/>
  <c r="O335" i="24"/>
  <c r="O185" i="24"/>
  <c r="P184" i="24"/>
  <c r="Q42" i="24"/>
  <c r="Q43" i="24" s="1"/>
  <c r="Z40" i="24"/>
  <c r="Y40" i="24" s="1"/>
  <c r="O143" i="24"/>
  <c r="P142" i="24"/>
  <c r="O347" i="24"/>
  <c r="P346" i="24"/>
  <c r="P328" i="24"/>
  <c r="O329" i="24"/>
  <c r="P352" i="24"/>
  <c r="O353" i="24"/>
  <c r="O137" i="24"/>
  <c r="P136" i="24"/>
  <c r="O42" i="24"/>
  <c r="P406" i="24"/>
  <c r="O407" i="24"/>
  <c r="O209" i="24"/>
  <c r="P208" i="24"/>
  <c r="P190" i="24"/>
  <c r="O191" i="24"/>
  <c r="O221" i="24"/>
  <c r="P220" i="24"/>
  <c r="P388" i="24"/>
  <c r="O389" i="24"/>
  <c r="P304" i="24"/>
  <c r="O305" i="24"/>
  <c r="O434" i="24"/>
  <c r="S433" i="24"/>
  <c r="S434" i="24" s="1"/>
  <c r="P433" i="24"/>
  <c r="P434" i="24" s="1"/>
  <c r="Q433" i="24"/>
  <c r="Q434" i="24" s="1"/>
  <c r="O239" i="24"/>
  <c r="P238" i="24"/>
  <c r="P95" i="24"/>
  <c r="P450" i="24" s="1"/>
  <c r="Q94" i="24"/>
  <c r="Q95" i="24" s="1"/>
  <c r="Q450" i="24" s="1"/>
  <c r="P382" i="24"/>
  <c r="O383" i="24"/>
  <c r="O203" i="24"/>
  <c r="P202" i="24"/>
  <c r="P131" i="24"/>
  <c r="Q130" i="24"/>
  <c r="Q131" i="24" s="1"/>
  <c r="V69" i="24"/>
  <c r="X69" i="24" s="1"/>
  <c r="X59" i="24"/>
  <c r="V42" i="24"/>
  <c r="X42" i="24" s="1"/>
  <c r="X39" i="24"/>
  <c r="O269" i="24"/>
  <c r="P268" i="24"/>
  <c r="P167" i="24"/>
  <c r="Q166" i="24"/>
  <c r="Q167" i="24" s="1"/>
  <c r="U36" i="24"/>
  <c r="U71" i="24" s="1"/>
  <c r="P173" i="24" l="1"/>
  <c r="AF36" i="24"/>
  <c r="AD36" i="24"/>
  <c r="Q280" i="24"/>
  <c r="Q281" i="24" s="1"/>
  <c r="Q439" i="24"/>
  <c r="Q440" i="24" s="1"/>
  <c r="Q35" i="24" s="1"/>
  <c r="P439" i="24"/>
  <c r="P440" i="24" s="1"/>
  <c r="P35" i="24" s="1"/>
  <c r="S437" i="24"/>
  <c r="S439" i="24"/>
  <c r="S440" i="24" s="1"/>
  <c r="O437" i="24"/>
  <c r="O439" i="24"/>
  <c r="O440" i="24" s="1"/>
  <c r="O35" i="24" s="1"/>
  <c r="O453" i="24"/>
  <c r="O454" i="24" s="1"/>
  <c r="Q364" i="24"/>
  <c r="Q365" i="24" s="1"/>
  <c r="Q244" i="24"/>
  <c r="Q245" i="24" s="1"/>
  <c r="W74" i="24"/>
  <c r="P287" i="24"/>
  <c r="Q232" i="24"/>
  <c r="Q233" i="24" s="1"/>
  <c r="Q316" i="24"/>
  <c r="Q317" i="24" s="1"/>
  <c r="P179" i="24"/>
  <c r="Q292" i="24"/>
  <c r="Q293" i="24" s="1"/>
  <c r="AC71" i="24"/>
  <c r="W36" i="24"/>
  <c r="W71" i="24" s="1"/>
  <c r="Z42" i="24"/>
  <c r="Y42" i="24" s="1"/>
  <c r="AB71" i="24"/>
  <c r="AD71" i="24" s="1"/>
  <c r="Z36" i="24"/>
  <c r="Y28" i="24"/>
  <c r="P389" i="24"/>
  <c r="Q388" i="24"/>
  <c r="Q389" i="24" s="1"/>
  <c r="Q310" i="24"/>
  <c r="Q311" i="24" s="1"/>
  <c r="P311" i="24"/>
  <c r="P269" i="24"/>
  <c r="Q268" i="24"/>
  <c r="Q269" i="24" s="1"/>
  <c r="P203" i="24"/>
  <c r="Q202" i="24"/>
  <c r="Q203" i="24" s="1"/>
  <c r="Q238" i="24"/>
  <c r="Q239" i="24" s="1"/>
  <c r="P239" i="24"/>
  <c r="Q220" i="24"/>
  <c r="Q221" i="24" s="1"/>
  <c r="P221" i="24"/>
  <c r="P191" i="24"/>
  <c r="Q190" i="24"/>
  <c r="Q191" i="24" s="1"/>
  <c r="P353" i="24"/>
  <c r="Q352" i="24"/>
  <c r="Q353" i="24" s="1"/>
  <c r="V36" i="24"/>
  <c r="P251" i="24"/>
  <c r="Q250" i="24"/>
  <c r="Q251" i="24" s="1"/>
  <c r="P149" i="24"/>
  <c r="Q148" i="24"/>
  <c r="Q149" i="24" s="1"/>
  <c r="Q154" i="24"/>
  <c r="Q155" i="24" s="1"/>
  <c r="P155" i="24"/>
  <c r="P347" i="24"/>
  <c r="Q346" i="24"/>
  <c r="Q347" i="24" s="1"/>
  <c r="P42" i="24"/>
  <c r="AF71" i="24"/>
  <c r="AE71" i="24" s="1"/>
  <c r="AE36" i="24"/>
  <c r="AG56" i="24"/>
  <c r="P209" i="24"/>
  <c r="Q208" i="24"/>
  <c r="Q209" i="24" s="1"/>
  <c r="Q136" i="24"/>
  <c r="Q137" i="24" s="1"/>
  <c r="P137" i="24"/>
  <c r="P143" i="24"/>
  <c r="Q142" i="24"/>
  <c r="Q143" i="24" s="1"/>
  <c r="Z69" i="24"/>
  <c r="Y69" i="24" s="1"/>
  <c r="Y59" i="24"/>
  <c r="P395" i="24"/>
  <c r="Q394" i="24"/>
  <c r="Q395" i="24" s="1"/>
  <c r="P401" i="24"/>
  <c r="Q400" i="24"/>
  <c r="Q401" i="24" s="1"/>
  <c r="P257" i="24"/>
  <c r="Q256" i="24"/>
  <c r="Q257" i="24" s="1"/>
  <c r="P377" i="24"/>
  <c r="Q376" i="24"/>
  <c r="Q377" i="24" s="1"/>
  <c r="P305" i="24"/>
  <c r="Q304" i="24"/>
  <c r="Q305" i="24" s="1"/>
  <c r="P185" i="24"/>
  <c r="Q184" i="24"/>
  <c r="Q185" i="24" s="1"/>
  <c r="P383" i="24"/>
  <c r="Q382" i="24"/>
  <c r="Q383" i="24" s="1"/>
  <c r="P407" i="24"/>
  <c r="Q406" i="24"/>
  <c r="Q407" i="24" s="1"/>
  <c r="P329" i="24"/>
  <c r="Q328" i="24"/>
  <c r="Q329" i="24" s="1"/>
  <c r="Q334" i="24"/>
  <c r="Q335" i="24" s="1"/>
  <c r="P335" i="24"/>
  <c r="P275" i="24"/>
  <c r="Q274" i="24"/>
  <c r="Q275" i="24" s="1"/>
  <c r="P371" i="24"/>
  <c r="Q370" i="24"/>
  <c r="Q371" i="24" s="1"/>
  <c r="P161" i="24"/>
  <c r="Q160" i="24"/>
  <c r="Q161" i="24" s="1"/>
  <c r="Q453" i="24" l="1"/>
  <c r="Q454" i="24" s="1"/>
  <c r="Q456" i="24" s="1"/>
  <c r="P453" i="24"/>
  <c r="P454" i="24" s="1"/>
  <c r="S35" i="24"/>
  <c r="S456" i="24"/>
  <c r="S458" i="24" s="1"/>
  <c r="O68" i="24"/>
  <c r="O456" i="24"/>
  <c r="P437" i="24"/>
  <c r="Q437" i="24"/>
  <c r="O69" i="24"/>
  <c r="O458" i="24"/>
  <c r="S36" i="24"/>
  <c r="S37" i="24" s="1"/>
  <c r="O36" i="24"/>
  <c r="V71" i="24"/>
  <c r="X71" i="24" s="1"/>
  <c r="X36" i="24"/>
  <c r="Z71" i="24"/>
  <c r="Y71" i="24" s="1"/>
  <c r="Y36" i="24"/>
  <c r="Q36" i="24"/>
  <c r="Q37" i="24" s="1"/>
  <c r="W75" i="24"/>
  <c r="P43" i="24"/>
  <c r="AG42" i="24"/>
  <c r="P36" i="24"/>
  <c r="Q68" i="24" l="1"/>
  <c r="P456" i="24"/>
  <c r="P458" i="24" s="1"/>
  <c r="P68" i="24"/>
  <c r="O71" i="24"/>
  <c r="O75" i="24" s="1"/>
  <c r="O79" i="24" s="1"/>
  <c r="Q69" i="24"/>
  <c r="AG69" i="24" s="1"/>
  <c r="Q458" i="24"/>
  <c r="P69" i="24"/>
  <c r="W73" i="24"/>
  <c r="W77" i="24" s="1"/>
  <c r="X77" i="24" s="1"/>
  <c r="P37" i="24"/>
  <c r="AG36" i="24"/>
  <c r="Q70" i="24" l="1"/>
  <c r="Q71" i="24" s="1"/>
  <c r="P71" i="24"/>
  <c r="W84" i="24"/>
  <c r="X84" i="24" s="1"/>
  <c r="X89" i="24" l="1"/>
  <c r="V90" i="24"/>
  <c r="V91" i="24" s="1"/>
  <c r="AG71" i="24"/>
  <c r="V87" i="23" l="1"/>
  <c r="V83" i="23" l="1"/>
  <c r="V74" i="23"/>
  <c r="V86" i="23" s="1"/>
  <c r="V73" i="23"/>
  <c r="V85" i="23" s="1"/>
  <c r="V88" i="23" l="1"/>
  <c r="V76" i="23"/>
  <c r="Y101" i="23"/>
  <c r="X101" i="23"/>
  <c r="P59" i="23"/>
  <c r="Q59" i="23" s="1"/>
  <c r="N204" i="23"/>
  <c r="I204" i="23"/>
  <c r="G204" i="23"/>
  <c r="Q203" i="23"/>
  <c r="P203" i="23"/>
  <c r="J203" i="23"/>
  <c r="J204" i="23" s="1"/>
  <c r="H203" i="23"/>
  <c r="H204" i="23" s="1"/>
  <c r="F203" i="23"/>
  <c r="E203" i="23"/>
  <c r="B203" i="23"/>
  <c r="O202" i="23"/>
  <c r="O204" i="23" s="1"/>
  <c r="O214" i="23" s="1"/>
  <c r="N198" i="23"/>
  <c r="I198" i="23"/>
  <c r="G198" i="23"/>
  <c r="S197" i="23"/>
  <c r="Q197" i="23"/>
  <c r="P197" i="23"/>
  <c r="J197" i="23"/>
  <c r="J198" i="23" s="1"/>
  <c r="H197" i="23"/>
  <c r="H198" i="23" s="1"/>
  <c r="F197" i="23"/>
  <c r="E197" i="23"/>
  <c r="B197" i="23"/>
  <c r="O196" i="23"/>
  <c r="Q196" i="23" s="1"/>
  <c r="N192" i="23"/>
  <c r="J192" i="23"/>
  <c r="I192" i="23"/>
  <c r="H192" i="23"/>
  <c r="G192" i="23"/>
  <c r="S191" i="23"/>
  <c r="Q191" i="23"/>
  <c r="P191" i="23"/>
  <c r="F191" i="23"/>
  <c r="B191" i="23"/>
  <c r="O190" i="23"/>
  <c r="O192" i="23" s="1"/>
  <c r="O217" i="23" s="1"/>
  <c r="N185" i="23"/>
  <c r="M185" i="23"/>
  <c r="L185" i="23"/>
  <c r="K185" i="23"/>
  <c r="J185" i="23"/>
  <c r="I185" i="23"/>
  <c r="H185" i="23"/>
  <c r="G184" i="23"/>
  <c r="O184" i="23" s="1"/>
  <c r="P184" i="23" s="1"/>
  <c r="B184" i="23"/>
  <c r="O183" i="23"/>
  <c r="P183" i="23" s="1"/>
  <c r="N179" i="23"/>
  <c r="M179" i="23"/>
  <c r="L179" i="23"/>
  <c r="K179" i="23"/>
  <c r="J179" i="23"/>
  <c r="I179" i="23"/>
  <c r="H178" i="23"/>
  <c r="H179" i="23" s="1"/>
  <c r="G178" i="23"/>
  <c r="G179" i="23" s="1"/>
  <c r="B178" i="23"/>
  <c r="O177" i="23"/>
  <c r="S177" i="23" s="1"/>
  <c r="N173" i="23"/>
  <c r="M173" i="23"/>
  <c r="L173" i="23"/>
  <c r="K173" i="23"/>
  <c r="J173" i="23"/>
  <c r="I173" i="23"/>
  <c r="H172" i="23"/>
  <c r="H173" i="23" s="1"/>
  <c r="G172" i="23"/>
  <c r="G173" i="23" s="1"/>
  <c r="B172" i="23"/>
  <c r="O171" i="23"/>
  <c r="P171" i="23" s="1"/>
  <c r="N167" i="23"/>
  <c r="M167" i="23"/>
  <c r="L167" i="23"/>
  <c r="K167" i="23"/>
  <c r="J167" i="23"/>
  <c r="I167" i="23"/>
  <c r="G167" i="23"/>
  <c r="H166" i="23"/>
  <c r="H167" i="23" s="1"/>
  <c r="B166" i="23"/>
  <c r="O165" i="23"/>
  <c r="P165" i="23" s="1"/>
  <c r="N161" i="23"/>
  <c r="M161" i="23"/>
  <c r="L161" i="23"/>
  <c r="K161" i="23"/>
  <c r="J161" i="23"/>
  <c r="I161" i="23"/>
  <c r="G161" i="23"/>
  <c r="H160" i="23"/>
  <c r="O160" i="23" s="1"/>
  <c r="B160" i="23"/>
  <c r="O159" i="23"/>
  <c r="P159" i="23" s="1"/>
  <c r="N155" i="23"/>
  <c r="M155" i="23"/>
  <c r="L155" i="23"/>
  <c r="K155" i="23"/>
  <c r="J155" i="23"/>
  <c r="I155" i="23"/>
  <c r="G155" i="23"/>
  <c r="H154" i="23"/>
  <c r="O154" i="23" s="1"/>
  <c r="P154" i="23" s="1"/>
  <c r="B154" i="23"/>
  <c r="O153" i="23"/>
  <c r="P153" i="23" s="1"/>
  <c r="N149" i="23"/>
  <c r="M149" i="23"/>
  <c r="L149" i="23"/>
  <c r="K149" i="23"/>
  <c r="J149" i="23"/>
  <c r="I149" i="23"/>
  <c r="G149" i="23"/>
  <c r="H148" i="23"/>
  <c r="O148" i="23" s="1"/>
  <c r="B148" i="23"/>
  <c r="O147" i="23"/>
  <c r="P147" i="23" s="1"/>
  <c r="N143" i="23"/>
  <c r="M143" i="23"/>
  <c r="L143" i="23"/>
  <c r="K143" i="23"/>
  <c r="J143" i="23"/>
  <c r="I143" i="23"/>
  <c r="G143" i="23"/>
  <c r="H142" i="23"/>
  <c r="O142" i="23" s="1"/>
  <c r="P142" i="23" s="1"/>
  <c r="B142" i="23"/>
  <c r="O141" i="23"/>
  <c r="P141" i="23" s="1"/>
  <c r="N137" i="23"/>
  <c r="M137" i="23"/>
  <c r="L137" i="23"/>
  <c r="K137" i="23"/>
  <c r="J137" i="23"/>
  <c r="I137" i="23"/>
  <c r="H136" i="23"/>
  <c r="H137" i="23" s="1"/>
  <c r="G136" i="23"/>
  <c r="G137" i="23" s="1"/>
  <c r="B136" i="23"/>
  <c r="O135" i="23"/>
  <c r="S135" i="23" s="1"/>
  <c r="N131" i="23"/>
  <c r="M131" i="23"/>
  <c r="L131" i="23"/>
  <c r="K131" i="23"/>
  <c r="J131" i="23"/>
  <c r="I131" i="23"/>
  <c r="H130" i="23"/>
  <c r="H131" i="23" s="1"/>
  <c r="G130" i="23"/>
  <c r="G131" i="23" s="1"/>
  <c r="B130" i="23"/>
  <c r="O129" i="23"/>
  <c r="Q129" i="23" s="1"/>
  <c r="N125" i="23"/>
  <c r="M125" i="23"/>
  <c r="L125" i="23"/>
  <c r="K125" i="23"/>
  <c r="J125" i="23"/>
  <c r="I125" i="23"/>
  <c r="H124" i="23"/>
  <c r="H125" i="23" s="1"/>
  <c r="G124" i="23"/>
  <c r="B124" i="23"/>
  <c r="O123" i="23"/>
  <c r="N119" i="23"/>
  <c r="M119" i="23"/>
  <c r="L119" i="23"/>
  <c r="K119" i="23"/>
  <c r="J119" i="23"/>
  <c r="I119" i="23"/>
  <c r="H118" i="23"/>
  <c r="H119" i="23" s="1"/>
  <c r="G118" i="23"/>
  <c r="G119" i="23" s="1"/>
  <c r="F118" i="23"/>
  <c r="B118" i="23"/>
  <c r="O117" i="23"/>
  <c r="P117" i="23" s="1"/>
  <c r="N113" i="23"/>
  <c r="M113" i="23"/>
  <c r="L113" i="23"/>
  <c r="K113" i="23"/>
  <c r="J113" i="23"/>
  <c r="I113" i="23"/>
  <c r="H112" i="23"/>
  <c r="H113" i="23" s="1"/>
  <c r="G112" i="23"/>
  <c r="G113" i="23" s="1"/>
  <c r="F112" i="23"/>
  <c r="B112" i="23"/>
  <c r="P111" i="23"/>
  <c r="Q111" i="23" s="1"/>
  <c r="O111" i="23"/>
  <c r="N107" i="23"/>
  <c r="M107" i="23"/>
  <c r="L107" i="23"/>
  <c r="K107" i="23"/>
  <c r="J107" i="23"/>
  <c r="I107" i="23"/>
  <c r="H106" i="23"/>
  <c r="H107" i="23" s="1"/>
  <c r="G106" i="23"/>
  <c r="F106" i="23"/>
  <c r="B106" i="23"/>
  <c r="P105" i="23"/>
  <c r="Q105" i="23" s="1"/>
  <c r="O105" i="23"/>
  <c r="W104" i="23"/>
  <c r="N101" i="23"/>
  <c r="M101" i="23"/>
  <c r="L101" i="23"/>
  <c r="K101" i="23"/>
  <c r="J101" i="23"/>
  <c r="I101" i="23"/>
  <c r="H100" i="23"/>
  <c r="H101" i="23" s="1"/>
  <c r="G100" i="23"/>
  <c r="G101" i="23" s="1"/>
  <c r="F100" i="23"/>
  <c r="B100" i="23"/>
  <c r="P99" i="23"/>
  <c r="Q99" i="23" s="1"/>
  <c r="O99" i="23"/>
  <c r="N95" i="23"/>
  <c r="M95" i="23"/>
  <c r="L95" i="23"/>
  <c r="K95" i="23"/>
  <c r="J95" i="23"/>
  <c r="I95" i="23"/>
  <c r="H94" i="23"/>
  <c r="H95" i="23" s="1"/>
  <c r="G94" i="23"/>
  <c r="F94" i="23"/>
  <c r="B94" i="23"/>
  <c r="P93" i="23"/>
  <c r="Q93" i="23" s="1"/>
  <c r="O93" i="23"/>
  <c r="N89" i="23"/>
  <c r="M89" i="23"/>
  <c r="L89" i="23"/>
  <c r="K89" i="23"/>
  <c r="J89" i="23"/>
  <c r="I89" i="23"/>
  <c r="H88" i="23"/>
  <c r="H89" i="23" s="1"/>
  <c r="G88" i="23"/>
  <c r="G89" i="23" s="1"/>
  <c r="F88" i="23"/>
  <c r="B88" i="23"/>
  <c r="P87" i="23"/>
  <c r="Q87" i="23" s="1"/>
  <c r="O87" i="23"/>
  <c r="A83" i="23"/>
  <c r="H80" i="23"/>
  <c r="H79" i="23"/>
  <c r="H76" i="23"/>
  <c r="H75" i="23"/>
  <c r="O73" i="23"/>
  <c r="N71" i="23"/>
  <c r="H70" i="23"/>
  <c r="G70" i="23"/>
  <c r="C70" i="23"/>
  <c r="H69" i="23"/>
  <c r="G69" i="23"/>
  <c r="C69" i="23"/>
  <c r="AC68" i="23"/>
  <c r="AA68" i="23"/>
  <c r="AE68" i="23" s="1"/>
  <c r="W68" i="23"/>
  <c r="U68" i="23"/>
  <c r="Y68" i="23" s="1"/>
  <c r="AA67" i="23"/>
  <c r="W67" i="23"/>
  <c r="U67" i="23"/>
  <c r="X67" i="23" s="1"/>
  <c r="P67" i="23"/>
  <c r="Q67" i="23" s="1"/>
  <c r="O67" i="23"/>
  <c r="AC66" i="23"/>
  <c r="AA66" i="23"/>
  <c r="AD66" i="23" s="1"/>
  <c r="U66" i="23"/>
  <c r="P66" i="23"/>
  <c r="Q66" i="23" s="1"/>
  <c r="O66" i="23"/>
  <c r="AA65" i="23"/>
  <c r="W65" i="23"/>
  <c r="U65" i="23"/>
  <c r="Z65" i="23" s="1"/>
  <c r="P65" i="23"/>
  <c r="Q65" i="23" s="1"/>
  <c r="O65" i="23"/>
  <c r="AA64" i="23"/>
  <c r="W64" i="23"/>
  <c r="U64" i="23"/>
  <c r="P64" i="23"/>
  <c r="Q64" i="23" s="1"/>
  <c r="O64" i="23"/>
  <c r="AC63" i="23"/>
  <c r="AA63" i="23"/>
  <c r="AF63" i="23" s="1"/>
  <c r="U63" i="23"/>
  <c r="P63" i="23"/>
  <c r="Q63" i="23" s="1"/>
  <c r="O63" i="23"/>
  <c r="AA62" i="23"/>
  <c r="W62" i="23"/>
  <c r="U62" i="23"/>
  <c r="Y62" i="23" s="1"/>
  <c r="P62" i="23"/>
  <c r="Q62" i="23" s="1"/>
  <c r="O62" i="23"/>
  <c r="AA61" i="23"/>
  <c r="W61" i="23"/>
  <c r="U61" i="23"/>
  <c r="X61" i="23" s="1"/>
  <c r="O61" i="23"/>
  <c r="AA60" i="23"/>
  <c r="W60" i="23"/>
  <c r="U60" i="23"/>
  <c r="Y60" i="23" s="1"/>
  <c r="P60" i="23"/>
  <c r="Q60" i="23" s="1"/>
  <c r="O60" i="23"/>
  <c r="AC59" i="23"/>
  <c r="AA59" i="23"/>
  <c r="AE59" i="23" s="1"/>
  <c r="U59" i="23"/>
  <c r="O59" i="23"/>
  <c r="C57" i="23"/>
  <c r="C56" i="23"/>
  <c r="AC55" i="23"/>
  <c r="AA55" i="23"/>
  <c r="W55" i="23"/>
  <c r="U55" i="23"/>
  <c r="AC54" i="23"/>
  <c r="AA54" i="23"/>
  <c r="U54" i="23"/>
  <c r="Y54" i="23" s="1"/>
  <c r="O54" i="23"/>
  <c r="P54" i="23" s="1"/>
  <c r="AC53" i="23"/>
  <c r="AA53" i="23"/>
  <c r="AF53" i="23" s="1"/>
  <c r="U53" i="23"/>
  <c r="Y53" i="23" s="1"/>
  <c r="O53" i="23"/>
  <c r="P53" i="23" s="1"/>
  <c r="AC52" i="23"/>
  <c r="AA52" i="23"/>
  <c r="U52" i="23"/>
  <c r="Y52" i="23" s="1"/>
  <c r="O52" i="23"/>
  <c r="P52" i="23" s="1"/>
  <c r="AC51" i="23"/>
  <c r="AA51" i="23"/>
  <c r="AF51" i="23" s="1"/>
  <c r="U51" i="23"/>
  <c r="Y51" i="23" s="1"/>
  <c r="O51" i="23"/>
  <c r="P51" i="23" s="1"/>
  <c r="AC50" i="23"/>
  <c r="AA50" i="23"/>
  <c r="AE50" i="23" s="1"/>
  <c r="U50" i="23"/>
  <c r="O50" i="23"/>
  <c r="P50" i="23" s="1"/>
  <c r="AA49" i="23"/>
  <c r="W49" i="23"/>
  <c r="U49" i="23"/>
  <c r="O49" i="23"/>
  <c r="P49" i="23" s="1"/>
  <c r="AC48" i="23"/>
  <c r="AA48" i="23"/>
  <c r="AF48" i="23" s="1"/>
  <c r="U48" i="23"/>
  <c r="Y48" i="23" s="1"/>
  <c r="O48" i="23"/>
  <c r="P48" i="23" s="1"/>
  <c r="AC47" i="23"/>
  <c r="AA47" i="23"/>
  <c r="AF47" i="23" s="1"/>
  <c r="U47" i="23"/>
  <c r="O47" i="23"/>
  <c r="P47" i="23" s="1"/>
  <c r="AC46" i="23"/>
  <c r="AA46" i="23"/>
  <c r="AE46" i="23" s="1"/>
  <c r="U46" i="23"/>
  <c r="O46" i="23"/>
  <c r="P46" i="23" s="1"/>
  <c r="AC45" i="23"/>
  <c r="AA45" i="23"/>
  <c r="AF45" i="23" s="1"/>
  <c r="U45" i="23"/>
  <c r="Y45" i="23" s="1"/>
  <c r="O45" i="23"/>
  <c r="Q45" i="23" s="1"/>
  <c r="C43" i="23"/>
  <c r="S42" i="23"/>
  <c r="S43" i="23" s="1"/>
  <c r="C42" i="23"/>
  <c r="AC41" i="23"/>
  <c r="AA41" i="23"/>
  <c r="AD41" i="23" s="1"/>
  <c r="W41" i="23"/>
  <c r="U41" i="23"/>
  <c r="Y41" i="23" s="1"/>
  <c r="AC40" i="23"/>
  <c r="AA40" i="23"/>
  <c r="U40" i="23"/>
  <c r="O40" i="23"/>
  <c r="Q40" i="23" s="1"/>
  <c r="AC39" i="23"/>
  <c r="AA39" i="23"/>
  <c r="AE39" i="23" s="1"/>
  <c r="U39" i="23"/>
  <c r="O39" i="23"/>
  <c r="Q39" i="23" s="1"/>
  <c r="C37" i="23"/>
  <c r="C36" i="23"/>
  <c r="AC35" i="23"/>
  <c r="AA35" i="23"/>
  <c r="AE35" i="23" s="1"/>
  <c r="W35" i="23"/>
  <c r="U35" i="23"/>
  <c r="Y35" i="23" s="1"/>
  <c r="O34" i="23"/>
  <c r="S34" i="23" s="1"/>
  <c r="AC33" i="23"/>
  <c r="AA33" i="23"/>
  <c r="AD33" i="23" s="1"/>
  <c r="H33" i="23"/>
  <c r="O33" i="23" s="1"/>
  <c r="S33" i="23" s="1"/>
  <c r="AA32" i="23"/>
  <c r="AE32" i="23" s="1"/>
  <c r="W32" i="23"/>
  <c r="U32" i="23"/>
  <c r="Y32" i="23" s="1"/>
  <c r="O32" i="23"/>
  <c r="Q32" i="23" s="1"/>
  <c r="AC31" i="23"/>
  <c r="AA31" i="23"/>
  <c r="AD31" i="23" s="1"/>
  <c r="U31" i="23"/>
  <c r="O31" i="23"/>
  <c r="S31" i="23" s="1"/>
  <c r="AC30" i="23"/>
  <c r="AA30" i="23"/>
  <c r="AD30" i="23" s="1"/>
  <c r="U30" i="23"/>
  <c r="O30" i="23"/>
  <c r="Q30" i="23" s="1"/>
  <c r="W29" i="23"/>
  <c r="U29" i="23"/>
  <c r="Y29" i="23" s="1"/>
  <c r="H29" i="23"/>
  <c r="O29" i="23" s="1"/>
  <c r="P29" i="23" s="1"/>
  <c r="AC28" i="23"/>
  <c r="AA28" i="23"/>
  <c r="AE28" i="23" s="1"/>
  <c r="H28" i="23"/>
  <c r="O28" i="23" s="1"/>
  <c r="W27" i="23"/>
  <c r="U27" i="23"/>
  <c r="X27" i="23" s="1"/>
  <c r="H27" i="23"/>
  <c r="G27" i="23"/>
  <c r="AC26" i="23"/>
  <c r="AA26" i="23"/>
  <c r="AD26" i="23" s="1"/>
  <c r="U26" i="23"/>
  <c r="Y26" i="23" s="1"/>
  <c r="O26" i="23"/>
  <c r="S26" i="23" s="1"/>
  <c r="AC25" i="23"/>
  <c r="AA25" i="23"/>
  <c r="AD25" i="23" s="1"/>
  <c r="U25" i="23"/>
  <c r="O25" i="23"/>
  <c r="P25" i="23" s="1"/>
  <c r="AC24" i="23"/>
  <c r="AA24" i="23"/>
  <c r="AD24" i="23" s="1"/>
  <c r="U24" i="23"/>
  <c r="O24" i="23"/>
  <c r="S24" i="23" s="1"/>
  <c r="AC23" i="23"/>
  <c r="AA23" i="23"/>
  <c r="AD23" i="23" s="1"/>
  <c r="U23" i="23"/>
  <c r="Y23" i="23" s="1"/>
  <c r="O23" i="23"/>
  <c r="Q23" i="23" s="1"/>
  <c r="AA22" i="23"/>
  <c r="W22" i="23"/>
  <c r="U22" i="23"/>
  <c r="Y22" i="23" s="1"/>
  <c r="O22" i="23"/>
  <c r="P22" i="23" s="1"/>
  <c r="AC21" i="23"/>
  <c r="AA21" i="23"/>
  <c r="AD21" i="23" s="1"/>
  <c r="U21" i="23"/>
  <c r="O21" i="23"/>
  <c r="Q21" i="23" s="1"/>
  <c r="AC20" i="23"/>
  <c r="AA20" i="23"/>
  <c r="AD20" i="23" s="1"/>
  <c r="U20" i="23"/>
  <c r="O20" i="23"/>
  <c r="P20" i="23" s="1"/>
  <c r="AA19" i="23"/>
  <c r="W19" i="23"/>
  <c r="U19" i="23"/>
  <c r="Y19" i="23" s="1"/>
  <c r="O19" i="23"/>
  <c r="S19" i="23" s="1"/>
  <c r="AC18" i="23"/>
  <c r="AA18" i="23"/>
  <c r="AD18" i="23" s="1"/>
  <c r="U18" i="23"/>
  <c r="Y18" i="23" s="1"/>
  <c r="O18" i="23"/>
  <c r="Q18" i="23" s="1"/>
  <c r="AC17" i="23"/>
  <c r="AA17" i="23"/>
  <c r="AD17" i="23" s="1"/>
  <c r="U17" i="23"/>
  <c r="O17" i="23"/>
  <c r="Q17" i="23" s="1"/>
  <c r="AC16" i="23"/>
  <c r="AA16" i="23"/>
  <c r="AE16" i="23" s="1"/>
  <c r="U16" i="23"/>
  <c r="O16" i="23"/>
  <c r="S16" i="23" s="1"/>
  <c r="AC15" i="23"/>
  <c r="AA15" i="23"/>
  <c r="AD15" i="23" s="1"/>
  <c r="U15" i="23"/>
  <c r="O15" i="23"/>
  <c r="S15" i="23" s="1"/>
  <c r="AC14" i="23"/>
  <c r="AA14" i="23"/>
  <c r="AF14" i="23" s="1"/>
  <c r="U14" i="23"/>
  <c r="O14" i="23"/>
  <c r="Q14" i="23" s="1"/>
  <c r="AA13" i="23"/>
  <c r="W13" i="23"/>
  <c r="U13" i="23"/>
  <c r="Z13" i="23" s="1"/>
  <c r="O13" i="23"/>
  <c r="P13" i="23" s="1"/>
  <c r="AC12" i="23"/>
  <c r="AA12" i="23"/>
  <c r="AF12" i="23" s="1"/>
  <c r="U12" i="23"/>
  <c r="O12" i="23"/>
  <c r="S12" i="23" s="1"/>
  <c r="AA11" i="23"/>
  <c r="W11" i="23"/>
  <c r="U11" i="23"/>
  <c r="Z11" i="23" s="1"/>
  <c r="O11" i="23"/>
  <c r="P11" i="23" s="1"/>
  <c r="AC10" i="23"/>
  <c r="AA10" i="23"/>
  <c r="AD10" i="23" s="1"/>
  <c r="U10" i="23"/>
  <c r="O10" i="23"/>
  <c r="P10" i="23" s="1"/>
  <c r="A5" i="23"/>
  <c r="A4" i="23"/>
  <c r="W1" i="23"/>
  <c r="P14" i="23" l="1"/>
  <c r="Z66" i="23"/>
  <c r="Z20" i="23"/>
  <c r="Y20" i="23" s="1"/>
  <c r="P34" i="23"/>
  <c r="V40" i="23"/>
  <c r="X40" i="23" s="1"/>
  <c r="Q19" i="23"/>
  <c r="AE41" i="23"/>
  <c r="V14" i="23"/>
  <c r="X14" i="23" s="1"/>
  <c r="S18" i="23"/>
  <c r="AB60" i="23"/>
  <c r="AD60" i="23" s="1"/>
  <c r="Q15" i="23"/>
  <c r="S49" i="23"/>
  <c r="AF65" i="23"/>
  <c r="AE65" i="23" s="1"/>
  <c r="O166" i="23"/>
  <c r="P166" i="23" s="1"/>
  <c r="P167" i="23" s="1"/>
  <c r="V15" i="23"/>
  <c r="X15" i="23" s="1"/>
  <c r="S17" i="23"/>
  <c r="Q24" i="23"/>
  <c r="Z25" i="23"/>
  <c r="Y25" i="23" s="1"/>
  <c r="AE26" i="23"/>
  <c r="V31" i="23"/>
  <c r="X31" i="23" s="1"/>
  <c r="P32" i="23"/>
  <c r="AF32" i="23" s="1"/>
  <c r="AE33" i="23"/>
  <c r="AC42" i="23"/>
  <c r="AB41" i="23"/>
  <c r="Q22" i="23"/>
  <c r="V24" i="23"/>
  <c r="X24" i="23" s="1"/>
  <c r="O27" i="23"/>
  <c r="P27" i="23" s="1"/>
  <c r="S32" i="23"/>
  <c r="AF59" i="23"/>
  <c r="W31" i="23"/>
  <c r="Q16" i="23"/>
  <c r="S22" i="23"/>
  <c r="X22" i="23"/>
  <c r="Q26" i="23"/>
  <c r="P30" i="23"/>
  <c r="Z30" i="23" s="1"/>
  <c r="Y30" i="23" s="1"/>
  <c r="Q47" i="23"/>
  <c r="Z62" i="23"/>
  <c r="V68" i="23"/>
  <c r="G185" i="23"/>
  <c r="Q202" i="23"/>
  <c r="Q204" i="23" s="1"/>
  <c r="Q214" i="23" s="1"/>
  <c r="S30" i="23"/>
  <c r="P112" i="23"/>
  <c r="Q112" i="23" s="1"/>
  <c r="Q113" i="23" s="1"/>
  <c r="Q224" i="23" s="1"/>
  <c r="V16" i="23"/>
  <c r="X16" i="23" s="1"/>
  <c r="V18" i="23"/>
  <c r="S14" i="23"/>
  <c r="P18" i="23"/>
  <c r="Z18" i="23" s="1"/>
  <c r="V22" i="23"/>
  <c r="V30" i="23"/>
  <c r="X30" i="23" s="1"/>
  <c r="Q31" i="23"/>
  <c r="S45" i="23"/>
  <c r="AE45" i="23"/>
  <c r="S54" i="23"/>
  <c r="Q54" i="23" s="1"/>
  <c r="AF60" i="23"/>
  <c r="AE60" i="23" s="1"/>
  <c r="V62" i="23"/>
  <c r="X68" i="23"/>
  <c r="O124" i="23"/>
  <c r="P124" i="23" s="1"/>
  <c r="V21" i="23"/>
  <c r="X21" i="23" s="1"/>
  <c r="S21" i="23"/>
  <c r="P15" i="23"/>
  <c r="Z15" i="23" s="1"/>
  <c r="Y15" i="23" s="1"/>
  <c r="P16" i="23"/>
  <c r="Z16" i="23" s="1"/>
  <c r="Y16" i="23" s="1"/>
  <c r="P17" i="23"/>
  <c r="Z17" i="23" s="1"/>
  <c r="Y17" i="23" s="1"/>
  <c r="X18" i="23"/>
  <c r="AB23" i="23"/>
  <c r="P24" i="23"/>
  <c r="Z24" i="23" s="1"/>
  <c r="Y24" i="23" s="1"/>
  <c r="U28" i="23"/>
  <c r="W28" i="23" s="1"/>
  <c r="AF28" i="23"/>
  <c r="P31" i="23"/>
  <c r="Z31" i="23" s="1"/>
  <c r="Y31" i="23" s="1"/>
  <c r="V32" i="23"/>
  <c r="Q49" i="23"/>
  <c r="AF49" i="23"/>
  <c r="AE49" i="23" s="1"/>
  <c r="AF50" i="23"/>
  <c r="S52" i="23"/>
  <c r="Q52" i="23" s="1"/>
  <c r="G71" i="23"/>
  <c r="G125" i="23"/>
  <c r="H143" i="23"/>
  <c r="P21" i="23"/>
  <c r="Z21" i="23" s="1"/>
  <c r="Y21" i="23" s="1"/>
  <c r="AE23" i="23"/>
  <c r="AB28" i="23"/>
  <c r="X32" i="23"/>
  <c r="U33" i="23"/>
  <c r="V33" i="23" s="1"/>
  <c r="X33" i="23" s="1"/>
  <c r="Q48" i="23"/>
  <c r="Q50" i="23"/>
  <c r="Q51" i="23"/>
  <c r="AF64" i="23"/>
  <c r="AE64" i="23" s="1"/>
  <c r="P88" i="23"/>
  <c r="Q88" i="23" s="1"/>
  <c r="Q89" i="23" s="1"/>
  <c r="S153" i="23"/>
  <c r="Q153" i="23" s="1"/>
  <c r="S10" i="23"/>
  <c r="AB64" i="23"/>
  <c r="AD64" i="23" s="1"/>
  <c r="AC13" i="23"/>
  <c r="Z14" i="23"/>
  <c r="Y14" i="23" s="1"/>
  <c r="V17" i="23"/>
  <c r="X17" i="23" s="1"/>
  <c r="AE18" i="23"/>
  <c r="AE25" i="23"/>
  <c r="W26" i="23"/>
  <c r="AE31" i="23"/>
  <c r="AF46" i="23"/>
  <c r="S48" i="23"/>
  <c r="S50" i="23"/>
  <c r="S51" i="23"/>
  <c r="V66" i="23"/>
  <c r="X66" i="23" s="1"/>
  <c r="O106" i="23"/>
  <c r="O107" i="23" s="1"/>
  <c r="P135" i="23"/>
  <c r="Q135" i="23" s="1"/>
  <c r="Z29" i="23"/>
  <c r="W10" i="23"/>
  <c r="AC11" i="23"/>
  <c r="AE17" i="23"/>
  <c r="Z19" i="23"/>
  <c r="Q20" i="23"/>
  <c r="Q25" i="23"/>
  <c r="AD12" i="23"/>
  <c r="AF13" i="23"/>
  <c r="AE13" i="23" s="1"/>
  <c r="AD16" i="23"/>
  <c r="P19" i="23"/>
  <c r="AF19" i="23" s="1"/>
  <c r="AE19" i="23" s="1"/>
  <c r="V19" i="23"/>
  <c r="S20" i="23"/>
  <c r="Z22" i="23"/>
  <c r="AF22" i="23"/>
  <c r="AE22" i="23" s="1"/>
  <c r="S23" i="23"/>
  <c r="S25" i="23"/>
  <c r="P26" i="23"/>
  <c r="Z26" i="23" s="1"/>
  <c r="V26" i="23"/>
  <c r="Y27" i="23"/>
  <c r="X29" i="23"/>
  <c r="AB32" i="23"/>
  <c r="Q34" i="23"/>
  <c r="Z35" i="23"/>
  <c r="AB39" i="23"/>
  <c r="V41" i="23"/>
  <c r="S47" i="23"/>
  <c r="S53" i="23"/>
  <c r="Q53" i="23" s="1"/>
  <c r="V61" i="23"/>
  <c r="Z63" i="23"/>
  <c r="Y63" i="23" s="1"/>
  <c r="AE66" i="23"/>
  <c r="Z68" i="23"/>
  <c r="AF68" i="23"/>
  <c r="O88" i="23"/>
  <c r="O89" i="23" s="1"/>
  <c r="O222" i="23" s="1"/>
  <c r="O94" i="23"/>
  <c r="O95" i="23" s="1"/>
  <c r="O223" i="23" s="1"/>
  <c r="P123" i="23"/>
  <c r="Q123" i="23"/>
  <c r="S141" i="23"/>
  <c r="Q141" i="23" s="1"/>
  <c r="H155" i="23"/>
  <c r="S165" i="23"/>
  <c r="Q165" i="23" s="1"/>
  <c r="P177" i="23"/>
  <c r="Q177" i="23" s="1"/>
  <c r="S196" i="23"/>
  <c r="S198" i="23" s="1"/>
  <c r="S218" i="23" s="1"/>
  <c r="P202" i="23"/>
  <c r="P204" i="23" s="1"/>
  <c r="P214" i="23" s="1"/>
  <c r="N205" i="23"/>
  <c r="S183" i="23"/>
  <c r="Q183" i="23" s="1"/>
  <c r="Q10" i="23"/>
  <c r="AF16" i="23"/>
  <c r="O198" i="23"/>
  <c r="O218" i="23" s="1"/>
  <c r="W16" i="23"/>
  <c r="AB16" i="23"/>
  <c r="W18" i="23"/>
  <c r="X19" i="23"/>
  <c r="V20" i="23"/>
  <c r="X20" i="23" s="1"/>
  <c r="AB22" i="23"/>
  <c r="P23" i="23"/>
  <c r="Z23" i="23" s="1"/>
  <c r="V23" i="23"/>
  <c r="V25" i="23"/>
  <c r="X25" i="23" s="1"/>
  <c r="X26" i="23"/>
  <c r="AA27" i="23"/>
  <c r="AC27" i="23" s="1"/>
  <c r="V27" i="23"/>
  <c r="V29" i="23"/>
  <c r="Z32" i="23"/>
  <c r="V35" i="23"/>
  <c r="AD39" i="23"/>
  <c r="X41" i="23"/>
  <c r="Y61" i="23"/>
  <c r="AB65" i="23"/>
  <c r="AD65" i="23" s="1"/>
  <c r="Y67" i="23"/>
  <c r="AB68" i="23"/>
  <c r="P100" i="23"/>
  <c r="Q100" i="23" s="1"/>
  <c r="Q101" i="23" s="1"/>
  <c r="P196" i="23"/>
  <c r="P198" i="23" s="1"/>
  <c r="P218" i="23" s="1"/>
  <c r="AD14" i="23"/>
  <c r="AE21" i="23"/>
  <c r="X23" i="23"/>
  <c r="AF30" i="23"/>
  <c r="AF39" i="23"/>
  <c r="Z41" i="23"/>
  <c r="V59" i="23"/>
  <c r="V63" i="23"/>
  <c r="X63" i="23" s="1"/>
  <c r="Q198" i="23"/>
  <c r="Q218" i="23" s="1"/>
  <c r="O178" i="23"/>
  <c r="S123" i="23"/>
  <c r="S117" i="23"/>
  <c r="P33" i="23"/>
  <c r="Q33" i="23"/>
  <c r="Q46" i="23"/>
  <c r="S46" i="23"/>
  <c r="AF11" i="23"/>
  <c r="AE11" i="23" s="1"/>
  <c r="Q28" i="23"/>
  <c r="P28" i="23"/>
  <c r="Z28" i="23" s="1"/>
  <c r="Y28" i="23" s="1"/>
  <c r="S28" i="23"/>
  <c r="Y11" i="23"/>
  <c r="Y13" i="23"/>
  <c r="AE15" i="23"/>
  <c r="AC19" i="23"/>
  <c r="AF20" i="23"/>
  <c r="AF24" i="23"/>
  <c r="P39" i="23"/>
  <c r="AF40" i="23"/>
  <c r="AB40" i="23"/>
  <c r="Z49" i="23"/>
  <c r="V49" i="23"/>
  <c r="X49" i="23"/>
  <c r="AD52" i="23"/>
  <c r="AB52" i="23"/>
  <c r="AD54" i="23"/>
  <c r="AB54" i="23"/>
  <c r="AD55" i="23"/>
  <c r="AB55" i="23"/>
  <c r="AB61" i="23"/>
  <c r="AD61" i="23" s="1"/>
  <c r="P61" i="23"/>
  <c r="Q61" i="23" s="1"/>
  <c r="AF61" i="23" s="1"/>
  <c r="AE61" i="23" s="1"/>
  <c r="Z64" i="23"/>
  <c r="V64" i="23"/>
  <c r="X64" i="23"/>
  <c r="O149" i="23"/>
  <c r="S148" i="23"/>
  <c r="P148" i="23"/>
  <c r="P155" i="23"/>
  <c r="O215" i="23"/>
  <c r="O41" i="23"/>
  <c r="O42" i="23" s="1"/>
  <c r="V11" i="23"/>
  <c r="P12" i="23"/>
  <c r="Z12" i="23" s="1"/>
  <c r="Y12" i="23" s="1"/>
  <c r="V12" i="23"/>
  <c r="X12" i="23" s="1"/>
  <c r="W15" i="23"/>
  <c r="AB15" i="23"/>
  <c r="AF15" i="23"/>
  <c r="AF17" i="23"/>
  <c r="AB19" i="23"/>
  <c r="AD19" i="23" s="1"/>
  <c r="AB20" i="23"/>
  <c r="AF21" i="23"/>
  <c r="W23" i="23"/>
  <c r="AB24" i="23"/>
  <c r="AF25" i="23"/>
  <c r="S27" i="23"/>
  <c r="Q29" i="23"/>
  <c r="AB30" i="23"/>
  <c r="AF31" i="23"/>
  <c r="U42" i="23"/>
  <c r="W39" i="23"/>
  <c r="Z46" i="23"/>
  <c r="Y46" i="23" s="1"/>
  <c r="V46" i="23"/>
  <c r="X46" i="23" s="1"/>
  <c r="W46" i="23"/>
  <c r="AD48" i="23"/>
  <c r="AB48" i="23"/>
  <c r="Z50" i="23"/>
  <c r="Y50" i="23" s="1"/>
  <c r="V50" i="23"/>
  <c r="X50" i="23" s="1"/>
  <c r="W50" i="23"/>
  <c r="Z55" i="23"/>
  <c r="V55" i="23"/>
  <c r="X55" i="23"/>
  <c r="U69" i="23"/>
  <c r="AD63" i="23"/>
  <c r="AB63" i="23"/>
  <c r="X65" i="23"/>
  <c r="Y65" i="23"/>
  <c r="W66" i="23"/>
  <c r="AE10" i="23"/>
  <c r="Q11" i="23"/>
  <c r="Q12" i="23"/>
  <c r="W12" i="23"/>
  <c r="AE12" i="23"/>
  <c r="Q13" i="23"/>
  <c r="AB14" i="23"/>
  <c r="W20" i="23"/>
  <c r="AB21" i="23"/>
  <c r="AB10" i="23"/>
  <c r="AF10" i="23"/>
  <c r="S11" i="23"/>
  <c r="X11" i="23"/>
  <c r="AB11" i="23"/>
  <c r="AD11" i="23" s="1"/>
  <c r="AB12" i="23"/>
  <c r="S13" i="23"/>
  <c r="X13" i="23"/>
  <c r="AB13" i="23"/>
  <c r="AD13" i="23" s="1"/>
  <c r="W17" i="23"/>
  <c r="AB18" i="23"/>
  <c r="AE20" i="23"/>
  <c r="W21" i="23"/>
  <c r="AD22" i="23"/>
  <c r="AC22" i="23"/>
  <c r="AF23" i="23"/>
  <c r="AE24" i="23"/>
  <c r="W25" i="23"/>
  <c r="AB26" i="23"/>
  <c r="Z27" i="23"/>
  <c r="AE30" i="23"/>
  <c r="AD32" i="23"/>
  <c r="AC32" i="23"/>
  <c r="AF33" i="23"/>
  <c r="AB33" i="23"/>
  <c r="P40" i="23"/>
  <c r="Z40" i="23" s="1"/>
  <c r="Y40" i="23" s="1"/>
  <c r="AE40" i="23"/>
  <c r="AF41" i="23"/>
  <c r="AA42" i="23"/>
  <c r="AD46" i="23"/>
  <c r="AB46" i="23"/>
  <c r="Z48" i="23"/>
  <c r="V48" i="23"/>
  <c r="X48" i="23"/>
  <c r="W48" i="23"/>
  <c r="AE48" i="23"/>
  <c r="AC49" i="23"/>
  <c r="AC56" i="23" s="1"/>
  <c r="AB49" i="23"/>
  <c r="AD49" i="23" s="1"/>
  <c r="AD50" i="23"/>
  <c r="AB50" i="23"/>
  <c r="AF52" i="23"/>
  <c r="AF54" i="23"/>
  <c r="Y55" i="23"/>
  <c r="AF55" i="23"/>
  <c r="AA69" i="23"/>
  <c r="AD59" i="23"/>
  <c r="AB59" i="23"/>
  <c r="AE63" i="23"/>
  <c r="O161" i="23"/>
  <c r="S160" i="23"/>
  <c r="P160" i="23"/>
  <c r="AA29" i="23"/>
  <c r="AF35" i="23"/>
  <c r="AB35" i="23"/>
  <c r="U56" i="23"/>
  <c r="V45" i="23"/>
  <c r="X45" i="23"/>
  <c r="W45" i="23"/>
  <c r="AD47" i="23"/>
  <c r="AB47" i="23"/>
  <c r="AD51" i="23"/>
  <c r="AB51" i="23"/>
  <c r="AD53" i="23"/>
  <c r="AB53" i="23"/>
  <c r="Z59" i="23"/>
  <c r="AC64" i="23"/>
  <c r="W63" i="23"/>
  <c r="AC60" i="23"/>
  <c r="W59" i="23"/>
  <c r="AC65" i="23"/>
  <c r="V10" i="23"/>
  <c r="Z10" i="23"/>
  <c r="V13" i="23"/>
  <c r="AE14" i="23"/>
  <c r="W14" i="23"/>
  <c r="AB17" i="23"/>
  <c r="AF18" i="23"/>
  <c r="W24" i="23"/>
  <c r="AB25" i="23"/>
  <c r="AF26" i="23"/>
  <c r="S29" i="23"/>
  <c r="W30" i="23"/>
  <c r="AB31" i="23"/>
  <c r="AD35" i="23"/>
  <c r="V39" i="23"/>
  <c r="W40" i="23"/>
  <c r="AD40" i="23"/>
  <c r="AD45" i="23"/>
  <c r="AA56" i="23"/>
  <c r="AB45" i="23"/>
  <c r="Z47" i="23"/>
  <c r="Y47" i="23" s="1"/>
  <c r="V47" i="23"/>
  <c r="X47" i="23" s="1"/>
  <c r="W47" i="23"/>
  <c r="AE47" i="23"/>
  <c r="Y49" i="23"/>
  <c r="Z51" i="23"/>
  <c r="V51" i="23"/>
  <c r="X51" i="23"/>
  <c r="W51" i="23"/>
  <c r="AE51" i="23"/>
  <c r="Z52" i="23"/>
  <c r="V52" i="23"/>
  <c r="X52" i="23"/>
  <c r="W52" i="23"/>
  <c r="AE52" i="23"/>
  <c r="Z53" i="23"/>
  <c r="V53" i="23"/>
  <c r="X53" i="23"/>
  <c r="W53" i="23"/>
  <c r="AE53" i="23"/>
  <c r="Z54" i="23"/>
  <c r="V54" i="23"/>
  <c r="X54" i="23"/>
  <c r="W54" i="23"/>
  <c r="AE54" i="23"/>
  <c r="AE55" i="23"/>
  <c r="X59" i="23"/>
  <c r="Z60" i="23"/>
  <c r="V60" i="23"/>
  <c r="X60" i="23"/>
  <c r="AC61" i="23"/>
  <c r="AC62" i="23"/>
  <c r="AF62" i="23"/>
  <c r="AB62" i="23"/>
  <c r="AD62" i="23" s="1"/>
  <c r="Y64" i="23"/>
  <c r="V65" i="23"/>
  <c r="AC67" i="23"/>
  <c r="AD28" i="23"/>
  <c r="X35" i="23"/>
  <c r="P45" i="23"/>
  <c r="Z61" i="23"/>
  <c r="J71" i="23"/>
  <c r="Y66" i="23"/>
  <c r="AF66" i="23"/>
  <c r="AB66" i="23"/>
  <c r="X62" i="23"/>
  <c r="Z67" i="23"/>
  <c r="AD68" i="23"/>
  <c r="P143" i="23"/>
  <c r="V67" i="23"/>
  <c r="AF67" i="23"/>
  <c r="AE67" i="23" s="1"/>
  <c r="AB67" i="23"/>
  <c r="AD67" i="23" s="1"/>
  <c r="H71" i="23"/>
  <c r="P185" i="23"/>
  <c r="P89" i="23"/>
  <c r="P94" i="23"/>
  <c r="O100" i="23"/>
  <c r="O101" i="23" s="1"/>
  <c r="P101" i="23"/>
  <c r="P106" i="23"/>
  <c r="O112" i="23"/>
  <c r="O113" i="23" s="1"/>
  <c r="O224" i="23" s="1"/>
  <c r="Q117" i="23"/>
  <c r="S129" i="23"/>
  <c r="O130" i="23"/>
  <c r="S142" i="23"/>
  <c r="S147" i="23"/>
  <c r="Q147" i="23" s="1"/>
  <c r="H149" i="23"/>
  <c r="S154" i="23"/>
  <c r="S159" i="23"/>
  <c r="Q159" i="23" s="1"/>
  <c r="H161" i="23"/>
  <c r="S171" i="23"/>
  <c r="Q171" i="23" s="1"/>
  <c r="O172" i="23"/>
  <c r="S184" i="23"/>
  <c r="S190" i="23"/>
  <c r="S192" i="23" s="1"/>
  <c r="S217" i="23" s="1"/>
  <c r="O143" i="23"/>
  <c r="O155" i="23"/>
  <c r="O185" i="23"/>
  <c r="G95" i="23"/>
  <c r="G107" i="23"/>
  <c r="O118" i="23"/>
  <c r="P129" i="23"/>
  <c r="P190" i="23"/>
  <c r="P192" i="23" s="1"/>
  <c r="P217" i="23" s="1"/>
  <c r="O136" i="23"/>
  <c r="Q190" i="23"/>
  <c r="Q192" i="23" s="1"/>
  <c r="Q217" i="23" s="1"/>
  <c r="Q27" i="23" l="1"/>
  <c r="V28" i="23"/>
  <c r="X28" i="23" s="1"/>
  <c r="I71" i="23"/>
  <c r="K71" i="23" s="1"/>
  <c r="AB27" i="23"/>
  <c r="AD27" i="23" s="1"/>
  <c r="S166" i="23"/>
  <c r="S167" i="23" s="1"/>
  <c r="S185" i="23"/>
  <c r="Q124" i="23"/>
  <c r="Q125" i="23" s="1"/>
  <c r="P125" i="23"/>
  <c r="S143" i="23"/>
  <c r="U36" i="23"/>
  <c r="U71" i="23" s="1"/>
  <c r="AA36" i="23"/>
  <c r="AA71" i="23" s="1"/>
  <c r="O125" i="23"/>
  <c r="O167" i="23"/>
  <c r="W33" i="23"/>
  <c r="W36" i="23" s="1"/>
  <c r="S124" i="23"/>
  <c r="S125" i="23" s="1"/>
  <c r="AF27" i="23"/>
  <c r="AE27" i="23" s="1"/>
  <c r="S155" i="23"/>
  <c r="P113" i="23"/>
  <c r="P224" i="23" s="1"/>
  <c r="Z33" i="23"/>
  <c r="Y33" i="23" s="1"/>
  <c r="S136" i="23"/>
  <c r="S137" i="23" s="1"/>
  <c r="P136" i="23"/>
  <c r="Q142" i="23"/>
  <c r="Q143" i="23" s="1"/>
  <c r="V42" i="23"/>
  <c r="X42" i="23" s="1"/>
  <c r="AB42" i="23"/>
  <c r="O225" i="23"/>
  <c r="O226" i="23" s="1"/>
  <c r="O68" i="23" s="1"/>
  <c r="O69" i="23" s="1"/>
  <c r="P215" i="23"/>
  <c r="P41" i="23"/>
  <c r="P42" i="23" s="1"/>
  <c r="W75" i="23" s="1"/>
  <c r="V36" i="23"/>
  <c r="AF69" i="23"/>
  <c r="AE69" i="23" s="1"/>
  <c r="V69" i="23"/>
  <c r="X69" i="23" s="1"/>
  <c r="Q154" i="23"/>
  <c r="Q155" i="23" s="1"/>
  <c r="Z69" i="23"/>
  <c r="Y69" i="23" s="1"/>
  <c r="W42" i="23"/>
  <c r="Q215" i="23"/>
  <c r="Q41" i="23"/>
  <c r="Q42" i="23" s="1"/>
  <c r="Q43" i="23" s="1"/>
  <c r="AF56" i="23"/>
  <c r="AE56" i="23" s="1"/>
  <c r="AC69" i="23"/>
  <c r="Q160" i="23"/>
  <c r="Q161" i="23" s="1"/>
  <c r="P161" i="23"/>
  <c r="O137" i="23"/>
  <c r="P118" i="23"/>
  <c r="P119" i="23" s="1"/>
  <c r="P211" i="23" s="1"/>
  <c r="O119" i="23"/>
  <c r="O211" i="23" s="1"/>
  <c r="S118" i="23"/>
  <c r="S119" i="23" s="1"/>
  <c r="Q118" i="23"/>
  <c r="Q119" i="23" s="1"/>
  <c r="Q211" i="23" s="1"/>
  <c r="Q184" i="23"/>
  <c r="Q185" i="23" s="1"/>
  <c r="Y59" i="23"/>
  <c r="AE62" i="23"/>
  <c r="AB56" i="23"/>
  <c r="AD56" i="23" s="1"/>
  <c r="W69" i="23"/>
  <c r="W56" i="23"/>
  <c r="AC29" i="23"/>
  <c r="AC36" i="23" s="1"/>
  <c r="AF29" i="23"/>
  <c r="AB29" i="23"/>
  <c r="AD29" i="23" s="1"/>
  <c r="X10" i="23"/>
  <c r="Z39" i="23"/>
  <c r="P95" i="23"/>
  <c r="P223" i="23" s="1"/>
  <c r="Q94" i="23"/>
  <c r="Q95" i="23" s="1"/>
  <c r="Q223" i="23" s="1"/>
  <c r="S172" i="23"/>
  <c r="S173" i="23" s="1"/>
  <c r="P172" i="23"/>
  <c r="O173" i="23"/>
  <c r="P107" i="23"/>
  <c r="P225" i="23" s="1"/>
  <c r="Q106" i="23"/>
  <c r="Q107" i="23" s="1"/>
  <c r="Q225" i="23" s="1"/>
  <c r="P222" i="23"/>
  <c r="V56" i="23"/>
  <c r="X56" i="23" s="1"/>
  <c r="AE42" i="23"/>
  <c r="AD42" i="23"/>
  <c r="Q148" i="23"/>
  <c r="Q149" i="23" s="1"/>
  <c r="P149" i="23"/>
  <c r="O179" i="23"/>
  <c r="S178" i="23"/>
  <c r="S179" i="23" s="1"/>
  <c r="P178" i="23"/>
  <c r="S130" i="23"/>
  <c r="S131" i="23" s="1"/>
  <c r="Q130" i="23"/>
  <c r="Q131" i="23" s="1"/>
  <c r="P130" i="23"/>
  <c r="P131" i="23" s="1"/>
  <c r="O131" i="23"/>
  <c r="Q222" i="23"/>
  <c r="Z45" i="23"/>
  <c r="Z56" i="23" s="1"/>
  <c r="Y56" i="23" s="1"/>
  <c r="S161" i="23"/>
  <c r="AB69" i="23"/>
  <c r="AD69" i="23" s="1"/>
  <c r="X39" i="23"/>
  <c r="S149" i="23"/>
  <c r="AF42" i="23"/>
  <c r="Y10" i="23"/>
  <c r="Q166" i="23" l="1"/>
  <c r="Q167" i="23" s="1"/>
  <c r="X36" i="23"/>
  <c r="AC71" i="23"/>
  <c r="AF36" i="23"/>
  <c r="AF71" i="23" s="1"/>
  <c r="AE71" i="23" s="1"/>
  <c r="Q226" i="23"/>
  <c r="Q68" i="23" s="1"/>
  <c r="Q69" i="23" s="1"/>
  <c r="AG69" i="23" s="1"/>
  <c r="Z36" i="23"/>
  <c r="Y36" i="23" s="1"/>
  <c r="Q136" i="23"/>
  <c r="Q137" i="23" s="1"/>
  <c r="AB36" i="23"/>
  <c r="AD36" i="23" s="1"/>
  <c r="S219" i="23"/>
  <c r="S220" i="23" s="1"/>
  <c r="S55" i="23" s="1"/>
  <c r="S56" i="23" s="1"/>
  <c r="S57" i="23" s="1"/>
  <c r="W71" i="23"/>
  <c r="O219" i="23"/>
  <c r="O220" i="23" s="1"/>
  <c r="O55" i="23" s="1"/>
  <c r="O56" i="23" s="1"/>
  <c r="AE29" i="23"/>
  <c r="Z42" i="23"/>
  <c r="Y42" i="23" s="1"/>
  <c r="Y39" i="23"/>
  <c r="O212" i="23"/>
  <c r="O35" i="23"/>
  <c r="O36" i="23" s="1"/>
  <c r="Q172" i="23"/>
  <c r="Q173" i="23" s="1"/>
  <c r="P173" i="23"/>
  <c r="P212" i="23"/>
  <c r="P35" i="23"/>
  <c r="P36" i="23" s="1"/>
  <c r="W73" i="23" s="1"/>
  <c r="P226" i="23"/>
  <c r="P68" i="23" s="1"/>
  <c r="P69" i="23" s="1"/>
  <c r="Q178" i="23"/>
  <c r="Q179" i="23" s="1"/>
  <c r="P179" i="23"/>
  <c r="V71" i="23"/>
  <c r="X71" i="23" s="1"/>
  <c r="Q212" i="23"/>
  <c r="Q35" i="23"/>
  <c r="Q36" i="23" s="1"/>
  <c r="Q37" i="23" s="1"/>
  <c r="P137" i="23"/>
  <c r="P43" i="23"/>
  <c r="S211" i="23"/>
  <c r="S208" i="23"/>
  <c r="O208" i="23"/>
  <c r="AE36" i="23" l="1"/>
  <c r="W83" i="23"/>
  <c r="X83" i="23" s="1"/>
  <c r="AB71" i="23"/>
  <c r="AD71" i="23" s="1"/>
  <c r="Q70" i="23"/>
  <c r="AG42" i="23"/>
  <c r="Q219" i="23"/>
  <c r="Q220" i="23" s="1"/>
  <c r="Q55" i="23" s="1"/>
  <c r="Q56" i="23" s="1"/>
  <c r="Q57" i="23" s="1"/>
  <c r="O71" i="23"/>
  <c r="O75" i="23" s="1"/>
  <c r="O228" i="23"/>
  <c r="O230" i="23" s="1"/>
  <c r="Z71" i="23"/>
  <c r="Y71" i="23" s="1"/>
  <c r="S212" i="23"/>
  <c r="S228" i="23" s="1"/>
  <c r="S230" i="23" s="1"/>
  <c r="S35" i="23"/>
  <c r="S36" i="23" s="1"/>
  <c r="S37" i="23" s="1"/>
  <c r="P219" i="23"/>
  <c r="P220" i="23" s="1"/>
  <c r="P55" i="23" s="1"/>
  <c r="P208" i="23"/>
  <c r="Q208" i="23"/>
  <c r="P37" i="23"/>
  <c r="AG36" i="23"/>
  <c r="P56" i="23" l="1"/>
  <c r="W74" i="23" s="1"/>
  <c r="Q228" i="23"/>
  <c r="Q230" i="23" s="1"/>
  <c r="P228" i="23"/>
  <c r="P230" i="23" s="1"/>
  <c r="P71" i="23" l="1"/>
  <c r="X88" i="23" s="1"/>
  <c r="W76" i="23"/>
  <c r="X76" i="23" s="1"/>
  <c r="P57" i="23"/>
  <c r="Q71" i="23" s="1"/>
  <c r="AG56" i="23"/>
  <c r="AG71" i="23" l="1"/>
  <c r="AA30" i="13" l="1"/>
  <c r="AC30" i="13" l="1"/>
  <c r="AB30" i="13"/>
  <c r="AD30" i="13" s="1"/>
  <c r="AF30" i="13"/>
  <c r="AE30" i="13" s="1"/>
  <c r="P72" i="13" l="1"/>
  <c r="P71" i="13"/>
  <c r="O71" i="13"/>
  <c r="P70" i="13"/>
  <c r="O70" i="13"/>
  <c r="P69" i="13"/>
  <c r="O69" i="13"/>
  <c r="O68" i="13"/>
  <c r="P67" i="13"/>
  <c r="O67" i="13"/>
  <c r="P66" i="13"/>
  <c r="O66" i="13"/>
  <c r="O58" i="13"/>
  <c r="O57" i="13"/>
  <c r="O56" i="13"/>
  <c r="O55" i="13"/>
  <c r="O53" i="13"/>
  <c r="O51" i="13"/>
  <c r="O46" i="13"/>
  <c r="O45" i="13"/>
  <c r="O40" i="13"/>
  <c r="V40" i="13" s="1"/>
  <c r="X40" i="13" s="1"/>
  <c r="O39" i="13"/>
  <c r="O38" i="13"/>
  <c r="O37" i="13"/>
  <c r="O36" i="13"/>
  <c r="O28" i="13"/>
  <c r="O27" i="13"/>
  <c r="O26" i="13"/>
  <c r="O25" i="13"/>
  <c r="O24" i="13"/>
  <c r="O23" i="13"/>
  <c r="O22" i="13"/>
  <c r="O21" i="13"/>
  <c r="O20" i="13"/>
  <c r="O19" i="13"/>
  <c r="O18" i="13"/>
  <c r="O16" i="13"/>
  <c r="O15" i="13"/>
  <c r="O14" i="13"/>
  <c r="O13" i="13"/>
  <c r="O10" i="13"/>
  <c r="G142" i="17"/>
  <c r="O72" i="13" l="1"/>
  <c r="AB72" i="13" s="1"/>
  <c r="AD72" i="13" s="1"/>
  <c r="O73" i="13"/>
  <c r="V73" i="13" s="1"/>
  <c r="X73" i="13" s="1"/>
  <c r="O74" i="13"/>
  <c r="AB74" i="13" s="1"/>
  <c r="AD74" i="13" s="1"/>
  <c r="O61" i="13"/>
  <c r="V61" i="13" s="1"/>
  <c r="X61" i="13" s="1"/>
  <c r="O59" i="13"/>
  <c r="V59" i="13" s="1"/>
  <c r="O60" i="13"/>
  <c r="V60" i="13" s="1"/>
  <c r="X60" i="13" s="1"/>
  <c r="P14" i="13"/>
  <c r="P15" i="13"/>
  <c r="P16" i="13"/>
  <c r="Q19" i="13"/>
  <c r="P21" i="13"/>
  <c r="P22" i="13"/>
  <c r="Q23" i="13"/>
  <c r="Q26" i="13"/>
  <c r="Q27" i="13"/>
  <c r="P13" i="13"/>
  <c r="Q24" i="13"/>
  <c r="Q69" i="13"/>
  <c r="P45" i="13"/>
  <c r="Q46" i="13"/>
  <c r="Q70" i="13"/>
  <c r="Q71" i="13"/>
  <c r="Q36" i="13"/>
  <c r="Q37" i="13"/>
  <c r="S53" i="13"/>
  <c r="S56" i="13"/>
  <c r="S57" i="13"/>
  <c r="Q67" i="13"/>
  <c r="S11" i="13"/>
  <c r="P18" i="13"/>
  <c r="P20" i="13"/>
  <c r="Q25" i="13"/>
  <c r="Q28" i="13"/>
  <c r="Q38" i="13"/>
  <c r="P39" i="13"/>
  <c r="S55" i="13"/>
  <c r="S58" i="13"/>
  <c r="S59" i="13"/>
  <c r="S60" i="13"/>
  <c r="S61" i="13"/>
  <c r="O52" i="13"/>
  <c r="P36" i="13"/>
  <c r="Q45" i="13"/>
  <c r="P46" i="13"/>
  <c r="O29" i="13"/>
  <c r="O35" i="13"/>
  <c r="P37" i="13"/>
  <c r="Q55" i="13"/>
  <c r="P38" i="13"/>
  <c r="Q58" i="13"/>
  <c r="Q57" i="13"/>
  <c r="Q53" i="13"/>
  <c r="Q56" i="13"/>
  <c r="P11" i="13"/>
  <c r="Q11" i="13"/>
  <c r="Q13" i="13"/>
  <c r="Q15" i="13"/>
  <c r="Q16" i="13"/>
  <c r="Q18" i="13"/>
  <c r="Q20" i="13"/>
  <c r="Q21" i="13"/>
  <c r="Q22" i="13"/>
  <c r="S10" i="13"/>
  <c r="S15" i="13"/>
  <c r="S16" i="13"/>
  <c r="S18" i="13"/>
  <c r="S19" i="13"/>
  <c r="S20" i="13"/>
  <c r="S21" i="13"/>
  <c r="S22" i="13"/>
  <c r="S23" i="13"/>
  <c r="S24" i="13"/>
  <c r="S25" i="13"/>
  <c r="S26" i="13"/>
  <c r="S27" i="13"/>
  <c r="S28" i="13"/>
  <c r="O34" i="13"/>
  <c r="S36" i="13"/>
  <c r="S37" i="13"/>
  <c r="S38" i="13"/>
  <c r="Q39" i="13"/>
  <c r="Q40" i="13"/>
  <c r="P53" i="13"/>
  <c r="P55" i="13"/>
  <c r="P56" i="13"/>
  <c r="P57" i="13"/>
  <c r="P58" i="13"/>
  <c r="S39" i="13"/>
  <c r="S40" i="13"/>
  <c r="P51" i="13"/>
  <c r="P19" i="13"/>
  <c r="P26" i="13"/>
  <c r="P27" i="13"/>
  <c r="P28" i="13"/>
  <c r="Q51" i="13"/>
  <c r="Q66" i="13"/>
  <c r="P10" i="13"/>
  <c r="P23" i="13"/>
  <c r="P24" i="13"/>
  <c r="P25" i="13"/>
  <c r="Q10" i="13"/>
  <c r="S51" i="13"/>
  <c r="P68" i="13"/>
  <c r="S13" i="13" l="1"/>
  <c r="Q74" i="13"/>
  <c r="AF74" i="13" s="1"/>
  <c r="AE74" i="13" s="1"/>
  <c r="P61" i="13"/>
  <c r="Z61" i="13" s="1"/>
  <c r="Y61" i="13" s="1"/>
  <c r="Q73" i="13"/>
  <c r="Z73" i="13" s="1"/>
  <c r="Y73" i="13" s="1"/>
  <c r="P60" i="13"/>
  <c r="Z60" i="13" s="1"/>
  <c r="Y60" i="13" s="1"/>
  <c r="Q72" i="13"/>
  <c r="AF72" i="13" s="1"/>
  <c r="AE72" i="13" s="1"/>
  <c r="P59" i="13"/>
  <c r="Z59" i="13" s="1"/>
  <c r="P40" i="13"/>
  <c r="Z40" i="13" s="1"/>
  <c r="Y40" i="13" s="1"/>
  <c r="O42" i="13"/>
  <c r="Q14" i="13"/>
  <c r="Q29" i="13"/>
  <c r="Q68" i="13"/>
  <c r="P52" i="13"/>
  <c r="S52" i="13"/>
  <c r="S63" i="13" s="1"/>
  <c r="P29" i="13"/>
  <c r="Q52" i="13"/>
  <c r="Q60" i="13"/>
  <c r="Q61" i="13"/>
  <c r="Q59" i="13"/>
  <c r="Q35" i="13"/>
  <c r="S29" i="13"/>
  <c r="P35" i="13"/>
  <c r="S35" i="13"/>
  <c r="S34" i="13"/>
  <c r="Q34" i="13"/>
  <c r="P34" i="13"/>
  <c r="P42" i="13" l="1"/>
  <c r="Q42" i="13"/>
  <c r="S14" i="13" l="1"/>
  <c r="S42" i="13" s="1"/>
  <c r="S43" i="13"/>
  <c r="Q43" i="13" l="1"/>
  <c r="Q49" i="13"/>
  <c r="P43" i="13"/>
  <c r="P49" i="13" l="1"/>
  <c r="Q97" i="13"/>
  <c r="S64" i="13"/>
  <c r="Q64" i="13"/>
  <c r="Q82" i="13" l="1"/>
  <c r="T82" i="13" s="1"/>
  <c r="Q78" i="13"/>
  <c r="T97" i="13"/>
  <c r="Q101" i="13"/>
  <c r="T101" i="13" s="1"/>
  <c r="O73" i="17"/>
  <c r="O48" i="17"/>
  <c r="O45" i="17"/>
  <c r="O39" i="17"/>
  <c r="Q87" i="13" l="1"/>
  <c r="P64" i="13"/>
  <c r="Z84" i="17"/>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O113" i="17"/>
  <c r="O156" i="17" s="1"/>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S91" i="13" l="1"/>
  <c r="N63" i="13" l="1"/>
  <c r="N76" i="13"/>
  <c r="N48" i="13"/>
  <c r="N78" i="13" l="1"/>
  <c r="J131" i="21"/>
  <c r="I131" i="21"/>
  <c r="H130" i="21"/>
  <c r="G130" i="21"/>
  <c r="G131" i="21" s="1"/>
  <c r="F130" i="21"/>
  <c r="B130" i="21"/>
  <c r="O129" i="21"/>
  <c r="Q129" i="21" s="1"/>
  <c r="J125" i="21"/>
  <c r="I125" i="21"/>
  <c r="H124" i="21"/>
  <c r="H125" i="21" s="1"/>
  <c r="G124" i="21"/>
  <c r="G125" i="21" s="1"/>
  <c r="F124" i="21"/>
  <c r="B124" i="21"/>
  <c r="O123" i="21"/>
  <c r="Q123" i="21" s="1"/>
  <c r="N119" i="21"/>
  <c r="M119" i="21"/>
  <c r="L119" i="21"/>
  <c r="K119" i="21"/>
  <c r="J119" i="21"/>
  <c r="I119" i="21"/>
  <c r="H118" i="21"/>
  <c r="H119" i="21" s="1"/>
  <c r="G118" i="21"/>
  <c r="F118" i="21"/>
  <c r="B118" i="21"/>
  <c r="P117" i="21"/>
  <c r="Q117" i="21" s="1"/>
  <c r="O117" i="21"/>
  <c r="N113" i="21"/>
  <c r="M113" i="21"/>
  <c r="L113" i="21"/>
  <c r="K113" i="21"/>
  <c r="J113" i="21"/>
  <c r="I113" i="21"/>
  <c r="H112" i="21"/>
  <c r="H113" i="21" s="1"/>
  <c r="G112" i="21"/>
  <c r="G113" i="21" s="1"/>
  <c r="F112" i="21"/>
  <c r="B112" i="21"/>
  <c r="P111" i="21"/>
  <c r="Q111" i="21" s="1"/>
  <c r="O111" i="21"/>
  <c r="N107" i="21"/>
  <c r="M107" i="21"/>
  <c r="L107" i="21"/>
  <c r="K107" i="21"/>
  <c r="J107" i="21"/>
  <c r="I107" i="21"/>
  <c r="H106" i="21"/>
  <c r="G106" i="21"/>
  <c r="G107" i="21" s="1"/>
  <c r="F106" i="21"/>
  <c r="B106" i="21"/>
  <c r="P105" i="21"/>
  <c r="Q105" i="21" s="1"/>
  <c r="O105" i="21"/>
  <c r="N101" i="21"/>
  <c r="M101" i="21"/>
  <c r="L101" i="21"/>
  <c r="K101" i="21"/>
  <c r="J101" i="21"/>
  <c r="I101" i="21"/>
  <c r="H100" i="21"/>
  <c r="H101" i="21" s="1"/>
  <c r="G100" i="21"/>
  <c r="G101" i="21" s="1"/>
  <c r="F100" i="21"/>
  <c r="B100" i="21"/>
  <c r="P99" i="21"/>
  <c r="Q99" i="21" s="1"/>
  <c r="O99" i="21"/>
  <c r="N95" i="21"/>
  <c r="M95" i="21"/>
  <c r="L95" i="21"/>
  <c r="K95" i="21"/>
  <c r="J95" i="21"/>
  <c r="I95" i="21"/>
  <c r="H94" i="21"/>
  <c r="H95" i="21" s="1"/>
  <c r="G94" i="21"/>
  <c r="F94" i="21"/>
  <c r="B94" i="21"/>
  <c r="P93" i="21"/>
  <c r="Q93" i="21" s="1"/>
  <c r="O93" i="21"/>
  <c r="N89" i="21"/>
  <c r="M89" i="21"/>
  <c r="L89" i="21"/>
  <c r="K89" i="21"/>
  <c r="J89" i="21"/>
  <c r="I89" i="21"/>
  <c r="H88" i="21"/>
  <c r="H89" i="21" s="1"/>
  <c r="G88" i="21"/>
  <c r="F88" i="21"/>
  <c r="B88" i="21"/>
  <c r="V87" i="21"/>
  <c r="P87" i="21"/>
  <c r="Q87" i="21" s="1"/>
  <c r="O87" i="21"/>
  <c r="V83" i="21"/>
  <c r="A83" i="21"/>
  <c r="P80" i="21"/>
  <c r="O80" i="21"/>
  <c r="P79" i="21"/>
  <c r="O79" i="21"/>
  <c r="P78" i="21"/>
  <c r="O78" i="21"/>
  <c r="N78" i="21"/>
  <c r="P77" i="21"/>
  <c r="O77" i="21"/>
  <c r="P76" i="21"/>
  <c r="O76" i="21"/>
  <c r="F75" i="21"/>
  <c r="H79" i="21" s="1"/>
  <c r="E75" i="21"/>
  <c r="H76" i="21" s="1"/>
  <c r="V74" i="21"/>
  <c r="V86" i="21" s="1"/>
  <c r="V73" i="21"/>
  <c r="O73" i="21"/>
  <c r="N71" i="21"/>
  <c r="H70" i="21"/>
  <c r="G70" i="21"/>
  <c r="C70" i="21"/>
  <c r="H69" i="21"/>
  <c r="G69" i="21"/>
  <c r="C69" i="21"/>
  <c r="AC68" i="21"/>
  <c r="AA68" i="21"/>
  <c r="AE68" i="21" s="1"/>
  <c r="W68" i="21"/>
  <c r="U68" i="21"/>
  <c r="Z68" i="21" s="1"/>
  <c r="AA67" i="21"/>
  <c r="W67" i="21"/>
  <c r="U67" i="21"/>
  <c r="Z67" i="21" s="1"/>
  <c r="P67" i="21"/>
  <c r="Q67" i="21" s="1"/>
  <c r="O67" i="21"/>
  <c r="AC66" i="21"/>
  <c r="AA66" i="21"/>
  <c r="AE66" i="21" s="1"/>
  <c r="U66" i="21"/>
  <c r="W66" i="21" s="1"/>
  <c r="P66" i="21"/>
  <c r="Q66" i="21" s="1"/>
  <c r="O66" i="21"/>
  <c r="AA65" i="21"/>
  <c r="W65" i="21"/>
  <c r="U65" i="21"/>
  <c r="X65" i="21" s="1"/>
  <c r="P65" i="21"/>
  <c r="Q65" i="21" s="1"/>
  <c r="O65" i="21"/>
  <c r="AA64" i="21"/>
  <c r="AC64" i="21" s="1"/>
  <c r="W64" i="21"/>
  <c r="U64" i="21"/>
  <c r="X64" i="21" s="1"/>
  <c r="P64" i="21"/>
  <c r="Q64" i="21" s="1"/>
  <c r="O64" i="21"/>
  <c r="AC63" i="21"/>
  <c r="AA63" i="21"/>
  <c r="AD63" i="21" s="1"/>
  <c r="U63" i="21"/>
  <c r="P63" i="21"/>
  <c r="Q63" i="21" s="1"/>
  <c r="O63" i="21"/>
  <c r="AA62" i="21"/>
  <c r="W62" i="21"/>
  <c r="U62" i="21"/>
  <c r="Y62" i="21" s="1"/>
  <c r="P62" i="21"/>
  <c r="Q62" i="21" s="1"/>
  <c r="O62" i="21"/>
  <c r="AA61" i="21"/>
  <c r="W61" i="21"/>
  <c r="U61" i="21"/>
  <c r="X61" i="21" s="1"/>
  <c r="O61" i="21"/>
  <c r="P61" i="21" s="1"/>
  <c r="Q61" i="21" s="1"/>
  <c r="AA60" i="21"/>
  <c r="W60" i="21"/>
  <c r="U60" i="21"/>
  <c r="Z60" i="21" s="1"/>
  <c r="P60" i="21"/>
  <c r="Q60" i="21" s="1"/>
  <c r="O60" i="21"/>
  <c r="AC59" i="21"/>
  <c r="AA59" i="21"/>
  <c r="AD59" i="21" s="1"/>
  <c r="U59" i="21"/>
  <c r="P59" i="21"/>
  <c r="Q59" i="21" s="1"/>
  <c r="O59" i="21"/>
  <c r="C57" i="21"/>
  <c r="C56" i="21"/>
  <c r="AC55" i="21"/>
  <c r="AA55" i="21"/>
  <c r="AE55" i="21" s="1"/>
  <c r="W55" i="21"/>
  <c r="U55" i="21"/>
  <c r="AC54" i="21"/>
  <c r="AA54" i="21"/>
  <c r="AE54" i="21" s="1"/>
  <c r="U54" i="21"/>
  <c r="Y54" i="21" s="1"/>
  <c r="O54" i="21"/>
  <c r="P54" i="21" s="1"/>
  <c r="AC53" i="21"/>
  <c r="AA53" i="21"/>
  <c r="AE53" i="21" s="1"/>
  <c r="U53" i="21"/>
  <c r="Y53" i="21" s="1"/>
  <c r="O53" i="21"/>
  <c r="AC52" i="21"/>
  <c r="AA52" i="21"/>
  <c r="AE52" i="21" s="1"/>
  <c r="U52" i="21"/>
  <c r="X52" i="21" s="1"/>
  <c r="O52" i="21"/>
  <c r="S52" i="21" s="1"/>
  <c r="AC51" i="21"/>
  <c r="AA51" i="21"/>
  <c r="U51" i="21"/>
  <c r="X51" i="21" s="1"/>
  <c r="O51" i="21"/>
  <c r="AC50" i="21"/>
  <c r="AA50" i="21"/>
  <c r="U50" i="21"/>
  <c r="O50" i="21"/>
  <c r="AA49" i="21"/>
  <c r="AC49" i="21" s="1"/>
  <c r="W49" i="21"/>
  <c r="U49" i="21"/>
  <c r="X49" i="21" s="1"/>
  <c r="O49" i="21"/>
  <c r="P49" i="21" s="1"/>
  <c r="AC48" i="21"/>
  <c r="AA48" i="21"/>
  <c r="U48" i="21"/>
  <c r="O48" i="21"/>
  <c r="P48" i="21" s="1"/>
  <c r="AC47" i="21"/>
  <c r="AA47" i="21"/>
  <c r="U47" i="21"/>
  <c r="W47" i="21" s="1"/>
  <c r="O47" i="21"/>
  <c r="AC46" i="21"/>
  <c r="AA46" i="21"/>
  <c r="U46" i="21"/>
  <c r="W46" i="21" s="1"/>
  <c r="O46" i="21"/>
  <c r="AC45" i="21"/>
  <c r="AA45" i="21"/>
  <c r="U45" i="21"/>
  <c r="W45" i="21" s="1"/>
  <c r="O45" i="21"/>
  <c r="P45" i="21" s="1"/>
  <c r="C43" i="21"/>
  <c r="S42" i="21"/>
  <c r="S43" i="21" s="1"/>
  <c r="C42" i="21"/>
  <c r="AC41" i="21"/>
  <c r="AA41" i="21"/>
  <c r="AD41" i="21" s="1"/>
  <c r="W41" i="21"/>
  <c r="U41" i="21"/>
  <c r="X41" i="21" s="1"/>
  <c r="AC40" i="21"/>
  <c r="AA40" i="21"/>
  <c r="AD40" i="21" s="1"/>
  <c r="U40" i="21"/>
  <c r="W40" i="21" s="1"/>
  <c r="O40" i="21"/>
  <c r="Q40" i="21" s="1"/>
  <c r="AC39" i="21"/>
  <c r="AA39" i="21"/>
  <c r="AE39" i="21" s="1"/>
  <c r="U39" i="21"/>
  <c r="O39" i="21"/>
  <c r="C37" i="21"/>
  <c r="C36" i="21"/>
  <c r="AC35" i="21"/>
  <c r="AA35" i="21"/>
  <c r="AD35" i="21" s="1"/>
  <c r="W35" i="21"/>
  <c r="U35" i="21"/>
  <c r="O34" i="21"/>
  <c r="P34" i="21" s="1"/>
  <c r="AC33" i="21"/>
  <c r="AA33" i="21"/>
  <c r="AE33" i="21" s="1"/>
  <c r="H33" i="21"/>
  <c r="O33" i="21" s="1"/>
  <c r="P33" i="21" s="1"/>
  <c r="AA32" i="21"/>
  <c r="AE32" i="21" s="1"/>
  <c r="W32" i="21"/>
  <c r="U32" i="21"/>
  <c r="Y32" i="21" s="1"/>
  <c r="O32" i="21"/>
  <c r="Q32" i="21" s="1"/>
  <c r="AC31" i="21"/>
  <c r="AA31" i="21"/>
  <c r="AE31" i="21" s="1"/>
  <c r="U31" i="21"/>
  <c r="O31" i="21"/>
  <c r="Q31" i="21" s="1"/>
  <c r="AC30" i="21"/>
  <c r="AA30" i="21"/>
  <c r="AE30" i="21" s="1"/>
  <c r="U30" i="21"/>
  <c r="O30" i="21"/>
  <c r="S30" i="21" s="1"/>
  <c r="W29" i="21"/>
  <c r="U29" i="21"/>
  <c r="X29" i="21" s="1"/>
  <c r="H29" i="21"/>
  <c r="AA29" i="21" s="1"/>
  <c r="AC28" i="21"/>
  <c r="AA28" i="21"/>
  <c r="AE28" i="21" s="1"/>
  <c r="H28" i="21"/>
  <c r="W27" i="21"/>
  <c r="U27" i="21"/>
  <c r="X27" i="21" s="1"/>
  <c r="H27" i="21"/>
  <c r="G27" i="21"/>
  <c r="AC26" i="21"/>
  <c r="AA26" i="21"/>
  <c r="AD26" i="21" s="1"/>
  <c r="U26" i="21"/>
  <c r="X26" i="21" s="1"/>
  <c r="O26" i="21"/>
  <c r="S26" i="21" s="1"/>
  <c r="AC25" i="21"/>
  <c r="AA25" i="21"/>
  <c r="AD25" i="21" s="1"/>
  <c r="U25" i="21"/>
  <c r="O25" i="21"/>
  <c r="S25" i="21" s="1"/>
  <c r="AC24" i="21"/>
  <c r="AA24" i="21"/>
  <c r="AD24" i="21" s="1"/>
  <c r="U24" i="21"/>
  <c r="O24" i="21"/>
  <c r="S24" i="21" s="1"/>
  <c r="AC23" i="21"/>
  <c r="AA23" i="21"/>
  <c r="AD23" i="21" s="1"/>
  <c r="U23" i="21"/>
  <c r="X23" i="21" s="1"/>
  <c r="O23" i="21"/>
  <c r="S23" i="21" s="1"/>
  <c r="AA22" i="21"/>
  <c r="W22" i="21"/>
  <c r="U22" i="21"/>
  <c r="X22" i="21" s="1"/>
  <c r="O22" i="21"/>
  <c r="S22" i="21" s="1"/>
  <c r="AC21" i="21"/>
  <c r="AA21" i="21"/>
  <c r="AE21" i="21" s="1"/>
  <c r="U21" i="21"/>
  <c r="O21" i="21"/>
  <c r="S21" i="21" s="1"/>
  <c r="AC20" i="21"/>
  <c r="AA20" i="21"/>
  <c r="AF20" i="21" s="1"/>
  <c r="U20" i="21"/>
  <c r="W20" i="21" s="1"/>
  <c r="O20" i="21"/>
  <c r="P20" i="21" s="1"/>
  <c r="AA19" i="21"/>
  <c r="AC19" i="21" s="1"/>
  <c r="W19" i="21"/>
  <c r="U19" i="21"/>
  <c r="Y19" i="21" s="1"/>
  <c r="O19" i="21"/>
  <c r="P19" i="21" s="1"/>
  <c r="AC18" i="21"/>
  <c r="AA18" i="21"/>
  <c r="AE18" i="21" s="1"/>
  <c r="U18" i="21"/>
  <c r="W18" i="21" s="1"/>
  <c r="O18" i="21"/>
  <c r="P18" i="21" s="1"/>
  <c r="AC17" i="21"/>
  <c r="AA17" i="21"/>
  <c r="AF17" i="21" s="1"/>
  <c r="U17" i="21"/>
  <c r="W17" i="21" s="1"/>
  <c r="O17" i="21"/>
  <c r="P17" i="21" s="1"/>
  <c r="AC16" i="21"/>
  <c r="AA16" i="21"/>
  <c r="AB16" i="21" s="1"/>
  <c r="U16" i="21"/>
  <c r="O16" i="21"/>
  <c r="P16" i="21" s="1"/>
  <c r="AC15" i="21"/>
  <c r="AA15" i="21"/>
  <c r="AF15" i="21" s="1"/>
  <c r="U15" i="21"/>
  <c r="W15" i="21" s="1"/>
  <c r="O15" i="21"/>
  <c r="P15" i="21" s="1"/>
  <c r="AC14" i="21"/>
  <c r="AA14" i="21"/>
  <c r="AB14" i="21" s="1"/>
  <c r="U14" i="21"/>
  <c r="W14" i="21" s="1"/>
  <c r="O14" i="21"/>
  <c r="P14" i="21" s="1"/>
  <c r="AA13" i="21"/>
  <c r="AC13" i="21" s="1"/>
  <c r="W13" i="21"/>
  <c r="U13" i="21"/>
  <c r="Z13" i="21" s="1"/>
  <c r="O13" i="21"/>
  <c r="P13" i="21" s="1"/>
  <c r="AC12" i="21"/>
  <c r="AA12" i="21"/>
  <c r="AB12" i="21" s="1"/>
  <c r="U12" i="21"/>
  <c r="W12" i="21" s="1"/>
  <c r="O12" i="21"/>
  <c r="P12" i="21" s="1"/>
  <c r="AA11" i="21"/>
  <c r="W11" i="21"/>
  <c r="U11" i="21"/>
  <c r="Z11" i="21" s="1"/>
  <c r="O11" i="21"/>
  <c r="P11" i="21" s="1"/>
  <c r="AC10" i="21"/>
  <c r="AA10" i="21"/>
  <c r="U10" i="21"/>
  <c r="W10" i="21" s="1"/>
  <c r="O10" i="21"/>
  <c r="P10" i="21" s="1"/>
  <c r="A5" i="21"/>
  <c r="A4" i="21"/>
  <c r="Q18" i="21" l="1"/>
  <c r="AF64" i="21"/>
  <c r="AB62" i="21"/>
  <c r="AD62" i="21" s="1"/>
  <c r="AF67" i="21"/>
  <c r="AE67" i="21" s="1"/>
  <c r="AB30" i="21"/>
  <c r="AE26" i="21"/>
  <c r="AD28" i="21"/>
  <c r="AD68" i="21"/>
  <c r="O118" i="21"/>
  <c r="AA27" i="21"/>
  <c r="V76" i="21"/>
  <c r="V48" i="21"/>
  <c r="X48" i="21" s="1"/>
  <c r="O94" i="21"/>
  <c r="O95" i="21" s="1"/>
  <c r="O146" i="21" s="1"/>
  <c r="V46" i="21"/>
  <c r="Q10" i="21"/>
  <c r="S18" i="21"/>
  <c r="AC32" i="21"/>
  <c r="V50" i="21"/>
  <c r="P106" i="21"/>
  <c r="Q106" i="21" s="1"/>
  <c r="Q107" i="21" s="1"/>
  <c r="S15" i="21"/>
  <c r="S20" i="21"/>
  <c r="AB28" i="21"/>
  <c r="AD32" i="21"/>
  <c r="AB35" i="21"/>
  <c r="W50" i="21"/>
  <c r="V52" i="21"/>
  <c r="AD52" i="21"/>
  <c r="X54" i="21"/>
  <c r="AF60" i="21"/>
  <c r="AF65" i="21"/>
  <c r="AD53" i="21"/>
  <c r="AD55" i="21"/>
  <c r="Z66" i="21"/>
  <c r="Y66" i="21" s="1"/>
  <c r="Q16" i="21"/>
  <c r="Q12" i="21"/>
  <c r="X13" i="21"/>
  <c r="S14" i="21"/>
  <c r="Z16" i="21"/>
  <c r="Y16" i="21" s="1"/>
  <c r="X18" i="21"/>
  <c r="Q19" i="21"/>
  <c r="X19" i="21"/>
  <c r="AD30" i="21"/>
  <c r="AE35" i="21"/>
  <c r="U42" i="21"/>
  <c r="P40" i="21"/>
  <c r="AB41" i="21"/>
  <c r="AC56" i="21"/>
  <c r="W48" i="21"/>
  <c r="AB53" i="21"/>
  <c r="S54" i="21"/>
  <c r="Q54" i="21" s="1"/>
  <c r="AB55" i="21"/>
  <c r="O124" i="21"/>
  <c r="Q124" i="21" s="1"/>
  <c r="Q125" i="21" s="1"/>
  <c r="Q142" i="21" s="1"/>
  <c r="Q143" i="21" s="1"/>
  <c r="Q14" i="21"/>
  <c r="X11" i="21"/>
  <c r="S12" i="21"/>
  <c r="S19" i="21"/>
  <c r="AE25" i="21"/>
  <c r="AB52" i="21"/>
  <c r="AF62" i="21"/>
  <c r="AE62" i="21" s="1"/>
  <c r="V64" i="21"/>
  <c r="AB67" i="21"/>
  <c r="AD67" i="21" s="1"/>
  <c r="AB68" i="21"/>
  <c r="V85" i="21"/>
  <c r="V88" i="21" s="1"/>
  <c r="O130" i="21"/>
  <c r="Q130" i="21" s="1"/>
  <c r="AF31" i="21"/>
  <c r="AB11" i="21"/>
  <c r="S17" i="21"/>
  <c r="S10" i="21"/>
  <c r="Q15" i="21"/>
  <c r="S16" i="21"/>
  <c r="Z17" i="21"/>
  <c r="Y17" i="21" s="1"/>
  <c r="Q20" i="21"/>
  <c r="AE24" i="21"/>
  <c r="Y27" i="21"/>
  <c r="O29" i="21"/>
  <c r="AB29" i="21" s="1"/>
  <c r="AD29" i="21" s="1"/>
  <c r="Y29" i="21"/>
  <c r="AF30" i="21"/>
  <c r="AD31" i="21"/>
  <c r="V32" i="21"/>
  <c r="U33" i="21"/>
  <c r="W33" i="21" s="1"/>
  <c r="AF33" i="21"/>
  <c r="AB40" i="21"/>
  <c r="V47" i="21"/>
  <c r="X47" i="21" s="1"/>
  <c r="V51" i="21"/>
  <c r="AD54" i="21"/>
  <c r="AF55" i="21"/>
  <c r="AB59" i="21"/>
  <c r="Z61" i="21"/>
  <c r="X62" i="21"/>
  <c r="AF63" i="21"/>
  <c r="V65" i="21"/>
  <c r="V66" i="21"/>
  <c r="X66" i="21" s="1"/>
  <c r="X67" i="21"/>
  <c r="G71" i="21"/>
  <c r="H71" i="21"/>
  <c r="O88" i="21"/>
  <c r="O89" i="21" s="1"/>
  <c r="O145" i="21" s="1"/>
  <c r="H131" i="21"/>
  <c r="AF54" i="21"/>
  <c r="H107" i="21"/>
  <c r="Q11" i="21"/>
  <c r="W16" i="21"/>
  <c r="Q17" i="21"/>
  <c r="AF28" i="21"/>
  <c r="P31" i="21"/>
  <c r="Z31" i="21" s="1"/>
  <c r="Y31" i="21" s="1"/>
  <c r="AB31" i="21"/>
  <c r="X32" i="21"/>
  <c r="Q34" i="21"/>
  <c r="V39" i="21"/>
  <c r="X39" i="21" s="1"/>
  <c r="AE40" i="21"/>
  <c r="V45" i="21"/>
  <c r="V49" i="21"/>
  <c r="W51" i="21"/>
  <c r="P52" i="21"/>
  <c r="Q52" i="21" s="1"/>
  <c r="AF52" i="21"/>
  <c r="AF53" i="21"/>
  <c r="AB54" i="21"/>
  <c r="AF59" i="21"/>
  <c r="AC60" i="21"/>
  <c r="V61" i="21"/>
  <c r="V62" i="21"/>
  <c r="AB63" i="21"/>
  <c r="Z65" i="21"/>
  <c r="AF68" i="21"/>
  <c r="O106" i="21"/>
  <c r="O107" i="21" s="1"/>
  <c r="P112" i="21"/>
  <c r="P113" i="21" s="1"/>
  <c r="Z62" i="21"/>
  <c r="AA36" i="21"/>
  <c r="S11" i="21"/>
  <c r="AE23" i="21"/>
  <c r="V30" i="21"/>
  <c r="S31" i="21"/>
  <c r="Z32" i="21"/>
  <c r="S34" i="21"/>
  <c r="W39" i="21"/>
  <c r="W42" i="21" s="1"/>
  <c r="AB60" i="21"/>
  <c r="AD60" i="21" s="1"/>
  <c r="AE64" i="21"/>
  <c r="AC67" i="21"/>
  <c r="H75" i="21"/>
  <c r="P100" i="21"/>
  <c r="Q100" i="21" s="1"/>
  <c r="Q101" i="21" s="1"/>
  <c r="O119" i="21"/>
  <c r="O147" i="21" s="1"/>
  <c r="Z12" i="21"/>
  <c r="Y12" i="21" s="1"/>
  <c r="Q13" i="21"/>
  <c r="S13" i="21" s="1"/>
  <c r="Z14" i="21"/>
  <c r="Y14" i="21" s="1"/>
  <c r="Z18" i="21"/>
  <c r="AC27" i="21"/>
  <c r="Z22" i="21"/>
  <c r="Z35" i="21"/>
  <c r="V35" i="21"/>
  <c r="X35" i="21"/>
  <c r="AB10" i="21"/>
  <c r="AF11" i="21"/>
  <c r="AE11" i="21" s="1"/>
  <c r="AF16" i="21"/>
  <c r="AB17" i="21"/>
  <c r="AB18" i="21"/>
  <c r="AB20" i="21"/>
  <c r="AF21" i="21"/>
  <c r="AB21" i="21"/>
  <c r="V23" i="21"/>
  <c r="V25" i="21"/>
  <c r="X25" i="21" s="1"/>
  <c r="V26" i="21"/>
  <c r="Y11" i="21"/>
  <c r="AC11" i="21"/>
  <c r="Y13" i="21"/>
  <c r="Y18" i="21"/>
  <c r="P21" i="21"/>
  <c r="Z21" i="21" s="1"/>
  <c r="Y21" i="21" s="1"/>
  <c r="P22" i="21"/>
  <c r="AF22" i="21" s="1"/>
  <c r="AE22" i="21" s="1"/>
  <c r="AC22" i="21"/>
  <c r="P23" i="21"/>
  <c r="Z23" i="21" s="1"/>
  <c r="W24" i="21"/>
  <c r="W25" i="21"/>
  <c r="P26" i="21"/>
  <c r="Z26" i="21" s="1"/>
  <c r="Z27" i="21"/>
  <c r="V27" i="21"/>
  <c r="S32" i="21"/>
  <c r="Q33" i="21"/>
  <c r="AA42" i="21"/>
  <c r="V10" i="21"/>
  <c r="Z10" i="21"/>
  <c r="AD10" i="21"/>
  <c r="V11" i="21"/>
  <c r="AD11" i="21"/>
  <c r="V12" i="21"/>
  <c r="X12" i="21" s="1"/>
  <c r="AD12" i="21"/>
  <c r="V13" i="21"/>
  <c r="V14" i="21"/>
  <c r="X14" i="21" s="1"/>
  <c r="AD14" i="21"/>
  <c r="V15" i="21"/>
  <c r="X15" i="21" s="1"/>
  <c r="Z15" i="21"/>
  <c r="Y15" i="21" s="1"/>
  <c r="AD15" i="21"/>
  <c r="V16" i="21"/>
  <c r="X16" i="21" s="1"/>
  <c r="AD16" i="21"/>
  <c r="V17" i="21"/>
  <c r="X17" i="21" s="1"/>
  <c r="AD17" i="21"/>
  <c r="V18" i="21"/>
  <c r="AD18" i="21"/>
  <c r="V19" i="21"/>
  <c r="Z19" i="21"/>
  <c r="V20" i="21"/>
  <c r="X20" i="21" s="1"/>
  <c r="Z20" i="21"/>
  <c r="Y20" i="21" s="1"/>
  <c r="AD20" i="21"/>
  <c r="Q21" i="21"/>
  <c r="AD21" i="21"/>
  <c r="Q22" i="21"/>
  <c r="Y22" i="21"/>
  <c r="Q23" i="21"/>
  <c r="Y23" i="21"/>
  <c r="Q24" i="21"/>
  <c r="Q25" i="21"/>
  <c r="Q26" i="21"/>
  <c r="Y26" i="21"/>
  <c r="O27" i="21"/>
  <c r="U28" i="21"/>
  <c r="O28" i="21"/>
  <c r="W30" i="21"/>
  <c r="X30" i="21"/>
  <c r="W31" i="21"/>
  <c r="V31" i="21"/>
  <c r="X31" i="21" s="1"/>
  <c r="S33" i="21"/>
  <c r="AD33" i="21"/>
  <c r="AB33" i="21"/>
  <c r="AF35" i="21"/>
  <c r="Z41" i="21"/>
  <c r="V41" i="21"/>
  <c r="Y41" i="21"/>
  <c r="AA56" i="21"/>
  <c r="AF45" i="21"/>
  <c r="AB45" i="21"/>
  <c r="AE45" i="21"/>
  <c r="AD45" i="21"/>
  <c r="S48" i="21"/>
  <c r="Q48" i="21"/>
  <c r="AF49" i="21"/>
  <c r="AE49" i="21" s="1"/>
  <c r="AB49" i="21"/>
  <c r="AD49" i="21" s="1"/>
  <c r="AE14" i="21"/>
  <c r="AE15" i="21"/>
  <c r="AE16" i="21"/>
  <c r="AE17" i="21"/>
  <c r="AF39" i="21"/>
  <c r="AB39" i="21"/>
  <c r="S47" i="21"/>
  <c r="Q47" i="21"/>
  <c r="AF48" i="21"/>
  <c r="AB48" i="21"/>
  <c r="AE48" i="21"/>
  <c r="AD48" i="21"/>
  <c r="S51" i="21"/>
  <c r="Q51" i="21"/>
  <c r="AF10" i="21"/>
  <c r="AF12" i="21"/>
  <c r="AF14" i="21"/>
  <c r="AB15" i="21"/>
  <c r="AF18" i="21"/>
  <c r="AB19" i="21"/>
  <c r="AD19" i="21" s="1"/>
  <c r="V21" i="21"/>
  <c r="X21" i="21" s="1"/>
  <c r="V22" i="21"/>
  <c r="V24" i="21"/>
  <c r="X24" i="21" s="1"/>
  <c r="AF24" i="21"/>
  <c r="AB24" i="21"/>
  <c r="AF25" i="21"/>
  <c r="AB25" i="21"/>
  <c r="AF26" i="21"/>
  <c r="AB26" i="21"/>
  <c r="Z29" i="21"/>
  <c r="Q30" i="21"/>
  <c r="P30" i="21"/>
  <c r="Z30" i="21" s="1"/>
  <c r="Y30" i="21" s="1"/>
  <c r="P32" i="21"/>
  <c r="AF32" i="21" s="1"/>
  <c r="AB32" i="21"/>
  <c r="O42" i="21"/>
  <c r="P39" i="21"/>
  <c r="AC42" i="21"/>
  <c r="S46" i="21"/>
  <c r="Q46" i="21"/>
  <c r="P47" i="21"/>
  <c r="Z47" i="21" s="1"/>
  <c r="Y47" i="21" s="1"/>
  <c r="AF47" i="21"/>
  <c r="AB47" i="21"/>
  <c r="AE47" i="21"/>
  <c r="AD47" i="21"/>
  <c r="S50" i="21"/>
  <c r="Q50" i="21"/>
  <c r="P51" i="21"/>
  <c r="AF51" i="21"/>
  <c r="AB51" i="21"/>
  <c r="AE51" i="21"/>
  <c r="AD51" i="21"/>
  <c r="P53" i="21"/>
  <c r="V53" i="21"/>
  <c r="Z54" i="21"/>
  <c r="AE10" i="21"/>
  <c r="AE12" i="21"/>
  <c r="AE20" i="21"/>
  <c r="X55" i="21"/>
  <c r="V55" i="21"/>
  <c r="Y55" i="21"/>
  <c r="AB13" i="21"/>
  <c r="AD13" i="21" s="1"/>
  <c r="AF13" i="21"/>
  <c r="AE13" i="21" s="1"/>
  <c r="AF19" i="21"/>
  <c r="AE19" i="21" s="1"/>
  <c r="AB22" i="21"/>
  <c r="AD22" i="21" s="1"/>
  <c r="AF23" i="21"/>
  <c r="AB23" i="21"/>
  <c r="W21" i="21"/>
  <c r="W23" i="21"/>
  <c r="P24" i="21"/>
  <c r="Z24" i="21" s="1"/>
  <c r="Y24" i="21" s="1"/>
  <c r="P25" i="21"/>
  <c r="Z25" i="21" s="1"/>
  <c r="Y25" i="21" s="1"/>
  <c r="W26" i="21"/>
  <c r="V29" i="21"/>
  <c r="Y35" i="21"/>
  <c r="Q39" i="21"/>
  <c r="Q42" i="21" s="1"/>
  <c r="Q43" i="21" s="1"/>
  <c r="AD39" i="21"/>
  <c r="S45" i="21"/>
  <c r="Q45" i="21"/>
  <c r="P46" i="21"/>
  <c r="Z46" i="21" s="1"/>
  <c r="Y46" i="21" s="1"/>
  <c r="AF46" i="21"/>
  <c r="AB46" i="21"/>
  <c r="AE46" i="21"/>
  <c r="AD46" i="21"/>
  <c r="S49" i="21"/>
  <c r="Q49" i="21"/>
  <c r="P50" i="21"/>
  <c r="Z50" i="21" s="1"/>
  <c r="Y50" i="21" s="1"/>
  <c r="AF50" i="21"/>
  <c r="AB50" i="21"/>
  <c r="AE50" i="21"/>
  <c r="AD50" i="21"/>
  <c r="S53" i="21"/>
  <c r="Z55" i="21"/>
  <c r="AC29" i="21"/>
  <c r="Z40" i="21"/>
  <c r="Y40" i="21" s="1"/>
  <c r="V40" i="21"/>
  <c r="X40" i="21" s="1"/>
  <c r="AF40" i="21"/>
  <c r="AE41" i="21"/>
  <c r="Y49" i="21"/>
  <c r="Y51" i="21"/>
  <c r="W53" i="21"/>
  <c r="X53" i="21"/>
  <c r="W54" i="21"/>
  <c r="V54" i="21"/>
  <c r="X60" i="21"/>
  <c r="Y60" i="21"/>
  <c r="V60" i="21"/>
  <c r="AF41" i="21"/>
  <c r="U56" i="21"/>
  <c r="X45" i="21"/>
  <c r="Z45" i="21"/>
  <c r="X46" i="21"/>
  <c r="Z48" i="21"/>
  <c r="Y48" i="21" s="1"/>
  <c r="Z49" i="21"/>
  <c r="X50" i="21"/>
  <c r="Z51" i="21"/>
  <c r="W52" i="21"/>
  <c r="Y52" i="21"/>
  <c r="AE60" i="21"/>
  <c r="AC62" i="21"/>
  <c r="Y64" i="21"/>
  <c r="U69" i="21"/>
  <c r="Z59" i="21"/>
  <c r="V59" i="21"/>
  <c r="W59" i="21"/>
  <c r="AF61" i="21"/>
  <c r="AE61" i="21" s="1"/>
  <c r="AB61" i="21"/>
  <c r="AD61" i="21" s="1"/>
  <c r="AC61" i="21"/>
  <c r="Z64" i="21"/>
  <c r="AF66" i="21"/>
  <c r="AB66" i="21"/>
  <c r="AD66" i="21"/>
  <c r="I71" i="21"/>
  <c r="J71" i="21"/>
  <c r="AB64" i="21"/>
  <c r="AD64" i="21" s="1"/>
  <c r="Z63" i="21"/>
  <c r="Y63" i="21" s="1"/>
  <c r="V63" i="21"/>
  <c r="X63" i="21" s="1"/>
  <c r="W63" i="21"/>
  <c r="Q131" i="21"/>
  <c r="Q139" i="21" s="1"/>
  <c r="AE59" i="21"/>
  <c r="Y61" i="21"/>
  <c r="AE63" i="21"/>
  <c r="Y65" i="21"/>
  <c r="AC65" i="21"/>
  <c r="X68" i="21"/>
  <c r="P88" i="21"/>
  <c r="G89" i="21"/>
  <c r="P94" i="21"/>
  <c r="O100" i="21"/>
  <c r="O101" i="21" s="1"/>
  <c r="P118" i="21"/>
  <c r="S123" i="21"/>
  <c r="S129" i="21"/>
  <c r="S130" i="21"/>
  <c r="Y68" i="21"/>
  <c r="AA69" i="21"/>
  <c r="O131" i="21"/>
  <c r="O139" i="21" s="1"/>
  <c r="AE65" i="21"/>
  <c r="Y67" i="21"/>
  <c r="V68" i="21"/>
  <c r="H80" i="21"/>
  <c r="G95" i="21"/>
  <c r="O112" i="21"/>
  <c r="O113" i="21" s="1"/>
  <c r="G119" i="21"/>
  <c r="P123" i="21"/>
  <c r="P129" i="21"/>
  <c r="AB65" i="21"/>
  <c r="AD65" i="21" s="1"/>
  <c r="V67" i="21"/>
  <c r="P130" i="21" l="1"/>
  <c r="O125" i="21"/>
  <c r="O142" i="21" s="1"/>
  <c r="Z33" i="21"/>
  <c r="Y33" i="21" s="1"/>
  <c r="S124" i="21"/>
  <c r="S125" i="21" s="1"/>
  <c r="S142" i="21" s="1"/>
  <c r="Q55" i="21"/>
  <c r="P124" i="21"/>
  <c r="P107" i="21"/>
  <c r="V33" i="21"/>
  <c r="X33" i="21" s="1"/>
  <c r="AB42" i="21"/>
  <c r="Q112" i="21"/>
  <c r="Q113" i="21" s="1"/>
  <c r="Q148" i="21" s="1"/>
  <c r="O148" i="21"/>
  <c r="O149" i="21" s="1"/>
  <c r="W56" i="21"/>
  <c r="P101" i="21"/>
  <c r="P131" i="21"/>
  <c r="P139" i="21" s="1"/>
  <c r="P35" i="21" s="1"/>
  <c r="S131" i="21"/>
  <c r="S139" i="21" s="1"/>
  <c r="S35" i="21" s="1"/>
  <c r="K71" i="21"/>
  <c r="AB69" i="21"/>
  <c r="AD69" i="21" s="1"/>
  <c r="Z52" i="21"/>
  <c r="AC36" i="21"/>
  <c r="V56" i="21"/>
  <c r="X56" i="21" s="1"/>
  <c r="AB56" i="21"/>
  <c r="AD56" i="21" s="1"/>
  <c r="AC69" i="21"/>
  <c r="S29" i="21"/>
  <c r="Q29" i="21"/>
  <c r="W69" i="21"/>
  <c r="AF69" i="21"/>
  <c r="AE69" i="21" s="1"/>
  <c r="AF42" i="21"/>
  <c r="P29" i="21"/>
  <c r="AF29" i="21" s="1"/>
  <c r="AE29" i="21" s="1"/>
  <c r="P125" i="21"/>
  <c r="P142" i="21" s="1"/>
  <c r="P143" i="21" s="1"/>
  <c r="O140" i="21"/>
  <c r="O35" i="21"/>
  <c r="O36" i="21" s="1"/>
  <c r="O143" i="21"/>
  <c r="O55" i="21"/>
  <c r="P89" i="21"/>
  <c r="Q88" i="21"/>
  <c r="Q89" i="21" s="1"/>
  <c r="Q140" i="21"/>
  <c r="Q35" i="21"/>
  <c r="Z69" i="21"/>
  <c r="Y69" i="21" s="1"/>
  <c r="Y59" i="21"/>
  <c r="S28" i="21"/>
  <c r="Q28" i="21"/>
  <c r="P28" i="21"/>
  <c r="Z28" i="21" s="1"/>
  <c r="AE42" i="21"/>
  <c r="AD42" i="21"/>
  <c r="AA71" i="21"/>
  <c r="P42" i="21"/>
  <c r="Z39" i="21"/>
  <c r="W28" i="21"/>
  <c r="W36" i="21" s="1"/>
  <c r="V28" i="21"/>
  <c r="P95" i="21"/>
  <c r="P146" i="21" s="1"/>
  <c r="Q94" i="21"/>
  <c r="Q95" i="21" s="1"/>
  <c r="Q146" i="21" s="1"/>
  <c r="O136" i="21"/>
  <c r="Q53" i="21"/>
  <c r="Q56" i="21" s="1"/>
  <c r="Q57" i="21" s="1"/>
  <c r="Z53" i="21"/>
  <c r="AF56" i="21"/>
  <c r="AE56" i="21" s="1"/>
  <c r="P27" i="21"/>
  <c r="AF27" i="21" s="1"/>
  <c r="AE27" i="21" s="1"/>
  <c r="S27" i="21"/>
  <c r="Q27" i="21"/>
  <c r="Y10" i="21"/>
  <c r="AB27" i="21"/>
  <c r="AD27" i="21" s="1"/>
  <c r="P119" i="21"/>
  <c r="P147" i="21" s="1"/>
  <c r="Q118" i="21"/>
  <c r="Q119" i="21" s="1"/>
  <c r="Q147" i="21" s="1"/>
  <c r="V69" i="21"/>
  <c r="X69" i="21" s="1"/>
  <c r="X59" i="21"/>
  <c r="X10" i="21"/>
  <c r="U36" i="21"/>
  <c r="U71" i="21" s="1"/>
  <c r="Y45" i="21"/>
  <c r="V42" i="21"/>
  <c r="X42" i="21" s="1"/>
  <c r="V36" i="21" l="1"/>
  <c r="P148" i="21"/>
  <c r="Q36" i="21"/>
  <c r="Q37" i="21" s="1"/>
  <c r="P140" i="21"/>
  <c r="AC71" i="21"/>
  <c r="W71" i="21"/>
  <c r="S36" i="21"/>
  <c r="S37" i="21" s="1"/>
  <c r="S140" i="21"/>
  <c r="Z56" i="21"/>
  <c r="Y56" i="21" s="1"/>
  <c r="S136" i="21"/>
  <c r="V71" i="21"/>
  <c r="X71" i="21" s="1"/>
  <c r="X36" i="21"/>
  <c r="Z36" i="21"/>
  <c r="Y28" i="21"/>
  <c r="P55" i="21"/>
  <c r="P56" i="21" s="1"/>
  <c r="O56" i="21"/>
  <c r="AF36" i="21"/>
  <c r="O68" i="21"/>
  <c r="O69" i="21" s="1"/>
  <c r="O151" i="21"/>
  <c r="O153" i="21" s="1"/>
  <c r="X28" i="21"/>
  <c r="Z42" i="21"/>
  <c r="Y42" i="21" s="1"/>
  <c r="Y39" i="21"/>
  <c r="Q145" i="21"/>
  <c r="Q149" i="21" s="1"/>
  <c r="Q136" i="21"/>
  <c r="P36" i="21"/>
  <c r="W75" i="21"/>
  <c r="P43" i="21"/>
  <c r="P145" i="21"/>
  <c r="P136" i="21"/>
  <c r="AB36" i="21"/>
  <c r="S143" i="21"/>
  <c r="S55" i="21"/>
  <c r="S56" i="21" s="1"/>
  <c r="S57" i="21" s="1"/>
  <c r="S151" i="21" l="1"/>
  <c r="S153" i="21" s="1"/>
  <c r="P149" i="21"/>
  <c r="P68" i="21" s="1"/>
  <c r="P69" i="21" s="1"/>
  <c r="O71" i="21"/>
  <c r="O74" i="21" s="1"/>
  <c r="W73" i="21"/>
  <c r="AG36" i="21"/>
  <c r="P37" i="21"/>
  <c r="AB71" i="21"/>
  <c r="AD71" i="21" s="1"/>
  <c r="AD36" i="21"/>
  <c r="AG42" i="21"/>
  <c r="Q151" i="21"/>
  <c r="Q153" i="21" s="1"/>
  <c r="Q68" i="21"/>
  <c r="Q69" i="21" s="1"/>
  <c r="AF71" i="21"/>
  <c r="AE71" i="21" s="1"/>
  <c r="AE36" i="21"/>
  <c r="Z71" i="21"/>
  <c r="Y71" i="21" s="1"/>
  <c r="Y36" i="21"/>
  <c r="W74" i="21"/>
  <c r="P57" i="21"/>
  <c r="AG56" i="21"/>
  <c r="P151" i="21" l="1"/>
  <c r="P153" i="21" s="1"/>
  <c r="W76" i="21"/>
  <c r="X76" i="21" s="1"/>
  <c r="W83" i="21"/>
  <c r="X83" i="21" s="1"/>
  <c r="P71" i="21"/>
  <c r="Q70" i="21"/>
  <c r="Q71" i="21" s="1"/>
  <c r="AG69" i="21"/>
  <c r="AG71" i="21" l="1"/>
  <c r="X88" i="21"/>
  <c r="H70" i="17" l="1"/>
  <c r="H69" i="17"/>
  <c r="G70" i="17"/>
  <c r="G69" i="17"/>
  <c r="H71" i="17" l="1"/>
  <c r="G71" i="17"/>
  <c r="I71" i="17" l="1"/>
  <c r="V83" i="17" l="1"/>
  <c r="V76" i="17" l="1"/>
  <c r="P62" i="17" l="1"/>
  <c r="P64" i="17"/>
  <c r="P63" i="17"/>
  <c r="P159" i="17" l="1"/>
  <c r="A25" i="15"/>
  <c r="A46" i="14"/>
  <c r="C77" i="13"/>
  <c r="C76" i="13"/>
  <c r="AC75" i="13"/>
  <c r="AA75" i="13"/>
  <c r="AF75" i="13" s="1"/>
  <c r="W75" i="13"/>
  <c r="U75" i="13"/>
  <c r="X75" i="13" s="1"/>
  <c r="AC70" i="13"/>
  <c r="AA70" i="13"/>
  <c r="AF70" i="13" s="1"/>
  <c r="W69" i="13"/>
  <c r="U69" i="13"/>
  <c r="X69" i="13" s="1"/>
  <c r="W68" i="13"/>
  <c r="U68" i="13"/>
  <c r="X68" i="13" s="1"/>
  <c r="W67" i="13"/>
  <c r="U67" i="13"/>
  <c r="X67" i="13" s="1"/>
  <c r="AC66" i="13"/>
  <c r="AA66" i="13"/>
  <c r="C64" i="13"/>
  <c r="C63" i="13"/>
  <c r="U62" i="13"/>
  <c r="AC58" i="13"/>
  <c r="AA58" i="13"/>
  <c r="AC57" i="13"/>
  <c r="AA57" i="13"/>
  <c r="AE57" i="13" s="1"/>
  <c r="W56" i="13"/>
  <c r="U56" i="13"/>
  <c r="Y56" i="13" s="1"/>
  <c r="AC55" i="13"/>
  <c r="AA55" i="13"/>
  <c r="AE55" i="13" s="1"/>
  <c r="AC53" i="13"/>
  <c r="AA53" i="13"/>
  <c r="AD53" i="13" s="1"/>
  <c r="AC52" i="13"/>
  <c r="AA52" i="13"/>
  <c r="AC51" i="13"/>
  <c r="AA51" i="13"/>
  <c r="C49" i="13"/>
  <c r="C48" i="13"/>
  <c r="AC47" i="13"/>
  <c r="AA47" i="13"/>
  <c r="AF47" i="13" s="1"/>
  <c r="W47" i="13"/>
  <c r="U47" i="13"/>
  <c r="Y47" i="13" s="1"/>
  <c r="AC46" i="13"/>
  <c r="AA46" i="13"/>
  <c r="AE46" i="13" s="1"/>
  <c r="AC45" i="13"/>
  <c r="AA45" i="13"/>
  <c r="AE45" i="13" s="1"/>
  <c r="C43" i="13"/>
  <c r="C42" i="13"/>
  <c r="AC41" i="13"/>
  <c r="AA41" i="13"/>
  <c r="AE41" i="13" s="1"/>
  <c r="W41" i="13"/>
  <c r="U41" i="13"/>
  <c r="Y41" i="13" s="1"/>
  <c r="AC39" i="13"/>
  <c r="AA39" i="13"/>
  <c r="AB39" i="13" s="1"/>
  <c r="W38" i="13"/>
  <c r="U38" i="13"/>
  <c r="Y38" i="13" s="1"/>
  <c r="AC37" i="13"/>
  <c r="AA37" i="13"/>
  <c r="AE37" i="13" s="1"/>
  <c r="AC36" i="13"/>
  <c r="AA36" i="13"/>
  <c r="AD36" i="13" s="1"/>
  <c r="W35" i="13"/>
  <c r="U35" i="13"/>
  <c r="AC34" i="13"/>
  <c r="AA34" i="13"/>
  <c r="AE34" i="13" s="1"/>
  <c r="W29" i="13"/>
  <c r="U29" i="13"/>
  <c r="AC28" i="13"/>
  <c r="AA28" i="13"/>
  <c r="AD28" i="13" s="1"/>
  <c r="AC27" i="13"/>
  <c r="AA27" i="13"/>
  <c r="AF27" i="13" s="1"/>
  <c r="AC26" i="13"/>
  <c r="AA26" i="13"/>
  <c r="AE26" i="13" s="1"/>
  <c r="AC25" i="13"/>
  <c r="AA25" i="13"/>
  <c r="AE25" i="13" s="1"/>
  <c r="W24" i="13"/>
  <c r="U24" i="13"/>
  <c r="X24" i="13" s="1"/>
  <c r="AC23" i="13"/>
  <c r="AA23" i="13"/>
  <c r="AD23" i="13" s="1"/>
  <c r="AC22" i="13"/>
  <c r="AA22" i="13"/>
  <c r="AE22" i="13" s="1"/>
  <c r="W21" i="13"/>
  <c r="U21" i="13"/>
  <c r="AC20" i="13"/>
  <c r="AA20" i="13"/>
  <c r="AC19" i="13"/>
  <c r="AA19" i="13"/>
  <c r="AD19" i="13" s="1"/>
  <c r="AC18" i="13"/>
  <c r="AA18" i="13"/>
  <c r="AC16" i="13"/>
  <c r="AA16" i="13"/>
  <c r="AD16" i="13" s="1"/>
  <c r="AC15" i="13"/>
  <c r="AA15" i="13"/>
  <c r="AE15" i="13" s="1"/>
  <c r="AC13" i="13"/>
  <c r="AA13" i="13"/>
  <c r="AD13" i="13" s="1"/>
  <c r="W11" i="13"/>
  <c r="U11" i="13"/>
  <c r="Y11" i="13" s="1"/>
  <c r="AC10" i="13"/>
  <c r="AA10" i="13"/>
  <c r="AE10" i="13" s="1"/>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AH51" i="13" l="1"/>
  <c r="AH58" i="13"/>
  <c r="AH52" i="13"/>
  <c r="AH55" i="13"/>
  <c r="AH45" i="13"/>
  <c r="Z62" i="13"/>
  <c r="Y62" i="13" s="1"/>
  <c r="AH28" i="13"/>
  <c r="AH34" i="13"/>
  <c r="AH11" i="13"/>
  <c r="AH20" i="13"/>
  <c r="AH25" i="13"/>
  <c r="AH35" i="13"/>
  <c r="AH39" i="13"/>
  <c r="AH40" i="13"/>
  <c r="AH14" i="13"/>
  <c r="AH21" i="13"/>
  <c r="AH22" i="13"/>
  <c r="AH16" i="13"/>
  <c r="AH15" i="13"/>
  <c r="AH36" i="13"/>
  <c r="AH27" i="13"/>
  <c r="AH23" i="13"/>
  <c r="P68" i="17"/>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AB41" i="13"/>
  <c r="V47" i="13"/>
  <c r="AD47" i="13"/>
  <c r="Z47" i="13"/>
  <c r="AF41" i="13"/>
  <c r="AE47" i="13"/>
  <c r="AD41" i="13"/>
  <c r="X47" i="13"/>
  <c r="AB47" i="13"/>
  <c r="X41" i="13"/>
  <c r="V41" i="13"/>
  <c r="Z41" i="13"/>
  <c r="AH47" i="13"/>
  <c r="V62" i="13"/>
  <c r="X62" i="13" s="1"/>
  <c r="AH41" i="13"/>
  <c r="U19" i="13"/>
  <c r="W19" i="13" s="1"/>
  <c r="W62" i="13"/>
  <c r="U70" i="13"/>
  <c r="W70" i="13" s="1"/>
  <c r="Q29" i="17"/>
  <c r="AB29" i="17"/>
  <c r="AD29" i="17" s="1"/>
  <c r="AB33" i="17"/>
  <c r="AD33" i="17"/>
  <c r="P28" i="17"/>
  <c r="Z28" i="17" s="1"/>
  <c r="Y28" i="17" s="1"/>
  <c r="AB28" i="17"/>
  <c r="S28" i="17"/>
  <c r="V49" i="17"/>
  <c r="X67" i="17"/>
  <c r="Q60" i="17"/>
  <c r="AF60" i="17" s="1"/>
  <c r="AE60" i="17" s="1"/>
  <c r="AA67" i="13"/>
  <c r="AC67" i="13" s="1"/>
  <c r="AD35" i="17"/>
  <c r="AB35" i="17"/>
  <c r="Q34" i="17"/>
  <c r="AB22" i="17"/>
  <c r="AD22" i="17" s="1"/>
  <c r="Q66" i="17"/>
  <c r="AB40" i="17"/>
  <c r="U46" i="13"/>
  <c r="AD40" i="17"/>
  <c r="AD45" i="13"/>
  <c r="AE36" i="13"/>
  <c r="AD12" i="17"/>
  <c r="V21" i="17"/>
  <c r="X21" i="17" s="1"/>
  <c r="S31" i="17"/>
  <c r="AC42" i="17"/>
  <c r="AD41" i="17"/>
  <c r="S53" i="17"/>
  <c r="V59" i="17"/>
  <c r="X59" i="17" s="1"/>
  <c r="X61" i="17"/>
  <c r="AB10" i="13"/>
  <c r="AB16" i="13"/>
  <c r="V38" i="13"/>
  <c r="AD18" i="17"/>
  <c r="AD25" i="17"/>
  <c r="AF45" i="17"/>
  <c r="V46" i="17"/>
  <c r="AD46" i="17"/>
  <c r="V48" i="17"/>
  <c r="X48" i="17" s="1"/>
  <c r="AD48" i="17"/>
  <c r="V54" i="17"/>
  <c r="AD34" i="13"/>
  <c r="AA69" i="13"/>
  <c r="AC69" i="13" s="1"/>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Q53" i="17" s="1"/>
  <c r="S54" i="17"/>
  <c r="Q64" i="17"/>
  <c r="AB67" i="17"/>
  <c r="AD67" i="17" s="1"/>
  <c r="U55" i="13"/>
  <c r="AB13" i="17"/>
  <c r="AD13" i="17" s="1"/>
  <c r="AB15" i="17"/>
  <c r="S17" i="17"/>
  <c r="X19" i="17"/>
  <c r="AD21" i="17"/>
  <c r="V22" i="17"/>
  <c r="AC22" i="17"/>
  <c r="W23" i="17"/>
  <c r="AD23" i="17"/>
  <c r="AB24" i="17"/>
  <c r="Q25" i="17"/>
  <c r="P26" i="17"/>
  <c r="V26" i="17"/>
  <c r="O27" i="17"/>
  <c r="O36" i="17" s="1"/>
  <c r="X27" i="17"/>
  <c r="P30" i="17"/>
  <c r="Z30" i="17" s="1"/>
  <c r="Y30" i="17" s="1"/>
  <c r="AD30" i="17"/>
  <c r="AF33" i="17"/>
  <c r="S34" i="17"/>
  <c r="X35" i="17"/>
  <c r="AF40" i="17"/>
  <c r="X41" i="17"/>
  <c r="AC49" i="17"/>
  <c r="AC56" i="17" s="1"/>
  <c r="AB50" i="17"/>
  <c r="S51" i="17"/>
  <c r="S52" i="17"/>
  <c r="AD52" i="17"/>
  <c r="Y62" i="17"/>
  <c r="AF63" i="17"/>
  <c r="AC65" i="17"/>
  <c r="AD15" i="13"/>
  <c r="Z38" i="13"/>
  <c r="AE53" i="13"/>
  <c r="V75" i="13"/>
  <c r="V25" i="17"/>
  <c r="X25" i="17" s="1"/>
  <c r="Q26" i="17"/>
  <c r="X26" i="17"/>
  <c r="AA27" i="17"/>
  <c r="AC27" i="17" s="1"/>
  <c r="Q30" i="17"/>
  <c r="AF30" i="17"/>
  <c r="Z35" i="17"/>
  <c r="Z41" i="17"/>
  <c r="AF47" i="17"/>
  <c r="AF52" i="17"/>
  <c r="U15" i="13"/>
  <c r="W15" i="13" s="1"/>
  <c r="U66" i="13"/>
  <c r="W66" i="13" s="1"/>
  <c r="AA71" i="13"/>
  <c r="AC71" i="13" s="1"/>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E28" i="13"/>
  <c r="AB37" i="13"/>
  <c r="AB46" i="13"/>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V24" i="17"/>
  <c r="X24" i="17" s="1"/>
  <c r="W25" i="17"/>
  <c r="Z26" i="17"/>
  <c r="Y32" i="17"/>
  <c r="AC32" i="17"/>
  <c r="V40" i="17"/>
  <c r="X40" i="17" s="1"/>
  <c r="O42" i="17"/>
  <c r="U42" i="17"/>
  <c r="U56" i="17"/>
  <c r="V45" i="17"/>
  <c r="W50" i="17"/>
  <c r="AE51" i="17"/>
  <c r="AB51" i="17"/>
  <c r="AE53" i="17"/>
  <c r="W54" i="17"/>
  <c r="AA69" i="17"/>
  <c r="AD59" i="17"/>
  <c r="AC61" i="17"/>
  <c r="W63" i="17"/>
  <c r="Q65" i="17"/>
  <c r="S16" i="17"/>
  <c r="AB16" i="17"/>
  <c r="AB17" i="17"/>
  <c r="V18" i="17"/>
  <c r="P19" i="17"/>
  <c r="AB19" i="17"/>
  <c r="AD19" i="17" s="1"/>
  <c r="P20" i="17"/>
  <c r="X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AD20" i="13"/>
  <c r="AE20" i="13"/>
  <c r="U23" i="13"/>
  <c r="W23" i="13" s="1"/>
  <c r="AA24" i="13"/>
  <c r="AC24" i="13" s="1"/>
  <c r="U26" i="13"/>
  <c r="W26" i="13" s="1"/>
  <c r="U34" i="13"/>
  <c r="U36" i="13"/>
  <c r="AA38" i="13"/>
  <c r="AC38" i="13" s="1"/>
  <c r="AE39" i="13"/>
  <c r="AF39" i="13"/>
  <c r="AA11" i="13"/>
  <c r="AC11" i="13" s="1"/>
  <c r="AE18" i="13"/>
  <c r="AD18" i="13"/>
  <c r="X21" i="13"/>
  <c r="Y21" i="13"/>
  <c r="U27" i="13"/>
  <c r="W27" i="13" s="1"/>
  <c r="X29" i="13"/>
  <c r="Y29" i="13"/>
  <c r="Y35" i="13"/>
  <c r="X35" i="13"/>
  <c r="AA56" i="13"/>
  <c r="AA63" i="13" s="1"/>
  <c r="U18" i="13"/>
  <c r="W18" i="13" s="1"/>
  <c r="U53" i="13"/>
  <c r="W53" i="13" s="1"/>
  <c r="W46" i="17"/>
  <c r="AF48" i="17"/>
  <c r="Z49" i="17"/>
  <c r="AF50" i="17"/>
  <c r="W51" i="17"/>
  <c r="X65" i="17"/>
  <c r="Z68" i="17"/>
  <c r="AD68" i="17"/>
  <c r="X11" i="13"/>
  <c r="V11" i="13"/>
  <c r="U20" i="13"/>
  <c r="AD52" i="13"/>
  <c r="AE52" i="13"/>
  <c r="AD58" i="13"/>
  <c r="AB58" i="13"/>
  <c r="U52" i="13"/>
  <c r="AA68" i="13"/>
  <c r="AC68" i="13" s="1"/>
  <c r="U13" i="13"/>
  <c r="AE16" i="13"/>
  <c r="U28" i="13"/>
  <c r="AF37" i="13"/>
  <c r="AD46" i="13"/>
  <c r="AA14" i="13"/>
  <c r="U39" i="13"/>
  <c r="U45" i="13"/>
  <c r="W45" i="13" s="1"/>
  <c r="AC48" i="13"/>
  <c r="AF46" i="13"/>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X45" i="17"/>
  <c r="S46" i="17"/>
  <c r="X46" i="17"/>
  <c r="S47" i="17"/>
  <c r="S48" i="17"/>
  <c r="AB49" i="17"/>
  <c r="AD49" i="17" s="1"/>
  <c r="AE55" i="17"/>
  <c r="AB61" i="17"/>
  <c r="AD61" i="17" s="1"/>
  <c r="AC62" i="17"/>
  <c r="V63" i="17"/>
  <c r="X63" i="17" s="1"/>
  <c r="AB65" i="17"/>
  <c r="AD65" i="17" s="1"/>
  <c r="O69" i="17"/>
  <c r="U10" i="13"/>
  <c r="AD10" i="13"/>
  <c r="AF10" i="13"/>
  <c r="AB13" i="13"/>
  <c r="AF15" i="13"/>
  <c r="AB15" i="13"/>
  <c r="U16" i="13"/>
  <c r="AF16" i="13"/>
  <c r="AB19" i="13"/>
  <c r="U22" i="13"/>
  <c r="AE23" i="13"/>
  <c r="V24" i="13"/>
  <c r="Y18" i="17"/>
  <c r="Y23" i="17"/>
  <c r="Y51" i="17"/>
  <c r="X55" i="17"/>
  <c r="AB55" i="17"/>
  <c r="AF55" i="17"/>
  <c r="AA56" i="17"/>
  <c r="AE59" i="17"/>
  <c r="X60" i="17"/>
  <c r="AB60" i="17"/>
  <c r="AD60" i="17" s="1"/>
  <c r="X64" i="17"/>
  <c r="AB64" i="17"/>
  <c r="AD64" i="17" s="1"/>
  <c r="V66" i="17"/>
  <c r="X66" i="17" s="1"/>
  <c r="AD66" i="17"/>
  <c r="AF22" i="13"/>
  <c r="AB22" i="13"/>
  <c r="AF23" i="13"/>
  <c r="AA29" i="13"/>
  <c r="P16" i="17"/>
  <c r="V16" i="17"/>
  <c r="X16" i="17" s="1"/>
  <c r="Y55" i="17"/>
  <c r="Y60" i="17"/>
  <c r="Y64" i="17"/>
  <c r="AE66" i="17"/>
  <c r="Z11" i="13"/>
  <c r="AE13" i="13"/>
  <c r="AE19" i="13"/>
  <c r="AF20" i="13"/>
  <c r="AB20" i="13"/>
  <c r="Z21" i="13"/>
  <c r="V21" i="13"/>
  <c r="AA21" i="13"/>
  <c r="AB23" i="13"/>
  <c r="Y24" i="13"/>
  <c r="AF25" i="13"/>
  <c r="AB25" i="13"/>
  <c r="AD25" i="13"/>
  <c r="AD26" i="13"/>
  <c r="AF26" i="13"/>
  <c r="AB26" i="13"/>
  <c r="AA35" i="13"/>
  <c r="V17" i="17"/>
  <c r="X17" i="17" s="1"/>
  <c r="Z18" i="17"/>
  <c r="Q16" i="17"/>
  <c r="Q19" i="17"/>
  <c r="Q24" i="17"/>
  <c r="Q45" i="17"/>
  <c r="W45" i="17"/>
  <c r="Q46" i="17"/>
  <c r="Q47" i="17"/>
  <c r="Q48" i="17"/>
  <c r="Q49" i="17"/>
  <c r="Q50" i="17"/>
  <c r="Q51" i="17"/>
  <c r="V55" i="17"/>
  <c r="O56" i="17"/>
  <c r="V60" i="17"/>
  <c r="P61" i="17"/>
  <c r="AB62" i="17"/>
  <c r="AD62" i="17" s="1"/>
  <c r="V64" i="17"/>
  <c r="AB66" i="17"/>
  <c r="AF13" i="13"/>
  <c r="AF18" i="13"/>
  <c r="AB18" i="13"/>
  <c r="AF19" i="13"/>
  <c r="AD22" i="13"/>
  <c r="Z24" i="13"/>
  <c r="U25" i="13"/>
  <c r="AD27" i="13"/>
  <c r="AE27" i="13"/>
  <c r="AF34" i="13"/>
  <c r="AB34" i="13"/>
  <c r="Z35" i="13"/>
  <c r="V35" i="13"/>
  <c r="AB27" i="13"/>
  <c r="AF28" i="13"/>
  <c r="AB28" i="13"/>
  <c r="Z29" i="13"/>
  <c r="V29" i="13"/>
  <c r="AF36" i="13"/>
  <c r="AB36" i="13"/>
  <c r="U37" i="13"/>
  <c r="AD37" i="13"/>
  <c r="X38" i="13"/>
  <c r="AD39" i="13"/>
  <c r="AB45" i="13"/>
  <c r="AF45" i="13"/>
  <c r="U51" i="13"/>
  <c r="AB53" i="13"/>
  <c r="AD55" i="13"/>
  <c r="X56" i="13"/>
  <c r="U57" i="13"/>
  <c r="AE58" i="13"/>
  <c r="AA48" i="13"/>
  <c r="AD51" i="13"/>
  <c r="AF57" i="13"/>
  <c r="AB57" i="13"/>
  <c r="U58" i="13"/>
  <c r="AF58" i="13"/>
  <c r="AF66" i="13"/>
  <c r="AB66" i="13"/>
  <c r="AD66" i="13"/>
  <c r="AE51" i="13"/>
  <c r="AF55" i="13"/>
  <c r="AB55" i="13"/>
  <c r="Z56" i="13"/>
  <c r="V56" i="13"/>
  <c r="AB51" i="13"/>
  <c r="AF51" i="13"/>
  <c r="AF52" i="13"/>
  <c r="AB52" i="13"/>
  <c r="AF53" i="13"/>
  <c r="AD57" i="13"/>
  <c r="AE66" i="13"/>
  <c r="Y67" i="13"/>
  <c r="Y68" i="13"/>
  <c r="Y69" i="13"/>
  <c r="Y75" i="13"/>
  <c r="V67" i="13"/>
  <c r="Z67" i="13"/>
  <c r="V68" i="13"/>
  <c r="Z68" i="13"/>
  <c r="V69" i="13"/>
  <c r="Z69" i="13"/>
  <c r="AD70" i="13"/>
  <c r="Z75" i="13"/>
  <c r="AD75" i="13"/>
  <c r="AE70" i="13"/>
  <c r="AE75" i="13"/>
  <c r="AB70" i="13"/>
  <c r="AB75" i="13"/>
  <c r="Z36" i="13" l="1"/>
  <c r="Y36" i="13" s="1"/>
  <c r="Z57" i="13"/>
  <c r="Y57" i="13" s="1"/>
  <c r="AF56" i="13"/>
  <c r="AE56" i="13" s="1"/>
  <c r="Z51" i="13"/>
  <c r="Y51" i="13" s="1"/>
  <c r="AF35" i="13"/>
  <c r="AE35" i="13" s="1"/>
  <c r="Z58" i="13"/>
  <c r="Y58" i="13" s="1"/>
  <c r="Z34" i="13"/>
  <c r="Y34" i="13" s="1"/>
  <c r="Z66" i="13"/>
  <c r="Z28" i="13"/>
  <c r="Y28" i="13" s="1"/>
  <c r="Z13" i="13"/>
  <c r="Y13" i="13" s="1"/>
  <c r="Z15" i="13"/>
  <c r="Y15" i="13" s="1"/>
  <c r="Z55" i="13"/>
  <c r="Y55" i="13" s="1"/>
  <c r="Z22" i="13"/>
  <c r="Y22" i="13" s="1"/>
  <c r="AF14" i="13"/>
  <c r="AE14" i="13" s="1"/>
  <c r="AF67" i="13"/>
  <c r="AE67" i="13" s="1"/>
  <c r="AF24" i="13"/>
  <c r="AE24" i="13" s="1"/>
  <c r="Z20" i="13"/>
  <c r="Y20" i="13" s="1"/>
  <c r="Z25" i="13"/>
  <c r="Z10" i="13"/>
  <c r="Y10" i="13" s="1"/>
  <c r="Z18" i="13"/>
  <c r="Y18" i="13" s="1"/>
  <c r="Z52" i="13"/>
  <c r="Y52" i="13" s="1"/>
  <c r="Z39" i="13"/>
  <c r="Y39" i="13" s="1"/>
  <c r="AF38" i="13"/>
  <c r="AE38" i="13" s="1"/>
  <c r="AF11" i="13"/>
  <c r="AE11" i="13" s="1"/>
  <c r="AF21" i="13"/>
  <c r="AE21" i="13" s="1"/>
  <c r="Z37" i="13"/>
  <c r="Y37" i="13" s="1"/>
  <c r="Z45" i="13"/>
  <c r="Y45" i="13" s="1"/>
  <c r="Z16" i="13"/>
  <c r="Y16" i="13" s="1"/>
  <c r="Z27" i="13"/>
  <c r="Y27" i="13" s="1"/>
  <c r="Z26" i="13"/>
  <c r="Y26" i="13" s="1"/>
  <c r="Z23" i="13"/>
  <c r="Y23" i="13" s="1"/>
  <c r="Z19" i="13"/>
  <c r="Y19" i="13" s="1"/>
  <c r="AF64" i="17"/>
  <c r="AE64" i="17" s="1"/>
  <c r="Z53" i="17"/>
  <c r="V56" i="17"/>
  <c r="X56" i="17" s="1"/>
  <c r="AB42" i="17"/>
  <c r="AF71" i="13"/>
  <c r="AE71" i="13" s="1"/>
  <c r="Z70" i="13"/>
  <c r="Y70" i="13" s="1"/>
  <c r="O63" i="13"/>
  <c r="O48" i="13"/>
  <c r="Z24" i="17"/>
  <c r="Y24" i="17" s="1"/>
  <c r="Z66" i="17"/>
  <c r="Y66" i="17" s="1"/>
  <c r="AF49" i="17"/>
  <c r="AF56" i="17" s="1"/>
  <c r="AE56" i="17" s="1"/>
  <c r="Z54" i="17"/>
  <c r="AF62" i="17"/>
  <c r="AE62" i="17" s="1"/>
  <c r="AF65" i="17"/>
  <c r="AE65" i="17" s="1"/>
  <c r="AH57" i="13"/>
  <c r="Z52" i="17"/>
  <c r="Z48" i="17"/>
  <c r="Y48" i="17" s="1"/>
  <c r="P42" i="17"/>
  <c r="W75" i="17" s="1"/>
  <c r="AF42" i="17"/>
  <c r="U71" i="17"/>
  <c r="V42" i="17"/>
  <c r="X42" i="17" s="1"/>
  <c r="AA36" i="17"/>
  <c r="AA71" i="17" s="1"/>
  <c r="Z20" i="17"/>
  <c r="Y20" i="17" s="1"/>
  <c r="AF13" i="17"/>
  <c r="AE13" i="17" s="1"/>
  <c r="S27" i="17"/>
  <c r="W56" i="17"/>
  <c r="V39" i="13"/>
  <c r="X39" i="13" s="1"/>
  <c r="V52" i="13"/>
  <c r="X52" i="13" s="1"/>
  <c r="AB14" i="13"/>
  <c r="AD14" i="13" s="1"/>
  <c r="V55" i="13"/>
  <c r="X55" i="13" s="1"/>
  <c r="V36" i="13"/>
  <c r="X36" i="13" s="1"/>
  <c r="W28" i="13"/>
  <c r="V28" i="13"/>
  <c r="X28" i="13" s="1"/>
  <c r="AB56" i="13"/>
  <c r="AD56" i="13" s="1"/>
  <c r="AC56" i="13"/>
  <c r="AC63" i="13" s="1"/>
  <c r="V34" i="13"/>
  <c r="X34" i="13" s="1"/>
  <c r="W52" i="13"/>
  <c r="AH38" i="13"/>
  <c r="AH56" i="13"/>
  <c r="V19" i="13"/>
  <c r="X19" i="13" s="1"/>
  <c r="AF48" i="13"/>
  <c r="W76" i="13"/>
  <c r="V70" i="13"/>
  <c r="X70" i="13" s="1"/>
  <c r="V45" i="13"/>
  <c r="X45" i="13" s="1"/>
  <c r="V27" i="13"/>
  <c r="X27" i="13" s="1"/>
  <c r="AH18" i="13"/>
  <c r="U76" i="13"/>
  <c r="V66" i="13"/>
  <c r="X66" i="13" s="1"/>
  <c r="AH26" i="13"/>
  <c r="V46" i="13"/>
  <c r="X46" i="13" s="1"/>
  <c r="AB38" i="13"/>
  <c r="AD38" i="13" s="1"/>
  <c r="AB67" i="13"/>
  <c r="AD67" i="13" s="1"/>
  <c r="AH37" i="13"/>
  <c r="AB69" i="13"/>
  <c r="AD69" i="13" s="1"/>
  <c r="AB71" i="13"/>
  <c r="AD71" i="13" s="1"/>
  <c r="V26" i="13"/>
  <c r="X26" i="13" s="1"/>
  <c r="V13" i="13"/>
  <c r="X13" i="13" s="1"/>
  <c r="W55" i="13"/>
  <c r="W46" i="13"/>
  <c r="W48" i="13" s="1"/>
  <c r="W20" i="13"/>
  <c r="AA76" i="13"/>
  <c r="AB48" i="13"/>
  <c r="AF69" i="13"/>
  <c r="AE69" i="13" s="1"/>
  <c r="AC14" i="13"/>
  <c r="P27" i="17"/>
  <c r="V53" i="13"/>
  <c r="X53" i="13" s="1"/>
  <c r="W39" i="13"/>
  <c r="W34" i="13"/>
  <c r="V18" i="13"/>
  <c r="X18" i="13" s="1"/>
  <c r="AF67" i="17"/>
  <c r="AE67" i="17" s="1"/>
  <c r="AB68" i="13"/>
  <c r="AD68" i="13" s="1"/>
  <c r="AC69" i="17"/>
  <c r="Q27" i="17"/>
  <c r="AB27" i="17"/>
  <c r="AD27" i="17" s="1"/>
  <c r="AC36" i="17"/>
  <c r="AF22" i="17"/>
  <c r="AE22" i="17" s="1"/>
  <c r="AH24" i="13"/>
  <c r="Z63" i="17"/>
  <c r="Y63" i="17" s="1"/>
  <c r="Z59" i="17"/>
  <c r="Y59" i="17" s="1"/>
  <c r="Z50" i="17"/>
  <c r="Y50" i="17" s="1"/>
  <c r="P56" i="17"/>
  <c r="U48" i="13"/>
  <c r="W42" i="17"/>
  <c r="W36" i="13"/>
  <c r="W13" i="13"/>
  <c r="Q54" i="17"/>
  <c r="V15" i="13"/>
  <c r="X15" i="13" s="1"/>
  <c r="Q52" i="17"/>
  <c r="V69" i="17"/>
  <c r="X69" i="17" s="1"/>
  <c r="Z15" i="17"/>
  <c r="Y15" i="17" s="1"/>
  <c r="W69" i="17"/>
  <c r="AH53" i="13"/>
  <c r="AE42" i="17"/>
  <c r="AD42" i="17"/>
  <c r="X39" i="17"/>
  <c r="AF32" i="17"/>
  <c r="AE32" i="17" s="1"/>
  <c r="AC76" i="13"/>
  <c r="Q42" i="17"/>
  <c r="Q43" i="17" s="1"/>
  <c r="AB11" i="13"/>
  <c r="AD11" i="13" s="1"/>
  <c r="AF29" i="17"/>
  <c r="AE29" i="17" s="1"/>
  <c r="Z40" i="17"/>
  <c r="Y40" i="17" s="1"/>
  <c r="Y39" i="17"/>
  <c r="AF19" i="17"/>
  <c r="AE19" i="17" s="1"/>
  <c r="W57" i="13"/>
  <c r="V57" i="13"/>
  <c r="X57" i="13" s="1"/>
  <c r="V25" i="13"/>
  <c r="X25" i="13" s="1"/>
  <c r="Y25" i="13"/>
  <c r="W25" i="13"/>
  <c r="V20" i="13"/>
  <c r="X20" i="13" s="1"/>
  <c r="Z17" i="17"/>
  <c r="Y17" i="17" s="1"/>
  <c r="AC29" i="13"/>
  <c r="V16" i="13"/>
  <c r="X16" i="13" s="1"/>
  <c r="W16" i="13"/>
  <c r="U42" i="13"/>
  <c r="V10" i="13"/>
  <c r="X10" i="13" s="1"/>
  <c r="W10" i="13"/>
  <c r="AF11" i="17"/>
  <c r="AE11" i="17" s="1"/>
  <c r="AH13" i="13"/>
  <c r="Z16" i="17"/>
  <c r="Y16" i="17" s="1"/>
  <c r="V23" i="13"/>
  <c r="X23" i="13" s="1"/>
  <c r="AB69" i="17"/>
  <c r="AD69" i="17" s="1"/>
  <c r="AB56" i="17"/>
  <c r="AD56" i="17" s="1"/>
  <c r="Z10" i="17"/>
  <c r="Y10" i="17" s="1"/>
  <c r="W37" i="13"/>
  <c r="V37" i="13"/>
  <c r="X37" i="13" s="1"/>
  <c r="AH19" i="13"/>
  <c r="S56" i="17"/>
  <c r="S57" i="17" s="1"/>
  <c r="O71" i="17"/>
  <c r="O74" i="17" s="1"/>
  <c r="S13" i="17"/>
  <c r="W51" i="13"/>
  <c r="V51" i="13"/>
  <c r="X51" i="13" s="1"/>
  <c r="U63" i="13"/>
  <c r="V58" i="13"/>
  <c r="X58" i="13" s="1"/>
  <c r="W58" i="13"/>
  <c r="AE48" i="13"/>
  <c r="AD48" i="13"/>
  <c r="P69" i="17"/>
  <c r="Q61" i="17"/>
  <c r="AB35" i="13"/>
  <c r="AD35" i="13" s="1"/>
  <c r="AC35" i="13"/>
  <c r="AB21" i="13"/>
  <c r="AC21" i="13"/>
  <c r="W22" i="13"/>
  <c r="V22" i="13"/>
  <c r="X22" i="13" s="1"/>
  <c r="AA42" i="13"/>
  <c r="V36" i="17"/>
  <c r="AB24" i="13"/>
  <c r="AD24" i="13" s="1"/>
  <c r="W36" i="17"/>
  <c r="AH10" i="13"/>
  <c r="AF29" i="13" l="1"/>
  <c r="AE29" i="13" s="1"/>
  <c r="P36" i="17"/>
  <c r="W73" i="17" s="1"/>
  <c r="AF27" i="17"/>
  <c r="AE27" i="17" s="1"/>
  <c r="AE49" i="17"/>
  <c r="P43" i="17"/>
  <c r="P48" i="13"/>
  <c r="Q48" i="13"/>
  <c r="P63" i="13"/>
  <c r="Z69" i="17"/>
  <c r="Y69" i="17" s="1"/>
  <c r="AC71" i="17"/>
  <c r="P57" i="17"/>
  <c r="W74" i="17"/>
  <c r="Q56" i="17"/>
  <c r="Q57" i="17" s="1"/>
  <c r="Q36" i="17"/>
  <c r="Q37" i="17" s="1"/>
  <c r="AB29" i="13"/>
  <c r="AD29" i="13" s="1"/>
  <c r="AH29" i="13"/>
  <c r="AH42" i="13" s="1"/>
  <c r="AB63" i="13"/>
  <c r="AD63" i="13" s="1"/>
  <c r="Z76" i="13"/>
  <c r="Y76" i="13" s="1"/>
  <c r="Y66" i="13"/>
  <c r="V76" i="13"/>
  <c r="X76" i="13" s="1"/>
  <c r="Z53" i="13"/>
  <c r="Y53" i="13" s="1"/>
  <c r="AH63" i="13"/>
  <c r="V48" i="13"/>
  <c r="X48" i="13" s="1"/>
  <c r="AF63" i="13"/>
  <c r="AE63" i="13" s="1"/>
  <c r="AB76" i="13"/>
  <c r="AD76" i="13" s="1"/>
  <c r="AB36" i="17"/>
  <c r="AD36" i="17" s="1"/>
  <c r="W71" i="17"/>
  <c r="Z56" i="17"/>
  <c r="Y56" i="17" s="1"/>
  <c r="AC42" i="13"/>
  <c r="AC78" i="13" s="1"/>
  <c r="Z36" i="17"/>
  <c r="Y36" i="17" s="1"/>
  <c r="S36" i="17"/>
  <c r="S37" i="17" s="1"/>
  <c r="Z42" i="13"/>
  <c r="Y42" i="13" s="1"/>
  <c r="AF36" i="17"/>
  <c r="AE36" i="17" s="1"/>
  <c r="Z46" i="13"/>
  <c r="Z42" i="17"/>
  <c r="U78" i="13"/>
  <c r="U65" i="13"/>
  <c r="AA78" i="13"/>
  <c r="AA65" i="13"/>
  <c r="X36" i="17"/>
  <c r="V71" i="17"/>
  <c r="X71" i="17" s="1"/>
  <c r="AD21" i="13"/>
  <c r="AF61" i="17"/>
  <c r="W42" i="13"/>
  <c r="V63" i="13"/>
  <c r="X63" i="13" s="1"/>
  <c r="W63" i="13"/>
  <c r="V42" i="13"/>
  <c r="AF42" i="13" l="1"/>
  <c r="AE42" i="13" s="1"/>
  <c r="P37" i="17"/>
  <c r="W76" i="17"/>
  <c r="X76" i="17" s="1"/>
  <c r="Q63" i="13"/>
  <c r="AB42" i="13"/>
  <c r="AD42" i="13" s="1"/>
  <c r="T89" i="13"/>
  <c r="T90" i="13"/>
  <c r="Z63" i="13"/>
  <c r="Y63" i="13" s="1"/>
  <c r="AH65" i="13"/>
  <c r="AG56" i="17"/>
  <c r="AB71" i="17"/>
  <c r="AD71" i="17" s="1"/>
  <c r="AG36" i="17"/>
  <c r="Z71" i="17"/>
  <c r="Y71" i="17" s="1"/>
  <c r="AC65" i="13"/>
  <c r="Y42" i="17"/>
  <c r="AG42" i="17"/>
  <c r="Y46" i="13"/>
  <c r="Z48" i="13"/>
  <c r="Y48" i="13" s="1"/>
  <c r="W78" i="13"/>
  <c r="W65" i="13"/>
  <c r="V65" i="13"/>
  <c r="X65" i="13" s="1"/>
  <c r="V78" i="13"/>
  <c r="X78" i="13" s="1"/>
  <c r="X42" i="13"/>
  <c r="AE61" i="17"/>
  <c r="AF69" i="17"/>
  <c r="AF68" i="13"/>
  <c r="T88" i="13" l="1"/>
  <c r="P76" i="13"/>
  <c r="AG42" i="13"/>
  <c r="AF65" i="13"/>
  <c r="AE65" i="13" s="1"/>
  <c r="AB78" i="13"/>
  <c r="AD78" i="13" s="1"/>
  <c r="AB65" i="13"/>
  <c r="AD65" i="13" s="1"/>
  <c r="AG63" i="13"/>
  <c r="Z78" i="13"/>
  <c r="Y78" i="13" s="1"/>
  <c r="AG48" i="13"/>
  <c r="Z65" i="13"/>
  <c r="Y65" i="13" s="1"/>
  <c r="AE69" i="17"/>
  <c r="AF71" i="17"/>
  <c r="AE71" i="17" s="1"/>
  <c r="AE68" i="13"/>
  <c r="AF76" i="13"/>
  <c r="AG65" i="13" l="1"/>
  <c r="AE76" i="13"/>
  <c r="AF78" i="13"/>
  <c r="AE78" i="13" l="1"/>
  <c r="T87" i="13" l="1"/>
  <c r="Q159" i="17"/>
  <c r="Q68" i="17" s="1"/>
  <c r="Q161" i="17" l="1"/>
  <c r="Q163" i="17" s="1"/>
  <c r="Q76" i="13"/>
  <c r="Q83" i="13" s="1"/>
  <c r="Q69" i="17"/>
  <c r="P78" i="13" l="1"/>
  <c r="AG78" i="13" s="1"/>
  <c r="AG69" i="17"/>
  <c r="Q70" i="17"/>
  <c r="W83" i="17"/>
  <c r="X83" i="17" s="1"/>
  <c r="P71" i="17"/>
  <c r="AG76" i="13"/>
  <c r="AG71" i="17" l="1"/>
  <c r="X88" i="17"/>
  <c r="Q71" i="17"/>
  <c r="Q91" i="13" l="1"/>
  <c r="S93" i="13" s="1"/>
  <c r="T91" i="13" l="1"/>
  <c r="O76" i="13"/>
  <c r="O78" i="13" s="1"/>
  <c r="T83" i="13" l="1"/>
</calcChain>
</file>

<file path=xl/comments1.xml><?xml version="1.0" encoding="utf-8"?>
<comments xmlns="http://schemas.openxmlformats.org/spreadsheetml/2006/main">
  <authors>
    <author>Jessica Gallo Cabrera</author>
  </authors>
  <commentList>
    <comment ref="X83" authorId="0" shapeId="0">
      <text>
        <r>
          <rPr>
            <b/>
            <sz val="9"/>
            <color indexed="81"/>
            <rFont val="Tahoma"/>
            <family val="2"/>
          </rPr>
          <t>Jessica Gallo Cabrera:</t>
        </r>
        <r>
          <rPr>
            <sz val="9"/>
            <color indexed="81"/>
            <rFont val="Tahoma"/>
            <family val="2"/>
          </rPr>
          <t xml:space="preserve">
Falta que Pluspetrol paque el ajuste 1Q.Feb, sollo pago $ 18,934.18+intereses
Pendiente $ 2,190.52
</t>
        </r>
      </text>
    </comment>
  </commentList>
</comments>
</file>

<file path=xl/comments2.xml><?xml version="1.0" encoding="utf-8"?>
<comments xmlns="http://schemas.openxmlformats.org/spreadsheetml/2006/main">
  <authors>
    <author>Jessica Gallo Cabrera</author>
  </authors>
  <commentList>
    <comment ref="X83" authorId="0" shapeId="0">
      <text>
        <r>
          <rPr>
            <b/>
            <sz val="9"/>
            <color indexed="81"/>
            <rFont val="Tahoma"/>
            <family val="2"/>
          </rPr>
          <t>Jessica Gallo Cabrera:</t>
        </r>
        <r>
          <rPr>
            <sz val="9"/>
            <color indexed="81"/>
            <rFont val="Tahoma"/>
            <family val="2"/>
          </rPr>
          <t xml:space="preserve">
Falta que Pluspetrol paque el ajuste 1Q.Feb, sollo pago $ 18,934.18+intereses
Pendiente $ 2,190.52
</t>
        </r>
      </text>
    </comment>
  </commentList>
</comments>
</file>

<file path=xl/sharedStrings.xml><?xml version="1.0" encoding="utf-8"?>
<sst xmlns="http://schemas.openxmlformats.org/spreadsheetml/2006/main" count="9423" uniqueCount="391">
  <si>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</si>
  <si>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</si>
  <si>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</si>
  <si>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</si>
  <si>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</si>
  <si>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</si>
  <si>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</si>
  <si>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</si>
  <si>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</si>
  <si>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</si>
  <si>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</si>
  <si>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</si>
  <si>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</si>
  <si>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</si>
  <si>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</si>
  <si>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</si>
  <si>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</si>
  <si>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</si>
  <si>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</si>
  <si>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</si>
  <si>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</si>
  <si>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</si>
  <si>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</si>
  <si>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</si>
  <si>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</si>
  <si>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</si>
  <si>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</si>
  <si>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</si>
  <si>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</si>
  <si>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</si>
  <si>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</si>
  <si>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</si>
  <si>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</si>
  <si>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</si>
  <si>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Producción</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</si>
  <si>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</si>
  <si>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</si>
  <si>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</si>
  <si>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</si>
  <si>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</si>
  <si>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</si>
  <si>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</si>
  <si>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</si>
  <si>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</si>
  <si>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</si>
  <si>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</si>
  <si>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</si>
  <si>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</si>
  <si>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</si>
  <si>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</si>
  <si>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</si>
  <si>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</si>
  <si>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</si>
  <si>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</si>
  <si>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</si>
  <si>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</si>
  <si>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</si>
  <si>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</si>
  <si>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</si>
  <si>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</si>
  <si>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</si>
  <si>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</si>
  <si>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</si>
  <si>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</si>
  <si>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</si>
  <si>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</si>
  <si>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</si>
  <si>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</si>
  <si>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</si>
  <si>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</si>
  <si>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</si>
  <si>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</si>
  <si>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</si>
  <si>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</si>
  <si>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</si>
  <si>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</si>
  <si>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</si>
  <si>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</si>
  <si>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</si>
  <si>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</si>
  <si>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</si>
  <si>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</si>
  <si>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</si>
  <si>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</si>
  <si>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</si>
  <si>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</si>
  <si>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</si>
  <si>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</si>
  <si>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</si>
  <si>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</si>
  <si>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</si>
  <si>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</si>
  <si>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</si>
  <si>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</si>
  <si>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Días en el año</t>
  </si>
  <si>
    <t>Valor</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</si>
  <si>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</si>
  <si>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</si>
  <si>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</si>
  <si>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</si>
  <si>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</si>
  <si>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</si>
  <si>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</si>
  <si>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</si>
  <si>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</si>
  <si>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</si>
  <si>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</si>
  <si>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</si>
  <si>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</si>
  <si>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</si>
  <si>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(10.0% + 2.5%) * [ Volumen Venta x Valor Venta (V.V.) ]</t>
  </si>
  <si>
    <t xml:space="preserve">    V.V. (US$/Unidad ) = Valor Venta - Flete Marítimo - Gtos. Comercialización - Gtos. Oleoducto - Gtos. Fiscalización</t>
  </si>
  <si>
    <t>= (10.0% + 2.5%) * [ Volumen Producción x Canasta (V.C.) ]</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</si>
  <si>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</si>
  <si>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</si>
  <si>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r>
      <t xml:space="preserve">= (10.0% + 2.5%) * [ Volumen Producido x Canasta de Líquidos de Gas Natural (V </t>
    </r>
    <r>
      <rPr>
        <sz val="8"/>
        <rFont val="Arial"/>
        <family val="2"/>
      </rPr>
      <t>LGNF</t>
    </r>
    <r>
      <rPr>
        <sz val="10"/>
        <rFont val="Arial"/>
        <family val="2"/>
      </rPr>
      <t>) ]</t>
    </r>
  </si>
  <si>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</si>
  <si>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</si>
  <si>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</si>
  <si>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</si>
  <si>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</si>
  <si>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</si>
  <si>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</si>
  <si>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</si>
  <si>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</si>
  <si>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</si>
  <si>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</si>
  <si>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</si>
  <si>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</si>
  <si>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</si>
  <si>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</si>
  <si>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</si>
  <si>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</si>
  <si>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</si>
  <si>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</si>
  <si>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</si>
  <si>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</si>
  <si>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</si>
  <si>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</si>
  <si>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</si>
  <si>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</si>
  <si>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</si>
  <si>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</si>
  <si>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</si>
  <si>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</si>
  <si>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</si>
  <si>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</si>
  <si>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</si>
  <si>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</si>
  <si>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</si>
  <si>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</si>
  <si>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</si>
  <si>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</si>
  <si>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</si>
  <si>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</si>
  <si>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</si>
  <si>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</si>
  <si>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</si>
  <si>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</si>
  <si>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</si>
  <si>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</si>
  <si>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</si>
  <si>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</si>
  <si>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</si>
  <si>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</si>
  <si>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</si>
  <si>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</si>
  <si>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</si>
  <si>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</si>
  <si>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</si>
  <si>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</si>
  <si>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</si>
  <si>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</si>
  <si>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</si>
  <si>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</si>
  <si>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Z-2B LGN</t>
  </si>
  <si>
    <t>II-GAS</t>
  </si>
  <si>
    <t>56 GAS-Mlocal</t>
  </si>
  <si>
    <t>Z-6</t>
  </si>
  <si>
    <t>57 LGN</t>
  </si>
  <si>
    <t>57 GAS</t>
  </si>
  <si>
    <t>88 GAS -Mlocal</t>
  </si>
  <si>
    <t>88 GAS -PM</t>
  </si>
  <si>
    <t>,</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</si>
  <si>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</si>
  <si>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</si>
  <si>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</si>
  <si>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</si>
  <si>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</si>
  <si>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</si>
  <si>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</si>
  <si>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</si>
  <si>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</si>
  <si>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</si>
  <si>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</si>
  <si>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</si>
  <si>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</si>
  <si>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</si>
  <si>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</si>
  <si>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</si>
  <si>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</si>
  <si>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</si>
  <si>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</si>
  <si>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</si>
  <si>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</si>
  <si>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</si>
  <si>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</si>
  <si>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</si>
  <si>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88-GAS</t>
  </si>
  <si>
    <t>Cuadre</t>
  </si>
  <si>
    <t>Lote 31E</t>
  </si>
  <si>
    <t>Ajuste correspondiente de Noviembre 2017  (Reporte de Regalía 1ra. Quincena de Diciembre 2017) - Liq. 1187</t>
  </si>
  <si>
    <t>Ajuste correspondiente de Setiembre 2017  (Reporte de Regalía 1ra. Quincena de Diciembre 2017) - Liq. 1187</t>
  </si>
  <si>
    <t>Ajuste correspondiente de Octubre 2017  (Reporte de Regalía 1ra. Quincena de Diciembre 2017) - Liq. 1187</t>
  </si>
  <si>
    <t>TOTAL S/</t>
  </si>
  <si>
    <t xml:space="preserve">I Trimestre </t>
  </si>
  <si>
    <t>Total S/</t>
  </si>
  <si>
    <t xml:space="preserve">II Trimestre </t>
  </si>
  <si>
    <t xml:space="preserve">III Trimestre </t>
  </si>
  <si>
    <t xml:space="preserve">IV Trimestre </t>
  </si>
  <si>
    <t>Canon Petrolero
S/</t>
  </si>
  <si>
    <t>TOTAL US$</t>
  </si>
  <si>
    <t>Dif.
S/</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</si>
  <si>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</si>
  <si>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</si>
  <si>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</si>
  <si>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</si>
  <si>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</si>
  <si>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</si>
  <si>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</si>
  <si>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</si>
  <si>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</si>
  <si>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</si>
  <si>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</si>
  <si>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</si>
  <si>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(2)</t>
  </si>
  <si>
    <t>Loreto / Ucayli</t>
  </si>
  <si>
    <t>Lote 31-B</t>
  </si>
  <si>
    <t>Lote 31-D</t>
  </si>
  <si>
    <t>Pto. Huanuco</t>
  </si>
  <si>
    <t>(*) Se incluye ND 001-90 por US$ 30,498.50 facturado el 01.02.18 a Enap por la exportacion de crudo Loreto de enero, del Lote 192.  En febrero no considerar la ND</t>
  </si>
  <si>
    <t>Ajuste correspondiente de Enero  2018  (Reporte de Regalía 1ra. Quincena de Febrero 2018) - Liq. 1193</t>
  </si>
  <si>
    <t>Ajuste correspondiente de Diciembre 2017  (Reporte de Regalía 1ra. Quincena de Febrero 2018) - Liq. 1193</t>
  </si>
  <si>
    <t xml:space="preserve">Loreto </t>
  </si>
  <si>
    <t>Lote 67</t>
  </si>
  <si>
    <t>Ajustes por Gastos de Fiscalizacion informados en la 2Q. Enero 2018</t>
  </si>
  <si>
    <t>Maple</t>
  </si>
  <si>
    <t>Ajuste correspondiente de Enero 2015  (Reporte de Regalía 2da. Quincena de Febrero 2018 - Liq. 1194)</t>
  </si>
  <si>
    <t>Ajuste correspondiente de Febrero 2015  (Reporte de Regalía 2da. Quincena de Febrero 2018 - Liq. 1194)</t>
  </si>
  <si>
    <t>Ajuste correspondiente de Marzo 2015  (Reporte de Regalía 2da. Quincena de Febrero 2018 - Liq. 1194)</t>
  </si>
  <si>
    <t>Ajuste correspondiente de Abril 2015  (Reporte de Regalía 2da. Quincena de Febrero 2018 - Liq. 1194)</t>
  </si>
  <si>
    <t>Ajuste correspondiente de Mayo 2015  (Reporte de Regalía 2da. Quincena de Febrero 2018 - Liq. 1194)</t>
  </si>
  <si>
    <t>Ajuste correspondiente de Junio 2015  (Reporte de Regalía 2da. Quincena de Febrero 2018 - Liq. 1194)</t>
  </si>
  <si>
    <t>Ajuste correspondiente de Julio 2015  (Reporte de Regalía 2da. Quincena de Febrero 2018 - Liq. 1194)</t>
  </si>
  <si>
    <t>Ajuste correspondiente de Agosto 2015  (Reporte de Regalía 2da. Quincena de Febrero 2018 - Liq. 1194)</t>
  </si>
  <si>
    <t>Ajuste correspondiente de Setiembre 2015  (Reporte de Regalía 2da. Quincena de Febrero 2018 - Liq. 1194)</t>
  </si>
  <si>
    <t>Ajuste correspondiente de Octubre 2015  (Reporte de Regalía 2da. Quincena de Febrero 2018 - Liq. 1194)</t>
  </si>
  <si>
    <t>Ajuste correspondiente de Noviembre 2015  (Reporte de Regalía 2da. Quincena de Febrero 2018 - Liq. 1194)</t>
  </si>
  <si>
    <t>Ajuste correspondiente de Febrero  2018  (Reporte de Regalía 1ra. Quincena de Marzo 2018) - Liq. 1196</t>
  </si>
  <si>
    <t>Ajuste correspondiente de Enero  2018  (Reporte de Regalía 1ra. Quincena de Marzo 2018) - Liq. 1196</t>
  </si>
  <si>
    <t>Ajuste correspondiente de Febrero 2018 (Reporte de Regalía 1ra. Quincena de Marzo 2018) - Liq. 1196</t>
  </si>
  <si>
    <t>88 GAS -Pisco</t>
  </si>
  <si>
    <t>Lote 88 -Pisco Gas</t>
  </si>
  <si>
    <t>Ajuste correspondiente de Marzo 2014  (Reporte de Regalía 2da. Quincena de Abril 2018) - Liq. 1200</t>
  </si>
  <si>
    <t>Ajuste correspondiente de Abril 2014  (Reporte de Regalía 2da. Quincena de Abril 2018) - Liq. 1200</t>
  </si>
  <si>
    <t>Ajuste correspondiente de Mayo 2014  (Reporte de Regalía 2da. Quincena de Abril 2018) - Liq. 1200</t>
  </si>
  <si>
    <t>Ajuste correspondiente de Junio 2014  (Reporte de Regalía 2da. Quincena de Abril 2018) - Liq. 1200</t>
  </si>
  <si>
    <t>Ajuste correspondiente de Julio 2014  (Reporte de Regalía 2da. Quincena de Abril 2018) - Liq. 1200</t>
  </si>
  <si>
    <t>Ajuste correspondiente de Agosto 2014  (Reporte de Regalía 2da. Quincena de Abril 2018) - Liq. 1200</t>
  </si>
  <si>
    <t>Ajuste correspondiente de Setiembre 2014  (Reporte de Regalía 2da. Quincena de Abril 2018) - Liq. 1200</t>
  </si>
  <si>
    <t>Ajuste correspondiente de Octubre 2014  (Reporte de Regalía 2da. Quincena de Abril 2018) - Liq. 1200</t>
  </si>
  <si>
    <t>Ajuste correspondiente de Noviembre 2014  (Reporte de Regalía 2da. Quincena de Abril 2018) - Liq. 1200</t>
  </si>
  <si>
    <t>Ajuste correspondiente de Diciembre 2014  (Reporte de Regalía 2da. Quincena de Abril 2018) - Liq. 1200</t>
  </si>
  <si>
    <t>Ajuste correspondiente de Enero 2015  (Reporte de Regalía 2da. Quincena de Abril 2018) - Liq. 1200</t>
  </si>
  <si>
    <t>Ajuste correspondiente de Febrero 2015  (Reporte de Regalía 2da. Quincena de Abril 2018) - Liq. 1200</t>
  </si>
  <si>
    <t>Ajuste correspondiente de Marzo 2015  (Reporte de Regalía 2da. Quincena de Abril 2018) - Liq. 1200</t>
  </si>
  <si>
    <t>Ajuste correspondiente de Abril 2015  (Reporte de Regalía 2da. Quincena de Abril 2018) - Liq. 1200</t>
  </si>
  <si>
    <t>Ajuste correspondiente de Mayo 2015  (Reporte de Regalía 2da. Quincena de Abril 2018) - Liq. 1200</t>
  </si>
  <si>
    <t>Ajuste correspondiente de Junio 2015  (Reporte de Regalía 2da. Quincena de Abril 2018) - Liq. 1200</t>
  </si>
  <si>
    <t>Ajuste correspondiente de Julio 2015  (Reporte de Regalía 2da. Quincena de Abril 2018) - Liq. 1200</t>
  </si>
  <si>
    <t>Ajuste correspondiente de Agosto 2015  (Reporte de Regalía 2da. Quincena de Abril 2018) - Liq. 1200</t>
  </si>
  <si>
    <t>Ajuste correspondiente de Setiembre 2015  (Reporte de Regalía 2da. Quincena de Abril 2018) - Liq. 1200</t>
  </si>
  <si>
    <t>Ajuste correspondiente de Octubre 2015  (Reporte de Regalía 2da. Quincena de Abril 2018) - Liq. 1200</t>
  </si>
  <si>
    <t>Ajuste correspondiente de Noviembre 2015  (Reporte de Regalía 2da. Quincena de Abril 2018) - Liq. 1200</t>
  </si>
  <si>
    <t>Ajuste correspondiente de Diciembre 2015  (Reporte de Regalía 2da. Quincena de Abril 2018) - Liq. 1200</t>
  </si>
  <si>
    <t>Ajuste correspondiente de Enero 2016  (Reporte de Regalía 2da. Quincena de Abril 2018) - Liq. 1200</t>
  </si>
  <si>
    <t>Ajuste correspondiente de Febrero 2016  (Reporte de Regalía 2da. Quincena de Abril 2018) - Liq. 1200</t>
  </si>
  <si>
    <t>Ajuste correspondiente de Marzo 2016  (Reporte de Regalía 2da. Quincena de Abril 2018) - Liq. 1200</t>
  </si>
  <si>
    <t>Ajuste correspondiente de Abril 2016  (Reporte de Regalía 2da. Quincena de Abril 2018) - Liq. 1200</t>
  </si>
  <si>
    <t>Ajuste correspondiente de Mayo 2016  (Reporte de Regalía 2da. Quincena de Abril 2018) - Liq. 1200</t>
  </si>
  <si>
    <t>Ajuste correspondiente de Junio 2016  (Reporte de Regalía 2da. Quincena de Abril 2018) - Liq. 1200</t>
  </si>
  <si>
    <t>Ajuste correspondiente de Julio 2016  (Reporte de Regalía 2da. Quincena de Abril 2018) - Liq. 1200</t>
  </si>
  <si>
    <t>Ajuste correspondiente de Agosto 2016  (Reporte de Regalía 2da. Quincena de Abril 2018) - Liq. 1200</t>
  </si>
  <si>
    <t>Ajuste correspondiente de Octubre 2016  (Reporte de Regalía 2da. Quincena de Abril 2018) - Liq. 1200</t>
  </si>
  <si>
    <t>Ajuste correspondiente de Setiembre 2016  (Reporte de Regalía 2da. Quincena de Abril 2018) - Liq. 1200</t>
  </si>
  <si>
    <t>Ajuste correspondiente de Noviembre 2016  (Reporte de Regalía 2da. Quincena de Abril 2018) - Liq. 1200</t>
  </si>
  <si>
    <t>Ajuste correspondiente de Diciembre 2016  (Reporte de Regalía 2da. Quincena de Abril 2018) - Liq. 1200</t>
  </si>
  <si>
    <t>Ajuste correspondiente de Enero 2017  (Reporte de Regalía 2da. Quincena de Abril 2018) - Liq. 1200</t>
  </si>
  <si>
    <t>Ajuste correspondiente de Febrero 2017  (Reporte de Regalía 2da. Quincena de Abril 2018) - Liq. 1200</t>
  </si>
  <si>
    <t>Ajuste correspondiente de Marzo 2017  (Reporte de Regalía 2da. Quincena de Abril 2018) - Liq. 1200</t>
  </si>
  <si>
    <t>Ajuste correspondiente de Abril 2017  (Reporte de Regalía 2da. Quincena de Abril 2018) - Liq. 1200</t>
  </si>
  <si>
    <t>Ajuste correspondiente de Mayo 2017  (Reporte de Regalía 2da. Quincena de Abril 2018) - Liq. 1200</t>
  </si>
  <si>
    <t>Ajuste correspondiente de Junio 2017  (Reporte de Regalía 2da. Quincena de Abril 2018) - Liq. 1200</t>
  </si>
  <si>
    <t>Ajuste correspondiente de Julio 2017  (Reporte de Regalía 2da. Quincena de Abril 2018) - Liq. 1200</t>
  </si>
  <si>
    <t>Ajuste correspondiente de Agosto 2017  (Reporte de Regalía 2da. Quincena de Abril 2018) - Liq. 1200</t>
  </si>
  <si>
    <t>Ajuste correspondiente de Setiembre 2017  (Reporte de Regalía 2da. Quincena de Abril 2018) - Liq. 1200</t>
  </si>
  <si>
    <t>Ajuste correspondiente de Octubre 2017  (Reporte de Regalía 2da. Quincena de Abril 2018) - Liq. 1200</t>
  </si>
  <si>
    <t>Ajuste correspondiente de Noviembre 2017  (Reporte de Regalía 2da. Quincena de Abril 2018) - Liq. 1200</t>
  </si>
  <si>
    <t>Ajuste correspondiente de Diciembre 2017  (Reporte de Regalía 2da. Quincena de Abril 2018) - Liq. 1200</t>
  </si>
  <si>
    <t>Ajuste correspondiente de Enero 2018  (Reporte de Regalía 2da. Quincena de Abril 2018) - Liq. 1200</t>
  </si>
  <si>
    <t>Ajuste correspondiente de Febrero 2018  (Reporte de Regalía 2da. Quincena de Abril 2018) - Liq. 1200</t>
  </si>
  <si>
    <t>Maple 31-D</t>
  </si>
  <si>
    <t>1Q. Abril</t>
  </si>
  <si>
    <t>V. Producción</t>
  </si>
  <si>
    <t>Regalías</t>
  </si>
  <si>
    <t>Canon/ Particip.</t>
  </si>
  <si>
    <t>Regalias no pagadas</t>
  </si>
  <si>
    <t>Otras quinc.</t>
  </si>
  <si>
    <t>XIII Gas - A</t>
  </si>
  <si>
    <t>XIII Gas - B</t>
  </si>
  <si>
    <t>XIII A</t>
  </si>
  <si>
    <t>XIII B</t>
  </si>
  <si>
    <t>XIII Llantera</t>
  </si>
  <si>
    <t>XIII Gas Lantera</t>
  </si>
  <si>
    <t>XIII Gas -A</t>
  </si>
  <si>
    <t>XIII Gas -B</t>
  </si>
  <si>
    <t>XIII Gas-A</t>
  </si>
  <si>
    <t>XIII Gas-B</t>
  </si>
  <si>
    <t>CUADRE CANON 2018</t>
  </si>
  <si>
    <t>8 - Crudo Corrientes</t>
  </si>
  <si>
    <t>XIII Gas Expectativa</t>
  </si>
  <si>
    <t>IV-GAS</t>
  </si>
  <si>
    <t>Canon Memoria
 S/</t>
  </si>
  <si>
    <t>Total US$</t>
  </si>
  <si>
    <t>Canon Petrolero
 US$</t>
  </si>
  <si>
    <t>Dif. 
US$</t>
  </si>
  <si>
    <t>XIII Gas Paita</t>
  </si>
  <si>
    <t xml:space="preserve">RESUMEN POR PETROLERO Y CONDENSADOS </t>
  </si>
  <si>
    <t>RESUMEN POR GAS NATURAL</t>
  </si>
  <si>
    <t>(*) Se incluyo el canon del lote xiii-pto fiscalizacion en el xiii gas expectativa</t>
  </si>
  <si>
    <t>XIII Gas Expectativa - Pto Fiscalizacion</t>
  </si>
  <si>
    <t>I GAS (T)</t>
  </si>
  <si>
    <t>Correspondiente a  Diciembre 2021</t>
  </si>
  <si>
    <t>Piura / Tumbes US$</t>
  </si>
  <si>
    <t>Piura / Tumbes S/.</t>
  </si>
  <si>
    <t>Provincia Puerto Inca Huanuco US$</t>
  </si>
  <si>
    <t>Provincia Puerto Inca Huanuco S/.</t>
  </si>
  <si>
    <t>Loreto / Ucayali US$</t>
  </si>
  <si>
    <t>Loreto / Ucayali S/.</t>
  </si>
  <si>
    <t>Cusco US$</t>
  </si>
  <si>
    <t>Cusco S/.</t>
  </si>
  <si>
    <t>=  (72.2924 * 66.88% + (36.6031 - 21.2630 - 0.0000) * (1 - 66.88%))</t>
  </si>
  <si>
    <t>=  (0.0000 * 0.00% + (0.0000 - 0.0000 - 0.0000) * (1 - 0.00%))</t>
  </si>
  <si>
    <t>Correspondiente a  Noviembre 2021</t>
  </si>
  <si>
    <t>Tipo de Cambio= 4.043</t>
  </si>
  <si>
    <t>Correspondiente a  Octubre 2021</t>
  </si>
  <si>
    <t>Tipo de Cambio= 4.020</t>
  </si>
  <si>
    <t>Correspondiente a  Setiembre 2021</t>
  </si>
  <si>
    <t>Tipo de Cambio= 3.947</t>
  </si>
  <si>
    <t>Correspondiente a  Agosto 2021</t>
  </si>
  <si>
    <t>Tipo de Cambio= 4.113</t>
  </si>
  <si>
    <t>=  (70.1975 * 65.36% + (37.1278 - 21.2630 - 0.0000) * (1 - 65.36%))</t>
  </si>
  <si>
    <t>=  (68.2806 * 64.84% + (36.1513 - 21.2630 - 0.0000) * (1 - 64.84%))</t>
  </si>
  <si>
    <t>Correspondiente a  Julio 2021</t>
  </si>
  <si>
    <t>Tipo de Cambio= 4.095</t>
  </si>
  <si>
    <t>=  (74.8010 * 65.84% + (36.3477 - 21.2630 - 0.0000) * (1 - 65.84%))</t>
  </si>
  <si>
    <t>=  (66.9398 * 68.21% + (37.1936 - 21.2630 - 0.0000) * (1 - 68.21%))</t>
  </si>
  <si>
    <t>Correspondiente a  Junio 2021</t>
  </si>
  <si>
    <t>Tipo de Cambio= 3.939</t>
  </si>
  <si>
    <t>=  (70.8818 * 66.36% + (37.1936 - 7.1770 - 0.0000) * (1 - 66.36%))</t>
  </si>
  <si>
    <t>=  (73.9847 * 68.72% + (36.0308 - 7.1770 - 0.0000) * (1 - 68.72%))</t>
  </si>
  <si>
    <t>Correspondiente a  Mayo 2021</t>
  </si>
  <si>
    <t>Tipo de Cambio= 3.917</t>
  </si>
  <si>
    <t>Correspondiente a  Abril 2021</t>
  </si>
  <si>
    <t>Tipo de Cambio= 3.747</t>
  </si>
  <si>
    <t>=  (62.1267 * 65.39% + (38.9927 - 7.1770 - 0.0000) * (1 - 65.39%))</t>
  </si>
  <si>
    <t>=  (64.6303 * 64.62% + (37.9940 - 7.1770 - 0.0000) * (1 - 64.62%))</t>
  </si>
  <si>
    <t>Correspondiente a  Marzo 2021</t>
  </si>
  <si>
    <t>Tipo de Cambio= 3.705</t>
  </si>
  <si>
    <t>=  (66.0346 * 66.00% + (38.8107 - 7.1770 - 0.0000) * (1 - 66.00%))</t>
  </si>
  <si>
    <t>=  (62.8446 * 63.28% + (38.2237 - 7.1770 - 0.0000) * (1 - 63.28%))</t>
  </si>
  <si>
    <t>Correspondiente a  Febrero 2021</t>
  </si>
  <si>
    <t>Tipo de Cambio= 3.709</t>
  </si>
  <si>
    <t>=  (58.6988 * 64.80% + (38.9639 - 7.1770 - 0.0000) * (1 - 64.80%))</t>
  </si>
  <si>
    <t>=  (63.5793 * 67.30% + (39.1267 - 7.1770 - 0.0000) * (1 - 67.30%))</t>
  </si>
  <si>
    <t>Correspondiente a  Enero 2021</t>
  </si>
  <si>
    <t>Tipo de Cambio= 3.655</t>
  </si>
  <si>
    <t>=  (53.7042 * 65.51% + (39.4936 - 0.0000 - 7.1770) * (1 - 65.51%))</t>
  </si>
  <si>
    <t>=  (54.6498 * 65.31% + (39.2570 - 0.0000 - 7.1770) * (1 - 65.31%))</t>
  </si>
  <si>
    <t>Tipo de Cambio= 3.856</t>
  </si>
  <si>
    <t>=  (74.2832 * 56.78% + (36.6031 - 21.2630 - 0.0000) * (1 - 56.78%))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</si>
</sst>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2">
    <numFmt numFmtId="43" formatCode="_ * #,##0.00_ ;_ * \-#,##0.00_ ;_ * &quot;-&quot;??_ ;_ @_ "/>
    <numFmt numFmtId="164" formatCode="0.0%"/>
    <numFmt numFmtId="165" formatCode="0.0000"/>
    <numFmt numFmtId="166" formatCode="#,##0.0000"/>
    <numFmt numFmtId="167" formatCode="#,##0.0"/>
    <numFmt numFmtId="168" formatCode="#,##0.0_);[Red]\(#,##0.0\)"/>
    <numFmt numFmtId="169" formatCode="d\-m\-yy"/>
    <numFmt numFmtId="170" formatCode="dd\-mmm\-yyyy"/>
    <numFmt numFmtId="171" formatCode="#,##0.0000_);[Red]\(#,##0.0000\)"/>
    <numFmt numFmtId="172" formatCode="#,##0.00_ ;[Red]\-#,##0.00\ "/>
    <numFmt numFmtId="173" formatCode="#,##0.00_);[Red]\(#,##0.00\)"/>
    <numFmt numFmtId="174" formatCode="#,##0.00;[Red]#,##0.00"/>
    <numFmt numFmtId="175" formatCode="#,##0.0000;[Red]\-#,##0.0000"/>
    <numFmt numFmtId="176" formatCode="#,##0.00000_ ;[Red]\-#,##0.00000\ "/>
    <numFmt numFmtId="177" formatCode="#,##0.000000000000"/>
    <numFmt numFmtId="178" formatCode="#,##0.00000000000_ ;[Red]\-#,##0.00000000000\ "/>
    <numFmt numFmtId="179" formatCode="#,##0.000000;[Red]#,##0.000000"/>
    <numFmt numFmtId="180" formatCode="#,##0.00\ ;[Red]\(#,##0.00\)"/>
    <numFmt numFmtId="181" formatCode="#,##0.0;[Red]#,##0.0"/>
    <numFmt numFmtId="182" formatCode="#,##0.0_ ;[Red]\-#,##0.0\ "/>
    <numFmt numFmtId="183" formatCode="#,##0.0000_ ;[Red]\-#,##0.0000\ "/>
    <numFmt numFmtId="184" formatCode="#,##0.000_);[Red]\(#,##0.000\)"/>
  </numFmts>
  <fonts count="37"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8"/>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sz val="12"/>
      <name val="Helv"/>
    </font>
    <font>
      <b/>
      <sz val="14"/>
      <name val="Arial"/>
      <family val="2"/>
    </font>
    <font>
      <sz val="9"/>
      <color indexed="81"/>
      <name val="Tahoma"/>
      <family val="2"/>
    </font>
    <font>
      <b/>
      <sz val="9"/>
      <color indexed="81"/>
      <name val="Tahoma"/>
      <family val="2"/>
    </font>
    <font>
      <sz val="10"/>
      <color rgb="FFFF0000"/>
      <name val="Arial"/>
      <family val="2"/>
    </font>
    <font>
      <sz val="9"/>
      <name val="Helv"/>
    </font>
    <font>
      <b/>
      <sz val="10"/>
      <name val="Helv"/>
    </font>
    <font>
      <b/>
      <sz val="9"/>
      <name val="Helv"/>
    </font>
    <font>
      <sz val="8"/>
      <color theme="0" tint="-0.34998626667073579"/>
      <name val="Arial"/>
      <family val="2"/>
    </font>
    <font>
      <sz val="10"/>
      <color theme="0" tint="-0.34998626667073579"/>
      <name val="Arial"/>
      <family val="2"/>
    </font>
    <font>
      <i/>
      <sz val="10"/>
      <name val="Arial"/>
      <family val="2"/>
    </font>
    <font>
      <sz val="11"/>
      <name val="Arial"/>
      <family val="2"/>
    </font>
    <font>
      <b/>
      <u/>
      <sz val="8"/>
      <name val="Arial"/>
      <family val="2"/>
    </font>
    <font>
      <sz val="8"/>
      <color theme="1"/>
      <name val="Arial"/>
      <family val="2"/>
    </font>
    <font>
      <b/>
      <sz val="12"/>
      <name val="Arial"/>
      <family val="2"/>
    </font>
  </fonts>
  <fills count="8">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39997558519241921"/>
        <bgColor indexed="64"/>
      </patternFill>
    </fill>
  </fills>
  <borders count="6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right style="thin">
        <color indexed="64"/>
      </right>
      <top/>
      <bottom style="hair">
        <color indexed="64"/>
      </bottom>
      <diagonal/>
    </border>
  </borders>
  <cellStyleXfs count="8">
    <xf numFmtId="0" fontId="0" fillId="0" borderId="0"/>
    <xf numFmtId="0" fontId="8" fillId="0" borderId="0"/>
    <xf numFmtId="0" fontId="3" fillId="0" borderId="0"/>
    <xf numFmtId="9" fontId="4" fillId="0" borderId="0" applyFont="0" applyFill="0" applyBorder="0" applyAlignment="0" applyProtection="0"/>
    <xf numFmtId="43" fontId="22" fillId="0" borderId="0" applyFont="0" applyFill="0" applyBorder="0" applyAlignment="0" applyProtection="0"/>
    <xf numFmtId="0" fontId="2" fillId="0" borderId="0"/>
    <xf numFmtId="0" fontId="1" fillId="0" borderId="0"/>
    <xf numFmtId="0" fontId="33" fillId="0" borderId="0"/>
  </cellStyleXfs>
  <cellXfs count="689">
    <xf numFmtId="0" fontId="0" fillId="0" borderId="0" xfId="0"/>
    <xf numFmtId="0" fontId="3" fillId="0" borderId="0" xfId="2"/>
    <xf numFmtId="17" fontId="3" fillId="0" borderId="0" xfId="2" applyNumberFormat="1"/>
    <xf numFmtId="0" fontId="6" fillId="0" borderId="0" xfId="2" applyFont="1"/>
    <xf numFmtId="0" fontId="3" fillId="0" borderId="0" xfId="2" applyFont="1"/>
    <xf numFmtId="0" fontId="3" fillId="0" borderId="0" xfId="2" quotePrefix="1" applyFont="1"/>
    <xf numFmtId="0" fontId="3" fillId="0" borderId="0" xfId="2" applyBorder="1"/>
    <xf numFmtId="0" fontId="3" fillId="0" borderId="0" xfId="2" applyFont="1" applyBorder="1"/>
    <xf numFmtId="0" fontId="5" fillId="0" borderId="0" xfId="2" applyFont="1" applyBorder="1" applyAlignment="1">
      <alignment horizontal="center"/>
    </xf>
    <xf numFmtId="17" fontId="3" fillId="2" borderId="0" xfId="2" applyNumberFormat="1" applyFill="1"/>
    <xf numFmtId="0" fontId="5" fillId="0" borderId="1" xfId="2" applyFont="1" applyBorder="1"/>
    <xf numFmtId="0" fontId="3" fillId="0" borderId="2" xfId="2" applyBorder="1"/>
    <xf numFmtId="0" fontId="6" fillId="0" borderId="3" xfId="2" quotePrefix="1" applyFont="1" applyBorder="1" applyAlignment="1">
      <alignment horizontal="left" vertical="center"/>
    </xf>
    <xf numFmtId="0" fontId="9" fillId="0" borderId="4" xfId="2" applyFont="1" applyBorder="1"/>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6" fillId="0" borderId="6" xfId="2" applyFont="1" applyBorder="1" applyAlignment="1">
      <alignment horizontal="center" vertical="center"/>
    </xf>
    <xf numFmtId="0" fontId="3" fillId="0" borderId="1" xfId="2" applyBorder="1"/>
    <xf numFmtId="0" fontId="5" fillId="0" borderId="7" xfId="2" applyFont="1" applyBorder="1"/>
    <xf numFmtId="0" fontId="3" fillId="0" borderId="8" xfId="2" applyBorder="1"/>
    <xf numFmtId="0" fontId="5" fillId="0" borderId="8" xfId="2" applyFont="1" applyBorder="1" applyAlignment="1">
      <alignment horizontal="center"/>
    </xf>
    <xf numFmtId="0" fontId="3" fillId="0" borderId="9" xfId="2" quotePrefix="1" applyFont="1" applyBorder="1"/>
    <xf numFmtId="0" fontId="3" fillId="0" borderId="10" xfId="2" applyBorder="1"/>
    <xf numFmtId="0" fontId="3" fillId="0" borderId="10" xfId="2" applyBorder="1" applyAlignment="1">
      <alignment horizontal="center"/>
    </xf>
    <xf numFmtId="0" fontId="5" fillId="0" borderId="8" xfId="2" applyFont="1" applyBorder="1"/>
    <xf numFmtId="0" fontId="3" fillId="0" borderId="11" xfId="2" applyBorder="1"/>
    <xf numFmtId="0" fontId="3" fillId="0" borderId="12" xfId="2" quotePrefix="1" applyFont="1" applyBorder="1"/>
    <xf numFmtId="0" fontId="3" fillId="0" borderId="13" xfId="2" applyBorder="1"/>
    <xf numFmtId="0" fontId="3" fillId="0" borderId="13" xfId="2" applyFont="1" applyBorder="1" applyAlignment="1">
      <alignment horizontal="center"/>
    </xf>
    <xf numFmtId="0" fontId="3" fillId="0" borderId="13" xfId="2" applyFont="1" applyBorder="1"/>
    <xf numFmtId="0" fontId="3" fillId="0" borderId="14" xfId="2" quotePrefix="1" applyFont="1" applyBorder="1"/>
    <xf numFmtId="0" fontId="3" fillId="0" borderId="15" xfId="2" applyFont="1" applyBorder="1" applyAlignment="1">
      <alignment horizontal="center"/>
    </xf>
    <xf numFmtId="0" fontId="3" fillId="0" borderId="13" xfId="2" applyBorder="1" applyAlignment="1">
      <alignment horizontal="left"/>
    </xf>
    <xf numFmtId="0" fontId="3" fillId="0" borderId="15" xfId="2" applyFont="1" applyBorder="1"/>
    <xf numFmtId="0" fontId="3" fillId="0" borderId="9" xfId="2" applyBorder="1"/>
    <xf numFmtId="0" fontId="10" fillId="0" borderId="10" xfId="2" applyFont="1" applyBorder="1"/>
    <xf numFmtId="0" fontId="6" fillId="0" borderId="17" xfId="2" applyFont="1" applyBorder="1" applyAlignment="1">
      <alignment horizontal="center" vertical="center" wrapText="1"/>
    </xf>
    <xf numFmtId="0" fontId="3" fillId="0" borderId="18" xfId="2" applyBorder="1"/>
    <xf numFmtId="0" fontId="3" fillId="0" borderId="12" xfId="2" applyFont="1"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3" fillId="0" borderId="7" xfId="2" applyBorder="1"/>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2" xfId="2" applyNumberFormat="1" applyFont="1" applyBorder="1"/>
    <xf numFmtId="164" fontId="9" fillId="0" borderId="22" xfId="2" applyNumberFormat="1" applyFont="1" applyBorder="1"/>
    <xf numFmtId="4" fontId="9" fillId="0" borderId="23" xfId="2" applyNumberFormat="1" applyFont="1" applyBorder="1"/>
    <xf numFmtId="0" fontId="9" fillId="0" borderId="10" xfId="2" applyFont="1" applyBorder="1"/>
    <xf numFmtId="164" fontId="9" fillId="0" borderId="20" xfId="2" applyNumberFormat="1" applyFont="1" applyBorder="1"/>
    <xf numFmtId="0" fontId="9" fillId="0" borderId="11" xfId="2" applyFont="1" applyBorder="1"/>
    <xf numFmtId="0" fontId="9" fillId="0" borderId="18" xfId="2" applyFont="1" applyBorder="1"/>
    <xf numFmtId="0" fontId="9" fillId="0" borderId="8" xfId="2" applyFont="1" applyBorder="1"/>
    <xf numFmtId="0" fontId="9" fillId="0" borderId="24" xfId="2" applyFont="1" applyBorder="1"/>
    <xf numFmtId="0" fontId="9" fillId="0" borderId="21" xfId="2" applyFont="1" applyBorder="1"/>
    <xf numFmtId="0" fontId="9" fillId="0" borderId="0" xfId="2" applyFont="1" applyBorder="1"/>
    <xf numFmtId="4" fontId="9" fillId="0" borderId="10" xfId="2" applyNumberFormat="1" applyFont="1" applyBorder="1"/>
    <xf numFmtId="166" fontId="9" fillId="0" borderId="10" xfId="2" applyNumberFormat="1" applyFont="1" applyBorder="1"/>
    <xf numFmtId="0" fontId="9" fillId="0" borderId="2" xfId="2" applyFont="1" applyBorder="1"/>
    <xf numFmtId="0" fontId="9" fillId="0" borderId="6" xfId="2" applyFont="1" applyBorder="1"/>
    <xf numFmtId="0" fontId="3" fillId="0" borderId="0" xfId="2" applyFont="1" applyBorder="1" applyAlignment="1">
      <alignment horizontal="center"/>
    </xf>
    <xf numFmtId="0" fontId="3" fillId="0" borderId="21" xfId="2" applyFont="1" applyBorder="1" applyAlignment="1">
      <alignment horizontal="center"/>
    </xf>
    <xf numFmtId="0" fontId="5" fillId="0" borderId="25" xfId="2" applyFont="1" applyBorder="1" applyAlignment="1">
      <alignment horizontal="center"/>
    </xf>
    <xf numFmtId="0" fontId="5" fillId="0" borderId="25" xfId="2" applyFont="1" applyBorder="1"/>
    <xf numFmtId="4" fontId="6" fillId="0" borderId="10" xfId="2" applyNumberFormat="1" applyFont="1" applyBorder="1"/>
    <xf numFmtId="4" fontId="6" fillId="0" borderId="26" xfId="2" applyNumberFormat="1" applyFont="1" applyBorder="1"/>
    <xf numFmtId="4" fontId="6" fillId="0" borderId="9" xfId="2" applyNumberFormat="1" applyFont="1" applyBorder="1"/>
    <xf numFmtId="164" fontId="6" fillId="0" borderId="20" xfId="2" applyNumberFormat="1"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0" fontId="6" fillId="0" borderId="5" xfId="2" applyFont="1" applyBorder="1" applyAlignment="1">
      <alignment horizontal="center" vertical="center" wrapText="1"/>
    </xf>
    <xf numFmtId="4" fontId="3" fillId="0" borderId="0" xfId="2" applyNumberFormat="1" applyBorder="1"/>
    <xf numFmtId="4" fontId="9" fillId="0" borderId="11" xfId="2" applyNumberFormat="1" applyFont="1" applyBorder="1"/>
    <xf numFmtId="4" fontId="3" fillId="0" borderId="0" xfId="2" applyNumberFormat="1"/>
    <xf numFmtId="0" fontId="9" fillId="0" borderId="0" xfId="2" applyFont="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7" fontId="9" fillId="0" borderId="11" xfId="2" applyNumberFormat="1" applyFont="1" applyBorder="1"/>
    <xf numFmtId="165" fontId="9" fillId="0" borderId="11" xfId="2" applyNumberFormat="1" applyFont="1" applyBorder="1"/>
    <xf numFmtId="167" fontId="9" fillId="0" borderId="21" xfId="2" applyNumberFormat="1" applyFont="1" applyBorder="1"/>
    <xf numFmtId="165" fontId="9" fillId="0" borderId="21" xfId="2" applyNumberFormat="1" applyFont="1" applyBorder="1"/>
    <xf numFmtId="4" fontId="9" fillId="0" borderId="26" xfId="2" applyNumberFormat="1" applyFont="1" applyBorder="1"/>
    <xf numFmtId="167" fontId="9" fillId="0" borderId="26" xfId="2" applyNumberFormat="1" applyFont="1" applyBorder="1"/>
    <xf numFmtId="165" fontId="9" fillId="0" borderId="26" xfId="2" applyNumberFormat="1" applyFont="1" applyBorder="1"/>
    <xf numFmtId="167" fontId="9" fillId="0" borderId="24" xfId="2" applyNumberFormat="1" applyFont="1" applyBorder="1"/>
    <xf numFmtId="165" fontId="9" fillId="0" borderId="24" xfId="2" applyNumberFormat="1" applyFont="1" applyBorder="1"/>
    <xf numFmtId="167" fontId="9" fillId="0" borderId="23" xfId="2" applyNumberFormat="1" applyFont="1" applyBorder="1"/>
    <xf numFmtId="165" fontId="9" fillId="0" borderId="23" xfId="2" applyNumberFormat="1" applyFont="1" applyBorder="1"/>
    <xf numFmtId="4" fontId="9" fillId="0" borderId="5" xfId="2" applyNumberFormat="1" applyFont="1" applyBorder="1"/>
    <xf numFmtId="167" fontId="9" fillId="0" borderId="5" xfId="2" applyNumberFormat="1" applyFont="1" applyBorder="1"/>
    <xf numFmtId="165" fontId="9" fillId="0" borderId="5" xfId="2" applyNumberFormat="1" applyFont="1" applyBorder="1"/>
    <xf numFmtId="164" fontId="9" fillId="0" borderId="21" xfId="2" applyNumberFormat="1" applyFont="1" applyBorder="1"/>
    <xf numFmtId="0" fontId="3" fillId="0" borderId="21" xfId="2" applyBorder="1" applyAlignment="1">
      <alignment horizontal="center"/>
    </xf>
    <xf numFmtId="0" fontId="9" fillId="0" borderId="31" xfId="2" applyFont="1" applyBorder="1"/>
    <xf numFmtId="0" fontId="3" fillId="0" borderId="0" xfId="2" quotePrefix="1" applyFont="1" applyBorder="1"/>
    <xf numFmtId="0" fontId="12" fillId="0" borderId="1" xfId="2" applyFont="1" applyBorder="1"/>
    <xf numFmtId="0" fontId="3" fillId="0" borderId="6" xfId="2" applyBorder="1"/>
    <xf numFmtId="0" fontId="3" fillId="0" borderId="32" xfId="2" applyFont="1" applyBorder="1" applyAlignment="1">
      <alignment horizontal="center"/>
    </xf>
    <xf numFmtId="0" fontId="12" fillId="0" borderId="33" xfId="2" applyFont="1" applyBorder="1"/>
    <xf numFmtId="0" fontId="3" fillId="0" borderId="34" xfId="2" applyFont="1" applyBorder="1"/>
    <xf numFmtId="165" fontId="12" fillId="0" borderId="34" xfId="2" applyNumberFormat="1" applyFont="1" applyBorder="1"/>
    <xf numFmtId="0" fontId="12" fillId="0" borderId="16" xfId="2" quotePrefix="1" applyFont="1" applyBorder="1"/>
    <xf numFmtId="0" fontId="3" fillId="0" borderId="17" xfId="2" applyBorder="1"/>
    <xf numFmtId="0" fontId="3" fillId="0" borderId="35" xfId="2" applyFont="1" applyBorder="1" applyAlignment="1">
      <alignment horizontal="center"/>
    </xf>
    <xf numFmtId="0" fontId="12" fillId="0" borderId="36" xfId="2" applyFont="1" applyBorder="1"/>
    <xf numFmtId="0" fontId="3" fillId="0" borderId="37" xfId="2" applyFont="1" applyBorder="1"/>
    <xf numFmtId="165" fontId="12" fillId="0" borderId="37" xfId="2" applyNumberFormat="1" applyFont="1" applyBorder="1"/>
    <xf numFmtId="0" fontId="12" fillId="0" borderId="37" xfId="2" applyFont="1" applyBorder="1"/>
    <xf numFmtId="166" fontId="10" fillId="0" borderId="3" xfId="2" applyNumberFormat="1" applyFont="1" applyBorder="1" applyAlignment="1">
      <alignment horizontal="center"/>
    </xf>
    <xf numFmtId="0" fontId="3" fillId="0" borderId="31" xfId="2" applyBorder="1"/>
    <xf numFmtId="0" fontId="3" fillId="0" borderId="4" xfId="2" applyBorder="1"/>
    <xf numFmtId="165" fontId="3" fillId="0" borderId="0" xfId="2" applyNumberFormat="1" applyBorder="1"/>
    <xf numFmtId="10" fontId="12" fillId="0" borderId="37" xfId="2" applyNumberFormat="1" applyFont="1" applyBorder="1"/>
    <xf numFmtId="165" fontId="3" fillId="0" borderId="2" xfId="2" applyNumberFormat="1" applyBorder="1"/>
    <xf numFmtId="168" fontId="12" fillId="0" borderId="37" xfId="2" applyNumberFormat="1" applyFont="1" applyBorder="1"/>
    <xf numFmtId="0" fontId="3" fillId="0" borderId="38" xfId="2" applyFont="1" applyBorder="1" applyAlignment="1">
      <alignment horizontal="center"/>
    </xf>
    <xf numFmtId="0" fontId="12" fillId="0" borderId="39" xfId="2" applyFont="1" applyBorder="1"/>
    <xf numFmtId="0" fontId="3" fillId="0" borderId="40" xfId="2" applyFont="1" applyBorder="1"/>
    <xf numFmtId="165" fontId="12" fillId="0" borderId="40" xfId="2" applyNumberFormat="1" applyFont="1" applyBorder="1"/>
    <xf numFmtId="165" fontId="3" fillId="0" borderId="31" xfId="2" applyNumberFormat="1" applyBorder="1"/>
    <xf numFmtId="0" fontId="12" fillId="0" borderId="0" xfId="2" applyFont="1" applyBorder="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4" fontId="9" fillId="0" borderId="8" xfId="2" applyNumberFormat="1" applyFont="1" applyBorder="1"/>
    <xf numFmtId="4" fontId="9" fillId="0" borderId="11" xfId="0" applyNumberFormat="1" applyFont="1" applyBorder="1"/>
    <xf numFmtId="4" fontId="9" fillId="0" borderId="21" xfId="0" applyNumberFormat="1" applyFont="1" applyBorder="1"/>
    <xf numFmtId="4" fontId="9" fillId="0" borderId="26" xfId="0" applyNumberFormat="1" applyFont="1" applyBorder="1"/>
    <xf numFmtId="0" fontId="7" fillId="0" borderId="21" xfId="2" applyFont="1" applyBorder="1" applyAlignment="1">
      <alignment horizontal="center"/>
    </xf>
    <xf numFmtId="0" fontId="3" fillId="0" borderId="20" xfId="2" applyBorder="1"/>
    <xf numFmtId="0" fontId="3" fillId="0" borderId="16" xfId="2" applyBorder="1"/>
    <xf numFmtId="0" fontId="10" fillId="0" borderId="0" xfId="2" applyFont="1" applyBorder="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0" xfId="2" applyBorder="1" applyAlignment="1">
      <alignment horizontal="center"/>
    </xf>
    <xf numFmtId="0" fontId="3" fillId="0" borderId="16" xfId="2" applyBorder="1" applyAlignment="1">
      <alignment horizontal="center"/>
    </xf>
    <xf numFmtId="4" fontId="6" fillId="0" borderId="0" xfId="2" applyNumberFormat="1" applyFont="1" applyBorder="1"/>
    <xf numFmtId="164" fontId="9" fillId="0" borderId="17" xfId="2" applyNumberFormat="1" applyFont="1" applyBorder="1"/>
    <xf numFmtId="4" fontId="9" fillId="0" borderId="29" xfId="2" applyNumberFormat="1" applyFont="1" applyBorder="1"/>
    <xf numFmtId="167" fontId="9" fillId="0" borderId="29" xfId="2" applyNumberFormat="1" applyFont="1" applyBorder="1"/>
    <xf numFmtId="165" fontId="9" fillId="0" borderId="29" xfId="2" applyNumberFormat="1" applyFont="1" applyBorder="1"/>
    <xf numFmtId="4" fontId="9" fillId="0" borderId="0" xfId="2" applyNumberFormat="1" applyFont="1" applyBorder="1"/>
    <xf numFmtId="166" fontId="9" fillId="0" borderId="0" xfId="2" applyNumberFormat="1" applyFont="1" applyBorder="1"/>
    <xf numFmtId="0" fontId="3" fillId="0" borderId="3" xfId="2" applyBorder="1"/>
    <xf numFmtId="0" fontId="10" fillId="0" borderId="31" xfId="2" applyFont="1" applyBorder="1"/>
    <xf numFmtId="4" fontId="9" fillId="0" borderId="31" xfId="2" applyNumberFormat="1" applyFont="1" applyBorder="1"/>
    <xf numFmtId="164" fontId="9" fillId="0" borderId="4" xfId="2" applyNumberFormat="1" applyFont="1" applyBorder="1"/>
    <xf numFmtId="4" fontId="9" fillId="0" borderId="30" xfId="2" applyNumberFormat="1" applyFont="1" applyBorder="1"/>
    <xf numFmtId="167" fontId="9" fillId="0" borderId="30" xfId="2" applyNumberFormat="1" applyFont="1" applyBorder="1"/>
    <xf numFmtId="165" fontId="9" fillId="0" borderId="30" xfId="2" applyNumberFormat="1" applyFont="1" applyBorder="1"/>
    <xf numFmtId="4" fontId="9" fillId="0" borderId="29" xfId="0" applyNumberFormat="1" applyFont="1" applyBorder="1"/>
    <xf numFmtId="0" fontId="10" fillId="0" borderId="10" xfId="2" applyFont="1" applyBorder="1" applyAlignment="1">
      <alignment horizontal="right"/>
    </xf>
    <xf numFmtId="3" fontId="9" fillId="0" borderId="20" xfId="2" applyNumberFormat="1" applyFont="1" applyBorder="1"/>
    <xf numFmtId="3" fontId="6" fillId="0" borderId="10" xfId="2" applyNumberFormat="1" applyFont="1" applyBorder="1"/>
    <xf numFmtId="0" fontId="3" fillId="0" borderId="0" xfId="2" applyAlignment="1">
      <alignment horizontal="centerContinuous"/>
    </xf>
    <xf numFmtId="0" fontId="5" fillId="0" borderId="0" xfId="0" applyFont="1" applyAlignment="1">
      <alignment horizontal="right"/>
    </xf>
    <xf numFmtId="170" fontId="9" fillId="0" borderId="0" xfId="2" applyNumberFormat="1" applyFont="1" applyAlignment="1">
      <alignment horizontal="centerContinuous"/>
    </xf>
    <xf numFmtId="3" fontId="6" fillId="0" borderId="5" xfId="2" applyNumberFormat="1" applyFont="1" applyBorder="1"/>
    <xf numFmtId="164"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3" borderId="0" xfId="2" applyFont="1" applyFill="1"/>
    <xf numFmtId="0" fontId="6" fillId="0" borderId="7" xfId="2" applyFont="1" applyBorder="1" applyAlignment="1">
      <alignment horizontal="centerContinuous" vertical="center" wrapText="1"/>
    </xf>
    <xf numFmtId="0" fontId="6" fillId="0" borderId="18" xfId="2" applyFont="1" applyBorder="1" applyAlignment="1">
      <alignment horizontal="centerContinuous" vertical="center" wrapText="1"/>
    </xf>
    <xf numFmtId="0" fontId="6" fillId="0" borderId="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6"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applyBorder="1"/>
    <xf numFmtId="0" fontId="6" fillId="0" borderId="8" xfId="2" applyFont="1" applyBorder="1" applyAlignment="1">
      <alignment vertical="center" wrapText="1"/>
    </xf>
    <xf numFmtId="40" fontId="3" fillId="0" borderId="0" xfId="2" applyNumberFormat="1"/>
    <xf numFmtId="0" fontId="6" fillId="0" borderId="18" xfId="2" applyFont="1" applyBorder="1" applyAlignment="1">
      <alignment vertical="center" wrapText="1"/>
    </xf>
    <xf numFmtId="0" fontId="3" fillId="0" borderId="41" xfId="2" quotePrefix="1" applyFont="1" applyBorder="1"/>
    <xf numFmtId="0" fontId="3" fillId="0" borderId="42" xfId="2" applyFont="1" applyBorder="1"/>
    <xf numFmtId="0" fontId="3" fillId="0" borderId="42" xfId="2" applyFont="1" applyBorder="1" applyAlignment="1">
      <alignment horizontal="center"/>
    </xf>
    <xf numFmtId="0" fontId="3" fillId="0" borderId="43" xfId="2" applyFont="1" applyBorder="1" applyAlignment="1">
      <alignment horizontal="center"/>
    </xf>
    <xf numFmtId="4" fontId="6" fillId="0" borderId="6" xfId="2" applyNumberFormat="1" applyFont="1" applyBorder="1"/>
    <xf numFmtId="164" fontId="9" fillId="0" borderId="26" xfId="3" applyNumberFormat="1" applyFont="1" applyBorder="1"/>
    <xf numFmtId="166" fontId="12" fillId="0" borderId="21" xfId="2" applyNumberFormat="1" applyFont="1" applyBorder="1"/>
    <xf numFmtId="164" fontId="12" fillId="0" borderId="22" xfId="2" applyNumberFormat="1" applyFont="1" applyBorder="1"/>
    <xf numFmtId="0" fontId="12" fillId="0" borderId="10" xfId="2"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0" fontId="12" fillId="0" borderId="3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5" fillId="0" borderId="0" xfId="2" applyFont="1" applyFill="1" applyAlignment="1">
      <alignment horizontal="centerContinuous" vertical="center"/>
    </xf>
    <xf numFmtId="0" fontId="10" fillId="0" borderId="0" xfId="2" applyFont="1" applyFill="1" applyAlignment="1">
      <alignment horizontal="centerContinuous" vertical="center"/>
    </xf>
    <xf numFmtId="0" fontId="3" fillId="0" borderId="13" xfId="2" applyFont="1" applyFill="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40" fontId="3" fillId="0" borderId="0" xfId="2" applyNumberFormat="1" applyBorder="1"/>
    <xf numFmtId="171" fontId="12" fillId="0" borderId="0" xfId="2" applyNumberFormat="1" applyFont="1" applyFill="1" applyBorder="1" applyAlignment="1"/>
    <xf numFmtId="171" fontId="12" fillId="0" borderId="8" xfId="2" applyNumberFormat="1" applyFont="1" applyFill="1" applyBorder="1" applyAlignment="1"/>
    <xf numFmtId="171" fontId="12" fillId="0" borderId="11" xfId="2" applyNumberFormat="1" applyFont="1" applyFill="1" applyBorder="1" applyAlignment="1"/>
    <xf numFmtId="171" fontId="12" fillId="0" borderId="31" xfId="2" applyNumberFormat="1" applyFont="1" applyFill="1" applyBorder="1" applyAlignment="1"/>
    <xf numFmtId="40" fontId="12" fillId="0" borderId="11" xfId="2" applyNumberFormat="1" applyFont="1" applyFill="1" applyBorder="1" applyAlignment="1"/>
    <xf numFmtId="40" fontId="12" fillId="0" borderId="18" xfId="2" applyNumberFormat="1" applyFont="1" applyFill="1" applyBorder="1" applyAlignment="1"/>
    <xf numFmtId="40" fontId="12" fillId="0" borderId="31" xfId="2" applyNumberFormat="1" applyFont="1" applyFill="1" applyBorder="1" applyAlignment="1"/>
    <xf numFmtId="40" fontId="10" fillId="0" borderId="0" xfId="2" applyNumberFormat="1" applyFont="1" applyFill="1" applyBorder="1" applyAlignment="1"/>
    <xf numFmtId="40" fontId="10" fillId="0" borderId="29" xfId="2" applyNumberFormat="1" applyFont="1" applyBorder="1" applyAlignment="1"/>
    <xf numFmtId="40" fontId="10" fillId="0" borderId="5" xfId="2" applyNumberFormat="1" applyFont="1" applyFill="1" applyBorder="1" applyAlignment="1"/>
    <xf numFmtId="40" fontId="10" fillId="0" borderId="5" xfId="2" applyNumberFormat="1" applyFont="1" applyBorder="1" applyAlignment="1"/>
    <xf numFmtId="40" fontId="10" fillId="0" borderId="8" xfId="2" applyNumberFormat="1" applyFont="1" applyBorder="1" applyAlignment="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0" fontId="3" fillId="0" borderId="12" xfId="2" applyBorder="1" applyAlignment="1">
      <alignment horizontal="center"/>
    </xf>
    <xf numFmtId="40" fontId="12" fillId="0" borderId="47" xfId="0" applyNumberFormat="1" applyFont="1" applyFill="1" applyBorder="1" applyAlignment="1"/>
    <xf numFmtId="171" fontId="12" fillId="0" borderId="47" xfId="2" applyNumberFormat="1" applyFont="1" applyFill="1" applyBorder="1" applyAlignment="1"/>
    <xf numFmtId="171" fontId="12" fillId="0" borderId="47" xfId="0" applyNumberFormat="1" applyFont="1" applyFill="1" applyBorder="1" applyAlignment="1"/>
    <xf numFmtId="40" fontId="12" fillId="0" borderId="48" xfId="2" applyNumberFormat="1" applyFont="1" applyFill="1" applyBorder="1" applyAlignment="1"/>
    <xf numFmtId="171" fontId="12" fillId="0" borderId="48" xfId="2" applyNumberFormat="1" applyFont="1" applyFill="1" applyBorder="1" applyAlignment="1"/>
    <xf numFmtId="40" fontId="12" fillId="0" borderId="44" xfId="2" applyNumberFormat="1" applyFont="1" applyFill="1" applyBorder="1" applyAlignment="1"/>
    <xf numFmtId="171" fontId="12" fillId="0" borderId="44" xfId="2" applyNumberFormat="1" applyFont="1" applyFill="1" applyBorder="1" applyAlignment="1"/>
    <xf numFmtId="40" fontId="12" fillId="0" borderId="47" xfId="2" applyNumberFormat="1" applyFont="1" applyBorder="1" applyAlignment="1"/>
    <xf numFmtId="164" fontId="9" fillId="0" borderId="50" xfId="2" applyNumberFormat="1" applyFont="1" applyBorder="1"/>
    <xf numFmtId="40" fontId="12" fillId="0" borderId="51" xfId="2" applyNumberFormat="1" applyFont="1" applyFill="1" applyBorder="1" applyAlignment="1"/>
    <xf numFmtId="40" fontId="12" fillId="0" borderId="51" xfId="2" applyNumberFormat="1" applyFont="1" applyBorder="1" applyAlignment="1"/>
    <xf numFmtId="164" fontId="9" fillId="0" borderId="47" xfId="2" applyNumberFormat="1" applyFont="1" applyBorder="1"/>
    <xf numFmtId="40" fontId="12" fillId="0" borderId="52" xfId="2" applyNumberFormat="1" applyFont="1" applyBorder="1" applyAlignment="1"/>
    <xf numFmtId="40" fontId="10" fillId="0" borderId="48" xfId="2" applyNumberFormat="1" applyFont="1" applyFill="1" applyBorder="1" applyAlignment="1"/>
    <xf numFmtId="40" fontId="10" fillId="0" borderId="48" xfId="2" applyNumberFormat="1" applyFont="1" applyBorder="1" applyAlignment="1"/>
    <xf numFmtId="40" fontId="10" fillId="0" borderId="53" xfId="2" applyNumberFormat="1" applyFont="1" applyBorder="1" applyAlignment="1"/>
    <xf numFmtId="164" fontId="9" fillId="0" borderId="54" xfId="2" applyNumberFormat="1" applyFont="1" applyBorder="1"/>
    <xf numFmtId="40" fontId="10" fillId="0" borderId="55" xfId="2" applyNumberFormat="1" applyFont="1" applyBorder="1" applyAlignment="1"/>
    <xf numFmtId="40" fontId="12" fillId="0" borderId="49" xfId="2" applyNumberFormat="1" applyFont="1" applyFill="1" applyBorder="1" applyAlignment="1"/>
    <xf numFmtId="40" fontId="12" fillId="0" borderId="44" xfId="2" applyNumberFormat="1" applyFont="1" applyBorder="1" applyAlignment="1"/>
    <xf numFmtId="40" fontId="10" fillId="0" borderId="45" xfId="2" applyNumberFormat="1" applyFont="1" applyBorder="1" applyAlignment="1">
      <alignment horizontal="centerContinuous"/>
    </xf>
    <xf numFmtId="0" fontId="6" fillId="0" borderId="50" xfId="2" applyFont="1" applyBorder="1" applyAlignment="1">
      <alignment horizontal="center" vertical="center" wrapText="1"/>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Font="1" applyBorder="1" applyAlignment="1">
      <alignment horizontal="center"/>
    </xf>
    <xf numFmtId="0" fontId="7" fillId="0" borderId="51" xfId="2" applyFont="1" applyBorder="1" applyAlignment="1">
      <alignment horizontal="center"/>
    </xf>
    <xf numFmtId="0" fontId="3"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Fill="1" applyBorder="1" applyAlignment="1"/>
    <xf numFmtId="171" fontId="12" fillId="0" borderId="55" xfId="2" applyNumberFormat="1" applyFont="1" applyFill="1" applyBorder="1" applyAlignment="1"/>
    <xf numFmtId="164" fontId="6" fillId="0" borderId="54" xfId="2" applyNumberFormat="1" applyFont="1" applyBorder="1"/>
    <xf numFmtId="0" fontId="3" fillId="0" borderId="51" xfId="2" quotePrefix="1" applyFont="1" applyBorder="1"/>
    <xf numFmtId="0" fontId="3" fillId="0" borderId="52" xfId="2" applyFont="1" applyBorder="1" applyAlignment="1">
      <alignment horizontal="center"/>
    </xf>
    <xf numFmtId="0" fontId="3" fillId="0" borderId="47" xfId="2" applyBorder="1" applyAlignment="1">
      <alignment horizontal="center"/>
    </xf>
    <xf numFmtId="0" fontId="3" fillId="0" borderId="48" xfId="2" applyBorder="1" applyAlignment="1">
      <alignment horizontal="center"/>
    </xf>
    <xf numFmtId="0" fontId="3" fillId="0" borderId="52" xfId="2" applyFont="1" applyBorder="1"/>
    <xf numFmtId="0" fontId="3" fillId="0" borderId="52" xfId="2" applyBorder="1" applyAlignment="1">
      <alignment horizontal="left"/>
    </xf>
    <xf numFmtId="4" fontId="16" fillId="0" borderId="0" xfId="0" applyNumberFormat="1" applyFont="1"/>
    <xf numFmtId="0" fontId="3" fillId="0" borderId="17" xfId="2" applyFont="1" applyBorder="1" applyAlignment="1">
      <alignment horizontal="center"/>
    </xf>
    <xf numFmtId="164" fontId="9" fillId="0" borderId="56" xfId="2" applyNumberFormat="1" applyFont="1" applyBorder="1"/>
    <xf numFmtId="0" fontId="3" fillId="0" borderId="16" xfId="2" applyFont="1" applyBorder="1" applyAlignment="1">
      <alignment horizontal="center"/>
    </xf>
    <xf numFmtId="40" fontId="9" fillId="0" borderId="55" xfId="2" applyNumberFormat="1" applyFont="1" applyFill="1" applyBorder="1" applyAlignment="1"/>
    <xf numFmtId="171" fontId="9" fillId="0" borderId="55" xfId="2" applyNumberFormat="1" applyFont="1" applyFill="1" applyBorder="1" applyAlignment="1"/>
    <xf numFmtId="0" fontId="9" fillId="0" borderId="53" xfId="2" applyFont="1" applyBorder="1"/>
    <xf numFmtId="0" fontId="18" fillId="0" borderId="0" xfId="2" applyFont="1" applyBorder="1"/>
    <xf numFmtId="40" fontId="12" fillId="4" borderId="47" xfId="2" applyNumberFormat="1" applyFont="1" applyFill="1" applyBorder="1" applyAlignment="1"/>
    <xf numFmtId="4" fontId="19" fillId="4" borderId="10" xfId="2" applyNumberFormat="1" applyFont="1" applyFill="1" applyBorder="1"/>
    <xf numFmtId="166" fontId="19" fillId="4" borderId="10" xfId="2" applyNumberFormat="1" applyFont="1" applyFill="1" applyBorder="1"/>
    <xf numFmtId="4" fontId="19" fillId="4" borderId="2" xfId="2" applyNumberFormat="1" applyFont="1" applyFill="1" applyBorder="1"/>
    <xf numFmtId="172" fontId="3" fillId="0" borderId="0" xfId="2" applyNumberFormat="1" applyBorder="1"/>
    <xf numFmtId="10" fontId="9" fillId="0" borderId="50" xfId="2" applyNumberFormat="1" applyFont="1" applyBorder="1"/>
    <xf numFmtId="0" fontId="17" fillId="0" borderId="10" xfId="2" applyFont="1" applyBorder="1"/>
    <xf numFmtId="0" fontId="17" fillId="0" borderId="31" xfId="2" applyFont="1" applyBorder="1"/>
    <xf numFmtId="0" fontId="17" fillId="0" borderId="2" xfId="2" applyFont="1" applyBorder="1"/>
    <xf numFmtId="4" fontId="20" fillId="0" borderId="21" xfId="2" applyNumberFormat="1" applyFont="1" applyBorder="1"/>
    <xf numFmtId="4" fontId="20" fillId="0" borderId="22" xfId="2" applyNumberFormat="1" applyFont="1" applyBorder="1"/>
    <xf numFmtId="166" fontId="20" fillId="0" borderId="21" xfId="2" applyNumberFormat="1" applyFont="1" applyBorder="1"/>
    <xf numFmtId="4" fontId="3" fillId="0" borderId="0" xfId="2" applyNumberFormat="1" applyAlignment="1">
      <alignment horizontal="right"/>
    </xf>
    <xf numFmtId="0" fontId="17" fillId="4" borderId="10" xfId="2" applyFont="1" applyFill="1" applyBorder="1"/>
    <xf numFmtId="0" fontId="17" fillId="4" borderId="31" xfId="2" applyFont="1" applyFill="1" applyBorder="1"/>
    <xf numFmtId="43" fontId="12" fillId="0" borderId="0" xfId="4" applyFont="1"/>
    <xf numFmtId="0" fontId="21" fillId="0" borderId="3" xfId="2" applyFont="1" applyBorder="1"/>
    <xf numFmtId="0" fontId="21" fillId="0" borderId="1" xfId="2" applyFont="1" applyBorder="1"/>
    <xf numFmtId="40" fontId="12" fillId="0" borderId="0" xfId="2" applyNumberFormat="1" applyFont="1" applyFill="1" applyBorder="1" applyAlignment="1"/>
    <xf numFmtId="165" fontId="6" fillId="3" borderId="0" xfId="2" applyNumberFormat="1" applyFont="1" applyFill="1"/>
    <xf numFmtId="0" fontId="23" fillId="0" borderId="0" xfId="2" applyFont="1" applyAlignment="1">
      <alignment horizontal="centerContinuous"/>
    </xf>
    <xf numFmtId="0" fontId="3" fillId="0" borderId="15" xfId="2" applyBorder="1" applyAlignment="1">
      <alignment horizontal="left"/>
    </xf>
    <xf numFmtId="10" fontId="9" fillId="0" borderId="22" xfId="2" applyNumberFormat="1" applyFont="1" applyBorder="1"/>
    <xf numFmtId="0" fontId="3" fillId="4" borderId="0" xfId="2" applyFill="1"/>
    <xf numFmtId="0" fontId="3" fillId="4" borderId="0" xfId="2" applyFont="1" applyFill="1"/>
    <xf numFmtId="4" fontId="3" fillId="4" borderId="0" xfId="2" applyNumberFormat="1" applyFill="1"/>
    <xf numFmtId="0" fontId="3" fillId="0" borderId="0" xfId="2"/>
    <xf numFmtId="0" fontId="3" fillId="0" borderId="2" xfId="2" applyBorder="1"/>
    <xf numFmtId="0" fontId="6" fillId="0" borderId="6" xfId="2" applyFont="1" applyBorder="1" applyAlignment="1">
      <alignment horizontal="center" vertical="center"/>
    </xf>
    <xf numFmtId="0" fontId="6" fillId="0" borderId="6" xfId="2" applyFont="1" applyBorder="1" applyAlignment="1">
      <alignment horizontal="centerContinuous" vertical="center" wrapText="1"/>
    </xf>
    <xf numFmtId="40" fontId="10" fillId="0" borderId="5" xfId="2" applyNumberFormat="1" applyFont="1" applyBorder="1"/>
    <xf numFmtId="40" fontId="12" fillId="0" borderId="47" xfId="2" applyNumberFormat="1" applyFont="1" applyFill="1" applyBorder="1" applyAlignment="1"/>
    <xf numFmtId="0" fontId="5" fillId="0" borderId="7" xfId="2" applyFont="1" applyBorder="1"/>
    <xf numFmtId="164" fontId="9" fillId="0" borderId="50" xfId="2" applyNumberFormat="1" applyFont="1" applyBorder="1" applyAlignment="1">
      <alignment horizontal="right"/>
    </xf>
    <xf numFmtId="0" fontId="3" fillId="0" borderId="13" xfId="2" applyFont="1" applyFill="1" applyBorder="1" applyAlignment="1">
      <alignment horizontal="left"/>
    </xf>
    <xf numFmtId="40" fontId="12" fillId="0" borderId="57" xfId="2" applyNumberFormat="1" applyFont="1" applyBorder="1" applyAlignment="1"/>
    <xf numFmtId="164" fontId="9" fillId="0" borderId="58" xfId="2" applyNumberFormat="1" applyFont="1" applyBorder="1"/>
    <xf numFmtId="0" fontId="6" fillId="0" borderId="5" xfId="2" applyFont="1" applyBorder="1" applyAlignment="1">
      <alignment horizontal="center" vertical="center" wrapText="1"/>
    </xf>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10" fillId="0" borderId="0" xfId="2" applyFont="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Font="1" applyBorder="1"/>
    <xf numFmtId="0" fontId="3" fillId="0" borderId="59" xfId="2" applyFont="1" applyBorder="1" applyAlignment="1">
      <alignment horizontal="left"/>
    </xf>
    <xf numFmtId="0" fontId="3" fillId="0" borderId="26" xfId="2" quotePrefix="1" applyFont="1" applyBorder="1"/>
    <xf numFmtId="40" fontId="12" fillId="0" borderId="26" xfId="2" applyNumberFormat="1" applyFont="1" applyBorder="1"/>
    <xf numFmtId="171"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Font="1" applyBorder="1" applyAlignment="1">
      <alignment horizontal="center"/>
    </xf>
    <xf numFmtId="0" fontId="3" fillId="0" borderId="60" xfId="2" applyFont="1" applyBorder="1" applyAlignment="1">
      <alignment horizontal="centerContinuous"/>
    </xf>
    <xf numFmtId="0" fontId="3" fillId="0" borderId="26" xfId="2" applyFont="1" applyBorder="1" applyAlignment="1">
      <alignment horizontal="left"/>
    </xf>
    <xf numFmtId="0" fontId="3" fillId="0" borderId="26" xfId="2" applyFont="1" applyBorder="1" applyAlignment="1">
      <alignment horizontal="center"/>
    </xf>
    <xf numFmtId="0" fontId="3" fillId="0" borderId="10" xfId="2" applyFont="1" applyBorder="1" applyAlignment="1">
      <alignment horizontal="centerContinuous"/>
    </xf>
    <xf numFmtId="0" fontId="3" fillId="0" borderId="31" xfId="2" applyFont="1" applyBorder="1"/>
    <xf numFmtId="171" fontId="12" fillId="0" borderId="5" xfId="2" applyNumberFormat="1" applyFont="1" applyBorder="1"/>
    <xf numFmtId="40" fontId="12" fillId="0" borderId="5" xfId="2" applyNumberFormat="1" applyFont="1" applyBorder="1"/>
    <xf numFmtId="164"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Fill="1" applyBorder="1" applyAlignment="1"/>
    <xf numFmtId="40" fontId="12" fillId="0" borderId="48" xfId="2" applyNumberFormat="1" applyFont="1" applyBorder="1" applyAlignment="1"/>
    <xf numFmtId="172" fontId="3" fillId="0" borderId="0" xfId="2" applyNumberFormat="1"/>
    <xf numFmtId="172" fontId="3" fillId="0" borderId="31" xfId="2" applyNumberFormat="1" applyBorder="1"/>
    <xf numFmtId="40" fontId="5" fillId="0" borderId="0" xfId="2" applyNumberFormat="1" applyFont="1"/>
    <xf numFmtId="171" fontId="10" fillId="0" borderId="47" xfId="2" applyNumberFormat="1" applyFont="1" applyFill="1" applyBorder="1" applyAlignment="1"/>
    <xf numFmtId="4" fontId="9" fillId="0" borderId="0" xfId="2" applyNumberFormat="1" applyFont="1"/>
    <xf numFmtId="4" fontId="6" fillId="0" borderId="0" xfId="2" applyNumberFormat="1" applyFont="1"/>
    <xf numFmtId="4" fontId="10" fillId="0" borderId="0" xfId="2" applyNumberFormat="1" applyFont="1"/>
    <xf numFmtId="0" fontId="20" fillId="0" borderId="10" xfId="2" applyFont="1" applyBorder="1"/>
    <xf numFmtId="0" fontId="20" fillId="0" borderId="31" xfId="2" applyFont="1" applyBorder="1"/>
    <xf numFmtId="0" fontId="20" fillId="0" borderId="2" xfId="2" applyFont="1" applyBorder="1"/>
    <xf numFmtId="0" fontId="19" fillId="4" borderId="10" xfId="2" applyFont="1" applyFill="1" applyBorder="1"/>
    <xf numFmtId="4" fontId="19" fillId="4" borderId="31" xfId="2" applyNumberFormat="1" applyFont="1" applyFill="1" applyBorder="1"/>
    <xf numFmtId="4" fontId="17" fillId="4" borderId="2" xfId="2" applyNumberFormat="1" applyFont="1" applyFill="1" applyBorder="1"/>
    <xf numFmtId="4" fontId="17" fillId="0" borderId="2" xfId="2" applyNumberFormat="1" applyFont="1" applyBorder="1"/>
    <xf numFmtId="0" fontId="21" fillId="0" borderId="0" xfId="2" applyFont="1" applyBorder="1"/>
    <xf numFmtId="172" fontId="21" fillId="0" borderId="0" xfId="2" applyNumberFormat="1" applyFont="1" applyBorder="1"/>
    <xf numFmtId="40" fontId="3" fillId="0" borderId="31" xfId="2" applyNumberFormat="1" applyBorder="1"/>
    <xf numFmtId="171" fontId="10" fillId="0" borderId="47" xfId="0" applyNumberFormat="1" applyFont="1" applyFill="1" applyBorder="1" applyAlignment="1"/>
    <xf numFmtId="171" fontId="12" fillId="4" borderId="47" xfId="2" applyNumberFormat="1" applyFont="1" applyFill="1" applyBorder="1" applyAlignment="1"/>
    <xf numFmtId="4" fontId="20" fillId="0" borderId="2" xfId="2" applyNumberFormat="1" applyFont="1" applyBorder="1"/>
    <xf numFmtId="166" fontId="10" fillId="0" borderId="31" xfId="2" applyNumberFormat="1" applyFont="1" applyBorder="1"/>
    <xf numFmtId="173" fontId="12" fillId="0" borderId="0" xfId="2" applyNumberFormat="1" applyFont="1" applyFill="1" applyBorder="1" applyAlignment="1"/>
    <xf numFmtId="171" fontId="12" fillId="0" borderId="30" xfId="2" applyNumberFormat="1" applyFont="1" applyBorder="1"/>
    <xf numFmtId="40" fontId="12" fillId="0" borderId="48" xfId="0" applyNumberFormat="1" applyFont="1" applyFill="1" applyBorder="1" applyAlignment="1"/>
    <xf numFmtId="171" fontId="12" fillId="0" borderId="48" xfId="0" applyNumberFormat="1" applyFont="1" applyFill="1" applyBorder="1" applyAlignment="1"/>
    <xf numFmtId="0" fontId="3" fillId="0" borderId="5" xfId="2" applyBorder="1"/>
    <xf numFmtId="172" fontId="5" fillId="0" borderId="5" xfId="2" applyNumberFormat="1" applyFont="1" applyBorder="1"/>
    <xf numFmtId="172" fontId="5" fillId="0" borderId="0" xfId="2" applyNumberFormat="1" applyFont="1"/>
    <xf numFmtId="0" fontId="21" fillId="0" borderId="12" xfId="2" applyFont="1" applyBorder="1" applyAlignment="1">
      <alignment horizontal="center"/>
    </xf>
    <xf numFmtId="0" fontId="5" fillId="0" borderId="27" xfId="2" applyFont="1" applyBorder="1"/>
    <xf numFmtId="0" fontId="3" fillId="0" borderId="25" xfId="2" applyBorder="1"/>
    <xf numFmtId="0" fontId="6" fillId="0" borderId="27" xfId="2" applyFont="1" applyBorder="1" applyAlignment="1">
      <alignment horizontal="center" vertical="center" wrapText="1"/>
    </xf>
    <xf numFmtId="0" fontId="3" fillId="0" borderId="30" xfId="2" applyBorder="1"/>
    <xf numFmtId="172" fontId="3" fillId="0" borderId="30" xfId="2" applyNumberFormat="1" applyBorder="1"/>
    <xf numFmtId="0" fontId="3" fillId="0" borderId="38" xfId="2" quotePrefix="1" applyFont="1" applyBorder="1"/>
    <xf numFmtId="0" fontId="3" fillId="0" borderId="38" xfId="2" applyBorder="1" applyAlignment="1">
      <alignment horizontal="left"/>
    </xf>
    <xf numFmtId="172" fontId="5" fillId="0" borderId="30" xfId="2" applyNumberFormat="1" applyFont="1" applyBorder="1"/>
    <xf numFmtId="174" fontId="12" fillId="0" borderId="47" xfId="2" applyNumberFormat="1" applyFont="1" applyFill="1" applyBorder="1" applyAlignment="1"/>
    <xf numFmtId="10" fontId="12" fillId="0" borderId="37" xfId="3"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1" fontId="10" fillId="0" borderId="5" xfId="2" applyNumberFormat="1" applyFont="1" applyBorder="1"/>
    <xf numFmtId="4" fontId="18" fillId="0" borderId="0" xfId="2" applyNumberFormat="1" applyFont="1" applyBorder="1"/>
    <xf numFmtId="40" fontId="10" fillId="0" borderId="47" xfId="2" applyNumberFormat="1" applyFont="1" applyBorder="1" applyAlignment="1"/>
    <xf numFmtId="176" fontId="3" fillId="0" borderId="0" xfId="2" applyNumberFormat="1"/>
    <xf numFmtId="10" fontId="18" fillId="0" borderId="0" xfId="3" applyNumberFormat="1" applyFont="1" applyBorder="1"/>
    <xf numFmtId="49" fontId="10" fillId="0" borderId="0" xfId="2" quotePrefix="1" applyNumberFormat="1" applyFont="1" applyAlignment="1">
      <alignment horizontal="right"/>
    </xf>
    <xf numFmtId="0" fontId="3" fillId="0" borderId="0" xfId="2" applyFill="1"/>
    <xf numFmtId="0" fontId="6" fillId="0" borderId="6" xfId="2" applyFont="1" applyFill="1" applyBorder="1" applyAlignment="1">
      <alignment horizontal="centerContinuous" vertical="center" wrapText="1"/>
    </xf>
    <xf numFmtId="0" fontId="6" fillId="0" borderId="5" xfId="2" applyFont="1" applyFill="1" applyBorder="1" applyAlignment="1">
      <alignment horizontal="center" vertical="center"/>
    </xf>
    <xf numFmtId="0" fontId="12" fillId="0" borderId="11" xfId="2" applyFont="1" applyFill="1" applyBorder="1"/>
    <xf numFmtId="40" fontId="10" fillId="0" borderId="5" xfId="2" applyNumberFormat="1" applyFont="1" applyFill="1" applyBorder="1"/>
    <xf numFmtId="0" fontId="3" fillId="0" borderId="0" xfId="2" applyFill="1" applyBorder="1"/>
    <xf numFmtId="0" fontId="21" fillId="0" borderId="0" xfId="2" applyFont="1"/>
    <xf numFmtId="0" fontId="18" fillId="0" borderId="0" xfId="2" applyFont="1"/>
    <xf numFmtId="0" fontId="26" fillId="0" borderId="0" xfId="2" applyFont="1" applyBorder="1"/>
    <xf numFmtId="172" fontId="26" fillId="0" borderId="0" xfId="2" applyNumberFormat="1" applyFont="1" applyBorder="1"/>
    <xf numFmtId="40" fontId="26" fillId="0" borderId="0" xfId="2" applyNumberFormat="1" applyFont="1" applyBorder="1"/>
    <xf numFmtId="0" fontId="26" fillId="0" borderId="0" xfId="2" applyFont="1"/>
    <xf numFmtId="4" fontId="26" fillId="0" borderId="0" xfId="2" applyNumberFormat="1" applyFont="1" applyBorder="1"/>
    <xf numFmtId="10" fontId="26" fillId="0" borderId="0" xfId="3" applyNumberFormat="1" applyFont="1" applyBorder="1"/>
    <xf numFmtId="0" fontId="3" fillId="0" borderId="12" xfId="2" quotePrefix="1" applyFont="1" applyFill="1" applyBorder="1"/>
    <xf numFmtId="0" fontId="3" fillId="0" borderId="13" xfId="2" applyFill="1" applyBorder="1"/>
    <xf numFmtId="0" fontId="3" fillId="0" borderId="21" xfId="2" applyFont="1" applyFill="1" applyBorder="1" applyAlignment="1">
      <alignment horizontal="center"/>
    </xf>
    <xf numFmtId="0" fontId="3" fillId="0" borderId="13" xfId="2" applyFont="1" applyFill="1" applyBorder="1" applyAlignment="1">
      <alignment horizontal="center"/>
    </xf>
    <xf numFmtId="0" fontId="3" fillId="0" borderId="47" xfId="2" applyFont="1" applyFill="1" applyBorder="1" applyAlignment="1">
      <alignment horizontal="center"/>
    </xf>
    <xf numFmtId="164" fontId="9" fillId="0" borderId="50" xfId="2" applyNumberFormat="1" applyFont="1" applyFill="1" applyBorder="1"/>
    <xf numFmtId="10" fontId="9" fillId="0" borderId="50" xfId="2" applyNumberFormat="1" applyFont="1" applyFill="1" applyBorder="1"/>
    <xf numFmtId="4" fontId="9" fillId="0" borderId="21" xfId="2" applyNumberFormat="1" applyFont="1" applyFill="1" applyBorder="1"/>
    <xf numFmtId="167" fontId="9" fillId="0" borderId="21" xfId="2" applyNumberFormat="1" applyFont="1" applyFill="1" applyBorder="1"/>
    <xf numFmtId="165" fontId="9" fillId="0" borderId="21" xfId="2" applyNumberFormat="1" applyFont="1" applyFill="1" applyBorder="1"/>
    <xf numFmtId="0" fontId="9" fillId="0" borderId="21" xfId="2" applyFont="1" applyFill="1" applyBorder="1"/>
    <xf numFmtId="4" fontId="6" fillId="4" borderId="10" xfId="2" applyNumberFormat="1" applyFont="1" applyFill="1" applyBorder="1"/>
    <xf numFmtId="0" fontId="6" fillId="4" borderId="10" xfId="2" applyFont="1" applyFill="1" applyBorder="1"/>
    <xf numFmtId="0" fontId="10" fillId="4" borderId="10" xfId="2" applyFont="1" applyFill="1" applyBorder="1"/>
    <xf numFmtId="166" fontId="6" fillId="4" borderId="10" xfId="2" applyNumberFormat="1" applyFont="1" applyFill="1" applyBorder="1"/>
    <xf numFmtId="4" fontId="6" fillId="4" borderId="31" xfId="2" applyNumberFormat="1" applyFont="1" applyFill="1" applyBorder="1"/>
    <xf numFmtId="0" fontId="10" fillId="4" borderId="31" xfId="2" applyFont="1" applyFill="1" applyBorder="1"/>
    <xf numFmtId="4" fontId="6" fillId="4" borderId="2" xfId="2" applyNumberFormat="1" applyFont="1" applyFill="1" applyBorder="1"/>
    <xf numFmtId="4" fontId="10" fillId="4" borderId="2" xfId="2" applyNumberFormat="1" applyFont="1" applyFill="1" applyBorder="1"/>
    <xf numFmtId="177" fontId="3" fillId="0" borderId="0" xfId="2" applyNumberFormat="1"/>
    <xf numFmtId="164" fontId="9" fillId="0" borderId="13" xfId="2" applyNumberFormat="1" applyFont="1" applyBorder="1"/>
    <xf numFmtId="164" fontId="9" fillId="0" borderId="52" xfId="2" applyNumberFormat="1" applyFont="1" applyBorder="1"/>
    <xf numFmtId="164" fontId="9" fillId="0" borderId="12" xfId="2" applyNumberFormat="1" applyFont="1" applyBorder="1"/>
    <xf numFmtId="4" fontId="6" fillId="4" borderId="0" xfId="2" applyNumberFormat="1" applyFont="1" applyFill="1" applyBorder="1"/>
    <xf numFmtId="4" fontId="27" fillId="0" borderId="0" xfId="0" applyNumberFormat="1" applyFont="1"/>
    <xf numFmtId="4" fontId="29" fillId="0" borderId="0" xfId="0" applyNumberFormat="1" applyFont="1"/>
    <xf numFmtId="0" fontId="27" fillId="0" borderId="0" xfId="0" applyFont="1"/>
    <xf numFmtId="0" fontId="27" fillId="0" borderId="29" xfId="0" applyFont="1" applyBorder="1"/>
    <xf numFmtId="4" fontId="27" fillId="0" borderId="29" xfId="0" applyNumberFormat="1" applyFont="1" applyBorder="1"/>
    <xf numFmtId="4" fontId="29" fillId="0" borderId="29" xfId="0" applyNumberFormat="1" applyFont="1" applyBorder="1"/>
    <xf numFmtId="0" fontId="27" fillId="0" borderId="30" xfId="0" applyFont="1" applyBorder="1"/>
    <xf numFmtId="4" fontId="27" fillId="0" borderId="30" xfId="0" applyNumberFormat="1" applyFont="1" applyBorder="1"/>
    <xf numFmtId="0" fontId="29" fillId="0" borderId="29" xfId="0" applyFont="1" applyBorder="1" applyAlignment="1">
      <alignment horizontal="center"/>
    </xf>
    <xf numFmtId="0" fontId="29" fillId="0" borderId="5" xfId="0" applyFont="1" applyBorder="1" applyAlignment="1">
      <alignment horizontal="center" wrapText="1"/>
    </xf>
    <xf numFmtId="0" fontId="29" fillId="0" borderId="5" xfId="0" applyFont="1" applyBorder="1" applyAlignment="1">
      <alignment horizontal="center"/>
    </xf>
    <xf numFmtId="0" fontId="28" fillId="7" borderId="0" xfId="0" applyFont="1" applyFill="1"/>
    <xf numFmtId="4" fontId="29" fillId="7" borderId="0" xfId="0" applyNumberFormat="1" applyFont="1" applyFill="1"/>
    <xf numFmtId="0" fontId="29" fillId="0" borderId="5" xfId="0" applyFont="1" applyBorder="1" applyAlignment="1">
      <alignment horizontal="center" vertical="center" wrapText="1"/>
    </xf>
    <xf numFmtId="4" fontId="6" fillId="4" borderId="21" xfId="2" applyNumberFormat="1" applyFont="1" applyFill="1" applyBorder="1"/>
    <xf numFmtId="4" fontId="6" fillId="7" borderId="21" xfId="2" applyNumberFormat="1" applyFont="1" applyFill="1" applyBorder="1"/>
    <xf numFmtId="3" fontId="6" fillId="0" borderId="20" xfId="2" applyNumberFormat="1" applyFont="1" applyBorder="1"/>
    <xf numFmtId="4" fontId="6" fillId="0" borderId="21" xfId="2" applyNumberFormat="1" applyFont="1" applyBorder="1"/>
    <xf numFmtId="9" fontId="3" fillId="0" borderId="0" xfId="3" applyNumberFormat="1" applyFont="1" applyBorder="1"/>
    <xf numFmtId="0" fontId="10" fillId="0" borderId="0" xfId="2" quotePrefix="1" applyFont="1" applyAlignment="1">
      <alignment horizontal="right"/>
    </xf>
    <xf numFmtId="40" fontId="12" fillId="0" borderId="45" xfId="2" applyNumberFormat="1" applyFont="1" applyFill="1" applyBorder="1" applyAlignment="1"/>
    <xf numFmtId="164" fontId="9" fillId="0" borderId="24" xfId="2" applyNumberFormat="1" applyFont="1" applyBorder="1"/>
    <xf numFmtId="40" fontId="12" fillId="0" borderId="26" xfId="2" applyNumberFormat="1" applyFont="1" applyFill="1" applyBorder="1"/>
    <xf numFmtId="40" fontId="12" fillId="0" borderId="5" xfId="2" applyNumberFormat="1" applyFont="1" applyFill="1" applyBorder="1"/>
    <xf numFmtId="178" fontId="3" fillId="0" borderId="0" xfId="2" applyNumberFormat="1"/>
    <xf numFmtId="40" fontId="12" fillId="0" borderId="61" xfId="2" applyNumberFormat="1" applyFont="1" applyFill="1" applyBorder="1" applyAlignment="1"/>
    <xf numFmtId="40" fontId="12" fillId="4" borderId="62" xfId="2" applyNumberFormat="1" applyFont="1" applyFill="1" applyBorder="1" applyAlignment="1"/>
    <xf numFmtId="40" fontId="12" fillId="0" borderId="62" xfId="2" applyNumberFormat="1" applyFont="1" applyBorder="1" applyAlignment="1"/>
    <xf numFmtId="40" fontId="10" fillId="5" borderId="5" xfId="2" applyNumberFormat="1" applyFont="1" applyFill="1" applyBorder="1"/>
    <xf numFmtId="164" fontId="6" fillId="0" borderId="5" xfId="2" applyNumberFormat="1" applyFont="1" applyBorder="1"/>
    <xf numFmtId="10" fontId="9" fillId="0" borderId="56" xfId="2" applyNumberFormat="1" applyFont="1" applyBorder="1"/>
    <xf numFmtId="40" fontId="12" fillId="0" borderId="9" xfId="2" applyNumberFormat="1" applyFont="1" applyFill="1" applyBorder="1" applyAlignment="1"/>
    <xf numFmtId="40" fontId="12" fillId="0" borderId="26" xfId="2" applyNumberFormat="1" applyFont="1" applyBorder="1" applyAlignment="1"/>
    <xf numFmtId="10" fontId="9" fillId="0" borderId="20" xfId="2" applyNumberFormat="1" applyFont="1" applyBorder="1"/>
    <xf numFmtId="40" fontId="12" fillId="0" borderId="62" xfId="0" applyNumberFormat="1" applyFont="1" applyFill="1" applyBorder="1" applyAlignment="1"/>
    <xf numFmtId="40" fontId="12" fillId="0" borderId="62" xfId="2" applyNumberFormat="1" applyFont="1" applyFill="1" applyBorder="1" applyAlignment="1"/>
    <xf numFmtId="40" fontId="12" fillId="0" borderId="26" xfId="0" applyNumberFormat="1" applyFont="1" applyFill="1" applyBorder="1" applyAlignment="1"/>
    <xf numFmtId="40" fontId="12" fillId="0" borderId="26" xfId="2" applyNumberFormat="1" applyFont="1" applyFill="1" applyBorder="1" applyAlignment="1"/>
    <xf numFmtId="40" fontId="12" fillId="4" borderId="26" xfId="2" applyNumberFormat="1" applyFont="1" applyFill="1" applyBorder="1" applyAlignment="1"/>
    <xf numFmtId="10" fontId="12" fillId="0" borderId="47" xfId="3" applyNumberFormat="1" applyFont="1" applyFill="1" applyBorder="1" applyAlignment="1"/>
    <xf numFmtId="10" fontId="3" fillId="0" borderId="0" xfId="3" applyNumberFormat="1" applyFont="1" applyBorder="1"/>
    <xf numFmtId="171" fontId="12" fillId="0" borderId="62" xfId="0" applyNumberFormat="1" applyFont="1" applyFill="1" applyBorder="1" applyAlignment="1"/>
    <xf numFmtId="171" fontId="12" fillId="0" borderId="62" xfId="2" applyNumberFormat="1" applyFont="1" applyFill="1" applyBorder="1" applyAlignment="1"/>
    <xf numFmtId="171" fontId="12" fillId="0" borderId="26" xfId="0" applyNumberFormat="1" applyFont="1" applyFill="1" applyBorder="1" applyAlignment="1"/>
    <xf numFmtId="40" fontId="3" fillId="6" borderId="0" xfId="2" applyNumberFormat="1" applyFill="1" applyBorder="1"/>
    <xf numFmtId="4" fontId="20" fillId="0" borderId="31" xfId="2" applyNumberFormat="1" applyFont="1" applyBorder="1"/>
    <xf numFmtId="172" fontId="12" fillId="0" borderId="31" xfId="2" applyNumberFormat="1" applyFont="1" applyBorder="1"/>
    <xf numFmtId="171" fontId="10" fillId="0" borderId="0" xfId="2" applyNumberFormat="1" applyFont="1" applyFill="1" applyBorder="1" applyAlignment="1"/>
    <xf numFmtId="4" fontId="5" fillId="0" borderId="0" xfId="2" applyNumberFormat="1" applyFont="1" applyBorder="1" applyAlignment="1">
      <alignment horizontal="center"/>
    </xf>
    <xf numFmtId="0" fontId="5" fillId="0" borderId="0" xfId="2" applyFont="1" applyAlignment="1">
      <alignment horizontal="center"/>
    </xf>
    <xf numFmtId="40" fontId="10" fillId="0" borderId="0" xfId="2" applyNumberFormat="1" applyFont="1" applyBorder="1"/>
    <xf numFmtId="171" fontId="10" fillId="0" borderId="0" xfId="2" applyNumberFormat="1" applyFont="1" applyBorder="1"/>
    <xf numFmtId="40" fontId="10" fillId="0" borderId="0" xfId="2" applyNumberFormat="1" applyFont="1" applyFill="1" applyBorder="1"/>
    <xf numFmtId="40" fontId="10" fillId="5" borderId="0" xfId="2" applyNumberFormat="1" applyFont="1" applyFill="1" applyBorder="1"/>
    <xf numFmtId="164" fontId="6" fillId="0" borderId="0" xfId="2" applyNumberFormat="1" applyFont="1" applyBorder="1"/>
    <xf numFmtId="172" fontId="5" fillId="0" borderId="0" xfId="2" applyNumberFormat="1" applyFont="1" applyBorder="1"/>
    <xf numFmtId="171" fontId="10" fillId="0" borderId="30" xfId="2" applyNumberFormat="1" applyFont="1" applyBorder="1"/>
    <xf numFmtId="175" fontId="10" fillId="0" borderId="30" xfId="2" applyNumberFormat="1" applyFont="1" applyBorder="1"/>
    <xf numFmtId="40" fontId="3" fillId="0" borderId="31" xfId="2" applyNumberFormat="1" applyFont="1" applyBorder="1"/>
    <xf numFmtId="40" fontId="12" fillId="6" borderId="48" xfId="2" applyNumberFormat="1" applyFont="1" applyFill="1" applyBorder="1" applyAlignment="1"/>
    <xf numFmtId="173" fontId="12" fillId="0" borderId="48" xfId="2" applyNumberFormat="1" applyFont="1" applyFill="1" applyBorder="1" applyAlignment="1"/>
    <xf numFmtId="40" fontId="10" fillId="6" borderId="5" xfId="2" applyNumberFormat="1" applyFont="1" applyFill="1" applyBorder="1" applyAlignment="1"/>
    <xf numFmtId="40" fontId="10" fillId="6" borderId="29" xfId="2" applyNumberFormat="1" applyFont="1" applyFill="1" applyBorder="1" applyAlignment="1"/>
    <xf numFmtId="174" fontId="3" fillId="0" borderId="0" xfId="2" applyNumberFormat="1" applyBorder="1"/>
    <xf numFmtId="174" fontId="3" fillId="0" borderId="31" xfId="2" applyNumberFormat="1" applyBorder="1"/>
    <xf numFmtId="174" fontId="5" fillId="0" borderId="0" xfId="2" applyNumberFormat="1" applyFont="1" applyBorder="1"/>
    <xf numFmtId="0" fontId="10" fillId="0" borderId="1" xfId="2" applyFont="1" applyBorder="1" applyAlignment="1">
      <alignment horizontal="centerContinuous" vertical="center" wrapText="1"/>
    </xf>
    <xf numFmtId="0" fontId="3" fillId="0" borderId="26" xfId="2" quotePrefix="1" applyFont="1" applyBorder="1" applyAlignment="1">
      <alignment horizontal="left"/>
    </xf>
    <xf numFmtId="10" fontId="9" fillId="0" borderId="54" xfId="2" applyNumberFormat="1" applyFont="1" applyBorder="1"/>
    <xf numFmtId="0" fontId="3" fillId="0" borderId="10" xfId="2" applyFont="1" applyBorder="1"/>
    <xf numFmtId="40" fontId="12" fillId="0" borderId="30" xfId="2" applyNumberFormat="1" applyFont="1" applyBorder="1"/>
    <xf numFmtId="40" fontId="12" fillId="0" borderId="4" xfId="2" applyNumberFormat="1" applyFont="1" applyBorder="1"/>
    <xf numFmtId="166" fontId="12" fillId="0" borderId="30" xfId="2" applyNumberFormat="1" applyFont="1" applyBorder="1"/>
    <xf numFmtId="0" fontId="3" fillId="0" borderId="11" xfId="2" applyFont="1" applyBorder="1" applyAlignment="1">
      <alignment horizontal="center"/>
    </xf>
    <xf numFmtId="40" fontId="12" fillId="0" borderId="7" xfId="2" applyNumberFormat="1" applyFont="1" applyFill="1" applyBorder="1" applyAlignment="1"/>
    <xf numFmtId="40" fontId="12" fillId="0" borderId="11" xfId="2" applyNumberFormat="1" applyFont="1" applyBorder="1" applyAlignment="1"/>
    <xf numFmtId="164" fontId="9" fillId="0" borderId="18" xfId="2" applyNumberFormat="1" applyFont="1" applyBorder="1"/>
    <xf numFmtId="10" fontId="9" fillId="0" borderId="18" xfId="2" applyNumberFormat="1" applyFont="1" applyBorder="1"/>
    <xf numFmtId="0" fontId="3" fillId="0" borderId="61" xfId="2" applyFont="1" applyBorder="1" applyAlignment="1">
      <alignment horizontal="center"/>
    </xf>
    <xf numFmtId="0" fontId="3" fillId="0" borderId="0" xfId="2" applyFont="1" applyBorder="1" applyAlignment="1">
      <alignment horizontal="centerContinuous"/>
    </xf>
    <xf numFmtId="0" fontId="3" fillId="0" borderId="19" xfId="2" applyFont="1" applyBorder="1" applyAlignment="1">
      <alignment horizontal="center"/>
    </xf>
    <xf numFmtId="40" fontId="12" fillId="0" borderId="19" xfId="2" applyNumberFormat="1" applyFont="1" applyFill="1" applyBorder="1" applyAlignment="1"/>
    <xf numFmtId="40" fontId="12" fillId="0" borderId="27" xfId="2" applyNumberFormat="1" applyFont="1" applyFill="1" applyBorder="1" applyAlignment="1"/>
    <xf numFmtId="40" fontId="12" fillId="0" borderId="19" xfId="2" applyNumberFormat="1" applyFont="1" applyBorder="1" applyAlignment="1"/>
    <xf numFmtId="164" fontId="9" fillId="0" borderId="28" xfId="2" applyNumberFormat="1" applyFont="1" applyBorder="1"/>
    <xf numFmtId="10" fontId="9" fillId="0" borderId="28" xfId="2" applyNumberFormat="1" applyFont="1" applyBorder="1"/>
    <xf numFmtId="0" fontId="3" fillId="0" borderId="9" xfId="2" applyFont="1" applyBorder="1" applyAlignment="1">
      <alignment horizontal="centerContinuous"/>
    </xf>
    <xf numFmtId="171" fontId="12" fillId="0" borderId="26" xfId="2" applyNumberFormat="1" applyFont="1" applyFill="1" applyBorder="1" applyAlignment="1"/>
    <xf numFmtId="0" fontId="3" fillId="0" borderId="0" xfId="2" quotePrefix="1" applyAlignment="1">
      <alignment horizontal="left"/>
    </xf>
    <xf numFmtId="174" fontId="5" fillId="0" borderId="25" xfId="2" applyNumberFormat="1" applyFont="1" applyBorder="1"/>
    <xf numFmtId="166" fontId="12" fillId="0" borderId="0" xfId="2" applyNumberFormat="1" applyFont="1" applyBorder="1"/>
    <xf numFmtId="4" fontId="30" fillId="0" borderId="0" xfId="2" applyNumberFormat="1" applyFont="1"/>
    <xf numFmtId="0" fontId="31" fillId="0" borderId="0" xfId="2" applyFont="1"/>
    <xf numFmtId="0" fontId="30" fillId="0" borderId="0" xfId="2" applyFont="1"/>
    <xf numFmtId="4" fontId="31" fillId="0" borderId="0" xfId="2" applyNumberFormat="1" applyFont="1"/>
    <xf numFmtId="174" fontId="5" fillId="0" borderId="31" xfId="2" applyNumberFormat="1" applyFont="1" applyBorder="1"/>
    <xf numFmtId="174" fontId="3" fillId="0" borderId="0" xfId="2" applyNumberFormat="1" applyFont="1" applyBorder="1"/>
    <xf numFmtId="0" fontId="3" fillId="0" borderId="0" xfId="2" applyBorder="1" applyAlignment="1">
      <alignment horizontal="right"/>
    </xf>
    <xf numFmtId="40" fontId="12" fillId="6" borderId="47" xfId="2" applyNumberFormat="1" applyFont="1" applyFill="1" applyBorder="1" applyAlignment="1"/>
    <xf numFmtId="0" fontId="6" fillId="0" borderId="0" xfId="2" applyFont="1" applyBorder="1" applyAlignment="1">
      <alignment horizontal="centerContinuous" vertical="center" wrapText="1"/>
    </xf>
    <xf numFmtId="10" fontId="9" fillId="0" borderId="0" xfId="2" applyNumberFormat="1" applyFont="1" applyBorder="1"/>
    <xf numFmtId="0" fontId="32" fillId="0" borderId="13" xfId="2" applyFont="1" applyBorder="1"/>
    <xf numFmtId="0" fontId="32" fillId="0" borderId="12" xfId="2" quotePrefix="1" applyFont="1" applyBorder="1"/>
    <xf numFmtId="175" fontId="10" fillId="0" borderId="0" xfId="2" applyNumberFormat="1" applyFont="1" applyBorder="1"/>
    <xf numFmtId="173" fontId="12" fillId="0" borderId="26" xfId="2" applyNumberFormat="1" applyFont="1" applyBorder="1"/>
    <xf numFmtId="4" fontId="3" fillId="0" borderId="25" xfId="2" applyNumberFormat="1" applyBorder="1"/>
    <xf numFmtId="171" fontId="12" fillId="6" borderId="47" xfId="0" applyNumberFormat="1" applyFont="1" applyFill="1" applyBorder="1" applyAlignment="1"/>
    <xf numFmtId="175" fontId="12" fillId="0" borderId="47" xfId="0" applyNumberFormat="1" applyFont="1" applyFill="1" applyBorder="1" applyAlignment="1"/>
    <xf numFmtId="175" fontId="12" fillId="0" borderId="48" xfId="0" applyNumberFormat="1" applyFont="1" applyFill="1" applyBorder="1" applyAlignment="1"/>
    <xf numFmtId="179" fontId="3" fillId="0" borderId="0" xfId="2" applyNumberFormat="1" applyBorder="1"/>
    <xf numFmtId="180" fontId="3" fillId="0" borderId="63" xfId="7" applyNumberFormat="1" applyFont="1" applyFill="1" applyBorder="1" applyAlignment="1">
      <alignment horizontal="right" vertical="center"/>
    </xf>
    <xf numFmtId="0" fontId="5" fillId="0" borderId="63" xfId="7" applyFont="1" applyFill="1" applyBorder="1" applyAlignment="1">
      <alignment horizontal="center" vertical="center" wrapText="1"/>
    </xf>
    <xf numFmtId="181" fontId="3" fillId="0" borderId="0" xfId="2" applyNumberFormat="1" applyBorder="1"/>
    <xf numFmtId="40" fontId="3" fillId="0" borderId="0" xfId="2" applyNumberFormat="1" applyFont="1"/>
    <xf numFmtId="40" fontId="5" fillId="0" borderId="31" xfId="2" applyNumberFormat="1" applyFont="1" applyBorder="1"/>
    <xf numFmtId="40" fontId="10" fillId="0" borderId="1" xfId="2" applyNumberFormat="1" applyFont="1" applyBorder="1" applyAlignment="1">
      <alignment horizontal="center"/>
    </xf>
    <xf numFmtId="172" fontId="3" fillId="0" borderId="0" xfId="2" applyNumberFormat="1" applyFill="1"/>
    <xf numFmtId="0" fontId="3" fillId="0" borderId="0" xfId="2" quotePrefix="1" applyAlignment="1">
      <alignment horizontal="right"/>
    </xf>
    <xf numFmtId="174" fontId="3" fillId="0" borderId="0" xfId="2" applyNumberFormat="1"/>
    <xf numFmtId="0" fontId="3" fillId="0" borderId="0" xfId="2" applyFont="1" applyFill="1"/>
    <xf numFmtId="0" fontId="6" fillId="0" borderId="0" xfId="2" applyFont="1" applyFill="1"/>
    <xf numFmtId="17" fontId="3" fillId="0" borderId="0" xfId="2" applyNumberFormat="1" applyFill="1"/>
    <xf numFmtId="4" fontId="3" fillId="0" borderId="0" xfId="2" applyNumberFormat="1" applyFill="1"/>
    <xf numFmtId="0" fontId="6" fillId="0" borderId="27" xfId="2" applyFont="1" applyFill="1" applyBorder="1" applyAlignment="1">
      <alignment horizontal="centerContinuous" vertical="center"/>
    </xf>
    <xf numFmtId="0" fontId="6" fillId="0" borderId="28" xfId="2" applyFont="1" applyFill="1" applyBorder="1" applyAlignment="1">
      <alignment horizontal="centerContinuous" vertical="center"/>
    </xf>
    <xf numFmtId="0" fontId="6" fillId="0" borderId="27" xfId="2" applyFont="1" applyFill="1" applyBorder="1" applyAlignment="1">
      <alignment horizontal="centerContinuous" vertical="center" wrapText="1"/>
    </xf>
    <xf numFmtId="0" fontId="6" fillId="0" borderId="28" xfId="2" applyFont="1" applyFill="1" applyBorder="1" applyAlignment="1">
      <alignment horizontal="centerContinuous" vertical="center" wrapText="1"/>
    </xf>
    <xf numFmtId="0" fontId="6" fillId="0" borderId="1" xfId="2" applyFont="1" applyFill="1" applyBorder="1" applyAlignment="1">
      <alignment horizontal="centerContinuous" vertical="center" wrapText="1"/>
    </xf>
    <xf numFmtId="0" fontId="6" fillId="0" borderId="2" xfId="2" applyFont="1" applyFill="1" applyBorder="1" applyAlignment="1">
      <alignment horizontal="centerContinuous" vertical="center" wrapText="1"/>
    </xf>
    <xf numFmtId="0" fontId="6" fillId="0" borderId="19" xfId="2" applyFont="1" applyFill="1" applyBorder="1" applyAlignment="1">
      <alignment horizontal="center" vertical="center"/>
    </xf>
    <xf numFmtId="0" fontId="6" fillId="0" borderId="3" xfId="2" quotePrefix="1" applyFont="1" applyFill="1" applyBorder="1" applyAlignment="1">
      <alignment horizontal="left" vertical="center"/>
    </xf>
    <xf numFmtId="0" fontId="9" fillId="0" borderId="4" xfId="2" applyFont="1" applyFill="1" applyBorder="1"/>
    <xf numFmtId="0" fontId="6" fillId="0" borderId="1" xfId="2" applyFont="1" applyFill="1" applyBorder="1" applyAlignment="1">
      <alignment horizontal="center" vertical="center" wrapText="1"/>
    </xf>
    <xf numFmtId="0" fontId="6" fillId="0" borderId="5" xfId="2" applyFont="1" applyFill="1" applyBorder="1" applyAlignment="1">
      <alignment horizontal="center" vertical="center" wrapText="1"/>
    </xf>
    <xf numFmtId="0" fontId="6" fillId="0" borderId="6" xfId="2" applyFont="1" applyFill="1" applyBorder="1" applyAlignment="1">
      <alignment horizontal="center" vertical="center"/>
    </xf>
    <xf numFmtId="0" fontId="5" fillId="0" borderId="7" xfId="2" applyFont="1" applyFill="1" applyBorder="1"/>
    <xf numFmtId="0" fontId="3" fillId="0" borderId="8" xfId="2" applyFill="1" applyBorder="1"/>
    <xf numFmtId="0" fontId="5" fillId="0" borderId="25" xfId="2" applyFont="1" applyFill="1" applyBorder="1"/>
    <xf numFmtId="0" fontId="5" fillId="0" borderId="8" xfId="2" applyFont="1" applyFill="1" applyBorder="1"/>
    <xf numFmtId="0" fontId="12" fillId="0" borderId="18" xfId="2" applyFont="1" applyFill="1" applyBorder="1"/>
    <xf numFmtId="0" fontId="12" fillId="0" borderId="8" xfId="2" applyFont="1" applyFill="1" applyBorder="1"/>
    <xf numFmtId="0" fontId="12" fillId="0" borderId="7" xfId="2" applyFont="1" applyFill="1" applyBorder="1"/>
    <xf numFmtId="0" fontId="10" fillId="0" borderId="7" xfId="2" applyFont="1" applyFill="1" applyBorder="1" applyAlignment="1">
      <alignment horizontal="centerContinuous" vertical="center" wrapText="1"/>
    </xf>
    <xf numFmtId="0" fontId="6" fillId="0" borderId="18" xfId="2" applyFont="1" applyFill="1" applyBorder="1" applyAlignment="1">
      <alignment horizontal="centerContinuous" vertical="center" wrapText="1"/>
    </xf>
    <xf numFmtId="0" fontId="3" fillId="0" borderId="51" xfId="2" quotePrefix="1" applyFont="1" applyFill="1" applyBorder="1"/>
    <xf numFmtId="0" fontId="3" fillId="0" borderId="52" xfId="2" applyFont="1" applyFill="1" applyBorder="1"/>
    <xf numFmtId="0" fontId="3" fillId="0" borderId="14" xfId="2" quotePrefix="1" applyFont="1" applyFill="1" applyBorder="1"/>
    <xf numFmtId="0" fontId="3" fillId="0" borderId="15" xfId="2" applyFont="1" applyFill="1" applyBorder="1"/>
    <xf numFmtId="0" fontId="3" fillId="0" borderId="9" xfId="2" applyFill="1" applyBorder="1"/>
    <xf numFmtId="0" fontId="10" fillId="0" borderId="10" xfId="2" applyFont="1" applyFill="1" applyBorder="1" applyAlignment="1">
      <alignment horizontal="right"/>
    </xf>
    <xf numFmtId="0" fontId="3" fillId="0" borderId="16" xfId="2" applyFill="1" applyBorder="1"/>
    <xf numFmtId="0" fontId="10" fillId="0" borderId="0" xfId="2" applyFont="1" applyFill="1" applyBorder="1"/>
    <xf numFmtId="0" fontId="3" fillId="0" borderId="13" xfId="2" applyFill="1" applyBorder="1" applyAlignment="1">
      <alignment horizontal="left"/>
    </xf>
    <xf numFmtId="0" fontId="3" fillId="0" borderId="15" xfId="2" applyFill="1" applyBorder="1" applyAlignment="1">
      <alignment horizontal="left"/>
    </xf>
    <xf numFmtId="0" fontId="3" fillId="0" borderId="9" xfId="2" quotePrefix="1" applyFont="1" applyFill="1" applyBorder="1"/>
    <xf numFmtId="0" fontId="3" fillId="0" borderId="3" xfId="2" applyFill="1" applyBorder="1"/>
    <xf numFmtId="0" fontId="10" fillId="0" borderId="31" xfId="2" applyFont="1" applyFill="1" applyBorder="1"/>
    <xf numFmtId="0" fontId="32" fillId="0" borderId="12" xfId="2" quotePrefix="1" applyFont="1" applyFill="1" applyBorder="1"/>
    <xf numFmtId="0" fontId="3" fillId="0" borderId="41" xfId="2" quotePrefix="1" applyFont="1" applyFill="1" applyBorder="1"/>
    <xf numFmtId="0" fontId="3" fillId="0" borderId="42" xfId="2" applyFont="1" applyFill="1" applyBorder="1"/>
    <xf numFmtId="0" fontId="5" fillId="0" borderId="1" xfId="2" applyFont="1" applyFill="1" applyBorder="1"/>
    <xf numFmtId="0" fontId="3" fillId="0" borderId="2" xfId="2" applyFill="1" applyBorder="1"/>
    <xf numFmtId="0" fontId="3" fillId="0" borderId="0" xfId="2" quotePrefix="1" applyFont="1" applyFill="1" applyBorder="1"/>
    <xf numFmtId="0" fontId="3" fillId="0" borderId="0" xfId="2" applyFont="1" applyFill="1" applyBorder="1"/>
    <xf numFmtId="0" fontId="10" fillId="0" borderId="5" xfId="2" applyFont="1" applyFill="1" applyBorder="1" applyAlignment="1">
      <alignment horizontal="center"/>
    </xf>
    <xf numFmtId="0" fontId="3" fillId="0" borderId="32" xfId="2" applyFont="1" applyFill="1" applyBorder="1" applyAlignment="1">
      <alignment horizontal="center"/>
    </xf>
    <xf numFmtId="0" fontId="3" fillId="0" borderId="35" xfId="2" applyFont="1" applyFill="1" applyBorder="1" applyAlignment="1">
      <alignment horizontal="center"/>
    </xf>
    <xf numFmtId="0" fontId="3" fillId="0" borderId="38" xfId="2" applyFont="1" applyFill="1" applyBorder="1" applyAlignment="1">
      <alignment horizontal="center"/>
    </xf>
    <xf numFmtId="0" fontId="3" fillId="0" borderId="0" xfId="2" quotePrefix="1" applyFont="1" applyFill="1"/>
    <xf numFmtId="0" fontId="34" fillId="0" borderId="19" xfId="2" applyFont="1" applyBorder="1" applyAlignment="1">
      <alignment horizontal="center" vertical="center"/>
    </xf>
    <xf numFmtId="43" fontId="12" fillId="0" borderId="0" xfId="4" applyFont="1" applyFill="1"/>
    <xf numFmtId="165" fontId="12" fillId="0" borderId="64" xfId="2" applyNumberFormat="1" applyFont="1" applyBorder="1"/>
    <xf numFmtId="165" fontId="12" fillId="0" borderId="32" xfId="2" applyNumberFormat="1" applyFont="1" applyBorder="1"/>
    <xf numFmtId="10" fontId="3" fillId="0" borderId="0" xfId="3" applyNumberFormat="1" applyFont="1"/>
    <xf numFmtId="4" fontId="3" fillId="0" borderId="0" xfId="2" applyNumberFormat="1" applyFont="1"/>
    <xf numFmtId="40" fontId="10" fillId="4" borderId="29" xfId="2" applyNumberFormat="1" applyFont="1" applyFill="1" applyBorder="1" applyAlignment="1"/>
    <xf numFmtId="40" fontId="10" fillId="4" borderId="5" xfId="2" applyNumberFormat="1" applyFont="1" applyFill="1" applyBorder="1" applyAlignment="1"/>
    <xf numFmtId="175" fontId="12" fillId="0" borderId="47" xfId="2" applyNumberFormat="1" applyFont="1" applyFill="1" applyBorder="1" applyAlignment="1"/>
    <xf numFmtId="40" fontId="10" fillId="0" borderId="47" xfId="2" applyNumberFormat="1" applyFont="1" applyFill="1" applyBorder="1" applyAlignment="1"/>
    <xf numFmtId="0" fontId="3" fillId="4" borderId="12" xfId="2" quotePrefix="1" applyFont="1" applyFill="1" applyBorder="1"/>
    <xf numFmtId="0" fontId="3" fillId="4" borderId="13" xfId="2" applyFill="1" applyBorder="1"/>
    <xf numFmtId="0" fontId="3" fillId="4" borderId="21" xfId="2" applyFont="1" applyFill="1" applyBorder="1" applyAlignment="1">
      <alignment horizontal="center"/>
    </xf>
    <xf numFmtId="0" fontId="3" fillId="4" borderId="13" xfId="2" applyFont="1" applyFill="1" applyBorder="1" applyAlignment="1">
      <alignment horizontal="center"/>
    </xf>
    <xf numFmtId="0" fontId="3" fillId="4" borderId="47" xfId="2" applyFont="1" applyFill="1" applyBorder="1" applyAlignment="1">
      <alignment horizontal="center"/>
    </xf>
    <xf numFmtId="40" fontId="12" fillId="4" borderId="47" xfId="0" applyNumberFormat="1" applyFont="1" applyFill="1" applyBorder="1" applyAlignment="1"/>
    <xf numFmtId="164" fontId="9" fillId="4" borderId="50" xfId="2" applyNumberFormat="1" applyFont="1" applyFill="1" applyBorder="1"/>
    <xf numFmtId="10" fontId="9" fillId="4" borderId="50" xfId="2" applyNumberFormat="1" applyFont="1" applyFill="1" applyBorder="1"/>
    <xf numFmtId="182" fontId="3" fillId="0" borderId="0" xfId="2" applyNumberFormat="1" applyBorder="1"/>
    <xf numFmtId="10" fontId="6" fillId="4" borderId="0" xfId="3" applyNumberFormat="1" applyFont="1" applyFill="1" applyBorder="1"/>
    <xf numFmtId="10" fontId="21" fillId="0" borderId="0" xfId="3" applyNumberFormat="1" applyFont="1" applyBorder="1"/>
    <xf numFmtId="171" fontId="9" fillId="0" borderId="31" xfId="2" applyNumberFormat="1" applyFont="1" applyFill="1" applyBorder="1" applyAlignment="1"/>
    <xf numFmtId="3" fontId="10" fillId="4" borderId="31" xfId="2" applyNumberFormat="1" applyFont="1" applyFill="1" applyBorder="1"/>
    <xf numFmtId="0" fontId="3" fillId="4" borderId="0" xfId="2" applyFill="1" applyBorder="1"/>
    <xf numFmtId="40" fontId="20" fillId="4" borderId="47" xfId="2" applyNumberFormat="1" applyFont="1" applyFill="1" applyBorder="1" applyAlignment="1"/>
    <xf numFmtId="3" fontId="10" fillId="6" borderId="31" xfId="2" applyNumberFormat="1" applyFont="1" applyFill="1" applyBorder="1"/>
    <xf numFmtId="4" fontId="0" fillId="0" borderId="0" xfId="0" applyNumberFormat="1"/>
    <xf numFmtId="0" fontId="5" fillId="0" borderId="5" xfId="2" applyFont="1" applyBorder="1" applyAlignment="1">
      <alignment horizontal="centerContinuous" vertical="center"/>
    </xf>
    <xf numFmtId="0" fontId="5" fillId="6" borderId="1" xfId="2" applyFont="1" applyFill="1" applyBorder="1" applyAlignment="1">
      <alignment horizontal="centerContinuous" vertical="center"/>
    </xf>
    <xf numFmtId="0" fontId="6" fillId="6" borderId="2" xfId="2" applyFont="1" applyFill="1" applyBorder="1" applyAlignment="1">
      <alignment horizontal="centerContinuous" vertical="center"/>
    </xf>
    <xf numFmtId="0" fontId="6" fillId="6" borderId="6" xfId="2" applyFont="1" applyFill="1" applyBorder="1" applyAlignment="1">
      <alignment horizontal="centerContinuous" vertical="center"/>
    </xf>
    <xf numFmtId="4" fontId="10" fillId="0" borderId="0" xfId="2" applyNumberFormat="1" applyFont="1" applyAlignment="1">
      <alignment horizontal="centerContinuous" vertical="center"/>
    </xf>
    <xf numFmtId="173" fontId="12" fillId="0" borderId="47" xfId="2" applyNumberFormat="1" applyFont="1" applyFill="1" applyBorder="1" applyAlignment="1"/>
    <xf numFmtId="4" fontId="21" fillId="0" borderId="0" xfId="2" applyNumberFormat="1" applyFont="1" applyBorder="1"/>
    <xf numFmtId="40" fontId="21" fillId="0" borderId="0" xfId="2" applyNumberFormat="1" applyFont="1" applyBorder="1"/>
    <xf numFmtId="4" fontId="35" fillId="4" borderId="2" xfId="2" applyNumberFormat="1" applyFont="1" applyFill="1" applyBorder="1"/>
    <xf numFmtId="10" fontId="21" fillId="0" borderId="0" xfId="3" applyNumberFormat="1" applyFont="1"/>
    <xf numFmtId="166" fontId="35" fillId="4" borderId="10" xfId="2" applyNumberFormat="1" applyFont="1" applyFill="1" applyBorder="1"/>
    <xf numFmtId="172" fontId="26" fillId="0" borderId="0" xfId="2" applyNumberFormat="1" applyFont="1"/>
    <xf numFmtId="175" fontId="3" fillId="0" borderId="0" xfId="2" applyNumberFormat="1" applyBorder="1"/>
    <xf numFmtId="0" fontId="12" fillId="0" borderId="7" xfId="2" applyFont="1" applyFill="1" applyBorder="1" applyAlignment="1">
      <alignment horizontal="centerContinuous" vertical="center" wrapText="1"/>
    </xf>
    <xf numFmtId="4" fontId="3" fillId="0" borderId="0" xfId="2" applyNumberFormat="1" applyFont="1" applyBorder="1"/>
    <xf numFmtId="40" fontId="3" fillId="0" borderId="0" xfId="2" applyNumberFormat="1" applyFont="1" applyBorder="1"/>
    <xf numFmtId="4" fontId="3" fillId="0" borderId="0" xfId="3" applyNumberFormat="1" applyFont="1" applyBorder="1"/>
    <xf numFmtId="10" fontId="3" fillId="0" borderId="0" xfId="2" applyNumberFormat="1" applyFont="1"/>
    <xf numFmtId="183" fontId="21" fillId="0" borderId="0" xfId="2" applyNumberFormat="1" applyFont="1"/>
    <xf numFmtId="40" fontId="20" fillId="0" borderId="47" xfId="2" applyNumberFormat="1" applyFont="1" applyFill="1" applyBorder="1" applyAlignment="1"/>
    <xf numFmtId="172" fontId="3" fillId="0" borderId="0" xfId="2" applyNumberFormat="1" applyFont="1"/>
    <xf numFmtId="40" fontId="10" fillId="0" borderId="31" xfId="2" applyNumberFormat="1" applyFont="1" applyBorder="1"/>
    <xf numFmtId="4" fontId="36" fillId="6" borderId="10" xfId="2" applyNumberFormat="1" applyFont="1" applyFill="1" applyBorder="1"/>
    <xf numFmtId="0" fontId="36" fillId="6" borderId="7" xfId="2" applyFont="1" applyFill="1" applyBorder="1" applyAlignment="1">
      <alignment horizontal="centerContinuous" vertical="center" wrapText="1"/>
    </xf>
    <xf numFmtId="184" fontId="12" fillId="0" borderId="47" xfId="0" applyNumberFormat="1" applyFont="1" applyFill="1" applyBorder="1" applyAlignment="1"/>
    <xf numFmtId="172" fontId="10" fillId="0" borderId="0" xfId="2" applyNumberFormat="1" applyFont="1" applyFill="1" applyAlignment="1">
      <alignment horizontal="centerContinuous" vertical="center"/>
    </xf>
    <xf numFmtId="174" fontId="12" fillId="0" borderId="47" xfId="0" applyNumberFormat="1" applyFont="1" applyFill="1" applyBorder="1" applyAlignment="1"/>
    <xf numFmtId="4" fontId="3" fillId="0" borderId="0" xfId="3" applyNumberFormat="1" applyFont="1"/>
    <xf numFmtId="171" fontId="10" fillId="6" borderId="47" xfId="2" applyNumberFormat="1" applyFont="1" applyFill="1" applyBorder="1" applyAlignment="1"/>
    <xf numFmtId="171" fontId="12" fillId="6" borderId="47" xfId="2" applyNumberFormat="1" applyFont="1" applyFill="1" applyBorder="1" applyAlignment="1"/>
    <xf numFmtId="40" fontId="12" fillId="6" borderId="51" xfId="2" applyNumberFormat="1" applyFont="1" applyFill="1" applyBorder="1" applyAlignment="1"/>
    <xf numFmtId="164" fontId="9" fillId="6" borderId="50" xfId="2" applyNumberFormat="1" applyFont="1" applyFill="1" applyBorder="1" applyAlignment="1">
      <alignment horizontal="right"/>
    </xf>
    <xf numFmtId="40" fontId="10" fillId="0" borderId="47" xfId="0" applyNumberFormat="1" applyFont="1" applyFill="1" applyBorder="1" applyAlignment="1"/>
    <xf numFmtId="40" fontId="10" fillId="0" borderId="51" xfId="2" applyNumberFormat="1" applyFont="1" applyFill="1" applyBorder="1" applyAlignment="1"/>
    <xf numFmtId="4" fontId="21" fillId="0" borderId="0" xfId="2" applyNumberFormat="1" applyFont="1"/>
    <xf numFmtId="0" fontId="3" fillId="4" borderId="51" xfId="2" applyFont="1" applyFill="1" applyBorder="1" applyAlignment="1">
      <alignment horizontal="center"/>
    </xf>
    <xf numFmtId="40" fontId="12" fillId="4" borderId="51" xfId="2" applyNumberFormat="1" applyFont="1" applyFill="1" applyBorder="1" applyAlignment="1"/>
    <xf numFmtId="164" fontId="9" fillId="4" borderId="50" xfId="2" applyNumberFormat="1" applyFont="1" applyFill="1" applyBorder="1" applyAlignment="1">
      <alignment horizontal="right"/>
    </xf>
    <xf numFmtId="4" fontId="12" fillId="0" borderId="0" xfId="3" applyNumberFormat="1" applyFont="1" applyBorder="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0" fontId="6" fillId="0" borderId="19" xfId="2" applyFont="1" applyFill="1" applyBorder="1" applyAlignment="1">
      <alignment horizontal="center" vertical="center" wrapText="1"/>
    </xf>
    <xf numFmtId="0" fontId="6" fillId="0" borderId="30" xfId="2" applyFont="1" applyFill="1" applyBorder="1" applyAlignment="1">
      <alignment horizontal="center" vertical="center" wrapText="1"/>
    </xf>
    <xf numFmtId="0" fontId="6" fillId="0" borderId="3" xfId="2" applyFont="1" applyBorder="1" applyAlignment="1">
      <alignment horizontal="center" vertical="center" wrapText="1"/>
    </xf>
    <xf numFmtId="0" fontId="29" fillId="0" borderId="1" xfId="0" applyFont="1" applyBorder="1" applyAlignment="1">
      <alignment horizontal="center"/>
    </xf>
    <xf numFmtId="0" fontId="29" fillId="0" borderId="2" xfId="0" applyFont="1" applyBorder="1" applyAlignment="1">
      <alignment horizontal="center"/>
    </xf>
    <xf numFmtId="0" fontId="29" fillId="0" borderId="6" xfId="0" applyFont="1" applyBorder="1" applyAlignment="1">
      <alignment horizontal="center"/>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69" fontId="13" fillId="0" borderId="0" xfId="0" applyNumberFormat="1" applyFont="1" applyAlignment="1">
      <alignment horizontal="left"/>
    </xf>
    <xf numFmtId="0" fontId="3" fillId="0" borderId="0" xfId="2" applyFont="1" applyAlignment="1">
      <alignment horizontal="centerContinuous" vertical="center"/>
    </xf>
    <xf numFmtId="0" fontId="12" fillId="0" borderId="0" xfId="2" applyFont="1" applyAlignment="1">
      <alignment horizontal="centerContinuous" vertical="center"/>
    </xf>
    <xf numFmtId="0" fontId="9" fillId="0" borderId="1" xfId="2" applyFont="1" applyBorder="1" applyAlignment="1">
      <alignment horizontal="centerContinuous" vertical="center" wrapText="1"/>
    </xf>
    <xf numFmtId="0" fontId="9" fillId="0" borderId="6" xfId="2" applyFont="1" applyBorder="1" applyAlignment="1">
      <alignment horizontal="center" vertical="center"/>
    </xf>
    <xf numFmtId="0" fontId="3" fillId="0" borderId="2" xfId="2" applyFont="1" applyBorder="1"/>
    <xf numFmtId="165" fontId="3" fillId="0" borderId="0" xfId="2" applyNumberFormat="1" applyFont="1" applyBorder="1"/>
    <xf numFmtId="165" fontId="3" fillId="0" borderId="2" xfId="2" applyNumberFormat="1" applyFont="1" applyBorder="1"/>
    <xf numFmtId="165" fontId="3" fillId="0" borderId="31" xfId="2" applyNumberFormat="1" applyFont="1" applyBorder="1"/>
  </cellXfs>
  <cellStyles count="8">
    <cellStyle name="Millares" xfId="4" builtinId="3"/>
    <cellStyle name="No-definido" xfId="1"/>
    <cellStyle name="Normal" xfId="0" builtinId="0"/>
    <cellStyle name="Normal 2" xfId="5"/>
    <cellStyle name="Normal 3" xfId="6"/>
    <cellStyle name="Normal_792 TP 200809-2REG" xfId="7"/>
    <cellStyle name="Normal_determinación del Canon-dic01" xfId="2"/>
    <cellStyle name="Porcentaje" xfId="3"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I/GFTE/ESTADISTICAS/Canon/Portal/2020/Canon%20Memoria%20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I/GFTE/ESTADISTICAS/Canon/Canon%20Reportes/Canon%20Memoria%20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s Cusco"/>
      <sheetName val="Graficos"/>
      <sheetName val="Memoria"/>
      <sheetName val="Hoja1"/>
      <sheetName val="2020"/>
      <sheetName val="2019"/>
      <sheetName val="2018"/>
      <sheetName val="Hoja3"/>
      <sheetName val="2017"/>
      <sheetName val="2016"/>
      <sheetName val="2015"/>
      <sheetName val="2014"/>
      <sheetName val="2013"/>
      <sheetName val="12"/>
      <sheetName val="11"/>
      <sheetName val="10"/>
      <sheetName val="09"/>
      <sheetName val="08"/>
      <sheetName val="07"/>
      <sheetName val="06"/>
      <sheetName val="05"/>
      <sheetName val="04"/>
      <sheetName val="03"/>
      <sheetName val="02"/>
      <sheetName val="01"/>
      <sheetName val="00"/>
      <sheetName val="99"/>
      <sheetName val="98"/>
      <sheetName val="97"/>
      <sheetName val="96"/>
      <sheetName val="95"/>
      <sheetName val="94"/>
      <sheetName val="93"/>
    </sheetNames>
    <sheetDataSet>
      <sheetData sheetId="0"/>
      <sheetData sheetId="1"/>
      <sheetData sheetId="2">
        <row r="49">
          <cell r="AG49">
            <v>1151842.4938700001</v>
          </cell>
        </row>
        <row r="104">
          <cell r="AG104">
            <v>325987.02988040505</v>
          </cell>
        </row>
      </sheetData>
      <sheetData sheetId="3"/>
      <sheetData sheetId="4">
        <row r="50">
          <cell r="F50">
            <v>140920302.31999999</v>
          </cell>
          <cell r="G50">
            <v>122150954.68000001</v>
          </cell>
          <cell r="H50">
            <v>63234887.829999998</v>
          </cell>
          <cell r="I50">
            <v>32648935.550000004</v>
          </cell>
          <cell r="J50">
            <v>51143720.519999996</v>
          </cell>
          <cell r="K50">
            <v>67262096.74000001</v>
          </cell>
          <cell r="L50">
            <v>87660588.36999999</v>
          </cell>
          <cell r="M50">
            <v>95405379.439999998</v>
          </cell>
          <cell r="N50">
            <v>96189266.699999988</v>
          </cell>
          <cell r="O50">
            <v>110796489.56999999</v>
          </cell>
          <cell r="P50">
            <v>126008034.23</v>
          </cell>
          <cell r="Q50">
            <v>158421837.92000002</v>
          </cell>
        </row>
        <row r="53">
          <cell r="I53">
            <v>3430</v>
          </cell>
          <cell r="J53">
            <v>3493</v>
          </cell>
          <cell r="K53">
            <v>3511</v>
          </cell>
          <cell r="L53">
            <v>3564</v>
          </cell>
          <cell r="M53">
            <v>3538</v>
          </cell>
          <cell r="N53">
            <v>3590</v>
          </cell>
          <cell r="O53">
            <v>3582</v>
          </cell>
          <cell r="P53">
            <v>3597</v>
          </cell>
          <cell r="Q53">
            <v>3615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aficos Cusco"/>
      <sheetName val="Graficos"/>
      <sheetName val="Memoria"/>
      <sheetName val="Hoja1"/>
      <sheetName val="2020"/>
      <sheetName val="2019"/>
      <sheetName val="2018"/>
      <sheetName val="Hoja3"/>
      <sheetName val="2017"/>
      <sheetName val="2016"/>
      <sheetName val="2015"/>
      <sheetName val="2014"/>
      <sheetName val="2013"/>
      <sheetName val="12"/>
      <sheetName val="11"/>
      <sheetName val="10"/>
      <sheetName val="09"/>
      <sheetName val="08"/>
      <sheetName val="07"/>
      <sheetName val="06"/>
      <sheetName val="05"/>
      <sheetName val="04"/>
      <sheetName val="03"/>
      <sheetName val="02"/>
      <sheetName val="01"/>
      <sheetName val="00"/>
      <sheetName val="99"/>
      <sheetName val="98"/>
      <sheetName val="97"/>
      <sheetName val="96"/>
      <sheetName val="95"/>
      <sheetName val="94"/>
      <sheetName val="93"/>
    </sheetNames>
    <sheetDataSet>
      <sheetData sheetId="0"/>
      <sheetData sheetId="1"/>
      <sheetData sheetId="2"/>
      <sheetData sheetId="3"/>
      <sheetData sheetId="4">
        <row r="50">
          <cell r="F50">
            <v>140920302.31999999</v>
          </cell>
          <cell r="G50">
            <v>122150954.68000001</v>
          </cell>
          <cell r="H50">
            <v>63234887.829999998</v>
          </cell>
        </row>
        <row r="53">
          <cell r="F53">
            <v>3386</v>
          </cell>
          <cell r="G53">
            <v>3554</v>
          </cell>
          <cell r="H53">
            <v>3411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153"/>
  <sheetViews>
    <sheetView view="pageBreakPreview" topLeftCell="A106" zoomScaleNormal="95" zoomScaleSheetLayoutView="100" workbookViewId="0">
      <selection activeCell="J26" sqref="J26"/>
    </sheetView>
  </sheetViews>
  <sheetFormatPr baseColWidth="10" defaultColWidth="8.90625" defaultRowHeight="13.2" x14ac:dyDescent="0.25"/>
  <cols>
    <col min="1" max="1" width="3" style="307" customWidth="1"/>
    <col min="2" max="2" width="9.54296875" style="307" customWidth="1"/>
    <col min="3" max="4" width="7.1796875" style="307" customWidth="1"/>
    <col min="5" max="5" width="7.453125" style="307" customWidth="1"/>
    <col min="6" max="6" width="9.81640625" style="307" customWidth="1"/>
    <col min="7" max="7" width="10.453125" style="307" customWidth="1"/>
    <col min="8" max="8" width="11.1796875" style="307" customWidth="1"/>
    <col min="9" max="9" width="11.08984375" style="307" customWidth="1"/>
    <col min="10" max="10" width="11" style="307" customWidth="1"/>
    <col min="11" max="14" width="11.5429687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21" width="8.90625" style="307"/>
    <col min="22" max="22" width="11.36328125" style="307" customWidth="1"/>
    <col min="23" max="23" width="11.08984375" style="307" customWidth="1"/>
    <col min="24" max="24" width="10.54296875" style="307" customWidth="1"/>
    <col min="25" max="25" width="8.90625" style="307"/>
    <col min="26" max="26" width="14.36328125" style="307" bestFit="1" customWidth="1"/>
    <col min="27" max="16384" width="8.90625" style="307"/>
  </cols>
  <sheetData>
    <row r="1" spans="1:33" x14ac:dyDescent="0.25">
      <c r="A1" s="4" t="s">
        <v>51</v>
      </c>
      <c r="C1" s="3"/>
      <c r="E1" s="9">
        <v>44531</v>
      </c>
      <c r="F1" s="180"/>
      <c r="U1" s="75" t="s">
        <v>60</v>
      </c>
      <c r="V1" s="75"/>
      <c r="W1" s="76">
        <v>31</v>
      </c>
    </row>
    <row r="2" spans="1:33" x14ac:dyDescent="0.25">
      <c r="A2" s="3" t="s">
        <v>0</v>
      </c>
    </row>
    <row r="3" spans="1:33" x14ac:dyDescent="0.25">
      <c r="A3" s="144" t="s">
        <v>109</v>
      </c>
      <c r="B3" s="144"/>
      <c r="C3" s="144"/>
      <c r="D3" s="144"/>
      <c r="E3" s="144"/>
      <c r="F3" s="144"/>
      <c r="G3" s="144"/>
      <c r="H3" s="144"/>
      <c r="I3" s="144"/>
      <c r="J3" s="144"/>
      <c r="K3" s="144"/>
      <c r="L3" s="144"/>
      <c r="M3" s="144"/>
      <c r="N3" s="144"/>
      <c r="O3" s="144"/>
      <c r="P3" s="144"/>
      <c r="Q3" s="144"/>
      <c r="R3" s="144"/>
      <c r="S3" s="144"/>
      <c r="T3" s="144"/>
      <c r="V3" s="144"/>
      <c r="W3" s="144"/>
      <c r="X3" s="144"/>
      <c r="Y3" s="144"/>
      <c r="Z3" s="144"/>
      <c r="AA3" s="144"/>
      <c r="AB3" s="144"/>
      <c r="AC3" s="144"/>
      <c r="AD3" s="144"/>
      <c r="AE3" s="144"/>
      <c r="AF3" s="144"/>
    </row>
    <row r="4" spans="1:33" x14ac:dyDescent="0.25">
      <c r="A4" s="143" t="str">
        <f>"Correspondiente a  "&amp;TEXT(E1,"MMMMMMM YYYY")</f>
        <v>Correspondiente a  Diciembre 2021</v>
      </c>
      <c r="B4" s="143"/>
      <c r="C4" s="143"/>
      <c r="D4" s="143"/>
      <c r="E4" s="143"/>
      <c r="F4" s="143"/>
      <c r="G4" s="143"/>
      <c r="H4" s="143"/>
      <c r="I4" s="143"/>
      <c r="J4" s="143"/>
      <c r="K4" s="143"/>
      <c r="L4" s="143"/>
      <c r="M4" s="143"/>
      <c r="N4" s="143"/>
      <c r="O4" s="143"/>
      <c r="P4" s="143"/>
      <c r="Q4" s="143"/>
      <c r="R4" s="143"/>
      <c r="S4" s="143"/>
      <c r="T4" s="143"/>
      <c r="V4" s="143"/>
      <c r="W4" s="143"/>
      <c r="X4" s="143"/>
      <c r="Y4" s="143"/>
      <c r="Z4" s="143"/>
      <c r="AA4" s="143"/>
      <c r="AB4" s="143"/>
      <c r="AC4" s="143"/>
      <c r="AD4" s="143"/>
      <c r="AE4" s="143"/>
      <c r="AF4" s="143"/>
    </row>
    <row r="5" spans="1:33" x14ac:dyDescent="0.25">
      <c r="A5" s="143" t="str">
        <f>"Tipo de Cambio= "&amp;TEXT(F1,"0.000")</f>
        <v>Tipo de Cambio= 0.000</v>
      </c>
      <c r="B5" s="143"/>
      <c r="C5" s="143"/>
      <c r="D5" s="143"/>
      <c r="E5" s="143"/>
      <c r="F5" s="143"/>
      <c r="G5" s="143"/>
      <c r="H5" s="143"/>
      <c r="I5" s="143"/>
      <c r="J5" s="143"/>
      <c r="K5" s="143"/>
      <c r="L5" s="143"/>
      <c r="M5" s="143"/>
      <c r="N5" s="143"/>
      <c r="O5" s="143"/>
      <c r="P5" s="143"/>
      <c r="Q5" s="143"/>
      <c r="R5" s="143"/>
      <c r="S5" s="143"/>
      <c r="T5" s="143"/>
      <c r="V5" s="143"/>
      <c r="W5" s="143"/>
      <c r="X5" s="143"/>
      <c r="Y5" s="143"/>
      <c r="Z5" s="143"/>
      <c r="AA5" s="143"/>
      <c r="AB5" s="143"/>
      <c r="AC5" s="143"/>
      <c r="AD5" s="143"/>
      <c r="AE5" s="143"/>
      <c r="AF5" s="143"/>
    </row>
    <row r="6" spans="1:33" s="304" customFormat="1" x14ac:dyDescent="0.25">
      <c r="D6" s="305"/>
      <c r="H6" s="306"/>
    </row>
    <row r="7" spans="1:33"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c r="U7" s="145" t="s">
        <v>61</v>
      </c>
      <c r="V7" s="146"/>
      <c r="W7" s="146"/>
      <c r="X7" s="146"/>
      <c r="Y7" s="146"/>
      <c r="Z7" s="147"/>
      <c r="AA7" s="189" t="s">
        <v>62</v>
      </c>
      <c r="AB7" s="189"/>
      <c r="AC7" s="189"/>
      <c r="AD7" s="189"/>
      <c r="AE7" s="189"/>
      <c r="AF7" s="145"/>
      <c r="AG7" s="42" t="s">
        <v>63</v>
      </c>
    </row>
    <row r="8" spans="1:33"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c r="U8" s="145" t="s">
        <v>64</v>
      </c>
      <c r="V8" s="146"/>
      <c r="W8" s="147"/>
      <c r="X8" s="77" t="s">
        <v>65</v>
      </c>
      <c r="Y8" s="145" t="s">
        <v>66</v>
      </c>
      <c r="Z8" s="147"/>
      <c r="AA8" s="145" t="s">
        <v>64</v>
      </c>
      <c r="AB8" s="146"/>
      <c r="AC8" s="147"/>
      <c r="AD8" s="320" t="s">
        <v>65</v>
      </c>
      <c r="AE8" s="189" t="s">
        <v>66</v>
      </c>
      <c r="AF8" s="145"/>
      <c r="AG8" s="78" t="s">
        <v>1</v>
      </c>
    </row>
    <row r="9" spans="1:33" x14ac:dyDescent="0.25">
      <c r="A9" s="313" t="s">
        <v>23</v>
      </c>
      <c r="B9" s="19"/>
      <c r="C9" s="64"/>
      <c r="D9" s="24"/>
      <c r="E9" s="24"/>
      <c r="F9" s="313"/>
      <c r="G9" s="205"/>
      <c r="H9" s="208"/>
      <c r="I9" s="204"/>
      <c r="J9" s="205"/>
      <c r="K9" s="205"/>
      <c r="L9" s="205"/>
      <c r="M9" s="205"/>
      <c r="N9" s="205"/>
      <c r="O9" s="212"/>
      <c r="P9" s="205"/>
      <c r="Q9" s="203" t="s">
        <v>43</v>
      </c>
      <c r="R9" s="182"/>
      <c r="S9" s="203" t="s">
        <v>44</v>
      </c>
      <c r="T9" s="182"/>
      <c r="U9" s="79" t="s">
        <v>67</v>
      </c>
      <c r="V9" s="79" t="s">
        <v>97</v>
      </c>
      <c r="W9" s="79" t="s">
        <v>68</v>
      </c>
      <c r="X9" s="79" t="s">
        <v>69</v>
      </c>
      <c r="Y9" s="79" t="s">
        <v>69</v>
      </c>
      <c r="Z9" s="79" t="s">
        <v>70</v>
      </c>
      <c r="AA9" s="79" t="s">
        <v>71</v>
      </c>
      <c r="AB9" s="79" t="s">
        <v>97</v>
      </c>
      <c r="AC9" s="79" t="s">
        <v>72</v>
      </c>
      <c r="AD9" s="79" t="s">
        <v>73</v>
      </c>
      <c r="AE9" s="79" t="s">
        <v>73</v>
      </c>
      <c r="AF9" s="80" t="s">
        <v>70</v>
      </c>
      <c r="AG9" s="81" t="s">
        <v>74</v>
      </c>
    </row>
    <row r="10" spans="1:33" x14ac:dyDescent="0.25">
      <c r="A10" s="26" t="s">
        <v>28</v>
      </c>
      <c r="B10" s="27" t="s">
        <v>13</v>
      </c>
      <c r="C10" s="62" t="s">
        <v>29</v>
      </c>
      <c r="D10" s="28" t="s">
        <v>21</v>
      </c>
      <c r="E10" s="62" t="s">
        <v>98</v>
      </c>
      <c r="F10" s="260" t="s">
        <v>37</v>
      </c>
      <c r="G10" s="312"/>
      <c r="H10" s="236">
        <v>25833</v>
      </c>
      <c r="I10" s="237"/>
      <c r="J10" s="238">
        <v>62.255099999999999</v>
      </c>
      <c r="K10" s="312"/>
      <c r="L10" s="312"/>
      <c r="M10" s="312"/>
      <c r="N10" s="236">
        <v>672.29</v>
      </c>
      <c r="O10" s="236">
        <f t="shared" ref="O10:O29" si="0">ROUND(G10*I10,2)+ROUND(H10*J10,2)-K10-L10-M10-N10</f>
        <v>1607563.71</v>
      </c>
      <c r="P10" s="243">
        <f>ROUND(18.75%*O10,2)</f>
        <v>301418.2</v>
      </c>
      <c r="Q10" s="243">
        <f>ROUND($O10*R10,2)</f>
        <v>241134.56</v>
      </c>
      <c r="R10" s="244">
        <v>0.15</v>
      </c>
      <c r="S10" s="243">
        <f t="shared" ref="S10:S34" si="1">ROUND($O10*T10,2)</f>
        <v>60283.64</v>
      </c>
      <c r="T10" s="286">
        <v>3.7499999999999999E-2</v>
      </c>
      <c r="U10" s="73">
        <f t="shared" ref="U10:U29" si="2">IF($F10&amp;"/Día"=W$9,SUM($G10:$H10),"")</f>
        <v>25833</v>
      </c>
      <c r="V10" s="73">
        <f>IF(U10&lt;&gt;"",$O10,"")</f>
        <v>1607563.71</v>
      </c>
      <c r="W10" s="82">
        <f>IF($F10&amp;"/Día"=W$9,ROUND(U10/$W$1,1),"")</f>
        <v>833.3</v>
      </c>
      <c r="X10" s="83">
        <f t="shared" ref="X10:X29" si="3">IF(U10=0,0,IF($F10&amp;"/Día"=W$9,ROUND(V10/U10,4),""))</f>
        <v>62.229100000000003</v>
      </c>
      <c r="Y10" s="83">
        <f t="shared" ref="Y10:Y29" si="4">IF(U10=0,0,IF($F10&amp;"/Día"=W$9,ROUND(Z10/U10,4),""))</f>
        <v>11.667999999999999</v>
      </c>
      <c r="Z10" s="73">
        <f t="shared" ref="Z10:Z29" si="5">IF(U10&lt;&gt;"",$P10,"")</f>
        <v>301418.2</v>
      </c>
      <c r="AA10" s="73" t="str">
        <f t="shared" ref="AA10:AA29" si="6">IF($F10&amp;"/Día"=AC$9,SUM($G10:$H10),"")</f>
        <v/>
      </c>
      <c r="AB10" s="73" t="str">
        <f>IF(AA10&lt;&gt;"",$O10,"")</f>
        <v/>
      </c>
      <c r="AC10" s="82" t="str">
        <f>IF($F10&amp;"/Día"=AC$9,ROUND(AA10/$W$1,1),"")</f>
        <v/>
      </c>
      <c r="AD10" s="83" t="str">
        <f t="shared" ref="AD10:AD29" si="7">IF(AA10=0,0,IF($F10&amp;"/Día"=AC$9,ROUND(AB10/AA10,4),""))</f>
        <v/>
      </c>
      <c r="AE10" s="83" t="str">
        <f t="shared" ref="AE10:AE29" si="8">IF(AA10=0,0,IF($F10&amp;"/Día"=AC$9,ROUND(AF10/AA10,4),""))</f>
        <v/>
      </c>
      <c r="AF10" s="73" t="str">
        <f t="shared" ref="AF10:AF29" si="9">IF(AA10&lt;&gt;"",$P10,"")</f>
        <v/>
      </c>
      <c r="AG10" s="54"/>
    </row>
    <row r="11" spans="1:33" x14ac:dyDescent="0.25">
      <c r="A11" s="26" t="s">
        <v>28</v>
      </c>
      <c r="B11" s="27" t="s">
        <v>14</v>
      </c>
      <c r="C11" s="62" t="s">
        <v>29</v>
      </c>
      <c r="D11" s="28" t="s">
        <v>21</v>
      </c>
      <c r="E11" s="62" t="s">
        <v>98</v>
      </c>
      <c r="F11" s="260" t="s">
        <v>56</v>
      </c>
      <c r="G11" s="312"/>
      <c r="H11" s="236">
        <v>254280.4</v>
      </c>
      <c r="I11" s="237"/>
      <c r="J11" s="238">
        <v>3.0811999999999999</v>
      </c>
      <c r="K11" s="312"/>
      <c r="L11" s="312"/>
      <c r="M11" s="312"/>
      <c r="N11" s="236">
        <v>1882.44</v>
      </c>
      <c r="O11" s="236">
        <f t="shared" si="0"/>
        <v>781606.33000000007</v>
      </c>
      <c r="P11" s="243">
        <f t="shared" ref="P11:P34" si="10">ROUND(18.75%*O11,2)</f>
        <v>146551.19</v>
      </c>
      <c r="Q11" s="243">
        <f t="shared" ref="Q11:Q29" si="11">ROUND($O11*R11,2)</f>
        <v>117240.95</v>
      </c>
      <c r="R11" s="244">
        <v>0.15</v>
      </c>
      <c r="S11" s="243">
        <f t="shared" si="1"/>
        <v>29310.240000000002</v>
      </c>
      <c r="T11" s="286">
        <v>3.7499999999999999E-2</v>
      </c>
      <c r="U11" s="45" t="str">
        <f t="shared" si="2"/>
        <v/>
      </c>
      <c r="V11" s="45" t="str">
        <f t="shared" ref="V11:V35" si="12">IF(U11&lt;&gt;"",$O11,"")</f>
        <v/>
      </c>
      <c r="W11" s="84" t="str">
        <f t="shared" ref="W11:W41" si="13">IF($F11&amp;"/Día"=W$9,ROUND(U11/$W$1,1),"")</f>
        <v/>
      </c>
      <c r="X11" s="85" t="str">
        <f t="shared" si="3"/>
        <v/>
      </c>
      <c r="Y11" s="85" t="str">
        <f t="shared" si="4"/>
        <v/>
      </c>
      <c r="Z11" s="45" t="str">
        <f t="shared" si="5"/>
        <v/>
      </c>
      <c r="AA11" s="45">
        <f t="shared" si="6"/>
        <v>254280.4</v>
      </c>
      <c r="AB11" s="45">
        <f t="shared" ref="AB11:AB35" si="14">IF(AA11&lt;&gt;"",$O11,"")</f>
        <v>781606.33000000007</v>
      </c>
      <c r="AC11" s="84">
        <f t="shared" ref="AC11:AC41" si="15">IF($F11&amp;"/Día"=AC$9,ROUND(AA11/$W$1,1),"")</f>
        <v>8202.6</v>
      </c>
      <c r="AD11" s="85">
        <f t="shared" si="7"/>
        <v>3.0737999999999999</v>
      </c>
      <c r="AE11" s="85">
        <f t="shared" si="8"/>
        <v>0.57630000000000003</v>
      </c>
      <c r="AF11" s="45">
        <f>IF(AA11&lt;&gt;"",$P11,"")</f>
        <v>146551.19</v>
      </c>
      <c r="AG11" s="55"/>
    </row>
    <row r="12" spans="1:33" x14ac:dyDescent="0.25">
      <c r="A12" s="26" t="s">
        <v>28</v>
      </c>
      <c r="B12" s="27" t="s">
        <v>3</v>
      </c>
      <c r="C12" s="62" t="s">
        <v>31</v>
      </c>
      <c r="D12" s="28" t="s">
        <v>30</v>
      </c>
      <c r="E12" s="62" t="s">
        <v>101</v>
      </c>
      <c r="F12" s="260" t="s">
        <v>37</v>
      </c>
      <c r="G12" s="236">
        <v>4603</v>
      </c>
      <c r="H12" s="236">
        <v>4743</v>
      </c>
      <c r="I12" s="238">
        <v>59.439700000000002</v>
      </c>
      <c r="J12" s="238">
        <v>61.363700000000001</v>
      </c>
      <c r="K12" s="312"/>
      <c r="L12" s="312"/>
      <c r="M12" s="312"/>
      <c r="N12" s="236">
        <v>1735.69</v>
      </c>
      <c r="O12" s="236">
        <f t="shared" si="0"/>
        <v>562913.28000000003</v>
      </c>
      <c r="P12" s="243">
        <f t="shared" si="10"/>
        <v>105546.24000000001</v>
      </c>
      <c r="Q12" s="243">
        <f>ROUND($O12*R12,2)</f>
        <v>84436.99</v>
      </c>
      <c r="R12" s="244">
        <v>0.15</v>
      </c>
      <c r="S12" s="243">
        <f t="shared" si="1"/>
        <v>21109.25</v>
      </c>
      <c r="T12" s="286">
        <v>3.7499999999999999E-2</v>
      </c>
      <c r="U12" s="45">
        <f t="shared" si="2"/>
        <v>9346</v>
      </c>
      <c r="V12" s="45">
        <f t="shared" si="12"/>
        <v>562913.28000000003</v>
      </c>
      <c r="W12" s="84">
        <f t="shared" si="13"/>
        <v>301.5</v>
      </c>
      <c r="X12" s="85">
        <f t="shared" si="3"/>
        <v>60.230400000000003</v>
      </c>
      <c r="Y12" s="85">
        <f t="shared" si="4"/>
        <v>11.293200000000001</v>
      </c>
      <c r="Z12" s="45">
        <f t="shared" si="5"/>
        <v>105546.24000000001</v>
      </c>
      <c r="AA12" s="45" t="str">
        <f t="shared" si="6"/>
        <v/>
      </c>
      <c r="AB12" s="45" t="str">
        <f t="shared" si="14"/>
        <v/>
      </c>
      <c r="AC12" s="84" t="str">
        <f t="shared" si="15"/>
        <v/>
      </c>
      <c r="AD12" s="85" t="str">
        <f t="shared" si="7"/>
        <v/>
      </c>
      <c r="AE12" s="85" t="str">
        <f t="shared" si="8"/>
        <v/>
      </c>
      <c r="AF12" s="45" t="str">
        <f t="shared" si="9"/>
        <v/>
      </c>
      <c r="AG12" s="55"/>
    </row>
    <row r="13" spans="1:33" x14ac:dyDescent="0.25">
      <c r="A13" s="267" t="s">
        <v>28</v>
      </c>
      <c r="B13" s="271" t="s">
        <v>176</v>
      </c>
      <c r="C13" s="260" t="s">
        <v>29</v>
      </c>
      <c r="D13" s="268" t="s">
        <v>21</v>
      </c>
      <c r="E13" s="260" t="s">
        <v>98</v>
      </c>
      <c r="F13" s="260" t="s">
        <v>56</v>
      </c>
      <c r="G13" s="312">
        <v>46670.52</v>
      </c>
      <c r="H13" s="236">
        <v>44626.41</v>
      </c>
      <c r="I13" s="238">
        <v>2.5499999999999998</v>
      </c>
      <c r="J13" s="238">
        <v>2.5499999999999998</v>
      </c>
      <c r="K13" s="312"/>
      <c r="L13" s="312"/>
      <c r="M13" s="312"/>
      <c r="N13" s="236">
        <v>1853.41</v>
      </c>
      <c r="O13" s="236">
        <f>ROUND(G13*I13,2)+ROUND(H13*J13,2)-K13-L13-M13-N13</f>
        <v>230953.77</v>
      </c>
      <c r="P13" s="243">
        <f t="shared" si="10"/>
        <v>43303.83</v>
      </c>
      <c r="Q13" s="243">
        <f>ROUND($P13*R13/(R13+T13),2)</f>
        <v>34643.06</v>
      </c>
      <c r="R13" s="244">
        <v>0.15</v>
      </c>
      <c r="S13" s="243">
        <f>P13-Q13</f>
        <v>8660.7700000000041</v>
      </c>
      <c r="T13" s="286">
        <v>3.7499999999999999E-2</v>
      </c>
      <c r="U13" s="45" t="str">
        <f t="shared" si="2"/>
        <v/>
      </c>
      <c r="V13" s="45" t="str">
        <f t="shared" si="12"/>
        <v/>
      </c>
      <c r="W13" s="84" t="str">
        <f t="shared" si="13"/>
        <v/>
      </c>
      <c r="X13" s="85" t="str">
        <f t="shared" si="3"/>
        <v/>
      </c>
      <c r="Y13" s="85" t="str">
        <f t="shared" si="4"/>
        <v/>
      </c>
      <c r="Z13" s="45" t="str">
        <f t="shared" si="5"/>
        <v/>
      </c>
      <c r="AA13" s="45">
        <f t="shared" si="6"/>
        <v>91296.93</v>
      </c>
      <c r="AB13" s="45">
        <f t="shared" si="14"/>
        <v>230953.77</v>
      </c>
      <c r="AC13" s="84">
        <f t="shared" si="15"/>
        <v>2945.1</v>
      </c>
      <c r="AD13" s="85">
        <f t="shared" si="7"/>
        <v>2.5297000000000001</v>
      </c>
      <c r="AE13" s="85">
        <f t="shared" si="8"/>
        <v>0.4743</v>
      </c>
      <c r="AF13" s="45">
        <f t="shared" si="9"/>
        <v>43303.83</v>
      </c>
      <c r="AG13" s="55"/>
    </row>
    <row r="14" spans="1:33" x14ac:dyDescent="0.25">
      <c r="A14" s="26" t="s">
        <v>28</v>
      </c>
      <c r="B14" s="27" t="s">
        <v>4</v>
      </c>
      <c r="C14" s="62" t="s">
        <v>31</v>
      </c>
      <c r="D14" s="28" t="s">
        <v>30</v>
      </c>
      <c r="E14" s="62" t="s">
        <v>101</v>
      </c>
      <c r="F14" s="260" t="s">
        <v>37</v>
      </c>
      <c r="G14" s="236">
        <v>12465</v>
      </c>
      <c r="H14" s="236">
        <v>13437</v>
      </c>
      <c r="I14" s="238">
        <v>61.576799999999999</v>
      </c>
      <c r="J14" s="238">
        <v>63.1877</v>
      </c>
      <c r="K14" s="312"/>
      <c r="L14" s="312"/>
      <c r="M14" s="312"/>
      <c r="N14" s="236">
        <v>1236.55</v>
      </c>
      <c r="O14" s="236">
        <f t="shared" si="0"/>
        <v>1615371.3800000001</v>
      </c>
      <c r="P14" s="243">
        <f t="shared" si="10"/>
        <v>302882.13</v>
      </c>
      <c r="Q14" s="243">
        <f t="shared" si="11"/>
        <v>242305.71</v>
      </c>
      <c r="R14" s="244">
        <v>0.15</v>
      </c>
      <c r="S14" s="243">
        <f t="shared" si="1"/>
        <v>60576.43</v>
      </c>
      <c r="T14" s="286">
        <v>3.7499999999999999E-2</v>
      </c>
      <c r="U14" s="45">
        <f t="shared" si="2"/>
        <v>25902</v>
      </c>
      <c r="V14" s="45">
        <f t="shared" si="12"/>
        <v>1615371.3800000001</v>
      </c>
      <c r="W14" s="84">
        <f t="shared" si="13"/>
        <v>835.5</v>
      </c>
      <c r="X14" s="85">
        <f t="shared" si="3"/>
        <v>62.364699999999999</v>
      </c>
      <c r="Y14" s="85">
        <f t="shared" si="4"/>
        <v>11.6934</v>
      </c>
      <c r="Z14" s="45">
        <f t="shared" si="5"/>
        <v>302882.13</v>
      </c>
      <c r="AA14" s="45" t="str">
        <f t="shared" si="6"/>
        <v/>
      </c>
      <c r="AB14" s="45" t="str">
        <f t="shared" si="14"/>
        <v/>
      </c>
      <c r="AC14" s="84" t="str">
        <f t="shared" si="15"/>
        <v/>
      </c>
      <c r="AD14" s="85" t="str">
        <f t="shared" si="7"/>
        <v/>
      </c>
      <c r="AE14" s="85" t="str">
        <f t="shared" si="8"/>
        <v/>
      </c>
      <c r="AF14" s="45" t="str">
        <f t="shared" si="9"/>
        <v/>
      </c>
      <c r="AG14" s="55"/>
    </row>
    <row r="15" spans="1:33" x14ac:dyDescent="0.25">
      <c r="A15" s="26" t="s">
        <v>28</v>
      </c>
      <c r="B15" s="27" t="s">
        <v>5</v>
      </c>
      <c r="C15" s="62" t="s">
        <v>31</v>
      </c>
      <c r="D15" s="28" t="s">
        <v>30</v>
      </c>
      <c r="E15" s="62" t="s">
        <v>101</v>
      </c>
      <c r="F15" s="260" t="s">
        <v>37</v>
      </c>
      <c r="G15" s="236">
        <v>17654</v>
      </c>
      <c r="H15" s="236">
        <v>19218</v>
      </c>
      <c r="I15" s="238">
        <v>61.576799999999999</v>
      </c>
      <c r="J15" s="238">
        <v>63.1877</v>
      </c>
      <c r="K15" s="312"/>
      <c r="L15" s="312"/>
      <c r="M15" s="312"/>
      <c r="N15" s="236">
        <v>4217.8500000000004</v>
      </c>
      <c r="O15" s="236">
        <f t="shared" si="0"/>
        <v>2297200.1999999997</v>
      </c>
      <c r="P15" s="243">
        <f t="shared" si="10"/>
        <v>430725.04</v>
      </c>
      <c r="Q15" s="243">
        <f t="shared" si="11"/>
        <v>344580.03</v>
      </c>
      <c r="R15" s="244">
        <v>0.15</v>
      </c>
      <c r="S15" s="243">
        <f t="shared" si="1"/>
        <v>86145.01</v>
      </c>
      <c r="T15" s="286">
        <v>3.7499999999999999E-2</v>
      </c>
      <c r="U15" s="45">
        <f t="shared" si="2"/>
        <v>36872</v>
      </c>
      <c r="V15" s="45">
        <f t="shared" si="12"/>
        <v>2297200.1999999997</v>
      </c>
      <c r="W15" s="84">
        <f t="shared" si="13"/>
        <v>1189.4000000000001</v>
      </c>
      <c r="X15" s="85">
        <f t="shared" si="3"/>
        <v>62.302</v>
      </c>
      <c r="Y15" s="85">
        <f t="shared" si="4"/>
        <v>11.6816</v>
      </c>
      <c r="Z15" s="45">
        <f t="shared" si="5"/>
        <v>430725.04</v>
      </c>
      <c r="AA15" s="45" t="str">
        <f t="shared" si="6"/>
        <v/>
      </c>
      <c r="AB15" s="45" t="str">
        <f t="shared" si="14"/>
        <v/>
      </c>
      <c r="AC15" s="84" t="str">
        <f t="shared" si="15"/>
        <v/>
      </c>
      <c r="AD15" s="85" t="str">
        <f t="shared" si="7"/>
        <v/>
      </c>
      <c r="AE15" s="85" t="str">
        <f t="shared" si="8"/>
        <v/>
      </c>
      <c r="AF15" s="45" t="str">
        <f t="shared" si="9"/>
        <v/>
      </c>
      <c r="AG15" s="55"/>
    </row>
    <row r="16" spans="1:33" x14ac:dyDescent="0.25">
      <c r="A16" s="26" t="s">
        <v>28</v>
      </c>
      <c r="B16" s="27" t="s">
        <v>17</v>
      </c>
      <c r="C16" s="62" t="s">
        <v>29</v>
      </c>
      <c r="D16" s="28" t="s">
        <v>21</v>
      </c>
      <c r="E16" s="62" t="s">
        <v>98</v>
      </c>
      <c r="F16" s="260" t="s">
        <v>37</v>
      </c>
      <c r="G16" s="312"/>
      <c r="H16" s="236">
        <v>2501</v>
      </c>
      <c r="I16" s="237"/>
      <c r="J16" s="238">
        <v>62.255099999999999</v>
      </c>
      <c r="K16" s="312"/>
      <c r="L16" s="312"/>
      <c r="M16" s="312"/>
      <c r="N16" s="236">
        <v>1463.01</v>
      </c>
      <c r="O16" s="245">
        <f t="shared" si="0"/>
        <v>154237</v>
      </c>
      <c r="P16" s="243">
        <f t="shared" si="10"/>
        <v>28919.439999999999</v>
      </c>
      <c r="Q16" s="243">
        <f t="shared" si="11"/>
        <v>23135.55</v>
      </c>
      <c r="R16" s="244">
        <v>0.15</v>
      </c>
      <c r="S16" s="243">
        <f t="shared" si="1"/>
        <v>5783.89</v>
      </c>
      <c r="T16" s="286">
        <v>3.7499999999999999E-2</v>
      </c>
      <c r="U16" s="45">
        <f t="shared" si="2"/>
        <v>2501</v>
      </c>
      <c r="V16" s="45">
        <f t="shared" si="12"/>
        <v>154237</v>
      </c>
      <c r="W16" s="84">
        <f t="shared" si="13"/>
        <v>80.7</v>
      </c>
      <c r="X16" s="85">
        <f t="shared" si="3"/>
        <v>61.670099999999998</v>
      </c>
      <c r="Y16" s="85">
        <f t="shared" si="4"/>
        <v>11.5632</v>
      </c>
      <c r="Z16" s="45">
        <f t="shared" si="5"/>
        <v>28919.439999999999</v>
      </c>
      <c r="AA16" s="45" t="str">
        <f t="shared" si="6"/>
        <v/>
      </c>
      <c r="AB16" s="45" t="str">
        <f t="shared" si="14"/>
        <v/>
      </c>
      <c r="AC16" s="84" t="str">
        <f t="shared" si="15"/>
        <v/>
      </c>
      <c r="AD16" s="85" t="str">
        <f t="shared" si="7"/>
        <v/>
      </c>
      <c r="AE16" s="85" t="str">
        <f t="shared" si="8"/>
        <v/>
      </c>
      <c r="AF16" s="45" t="str">
        <f t="shared" si="9"/>
        <v/>
      </c>
      <c r="AG16" s="55"/>
    </row>
    <row r="17" spans="1:33" x14ac:dyDescent="0.25">
      <c r="A17" s="26" t="s">
        <v>28</v>
      </c>
      <c r="B17" s="27" t="s">
        <v>6</v>
      </c>
      <c r="C17" s="62" t="s">
        <v>31</v>
      </c>
      <c r="D17" s="28" t="s">
        <v>30</v>
      </c>
      <c r="E17" s="62" t="s">
        <v>101</v>
      </c>
      <c r="F17" s="260" t="s">
        <v>37</v>
      </c>
      <c r="G17" s="236">
        <v>46539</v>
      </c>
      <c r="H17" s="236">
        <v>63257</v>
      </c>
      <c r="I17" s="238">
        <v>61.026800000000001</v>
      </c>
      <c r="J17" s="237">
        <v>62.637700000000002</v>
      </c>
      <c r="K17" s="312"/>
      <c r="L17" s="312"/>
      <c r="M17" s="312"/>
      <c r="N17" s="236">
        <v>2185.19</v>
      </c>
      <c r="O17" s="245">
        <f t="shared" si="0"/>
        <v>6800214.0499999998</v>
      </c>
      <c r="P17" s="243">
        <f t="shared" si="10"/>
        <v>1275040.1299999999</v>
      </c>
      <c r="Q17" s="243">
        <f t="shared" si="11"/>
        <v>1020032.11</v>
      </c>
      <c r="R17" s="244">
        <v>0.15</v>
      </c>
      <c r="S17" s="243">
        <f t="shared" si="1"/>
        <v>255008.03</v>
      </c>
      <c r="T17" s="286">
        <v>3.7499999999999999E-2</v>
      </c>
      <c r="U17" s="45">
        <f t="shared" si="2"/>
        <v>109796</v>
      </c>
      <c r="V17" s="45">
        <f t="shared" si="12"/>
        <v>6800214.0499999998</v>
      </c>
      <c r="W17" s="84">
        <f t="shared" si="13"/>
        <v>3541.8</v>
      </c>
      <c r="X17" s="85">
        <f t="shared" si="3"/>
        <v>61.935000000000002</v>
      </c>
      <c r="Y17" s="85">
        <f t="shared" si="4"/>
        <v>11.6128</v>
      </c>
      <c r="Z17" s="45">
        <f t="shared" si="5"/>
        <v>1275040.1299999999</v>
      </c>
      <c r="AA17" s="45" t="str">
        <f t="shared" si="6"/>
        <v/>
      </c>
      <c r="AB17" s="45" t="str">
        <f t="shared" si="14"/>
        <v/>
      </c>
      <c r="AC17" s="84" t="str">
        <f t="shared" si="15"/>
        <v/>
      </c>
      <c r="AD17" s="85" t="str">
        <f t="shared" si="7"/>
        <v/>
      </c>
      <c r="AE17" s="85" t="str">
        <f t="shared" si="8"/>
        <v/>
      </c>
      <c r="AF17" s="45" t="str">
        <f t="shared" si="9"/>
        <v/>
      </c>
      <c r="AG17" s="55"/>
    </row>
    <row r="18" spans="1:33" x14ac:dyDescent="0.25">
      <c r="A18" s="26" t="s">
        <v>28</v>
      </c>
      <c r="B18" s="29" t="s">
        <v>158</v>
      </c>
      <c r="C18" s="62" t="s">
        <v>29</v>
      </c>
      <c r="D18" s="28" t="s">
        <v>21</v>
      </c>
      <c r="E18" s="62" t="s">
        <v>98</v>
      </c>
      <c r="F18" s="260" t="s">
        <v>37</v>
      </c>
      <c r="G18" s="312"/>
      <c r="H18" s="312"/>
      <c r="I18" s="237"/>
      <c r="J18" s="237"/>
      <c r="K18" s="312"/>
      <c r="L18" s="312"/>
      <c r="M18" s="312"/>
      <c r="N18" s="312"/>
      <c r="O18" s="245">
        <f t="shared" si="0"/>
        <v>0</v>
      </c>
      <c r="P18" s="243">
        <f t="shared" si="10"/>
        <v>0</v>
      </c>
      <c r="Q18" s="243">
        <f t="shared" si="11"/>
        <v>0</v>
      </c>
      <c r="R18" s="244">
        <v>0.15</v>
      </c>
      <c r="S18" s="243">
        <f t="shared" si="1"/>
        <v>0</v>
      </c>
      <c r="T18" s="286">
        <v>3.7499999999999999E-2</v>
      </c>
      <c r="U18" s="45">
        <f t="shared" si="2"/>
        <v>0</v>
      </c>
      <c r="V18" s="45">
        <f t="shared" si="12"/>
        <v>0</v>
      </c>
      <c r="W18" s="84">
        <f t="shared" si="13"/>
        <v>0</v>
      </c>
      <c r="X18" s="85">
        <f t="shared" si="3"/>
        <v>0</v>
      </c>
      <c r="Y18" s="85">
        <f t="shared" si="4"/>
        <v>0</v>
      </c>
      <c r="Z18" s="45">
        <f t="shared" si="5"/>
        <v>0</v>
      </c>
      <c r="AA18" s="45" t="str">
        <f t="shared" si="6"/>
        <v/>
      </c>
      <c r="AB18" s="45" t="str">
        <f t="shared" si="14"/>
        <v/>
      </c>
      <c r="AC18" s="84" t="str">
        <f t="shared" si="15"/>
        <v/>
      </c>
      <c r="AD18" s="85" t="str">
        <f t="shared" si="7"/>
        <v/>
      </c>
      <c r="AE18" s="85" t="str">
        <f t="shared" si="8"/>
        <v/>
      </c>
      <c r="AF18" s="45" t="str">
        <f t="shared" si="9"/>
        <v/>
      </c>
      <c r="AG18" s="55"/>
    </row>
    <row r="19" spans="1:33" x14ac:dyDescent="0.25">
      <c r="A19" s="26" t="s">
        <v>28</v>
      </c>
      <c r="B19" s="27" t="s">
        <v>7</v>
      </c>
      <c r="C19" s="62" t="s">
        <v>31</v>
      </c>
      <c r="D19" s="28" t="s">
        <v>30</v>
      </c>
      <c r="E19" s="62" t="s">
        <v>101</v>
      </c>
      <c r="F19" s="260" t="s">
        <v>56</v>
      </c>
      <c r="G19" s="312">
        <v>54248.37</v>
      </c>
      <c r="H19" s="236">
        <v>59860.6</v>
      </c>
      <c r="I19" s="349">
        <v>1.8097000000000001</v>
      </c>
      <c r="J19" s="237">
        <v>2.1734</v>
      </c>
      <c r="K19" s="312"/>
      <c r="L19" s="312"/>
      <c r="M19" s="312"/>
      <c r="N19" s="312">
        <v>2086.61</v>
      </c>
      <c r="O19" s="245">
        <f t="shared" si="0"/>
        <v>226187.7</v>
      </c>
      <c r="P19" s="243">
        <f t="shared" si="10"/>
        <v>42410.19</v>
      </c>
      <c r="Q19" s="243">
        <f t="shared" si="11"/>
        <v>33928.160000000003</v>
      </c>
      <c r="R19" s="244">
        <v>0.15</v>
      </c>
      <c r="S19" s="243">
        <f t="shared" si="1"/>
        <v>8482.0400000000009</v>
      </c>
      <c r="T19" s="286">
        <v>3.7499999999999999E-2</v>
      </c>
      <c r="U19" s="45" t="str">
        <f t="shared" si="2"/>
        <v/>
      </c>
      <c r="V19" s="45" t="str">
        <f t="shared" si="12"/>
        <v/>
      </c>
      <c r="W19" s="84" t="str">
        <f t="shared" si="13"/>
        <v/>
      </c>
      <c r="X19" s="85" t="str">
        <f t="shared" si="3"/>
        <v/>
      </c>
      <c r="Y19" s="85" t="str">
        <f t="shared" si="4"/>
        <v/>
      </c>
      <c r="Z19" s="45" t="str">
        <f t="shared" si="5"/>
        <v/>
      </c>
      <c r="AA19" s="45">
        <f t="shared" si="6"/>
        <v>114108.97</v>
      </c>
      <c r="AB19" s="45">
        <f t="shared" si="14"/>
        <v>226187.7</v>
      </c>
      <c r="AC19" s="84">
        <f t="shared" si="15"/>
        <v>3680.9</v>
      </c>
      <c r="AD19" s="85">
        <f t="shared" si="7"/>
        <v>1.9822</v>
      </c>
      <c r="AE19" s="85">
        <f t="shared" si="8"/>
        <v>0.37169999999999997</v>
      </c>
      <c r="AF19" s="45">
        <f t="shared" si="9"/>
        <v>42410.19</v>
      </c>
      <c r="AG19" s="55"/>
    </row>
    <row r="20" spans="1:33" x14ac:dyDescent="0.25">
      <c r="A20" s="26" t="s">
        <v>28</v>
      </c>
      <c r="B20" s="27" t="s">
        <v>18</v>
      </c>
      <c r="C20" s="62" t="s">
        <v>31</v>
      </c>
      <c r="D20" s="28" t="s">
        <v>30</v>
      </c>
      <c r="E20" s="62" t="s">
        <v>101</v>
      </c>
      <c r="F20" s="260" t="s">
        <v>37</v>
      </c>
      <c r="G20" s="312">
        <v>1870</v>
      </c>
      <c r="H20" s="312">
        <v>3543</v>
      </c>
      <c r="I20" s="237">
        <v>61.576799999999999</v>
      </c>
      <c r="J20" s="238">
        <v>63.1877</v>
      </c>
      <c r="K20" s="312"/>
      <c r="L20" s="312"/>
      <c r="M20" s="312"/>
      <c r="N20" s="236">
        <v>725.6</v>
      </c>
      <c r="O20" s="245">
        <f t="shared" si="0"/>
        <v>338297.04000000004</v>
      </c>
      <c r="P20" s="243">
        <f t="shared" si="10"/>
        <v>63430.7</v>
      </c>
      <c r="Q20" s="243">
        <f t="shared" si="11"/>
        <v>50744.56</v>
      </c>
      <c r="R20" s="244">
        <v>0.15</v>
      </c>
      <c r="S20" s="243">
        <f t="shared" si="1"/>
        <v>12686.14</v>
      </c>
      <c r="T20" s="286">
        <v>3.7499999999999999E-2</v>
      </c>
      <c r="U20" s="45">
        <f t="shared" si="2"/>
        <v>5413</v>
      </c>
      <c r="V20" s="45">
        <f t="shared" si="12"/>
        <v>338297.04000000004</v>
      </c>
      <c r="W20" s="84">
        <f t="shared" si="13"/>
        <v>174.6</v>
      </c>
      <c r="X20" s="85">
        <f t="shared" si="3"/>
        <v>62.497100000000003</v>
      </c>
      <c r="Y20" s="85">
        <f t="shared" si="4"/>
        <v>11.7182</v>
      </c>
      <c r="Z20" s="45">
        <f t="shared" si="5"/>
        <v>63430.7</v>
      </c>
      <c r="AA20" s="45" t="str">
        <f t="shared" si="6"/>
        <v/>
      </c>
      <c r="AB20" s="45" t="str">
        <f t="shared" si="14"/>
        <v/>
      </c>
      <c r="AC20" s="84" t="str">
        <f t="shared" si="15"/>
        <v/>
      </c>
      <c r="AD20" s="85" t="str">
        <f t="shared" si="7"/>
        <v/>
      </c>
      <c r="AE20" s="85" t="str">
        <f t="shared" si="8"/>
        <v/>
      </c>
      <c r="AF20" s="45" t="str">
        <f t="shared" si="9"/>
        <v/>
      </c>
      <c r="AG20" s="55"/>
    </row>
    <row r="21" spans="1:33" x14ac:dyDescent="0.25">
      <c r="A21" s="26" t="s">
        <v>28</v>
      </c>
      <c r="B21" s="29" t="s">
        <v>20</v>
      </c>
      <c r="C21" s="62" t="s">
        <v>31</v>
      </c>
      <c r="D21" s="28" t="s">
        <v>30</v>
      </c>
      <c r="E21" s="62" t="s">
        <v>101</v>
      </c>
      <c r="F21" s="260" t="s">
        <v>37</v>
      </c>
      <c r="G21" s="312">
        <v>195510</v>
      </c>
      <c r="H21" s="236">
        <v>209490</v>
      </c>
      <c r="I21" s="238">
        <v>61.576799999999999</v>
      </c>
      <c r="J21" s="238">
        <v>63.1877</v>
      </c>
      <c r="K21" s="312"/>
      <c r="L21" s="312"/>
      <c r="M21" s="312"/>
      <c r="N21" s="236">
        <v>4262.6099999999997</v>
      </c>
      <c r="O21" s="245">
        <f t="shared" si="0"/>
        <v>25271808.829999998</v>
      </c>
      <c r="P21" s="243">
        <f t="shared" si="10"/>
        <v>4738464.16</v>
      </c>
      <c r="Q21" s="243">
        <f t="shared" si="11"/>
        <v>3790771.32</v>
      </c>
      <c r="R21" s="244">
        <v>0.15</v>
      </c>
      <c r="S21" s="243">
        <f t="shared" si="1"/>
        <v>947692.83</v>
      </c>
      <c r="T21" s="286">
        <v>3.7499999999999999E-2</v>
      </c>
      <c r="U21" s="45">
        <f t="shared" si="2"/>
        <v>405000</v>
      </c>
      <c r="V21" s="45">
        <f t="shared" si="12"/>
        <v>25271808.829999998</v>
      </c>
      <c r="W21" s="84">
        <f t="shared" si="13"/>
        <v>13064.5</v>
      </c>
      <c r="X21" s="85">
        <f t="shared" si="3"/>
        <v>62.399500000000003</v>
      </c>
      <c r="Y21" s="85">
        <f t="shared" si="4"/>
        <v>11.6999</v>
      </c>
      <c r="Z21" s="45">
        <f t="shared" si="5"/>
        <v>4738464.16</v>
      </c>
      <c r="AA21" s="45" t="str">
        <f t="shared" si="6"/>
        <v/>
      </c>
      <c r="AB21" s="45" t="str">
        <f t="shared" si="14"/>
        <v/>
      </c>
      <c r="AC21" s="84" t="str">
        <f t="shared" si="15"/>
        <v/>
      </c>
      <c r="AD21" s="85" t="str">
        <f t="shared" si="7"/>
        <v/>
      </c>
      <c r="AE21" s="85" t="str">
        <f t="shared" si="8"/>
        <v/>
      </c>
      <c r="AF21" s="45" t="str">
        <f t="shared" si="9"/>
        <v/>
      </c>
      <c r="AG21" s="55"/>
    </row>
    <row r="22" spans="1:33" s="395" customFormat="1" x14ac:dyDescent="0.25">
      <c r="A22" s="409" t="s">
        <v>28</v>
      </c>
      <c r="B22" s="410" t="s">
        <v>8</v>
      </c>
      <c r="C22" s="411" t="s">
        <v>31</v>
      </c>
      <c r="D22" s="412" t="s">
        <v>21</v>
      </c>
      <c r="E22" s="411" t="s">
        <v>101</v>
      </c>
      <c r="F22" s="413" t="s">
        <v>56</v>
      </c>
      <c r="G22" s="312">
        <v>253486.59</v>
      </c>
      <c r="H22" s="236">
        <v>270429.23</v>
      </c>
      <c r="I22" s="363">
        <v>1.9713000000000001</v>
      </c>
      <c r="J22" s="238">
        <v>1.9713000000000001</v>
      </c>
      <c r="K22" s="312"/>
      <c r="L22" s="312"/>
      <c r="M22" s="312"/>
      <c r="N22" s="236">
        <v>2198.25</v>
      </c>
      <c r="O22" s="245">
        <f t="shared" si="0"/>
        <v>1030597</v>
      </c>
      <c r="P22" s="312">
        <f t="shared" si="10"/>
        <v>193236.94</v>
      </c>
      <c r="Q22" s="312">
        <f t="shared" si="11"/>
        <v>154589.54999999999</v>
      </c>
      <c r="R22" s="414">
        <v>0.15</v>
      </c>
      <c r="S22" s="312">
        <f t="shared" si="1"/>
        <v>38647.39</v>
      </c>
      <c r="T22" s="415">
        <v>3.7499999999999999E-2</v>
      </c>
      <c r="U22" s="416" t="str">
        <f t="shared" si="2"/>
        <v/>
      </c>
      <c r="V22" s="416" t="str">
        <f t="shared" si="12"/>
        <v/>
      </c>
      <c r="W22" s="417" t="str">
        <f t="shared" si="13"/>
        <v/>
      </c>
      <c r="X22" s="418" t="str">
        <f t="shared" si="3"/>
        <v/>
      </c>
      <c r="Y22" s="418" t="str">
        <f t="shared" si="4"/>
        <v/>
      </c>
      <c r="Z22" s="416" t="str">
        <f t="shared" si="5"/>
        <v/>
      </c>
      <c r="AA22" s="416">
        <f t="shared" si="6"/>
        <v>523915.81999999995</v>
      </c>
      <c r="AB22" s="416">
        <f t="shared" si="14"/>
        <v>1030597</v>
      </c>
      <c r="AC22" s="417">
        <f t="shared" si="15"/>
        <v>16900.5</v>
      </c>
      <c r="AD22" s="418">
        <f t="shared" si="7"/>
        <v>1.9671000000000001</v>
      </c>
      <c r="AE22" s="418">
        <f t="shared" si="8"/>
        <v>0.36880000000000002</v>
      </c>
      <c r="AF22" s="416">
        <f t="shared" si="9"/>
        <v>193236.94</v>
      </c>
      <c r="AG22" s="419"/>
    </row>
    <row r="23" spans="1:33" x14ac:dyDescent="0.25">
      <c r="A23" s="26" t="s">
        <v>28</v>
      </c>
      <c r="B23" s="29" t="s">
        <v>57</v>
      </c>
      <c r="C23" s="62" t="s">
        <v>31</v>
      </c>
      <c r="D23" s="28" t="s">
        <v>21</v>
      </c>
      <c r="E23" s="62" t="s">
        <v>101</v>
      </c>
      <c r="F23" s="260" t="s">
        <v>37</v>
      </c>
      <c r="G23" s="312"/>
      <c r="H23" s="312"/>
      <c r="I23" s="237"/>
      <c r="J23" s="237"/>
      <c r="K23" s="312"/>
      <c r="L23" s="312"/>
      <c r="M23" s="312"/>
      <c r="N23" s="312"/>
      <c r="O23" s="245">
        <f t="shared" si="0"/>
        <v>0</v>
      </c>
      <c r="P23" s="243">
        <f t="shared" si="10"/>
        <v>0</v>
      </c>
      <c r="Q23" s="243">
        <f t="shared" si="11"/>
        <v>0</v>
      </c>
      <c r="R23" s="244">
        <v>0.15</v>
      </c>
      <c r="S23" s="243">
        <f t="shared" si="1"/>
        <v>0</v>
      </c>
      <c r="T23" s="286">
        <v>3.7499999999999999E-2</v>
      </c>
      <c r="U23" s="45">
        <f t="shared" si="2"/>
        <v>0</v>
      </c>
      <c r="V23" s="45">
        <f t="shared" si="12"/>
        <v>0</v>
      </c>
      <c r="W23" s="84">
        <f t="shared" si="13"/>
        <v>0</v>
      </c>
      <c r="X23" s="85">
        <f t="shared" si="3"/>
        <v>0</v>
      </c>
      <c r="Y23" s="85">
        <f t="shared" si="4"/>
        <v>0</v>
      </c>
      <c r="Z23" s="45">
        <f t="shared" si="5"/>
        <v>0</v>
      </c>
      <c r="AA23" s="45" t="str">
        <f t="shared" si="6"/>
        <v/>
      </c>
      <c r="AB23" s="45" t="str">
        <f t="shared" si="14"/>
        <v/>
      </c>
      <c r="AC23" s="84" t="str">
        <f t="shared" si="15"/>
        <v/>
      </c>
      <c r="AD23" s="85" t="str">
        <f t="shared" si="7"/>
        <v/>
      </c>
      <c r="AE23" s="85" t="str">
        <f t="shared" si="8"/>
        <v/>
      </c>
      <c r="AF23" s="45" t="str">
        <f t="shared" si="9"/>
        <v/>
      </c>
      <c r="AG23" s="55"/>
    </row>
    <row r="24" spans="1:33" x14ac:dyDescent="0.25">
      <c r="A24" s="26" t="s">
        <v>28</v>
      </c>
      <c r="B24" s="27" t="s">
        <v>9</v>
      </c>
      <c r="C24" s="62" t="s">
        <v>31</v>
      </c>
      <c r="D24" s="28" t="s">
        <v>30</v>
      </c>
      <c r="E24" s="62" t="s">
        <v>101</v>
      </c>
      <c r="F24" s="260" t="s">
        <v>37</v>
      </c>
      <c r="G24" s="312">
        <v>542</v>
      </c>
      <c r="H24" s="312">
        <v>479</v>
      </c>
      <c r="I24" s="237">
        <v>61.458500000000001</v>
      </c>
      <c r="J24" s="238">
        <v>63.27</v>
      </c>
      <c r="K24" s="312"/>
      <c r="L24" s="312"/>
      <c r="M24" s="312"/>
      <c r="N24" s="312">
        <v>789.01</v>
      </c>
      <c r="O24" s="245">
        <f t="shared" si="0"/>
        <v>62827.83</v>
      </c>
      <c r="P24" s="243">
        <f t="shared" si="10"/>
        <v>11780.22</v>
      </c>
      <c r="Q24" s="243">
        <f t="shared" si="11"/>
        <v>9424.17</v>
      </c>
      <c r="R24" s="244">
        <v>0.15</v>
      </c>
      <c r="S24" s="243">
        <f t="shared" si="1"/>
        <v>2356.04</v>
      </c>
      <c r="T24" s="286">
        <v>3.7499999999999999E-2</v>
      </c>
      <c r="U24" s="45">
        <f t="shared" si="2"/>
        <v>1021</v>
      </c>
      <c r="V24" s="45">
        <f t="shared" si="12"/>
        <v>62827.83</v>
      </c>
      <c r="W24" s="84">
        <f t="shared" si="13"/>
        <v>32.9</v>
      </c>
      <c r="X24" s="85">
        <f t="shared" si="3"/>
        <v>61.535600000000002</v>
      </c>
      <c r="Y24" s="85">
        <f t="shared" si="4"/>
        <v>11.5379</v>
      </c>
      <c r="Z24" s="45">
        <f t="shared" si="5"/>
        <v>11780.22</v>
      </c>
      <c r="AA24" s="45" t="str">
        <f t="shared" si="6"/>
        <v/>
      </c>
      <c r="AB24" s="45" t="str">
        <f t="shared" si="14"/>
        <v/>
      </c>
      <c r="AC24" s="84" t="str">
        <f t="shared" si="15"/>
        <v/>
      </c>
      <c r="AD24" s="85" t="str">
        <f t="shared" si="7"/>
        <v/>
      </c>
      <c r="AE24" s="85" t="str">
        <f t="shared" si="8"/>
        <v/>
      </c>
      <c r="AF24" s="45" t="str">
        <f t="shared" si="9"/>
        <v/>
      </c>
      <c r="AG24" s="55"/>
    </row>
    <row r="25" spans="1:33" x14ac:dyDescent="0.25">
      <c r="A25" s="26" t="s">
        <v>28</v>
      </c>
      <c r="B25" s="29" t="s">
        <v>168</v>
      </c>
      <c r="C25" s="62" t="s">
        <v>31</v>
      </c>
      <c r="D25" s="28" t="s">
        <v>30</v>
      </c>
      <c r="E25" s="62" t="s">
        <v>101</v>
      </c>
      <c r="F25" s="260" t="s">
        <v>37</v>
      </c>
      <c r="G25" s="236">
        <v>29886</v>
      </c>
      <c r="H25" s="236">
        <v>39223</v>
      </c>
      <c r="I25" s="238">
        <v>61.576799999999999</v>
      </c>
      <c r="J25" s="238">
        <v>63.1877</v>
      </c>
      <c r="K25" s="312"/>
      <c r="L25" s="312"/>
      <c r="M25" s="312"/>
      <c r="N25" s="236">
        <v>1505.2</v>
      </c>
      <c r="O25" s="245">
        <f>ROUND(G25*I25,2)+ROUND(H25*J25,2)-K25-L25-M25-N25</f>
        <v>4317190.2</v>
      </c>
      <c r="P25" s="243">
        <f t="shared" si="10"/>
        <v>809473.16</v>
      </c>
      <c r="Q25" s="243">
        <f>ROUND($O25*R25,2)</f>
        <v>647578.53</v>
      </c>
      <c r="R25" s="244">
        <v>0.15</v>
      </c>
      <c r="S25" s="243">
        <f>ROUND($O25*T25,2)</f>
        <v>161894.63</v>
      </c>
      <c r="T25" s="286">
        <v>3.7499999999999999E-2</v>
      </c>
      <c r="U25" s="45">
        <f>IF($F25&amp;"/Día"=W$9,SUM($G25:$H25),"")</f>
        <v>69109</v>
      </c>
      <c r="V25" s="45">
        <f t="shared" si="12"/>
        <v>4317190.2</v>
      </c>
      <c r="W25" s="84">
        <f>IF($F25&amp;"/Día"=W$9,ROUND(U25/$W$1,1),"")</f>
        <v>2229.3000000000002</v>
      </c>
      <c r="X25" s="85">
        <f>IF(U25=0,0,IF($F25&amp;"/Día"=W$9,ROUND(V25/U25,4),""))</f>
        <v>62.469299999999997</v>
      </c>
      <c r="Y25" s="85">
        <f>IF(U25=0,0,IF($F25&amp;"/Día"=W$9,ROUND(Z25/U25,4),""))</f>
        <v>11.712999999999999</v>
      </c>
      <c r="Z25" s="45">
        <f>IF(U25&lt;&gt;"",$P25,"")</f>
        <v>809473.16</v>
      </c>
      <c r="AA25" s="45" t="str">
        <f>IF($F25&amp;"/Día"=AC$9,SUM($G25:$H25),"")</f>
        <v/>
      </c>
      <c r="AB25" s="45" t="str">
        <f t="shared" si="14"/>
        <v/>
      </c>
      <c r="AC25" s="84" t="str">
        <f>IF($F25&amp;"/Día"=AC$9,ROUND(AA25/$W$1,1),"")</f>
        <v/>
      </c>
      <c r="AD25" s="85" t="str">
        <f>IF(AA25=0,0,IF($F25&amp;"/Día"=AC$9,ROUND(AB25/AA25,4),""))</f>
        <v/>
      </c>
      <c r="AE25" s="85" t="str">
        <f>IF(AA25=0,0,IF($F25&amp;"/Día"=AC$9,ROUND(AF25/AA25,4),""))</f>
        <v/>
      </c>
      <c r="AF25" s="45" t="str">
        <f>IF(AA25&lt;&gt;"",$P25,"")</f>
        <v/>
      </c>
      <c r="AG25" s="55"/>
    </row>
    <row r="26" spans="1:33" x14ac:dyDescent="0.25">
      <c r="A26" s="26" t="s">
        <v>28</v>
      </c>
      <c r="B26" s="29" t="s">
        <v>191</v>
      </c>
      <c r="C26" s="62" t="s">
        <v>31</v>
      </c>
      <c r="D26" s="28" t="s">
        <v>30</v>
      </c>
      <c r="E26" s="62" t="s">
        <v>101</v>
      </c>
      <c r="F26" s="260" t="s">
        <v>37</v>
      </c>
      <c r="G26" s="236"/>
      <c r="H26" s="312"/>
      <c r="I26" s="237"/>
      <c r="J26" s="237"/>
      <c r="K26" s="312"/>
      <c r="L26" s="312"/>
      <c r="M26" s="312"/>
      <c r="N26" s="236"/>
      <c r="O26" s="245">
        <f>ROUND(G26*I26,2)+ROUND(H26*J26,2)-K26-L26-M26-N26</f>
        <v>0</v>
      </c>
      <c r="P26" s="243">
        <f t="shared" si="10"/>
        <v>0</v>
      </c>
      <c r="Q26" s="243">
        <f>ROUND($O26*R26,2)</f>
        <v>0</v>
      </c>
      <c r="R26" s="244">
        <v>0.15</v>
      </c>
      <c r="S26" s="243">
        <f>ROUND($O26*T26,2)</f>
        <v>0</v>
      </c>
      <c r="T26" s="286">
        <v>3.7499999999999999E-2</v>
      </c>
      <c r="U26" s="45">
        <f>IF($F26&amp;"/Día"=W$9,SUM($G26:$H26),"")</f>
        <v>0</v>
      </c>
      <c r="V26" s="45">
        <f>IF(U26&lt;&gt;"",$O26,"")</f>
        <v>0</v>
      </c>
      <c r="W26" s="84">
        <f>IF($F26&amp;"/Día"=W$9,ROUND(U26/$W$1,1),"")</f>
        <v>0</v>
      </c>
      <c r="X26" s="85">
        <f>IF(U26=0,0,IF($F26&amp;"/Día"=W$9,ROUND(V26/U26,4),""))</f>
        <v>0</v>
      </c>
      <c r="Y26" s="85">
        <f>IF(U26=0,0,IF($F26&amp;"/Día"=W$9,ROUND(Z26/U26,4),""))</f>
        <v>0</v>
      </c>
      <c r="Z26" s="45">
        <f>IF(U26&lt;&gt;"",$P26,"")</f>
        <v>0</v>
      </c>
      <c r="AA26" s="45" t="str">
        <f>IF($F26&amp;"/Día"=AC$9,SUM($G26:$H26),"")</f>
        <v/>
      </c>
      <c r="AB26" s="45" t="str">
        <f>IF(AA26&lt;&gt;"",$O26,"")</f>
        <v/>
      </c>
      <c r="AC26" s="84" t="str">
        <f>IF($F26&amp;"/Día"=AC$9,ROUND(AA26/$W$1,1),"")</f>
        <v/>
      </c>
      <c r="AD26" s="85" t="str">
        <f>IF(AA26=0,0,IF($F26&amp;"/Día"=AC$9,ROUND(AB26/AA26,4),""))</f>
        <v/>
      </c>
      <c r="AE26" s="85" t="str">
        <f>IF(AA26=0,0,IF($F26&amp;"/Día"=AC$9,ROUND(AF26/AA26,4),""))</f>
        <v/>
      </c>
      <c r="AF26" s="45" t="str">
        <f>IF(AA26&lt;&gt;"",$P26,"")</f>
        <v/>
      </c>
      <c r="AG26" s="55"/>
    </row>
    <row r="27" spans="1:33" x14ac:dyDescent="0.25">
      <c r="A27" s="26" t="s">
        <v>28</v>
      </c>
      <c r="B27" s="29" t="s">
        <v>160</v>
      </c>
      <c r="C27" s="62" t="s">
        <v>31</v>
      </c>
      <c r="D27" s="28" t="s">
        <v>30</v>
      </c>
      <c r="E27" s="62" t="s">
        <v>101</v>
      </c>
      <c r="F27" s="260" t="s">
        <v>56</v>
      </c>
      <c r="G27" s="236">
        <f>66398.35+67054.56</f>
        <v>133452.91</v>
      </c>
      <c r="H27" s="312">
        <f>103068.34+75979.36</f>
        <v>179047.7</v>
      </c>
      <c r="I27" s="349">
        <v>2.7629297105623247</v>
      </c>
      <c r="J27" s="349">
        <v>2.5652522763487049</v>
      </c>
      <c r="K27" s="312"/>
      <c r="L27" s="312"/>
      <c r="M27" s="312"/>
      <c r="N27" s="236">
        <v>3111.05</v>
      </c>
      <c r="O27" s="245">
        <f t="shared" si="0"/>
        <v>824912.48</v>
      </c>
      <c r="P27" s="243">
        <f t="shared" si="10"/>
        <v>154671.09</v>
      </c>
      <c r="Q27" s="243">
        <f t="shared" si="11"/>
        <v>123736.87</v>
      </c>
      <c r="R27" s="244">
        <v>0.15</v>
      </c>
      <c r="S27" s="243">
        <f t="shared" si="1"/>
        <v>30934.22</v>
      </c>
      <c r="T27" s="286">
        <v>3.7499999999999999E-2</v>
      </c>
      <c r="U27" s="45" t="str">
        <f t="shared" si="2"/>
        <v/>
      </c>
      <c r="V27" s="45" t="str">
        <f t="shared" si="12"/>
        <v/>
      </c>
      <c r="W27" s="84" t="str">
        <f t="shared" si="13"/>
        <v/>
      </c>
      <c r="X27" s="85" t="str">
        <f t="shared" si="3"/>
        <v/>
      </c>
      <c r="Y27" s="85" t="str">
        <f t="shared" si="4"/>
        <v/>
      </c>
      <c r="Z27" s="45" t="str">
        <f t="shared" si="5"/>
        <v/>
      </c>
      <c r="AA27" s="45">
        <f t="shared" si="6"/>
        <v>312500.61</v>
      </c>
      <c r="AB27" s="45">
        <f t="shared" si="14"/>
        <v>824912.48</v>
      </c>
      <c r="AC27" s="84">
        <f t="shared" si="15"/>
        <v>10080.700000000001</v>
      </c>
      <c r="AD27" s="85">
        <f t="shared" si="7"/>
        <v>2.6396999999999999</v>
      </c>
      <c r="AE27" s="85">
        <f t="shared" si="8"/>
        <v>0.49490000000000001</v>
      </c>
      <c r="AF27" s="45">
        <f t="shared" si="9"/>
        <v>154671.09</v>
      </c>
      <c r="AG27" s="55"/>
    </row>
    <row r="28" spans="1:33" x14ac:dyDescent="0.25">
      <c r="A28" s="26" t="s">
        <v>28</v>
      </c>
      <c r="B28" s="27" t="s">
        <v>15</v>
      </c>
      <c r="C28" s="62" t="s">
        <v>29</v>
      </c>
      <c r="D28" s="28" t="s">
        <v>21</v>
      </c>
      <c r="E28" s="62" t="s">
        <v>98</v>
      </c>
      <c r="F28" s="260" t="s">
        <v>37</v>
      </c>
      <c r="G28" s="312"/>
      <c r="H28" s="236">
        <f>213883+40740</f>
        <v>254623</v>
      </c>
      <c r="I28" s="237"/>
      <c r="J28" s="238">
        <v>59.457999984290502</v>
      </c>
      <c r="K28" s="312"/>
      <c r="L28" s="312"/>
      <c r="M28" s="312"/>
      <c r="N28" s="236">
        <v>2405.36</v>
      </c>
      <c r="O28" s="245">
        <f t="shared" si="0"/>
        <v>15136968.970000001</v>
      </c>
      <c r="P28" s="243">
        <f t="shared" si="10"/>
        <v>2838181.68</v>
      </c>
      <c r="Q28" s="243">
        <f t="shared" si="11"/>
        <v>2270545.35</v>
      </c>
      <c r="R28" s="244">
        <v>0.15</v>
      </c>
      <c r="S28" s="243">
        <f t="shared" si="1"/>
        <v>567636.34</v>
      </c>
      <c r="T28" s="286">
        <v>3.7499999999999999E-2</v>
      </c>
      <c r="U28" s="45">
        <f t="shared" si="2"/>
        <v>254623</v>
      </c>
      <c r="V28" s="45">
        <f t="shared" si="12"/>
        <v>15136968.970000001</v>
      </c>
      <c r="W28" s="84">
        <f t="shared" si="13"/>
        <v>8213.6</v>
      </c>
      <c r="X28" s="85">
        <f t="shared" si="3"/>
        <v>59.448599999999999</v>
      </c>
      <c r="Y28" s="85">
        <f t="shared" si="4"/>
        <v>11.146599999999999</v>
      </c>
      <c r="Z28" s="45">
        <f t="shared" si="5"/>
        <v>2838181.68</v>
      </c>
      <c r="AA28" s="45" t="str">
        <f t="shared" si="6"/>
        <v/>
      </c>
      <c r="AB28" s="45" t="str">
        <f t="shared" si="14"/>
        <v/>
      </c>
      <c r="AC28" s="84" t="str">
        <f t="shared" si="15"/>
        <v/>
      </c>
      <c r="AD28" s="85" t="str">
        <f t="shared" si="7"/>
        <v/>
      </c>
      <c r="AE28" s="85" t="str">
        <f t="shared" si="8"/>
        <v/>
      </c>
      <c r="AF28" s="45" t="str">
        <f t="shared" si="9"/>
        <v/>
      </c>
      <c r="AG28" s="55"/>
    </row>
    <row r="29" spans="1:33" x14ac:dyDescent="0.25">
      <c r="A29" s="26" t="s">
        <v>28</v>
      </c>
      <c r="B29" s="27" t="s">
        <v>16</v>
      </c>
      <c r="C29" s="62" t="s">
        <v>29</v>
      </c>
      <c r="D29" s="28" t="s">
        <v>21</v>
      </c>
      <c r="E29" s="62" t="s">
        <v>98</v>
      </c>
      <c r="F29" s="260" t="s">
        <v>56</v>
      </c>
      <c r="G29" s="312"/>
      <c r="H29" s="236">
        <f>268464.02+1104.74+50031.27</f>
        <v>319600.03000000003</v>
      </c>
      <c r="I29" s="237"/>
      <c r="J29" s="221">
        <v>5.2256954106043096</v>
      </c>
      <c r="K29" s="312"/>
      <c r="L29" s="312"/>
      <c r="M29" s="312"/>
      <c r="N29" s="236">
        <v>2121.14</v>
      </c>
      <c r="O29" s="245">
        <f t="shared" si="0"/>
        <v>1668011.27</v>
      </c>
      <c r="P29" s="243">
        <f t="shared" si="10"/>
        <v>312752.11</v>
      </c>
      <c r="Q29" s="243">
        <f t="shared" si="11"/>
        <v>250201.69</v>
      </c>
      <c r="R29" s="244">
        <v>0.15</v>
      </c>
      <c r="S29" s="243">
        <f t="shared" si="1"/>
        <v>62550.42</v>
      </c>
      <c r="T29" s="286">
        <v>3.7499999999999999E-2</v>
      </c>
      <c r="U29" s="45" t="str">
        <f t="shared" si="2"/>
        <v/>
      </c>
      <c r="V29" s="45" t="str">
        <f t="shared" si="12"/>
        <v/>
      </c>
      <c r="W29" s="84" t="str">
        <f t="shared" si="13"/>
        <v/>
      </c>
      <c r="X29" s="85" t="str">
        <f t="shared" si="3"/>
        <v/>
      </c>
      <c r="Y29" s="85" t="str">
        <f t="shared" si="4"/>
        <v/>
      </c>
      <c r="Z29" s="45" t="str">
        <f t="shared" si="5"/>
        <v/>
      </c>
      <c r="AA29" s="45">
        <f t="shared" si="6"/>
        <v>319600.03000000003</v>
      </c>
      <c r="AB29" s="45">
        <f t="shared" si="14"/>
        <v>1668011.27</v>
      </c>
      <c r="AC29" s="84">
        <f t="shared" si="15"/>
        <v>10309.700000000001</v>
      </c>
      <c r="AD29" s="85">
        <f t="shared" si="7"/>
        <v>5.2191000000000001</v>
      </c>
      <c r="AE29" s="85">
        <f t="shared" si="8"/>
        <v>0.97860000000000003</v>
      </c>
      <c r="AF29" s="45">
        <f t="shared" si="9"/>
        <v>312752.11</v>
      </c>
      <c r="AG29" s="55"/>
    </row>
    <row r="30" spans="1:33" x14ac:dyDescent="0.25">
      <c r="A30" s="26" t="s">
        <v>28</v>
      </c>
      <c r="B30" s="27" t="s">
        <v>173</v>
      </c>
      <c r="C30" s="62" t="s">
        <v>31</v>
      </c>
      <c r="D30" s="28" t="s">
        <v>30</v>
      </c>
      <c r="E30" s="62" t="s">
        <v>101</v>
      </c>
      <c r="F30" s="260" t="s">
        <v>37</v>
      </c>
      <c r="G30" s="312">
        <v>389</v>
      </c>
      <c r="H30" s="236">
        <v>344</v>
      </c>
      <c r="I30" s="238">
        <v>61.576799999999999</v>
      </c>
      <c r="J30" s="238">
        <v>63.1877</v>
      </c>
      <c r="K30" s="312"/>
      <c r="L30" s="312"/>
      <c r="M30" s="312"/>
      <c r="N30" s="236">
        <v>463.42</v>
      </c>
      <c r="O30" s="245">
        <f>ROUND(G30*I30,2)+ROUND(H30*J30,2)-K30-L30-M30-N30</f>
        <v>45226.53</v>
      </c>
      <c r="P30" s="243">
        <f t="shared" si="10"/>
        <v>8479.9699999999993</v>
      </c>
      <c r="Q30" s="243">
        <f>ROUND($O30*R30,2)</f>
        <v>1695.99</v>
      </c>
      <c r="R30" s="286">
        <v>3.7499999999999999E-2</v>
      </c>
      <c r="S30" s="243">
        <f t="shared" si="1"/>
        <v>6783.98</v>
      </c>
      <c r="T30" s="244">
        <v>0.15</v>
      </c>
      <c r="U30" s="45">
        <f>IF($F30&amp;"/Día"=W$9,SUM($G30:$H30),"")</f>
        <v>733</v>
      </c>
      <c r="V30" s="45">
        <f t="shared" si="12"/>
        <v>45226.53</v>
      </c>
      <c r="W30" s="84">
        <f>IF($F30&amp;"/Día"=W$9,ROUND(U30/$W$1,1),"")</f>
        <v>23.6</v>
      </c>
      <c r="X30" s="85">
        <f>IF(U30=0,0,IF($F30&amp;"/Día"=W$9,ROUND(V30/U30,4),""))</f>
        <v>61.700600000000001</v>
      </c>
      <c r="Y30" s="85">
        <f>IF(U30=0,0,IF($F30&amp;"/Día"=W$9,ROUND(Z30/U30,4),""))</f>
        <v>11.568899999999999</v>
      </c>
      <c r="Z30" s="45">
        <f>IF(U30&lt;&gt;"",$P30,"")</f>
        <v>8479.9699999999993</v>
      </c>
      <c r="AA30" s="45" t="str">
        <f>IF($F30&amp;"/Día"=AC$9,SUM($G30:$H30),"")</f>
        <v/>
      </c>
      <c r="AB30" s="45" t="str">
        <f t="shared" si="14"/>
        <v/>
      </c>
      <c r="AC30" s="84" t="str">
        <f>IF($F30&amp;"/Día"=AC$9,ROUND(AA30/$W$1,1),"")</f>
        <v/>
      </c>
      <c r="AD30" s="85" t="str">
        <f>IF(AA30=0,0,IF($F30&amp;"/Día"=AC$9,ROUND(AB30/AA30,4),""))</f>
        <v/>
      </c>
      <c r="AE30" s="85" t="str">
        <f>IF(AA30=0,0,IF($F30&amp;"/Día"=AC$9,ROUND(AF30/AA30,4),""))</f>
        <v/>
      </c>
      <c r="AF30" s="45" t="str">
        <f>IF(AA30&lt;&gt;"",$P30,"")</f>
        <v/>
      </c>
      <c r="AG30" s="55"/>
    </row>
    <row r="31" spans="1:33" x14ac:dyDescent="0.25">
      <c r="A31" s="26" t="s">
        <v>28</v>
      </c>
      <c r="B31" s="216" t="s">
        <v>169</v>
      </c>
      <c r="C31" s="62" t="s">
        <v>31</v>
      </c>
      <c r="D31" s="28" t="s">
        <v>30</v>
      </c>
      <c r="E31" s="62" t="s">
        <v>101</v>
      </c>
      <c r="F31" s="260" t="s">
        <v>37</v>
      </c>
      <c r="G31" s="236"/>
      <c r="H31" s="236">
        <v>55112</v>
      </c>
      <c r="I31" s="238"/>
      <c r="J31" s="238">
        <v>63.1877</v>
      </c>
      <c r="K31" s="236"/>
      <c r="L31" s="312"/>
      <c r="M31" s="312"/>
      <c r="N31" s="236">
        <v>1427.03</v>
      </c>
      <c r="O31" s="245">
        <f>ROUND(G31*I31,2)+ROUND(H31*J31,2)-K31-L31-M31-N31</f>
        <v>3480973.49</v>
      </c>
      <c r="P31" s="243">
        <f t="shared" si="10"/>
        <v>652682.53</v>
      </c>
      <c r="Q31" s="243">
        <f>ROUND($O31*R31,2)</f>
        <v>130536.51</v>
      </c>
      <c r="R31" s="286">
        <v>3.7499999999999999E-2</v>
      </c>
      <c r="S31" s="243">
        <f t="shared" si="1"/>
        <v>522146.02</v>
      </c>
      <c r="T31" s="244">
        <v>0.15</v>
      </c>
      <c r="U31" s="45">
        <f>IF($F31&amp;"/Día"=W$9,SUM($G31:$H31),"")</f>
        <v>55112</v>
      </c>
      <c r="V31" s="45">
        <f t="shared" si="12"/>
        <v>3480973.49</v>
      </c>
      <c r="W31" s="84">
        <f>IF($F31&amp;"/Día"=W$9,ROUND(U31/$W$1,1),"")</f>
        <v>1777.8</v>
      </c>
      <c r="X31" s="85">
        <f>IF(U31=0,0,IF($F31&amp;"/Día"=W$9,ROUND(V31/U31,4),""))</f>
        <v>63.161799999999999</v>
      </c>
      <c r="Y31" s="85">
        <f>IF(U31=0,0,IF($F31&amp;"/Día"=W$9,ROUND(Z31/U31,4),""))</f>
        <v>11.8428</v>
      </c>
      <c r="Z31" s="45">
        <f>IF(U31&lt;&gt;"",$P31,"")</f>
        <v>652682.53</v>
      </c>
      <c r="AA31" s="45" t="str">
        <f>IF($F31&amp;"/Día"=AC$9,SUM($G31:$H31),"")</f>
        <v/>
      </c>
      <c r="AB31" s="45" t="str">
        <f t="shared" si="14"/>
        <v/>
      </c>
      <c r="AC31" s="84" t="str">
        <f>IF($F31&amp;"/Día"=AC$9,ROUND(AA31/$W$1,1),"")</f>
        <v/>
      </c>
      <c r="AD31" s="85" t="str">
        <f>IF(AA31=0,0,IF($F31&amp;"/Día"=AC$9,ROUND(AB31/AA31,4),""))</f>
        <v/>
      </c>
      <c r="AE31" s="85" t="str">
        <f>IF(AA31=0,0,IF($F31&amp;"/Día"=AC$9,ROUND(AF31/AA31,4),""))</f>
        <v/>
      </c>
      <c r="AF31" s="45" t="str">
        <f>IF(AA31&lt;&gt;"",$P31,"")</f>
        <v/>
      </c>
      <c r="AG31" s="55"/>
    </row>
    <row r="32" spans="1:33" x14ac:dyDescent="0.25">
      <c r="A32" s="26" t="s">
        <v>28</v>
      </c>
      <c r="B32" s="216" t="s">
        <v>170</v>
      </c>
      <c r="C32" s="62" t="s">
        <v>31</v>
      </c>
      <c r="D32" s="28" t="s">
        <v>30</v>
      </c>
      <c r="E32" s="62" t="s">
        <v>101</v>
      </c>
      <c r="F32" s="260" t="s">
        <v>56</v>
      </c>
      <c r="G32" s="236"/>
      <c r="H32" s="236"/>
      <c r="I32" s="238"/>
      <c r="J32" s="238"/>
      <c r="K32" s="236"/>
      <c r="L32" s="312"/>
      <c r="M32" s="312"/>
      <c r="N32" s="236"/>
      <c r="O32" s="245">
        <f>ROUND(G32*I32,2)+ROUND(H32*J32,2)-K32-L32-M32-N32</f>
        <v>0</v>
      </c>
      <c r="P32" s="243">
        <f t="shared" si="10"/>
        <v>0</v>
      </c>
      <c r="Q32" s="243">
        <f>ROUND($O32*R32,2)</f>
        <v>0</v>
      </c>
      <c r="R32" s="286">
        <v>3.7499999999999999E-2</v>
      </c>
      <c r="S32" s="243">
        <f t="shared" si="1"/>
        <v>0</v>
      </c>
      <c r="T32" s="244">
        <v>0.15</v>
      </c>
      <c r="U32" s="45" t="str">
        <f>IF($F32&amp;"/Día"=W$9,SUM($G32:$H32),"")</f>
        <v/>
      </c>
      <c r="V32" s="45" t="str">
        <f t="shared" si="12"/>
        <v/>
      </c>
      <c r="W32" s="84" t="str">
        <f>IF($F32&amp;"/Día"=W$9,ROUND(U32/$W$1,1),"")</f>
        <v/>
      </c>
      <c r="X32" s="85" t="str">
        <f>IF(U32=0,0,IF($F32&amp;"/Día"=W$9,ROUND(V32/U32,4),""))</f>
        <v/>
      </c>
      <c r="Y32" s="85" t="str">
        <f>IF(U32=0,0,IF($F32&amp;"/Día"=W$9,ROUND(Z32/U32,4),""))</f>
        <v/>
      </c>
      <c r="Z32" s="45" t="str">
        <f>IF(U32&lt;&gt;"",$P32,"")</f>
        <v/>
      </c>
      <c r="AA32" s="45">
        <f>IF($F32&amp;"/Día"=AC$9,SUM($G32:$H32),"")</f>
        <v>0</v>
      </c>
      <c r="AB32" s="45">
        <f t="shared" si="14"/>
        <v>0</v>
      </c>
      <c r="AC32" s="84">
        <f>IF($F32&amp;"/Día"=AC$9,ROUND(AA32/$W$1,1),"")</f>
        <v>0</v>
      </c>
      <c r="AD32" s="85">
        <f>IF(AA32=0,0,IF($F32&amp;"/Día"=AC$9,ROUND(AB32/AA32,4),""))</f>
        <v>0</v>
      </c>
      <c r="AE32" s="85">
        <f>IF(AA32=0,0,IF($F32&amp;"/Día"=AC$9,ROUND(AF32/AA32,4),""))</f>
        <v>0</v>
      </c>
      <c r="AF32" s="45">
        <f>IF(AA32&lt;&gt;"",$P32,"")</f>
        <v>0</v>
      </c>
      <c r="AG32" s="55"/>
    </row>
    <row r="33" spans="1:33" x14ac:dyDescent="0.25">
      <c r="A33" s="30" t="s">
        <v>28</v>
      </c>
      <c r="B33" s="271" t="s">
        <v>174</v>
      </c>
      <c r="C33" s="260" t="s">
        <v>29</v>
      </c>
      <c r="D33" s="268" t="s">
        <v>21</v>
      </c>
      <c r="E33" s="260" t="s">
        <v>98</v>
      </c>
      <c r="F33" s="260" t="s">
        <v>37</v>
      </c>
      <c r="G33" s="236"/>
      <c r="H33" s="236">
        <f>23156+4411</f>
        <v>27567</v>
      </c>
      <c r="I33" s="238"/>
      <c r="J33" s="238">
        <v>58.768000000000001</v>
      </c>
      <c r="K33" s="236"/>
      <c r="L33" s="312"/>
      <c r="M33" s="312"/>
      <c r="N33" s="236">
        <v>2310.5300000000002</v>
      </c>
      <c r="O33" s="245">
        <f>ROUND(G33*I33,2)+ROUND(H33*J33,2)-K33-L33-M33-N33</f>
        <v>1617746.93</v>
      </c>
      <c r="P33" s="243">
        <f t="shared" si="10"/>
        <v>303327.55</v>
      </c>
      <c r="Q33" s="243">
        <f>ROUND($O33*R33,2)</f>
        <v>242662.04</v>
      </c>
      <c r="R33" s="247">
        <v>0.15</v>
      </c>
      <c r="S33" s="243">
        <f t="shared" si="1"/>
        <v>60665.51</v>
      </c>
      <c r="T33" s="286">
        <v>3.7499999999999999E-2</v>
      </c>
      <c r="U33" s="45">
        <f>IF($F33&amp;"/Día"=W$9,SUM($G33:$H33),"")</f>
        <v>27567</v>
      </c>
      <c r="V33" s="45">
        <f t="shared" si="12"/>
        <v>1617746.93</v>
      </c>
      <c r="W33" s="84">
        <f>IF($F33&amp;"/Día"=W$9,ROUND(U33/$W$1,1),"")</f>
        <v>889.3</v>
      </c>
      <c r="X33" s="85">
        <f>IF(U33=0,0,IF($F33&amp;"/Día"=W$9,ROUND(V33/U33,4),""))</f>
        <v>58.684199999999997</v>
      </c>
      <c r="Y33" s="85">
        <f>IF(U33=0,0,IF($F33&amp;"/Día"=W$9,ROUND(Z33/U33,4),""))</f>
        <v>11.003299999999999</v>
      </c>
      <c r="Z33" s="45">
        <f>IF(U33&lt;&gt;"",$P33,"")</f>
        <v>303327.55</v>
      </c>
      <c r="AA33" s="45" t="str">
        <f>IF($F33&amp;"/Día"=AC$9,SUM($G33:$H33),"")</f>
        <v/>
      </c>
      <c r="AB33" s="45" t="str">
        <f t="shared" si="14"/>
        <v/>
      </c>
      <c r="AC33" s="84" t="str">
        <f>IF($F33&amp;"/Día"=AC$9,ROUND(AA33/$W$1,1),"")</f>
        <v/>
      </c>
      <c r="AD33" s="85" t="str">
        <f>IF(AA33=0,0,IF($F33&amp;"/Día"=AC$9,ROUND(AB33/AA33,4),""))</f>
        <v/>
      </c>
      <c r="AE33" s="85" t="str">
        <f>IF(AA33=0,0,IF($F33&amp;"/Día"=AC$9,ROUND(AF33/AA33,4),""))</f>
        <v/>
      </c>
      <c r="AF33" s="45" t="str">
        <f>IF(AA33&lt;&gt;"",$P33,"")</f>
        <v/>
      </c>
      <c r="AG33" s="55"/>
    </row>
    <row r="34" spans="1:33" x14ac:dyDescent="0.25">
      <c r="A34" s="30" t="s">
        <v>28</v>
      </c>
      <c r="B34" s="216" t="s">
        <v>178</v>
      </c>
      <c r="C34" s="62" t="s">
        <v>31</v>
      </c>
      <c r="D34" s="28" t="s">
        <v>30</v>
      </c>
      <c r="E34" s="62" t="s">
        <v>101</v>
      </c>
      <c r="F34" s="260" t="s">
        <v>56</v>
      </c>
      <c r="G34" s="236"/>
      <c r="H34" s="236"/>
      <c r="I34" s="238"/>
      <c r="J34" s="238"/>
      <c r="K34" s="236"/>
      <c r="L34" s="312"/>
      <c r="M34" s="312"/>
      <c r="N34" s="236"/>
      <c r="O34" s="245">
        <f>ROUND(G34*I34,2)+ROUND(H34*J34,2)-K34-L34-M34-N34</f>
        <v>0</v>
      </c>
      <c r="P34" s="243">
        <f t="shared" si="10"/>
        <v>0</v>
      </c>
      <c r="Q34" s="243">
        <f>ROUND($O34*R34,2)</f>
        <v>0</v>
      </c>
      <c r="R34" s="275">
        <v>0.15</v>
      </c>
      <c r="S34" s="243">
        <f t="shared" si="1"/>
        <v>0</v>
      </c>
      <c r="T34" s="286">
        <v>3.7499999999999999E-2</v>
      </c>
      <c r="U34" s="45"/>
      <c r="V34" s="45"/>
      <c r="W34" s="84"/>
      <c r="X34" s="85"/>
      <c r="Y34" s="85"/>
      <c r="Z34" s="45"/>
      <c r="AA34" s="45"/>
      <c r="AB34" s="45"/>
      <c r="AC34" s="84"/>
      <c r="AD34" s="85"/>
      <c r="AE34" s="85"/>
      <c r="AF34" s="45"/>
      <c r="AG34" s="55"/>
    </row>
    <row r="35" spans="1:33" x14ac:dyDescent="0.25">
      <c r="A35" s="30" t="s">
        <v>28</v>
      </c>
      <c r="B35" s="33" t="s">
        <v>52</v>
      </c>
      <c r="C35" s="61"/>
      <c r="D35" s="61"/>
      <c r="E35" s="31"/>
      <c r="F35" s="269"/>
      <c r="G35" s="312"/>
      <c r="H35" s="312"/>
      <c r="I35" s="237"/>
      <c r="J35" s="237"/>
      <c r="K35" s="312"/>
      <c r="L35" s="312"/>
      <c r="M35" s="312"/>
      <c r="N35" s="312"/>
      <c r="O35" s="243">
        <f>+O139</f>
        <v>-23595.849999999627</v>
      </c>
      <c r="P35" s="243">
        <f>+P139</f>
        <v>-4424.2199999999721</v>
      </c>
      <c r="Q35" s="243">
        <f>+Q139</f>
        <v>-3539.3800000000047</v>
      </c>
      <c r="R35" s="275"/>
      <c r="S35" s="243">
        <f>+S139</f>
        <v>-884.83999999999651</v>
      </c>
      <c r="T35" s="244"/>
      <c r="U35" s="45" t="str">
        <f>IF($F35&amp;"/Día"=W$9,SUM($G35:$H35),"")</f>
        <v/>
      </c>
      <c r="V35" s="45" t="str">
        <f t="shared" si="12"/>
        <v/>
      </c>
      <c r="W35" s="84" t="str">
        <f>IF($F35&amp;"/Día"=W$9,ROUND(U35/$W$1,1),"")</f>
        <v/>
      </c>
      <c r="X35" s="85" t="str">
        <f>IF(U35=0,0,IF($F35&amp;"/Día"=W$9,ROUND(V35/U35,4),""))</f>
        <v/>
      </c>
      <c r="Y35" s="85" t="str">
        <f>IF(U35=0,0,IF($F35&amp;"/Día"=W$9,ROUND(Z35/U35,4),""))</f>
        <v/>
      </c>
      <c r="Z35" s="45" t="str">
        <f>IF(U35&lt;&gt;"",$P35,"")</f>
        <v/>
      </c>
      <c r="AA35" s="45" t="str">
        <f>IF($F35&amp;"/Día"=AC$9,SUM($G35:$H35),"")</f>
        <v/>
      </c>
      <c r="AB35" s="45" t="str">
        <f t="shared" si="14"/>
        <v/>
      </c>
      <c r="AC35" s="84" t="str">
        <f>IF($F35&amp;"/Día"=AC$9,ROUND(AA35/$W$1,1),"")</f>
        <v/>
      </c>
      <c r="AD35" s="85" t="str">
        <f>IF(AA35=0,0,IF($F35&amp;"/Día"=AC$9,ROUND(AB35/AA35,4),""))</f>
        <v/>
      </c>
      <c r="AE35" s="85" t="str">
        <f>IF(AA35=0,0,IF($F35&amp;"/Día"=AC$9,ROUND(AF35/AA35,4),""))</f>
        <v/>
      </c>
      <c r="AF35" s="45" t="str">
        <f>IF(AA35&lt;&gt;"",$P35,"")</f>
        <v/>
      </c>
      <c r="AG35" s="55"/>
    </row>
    <row r="36" spans="1:33" x14ac:dyDescent="0.25">
      <c r="A36" s="34"/>
      <c r="B36" s="165" t="s">
        <v>108</v>
      </c>
      <c r="C36" s="35" t="str">
        <f>TEXT(A$9,)&amp;" US$"</f>
        <v>Piura / Tumbes US$</v>
      </c>
      <c r="D36" s="43"/>
      <c r="E36" s="44"/>
      <c r="F36" s="270"/>
      <c r="G36" s="239"/>
      <c r="H36" s="239"/>
      <c r="I36" s="240"/>
      <c r="J36" s="240"/>
      <c r="K36" s="239"/>
      <c r="L36" s="239"/>
      <c r="M36" s="239"/>
      <c r="N36" s="239"/>
      <c r="O36" s="249">
        <f>SUM(O10:O35)</f>
        <v>68047212.140000001</v>
      </c>
      <c r="P36" s="250">
        <f>SUM(P10:P35)</f>
        <v>12758852.279999999</v>
      </c>
      <c r="Q36" s="251">
        <f>SUM(Q10:Q35)</f>
        <v>9810384.3199999984</v>
      </c>
      <c r="R36" s="252"/>
      <c r="S36" s="253">
        <f>SUM(S10:S35)</f>
        <v>2948467.98</v>
      </c>
      <c r="T36" s="252"/>
      <c r="U36" s="86">
        <f>SUM(U10:U35)</f>
        <v>1028828</v>
      </c>
      <c r="V36" s="86">
        <f>SUM(V10:V35)</f>
        <v>63308539.439999998</v>
      </c>
      <c r="W36" s="87">
        <f>SUM(W10:W35)</f>
        <v>33187.799999999996</v>
      </c>
      <c r="X36" s="88">
        <f>ROUND(V36/U36,4)</f>
        <v>61.534599999999998</v>
      </c>
      <c r="Y36" s="88">
        <f>ROUND(Z36/U36,4)</f>
        <v>11.537699999999999</v>
      </c>
      <c r="Z36" s="86">
        <f>SUM(Z10:Z35)</f>
        <v>11870351.15</v>
      </c>
      <c r="AA36" s="86">
        <f>SUM(AA10:AA35)</f>
        <v>1615702.76</v>
      </c>
      <c r="AB36" s="86">
        <f>SUM(AB10:AB35)</f>
        <v>4762268.55</v>
      </c>
      <c r="AC36" s="87">
        <f>SUM(AC10:AC35)</f>
        <v>52119.5</v>
      </c>
      <c r="AD36" s="88">
        <f>ROUND(AB36/AA36,4)</f>
        <v>2.9474999999999998</v>
      </c>
      <c r="AE36" s="88">
        <f>ROUND(AF36/AA36,4)</f>
        <v>0.55269999999999997</v>
      </c>
      <c r="AF36" s="86">
        <f>SUM(AF10:AF35)</f>
        <v>892925.35</v>
      </c>
      <c r="AG36" s="48">
        <f>P36-Z36-AF36</f>
        <v>-4424.2200000010198</v>
      </c>
    </row>
    <row r="37" spans="1:33" x14ac:dyDescent="0.25">
      <c r="A37" s="136"/>
      <c r="B37" s="137"/>
      <c r="C37" s="35" t="str">
        <f>TEXT(A$9,)&amp;" S/."</f>
        <v>Piura / Tumbes S/.</v>
      </c>
      <c r="D37" s="148"/>
      <c r="E37" s="148"/>
      <c r="F37" s="149"/>
      <c r="G37" s="299"/>
      <c r="H37" s="299"/>
      <c r="I37" s="221"/>
      <c r="J37" s="221"/>
      <c r="K37" s="299"/>
      <c r="L37" s="299"/>
      <c r="M37" s="299"/>
      <c r="N37" s="299"/>
      <c r="O37" s="228"/>
      <c r="P37" s="229">
        <f>ROUND($F$1*P36,2)</f>
        <v>0</v>
      </c>
      <c r="Q37" s="229">
        <f>ROUND($F$1*Q36,2)</f>
        <v>0</v>
      </c>
      <c r="R37" s="151"/>
      <c r="S37" s="231">
        <f>ROUND($F$1*S36,2)</f>
        <v>0</v>
      </c>
      <c r="T37" s="172"/>
      <c r="U37" s="152"/>
      <c r="V37" s="152"/>
      <c r="W37" s="153"/>
      <c r="X37" s="154"/>
      <c r="Y37" s="154"/>
      <c r="Z37" s="152"/>
      <c r="AA37" s="152"/>
      <c r="AB37" s="152"/>
      <c r="AC37" s="153"/>
      <c r="AD37" s="154"/>
      <c r="AE37" s="154"/>
      <c r="AF37" s="152"/>
      <c r="AG37" s="152"/>
    </row>
    <row r="38" spans="1:33" x14ac:dyDescent="0.25">
      <c r="A38" s="313" t="s">
        <v>22</v>
      </c>
      <c r="B38" s="19"/>
      <c r="C38" s="63"/>
      <c r="D38" s="63"/>
      <c r="E38" s="20"/>
      <c r="F38" s="39"/>
      <c r="G38" s="241"/>
      <c r="H38" s="241"/>
      <c r="I38" s="242"/>
      <c r="J38" s="242"/>
      <c r="K38" s="241"/>
      <c r="L38" s="241"/>
      <c r="M38" s="241"/>
      <c r="N38" s="241"/>
      <c r="O38" s="254"/>
      <c r="P38" s="255"/>
      <c r="Q38" s="256" t="s">
        <v>49</v>
      </c>
      <c r="R38" s="234"/>
      <c r="S38" s="316"/>
      <c r="T38" s="317"/>
      <c r="U38" s="54"/>
      <c r="V38" s="54"/>
      <c r="W38" s="89"/>
      <c r="X38" s="90"/>
      <c r="Y38" s="90"/>
      <c r="Z38" s="90"/>
      <c r="AA38" s="54"/>
      <c r="AB38" s="54"/>
      <c r="AC38" s="89"/>
      <c r="AD38" s="90"/>
      <c r="AE38" s="90"/>
      <c r="AF38" s="90"/>
      <c r="AG38" s="51"/>
    </row>
    <row r="39" spans="1:33" x14ac:dyDescent="0.25">
      <c r="A39" s="30" t="s">
        <v>28</v>
      </c>
      <c r="B39" s="27" t="s">
        <v>11</v>
      </c>
      <c r="C39" s="62" t="s">
        <v>31</v>
      </c>
      <c r="D39" s="28" t="s">
        <v>30</v>
      </c>
      <c r="E39" s="62" t="s">
        <v>101</v>
      </c>
      <c r="F39" s="40" t="s">
        <v>37</v>
      </c>
      <c r="G39" s="236">
        <v>2739</v>
      </c>
      <c r="H39" s="236"/>
      <c r="I39" s="238">
        <v>61.596400000000003</v>
      </c>
      <c r="J39" s="238"/>
      <c r="K39" s="312"/>
      <c r="L39" s="312"/>
      <c r="M39" s="312"/>
      <c r="N39" s="236">
        <v>1094.07</v>
      </c>
      <c r="O39" s="245">
        <f>ROUND(G39*I39,2)+ROUND(H39*J39,2)-K39-L39-M39-N39</f>
        <v>167618.47</v>
      </c>
      <c r="P39" s="243">
        <f>ROUND(15%*O39,2)</f>
        <v>25142.77</v>
      </c>
      <c r="Q39" s="243">
        <f>ROUND($O39*R39,2)</f>
        <v>25142.77</v>
      </c>
      <c r="R39" s="244">
        <v>0.15</v>
      </c>
      <c r="S39" s="248"/>
      <c r="T39" s="247"/>
      <c r="U39" s="45">
        <f>IF($F39&amp;"/Día"=W$9,SUM($G39:$H39),"")</f>
        <v>2739</v>
      </c>
      <c r="V39" s="45">
        <f>IF(U39&lt;&gt;"",$O39,"")</f>
        <v>167618.47</v>
      </c>
      <c r="W39" s="84">
        <f t="shared" si="13"/>
        <v>88.4</v>
      </c>
      <c r="X39" s="85">
        <f>IF(U39=0,0,IF($F39&amp;"/Día"=W$9,ROUND(V39/U39,4),""))</f>
        <v>61.197000000000003</v>
      </c>
      <c r="Y39" s="85">
        <f>IF(U39=0,0,IF($F39&amp;"/Día"=W$9,ROUND(Z39/U39,4),""))</f>
        <v>9.1795000000000009</v>
      </c>
      <c r="Z39" s="45">
        <f>IF(U39&lt;&gt;"",$P39,"")</f>
        <v>25142.77</v>
      </c>
      <c r="AA39" s="45" t="str">
        <f>IF($F39&amp;"/Día"=AC$9,SUM($G39:$H39),"")</f>
        <v/>
      </c>
      <c r="AB39" s="45" t="str">
        <f>IF(AA39&lt;&gt;"",$O39,"")</f>
        <v/>
      </c>
      <c r="AC39" s="84" t="str">
        <f t="shared" si="15"/>
        <v/>
      </c>
      <c r="AD39" s="85" t="str">
        <f>IF(AA39=0,0,IF($F39&amp;"/Día"=AC$9,ROUND(AB39/AA39,4),""))</f>
        <v/>
      </c>
      <c r="AE39" s="85" t="str">
        <f>IF(AA39=0,0,IF($F39&amp;"/Día"=AC$9,ROUND(AF39/AA39,4),""))</f>
        <v/>
      </c>
      <c r="AF39" s="45" t="str">
        <f>IF(AA39&lt;&gt;"",$P39,"")</f>
        <v/>
      </c>
      <c r="AG39" s="55"/>
    </row>
    <row r="40" spans="1:33" x14ac:dyDescent="0.25">
      <c r="A40" s="30" t="s">
        <v>28</v>
      </c>
      <c r="B40" s="315">
        <v>131</v>
      </c>
      <c r="C40" s="62" t="s">
        <v>31</v>
      </c>
      <c r="D40" s="28" t="s">
        <v>30</v>
      </c>
      <c r="E40" s="62" t="s">
        <v>101</v>
      </c>
      <c r="F40" s="40" t="s">
        <v>37</v>
      </c>
      <c r="G40" s="236">
        <v>43803</v>
      </c>
      <c r="H40" s="236">
        <v>47994</v>
      </c>
      <c r="I40" s="238">
        <v>58.7224</v>
      </c>
      <c r="J40" s="238">
        <v>60.610199999999999</v>
      </c>
      <c r="K40" s="312"/>
      <c r="L40" s="312"/>
      <c r="M40" s="312"/>
      <c r="N40" s="236">
        <v>9288.93</v>
      </c>
      <c r="O40" s="245">
        <f>ROUND(G40*I40,2)+ROUND(H40*J40,2)-K40-L40-M40-N40</f>
        <v>5471854.3000000007</v>
      </c>
      <c r="P40" s="243">
        <f>ROUND(15%*O40,2)</f>
        <v>820778.15</v>
      </c>
      <c r="Q40" s="243">
        <f>ROUND($O40*R40,2)</f>
        <v>820778.15</v>
      </c>
      <c r="R40" s="244">
        <v>0.15</v>
      </c>
      <c r="S40" s="248"/>
      <c r="T40" s="247"/>
      <c r="U40" s="45">
        <f>IF($F40&amp;"/Día"=W$9,SUM($G40:$H40),"")</f>
        <v>91797</v>
      </c>
      <c r="V40" s="45">
        <f>IF(U40&lt;&gt;"",$O40,"")</f>
        <v>5471854.3000000007</v>
      </c>
      <c r="W40" s="84">
        <f>IF($F40&amp;"/Día"=W$9,ROUND(U40/$W$1,1),"")</f>
        <v>2961.2</v>
      </c>
      <c r="X40" s="85">
        <f>IF(U40=0,0,IF($F40&amp;"/Día"=W$9,ROUND(V40/U40,4),""))</f>
        <v>59.608199999999997</v>
      </c>
      <c r="Y40" s="85">
        <f>IF(U40=0,0,IF($F40&amp;"/Día"=W$9,ROUND(Z40/U40,4),""))</f>
        <v>8.9412000000000003</v>
      </c>
      <c r="Z40" s="45">
        <f>IF(U40&lt;&gt;"",$P40,"")</f>
        <v>820778.15</v>
      </c>
      <c r="AA40" s="45" t="str">
        <f>IF($F40&amp;"/Día"=AC$9,SUM($G40:$H40),"")</f>
        <v/>
      </c>
      <c r="AB40" s="45" t="str">
        <f>IF(AA40&lt;&gt;"",$O40,"")</f>
        <v/>
      </c>
      <c r="AC40" s="84" t="str">
        <f>IF($F40&amp;"/Día"=AC$9,ROUND(AA40/$W$1,1),"")</f>
        <v/>
      </c>
      <c r="AD40" s="85" t="str">
        <f>IF(AA40=0,0,IF($F40&amp;"/Día"=AC$9,ROUND(AB40/AA40,4),""))</f>
        <v/>
      </c>
      <c r="AE40" s="85" t="str">
        <f>IF(AA40=0,0,IF($F40&amp;"/Día"=AC$9,ROUND(AF40/AA40,4),""))</f>
        <v/>
      </c>
      <c r="AF40" s="45" t="str">
        <f>IF(AA40&lt;&gt;"",$P40,"")</f>
        <v/>
      </c>
      <c r="AG40" s="55"/>
    </row>
    <row r="41" spans="1:33" x14ac:dyDescent="0.25">
      <c r="A41" s="30" t="s">
        <v>28</v>
      </c>
      <c r="B41" s="33" t="s">
        <v>53</v>
      </c>
      <c r="C41" s="61"/>
      <c r="D41" s="61"/>
      <c r="E41" s="8"/>
      <c r="F41" s="235"/>
      <c r="G41" s="312"/>
      <c r="H41" s="312"/>
      <c r="I41" s="237"/>
      <c r="J41" s="237"/>
      <c r="K41" s="312"/>
      <c r="L41" s="312"/>
      <c r="M41" s="312"/>
      <c r="N41" s="312"/>
      <c r="O41" s="312"/>
      <c r="P41" s="312"/>
      <c r="Q41" s="312"/>
      <c r="R41" s="247"/>
      <c r="S41" s="248"/>
      <c r="T41" s="247"/>
      <c r="U41" s="45" t="str">
        <f>IF($F41&amp;"/Día"=W$9,SUM($G41:$H41),"")</f>
        <v/>
      </c>
      <c r="V41" s="45" t="str">
        <f>IF(U41&lt;&gt;"",$O41,"")</f>
        <v/>
      </c>
      <c r="W41" s="84" t="str">
        <f t="shared" si="13"/>
        <v/>
      </c>
      <c r="X41" s="85" t="str">
        <f>IF(U41=0,0,IF($F41&amp;"/Día"=W$9,ROUND(V41/U41,4),""))</f>
        <v/>
      </c>
      <c r="Y41" s="85" t="str">
        <f>IF(U41=0,0,IF($F41&amp;"/Día"=W$9,ROUND(Z41/U41,4),""))</f>
        <v/>
      </c>
      <c r="Z41" s="45" t="str">
        <f>IF(U41&lt;&gt;"",$P41,"")</f>
        <v/>
      </c>
      <c r="AA41" s="45" t="str">
        <f>IF($F41&amp;"/Día"=AC$9,SUM($G41:$H41),"")</f>
        <v/>
      </c>
      <c r="AB41" s="45" t="str">
        <f>IF(AA41&lt;&gt;"",$O41,"")</f>
        <v/>
      </c>
      <c r="AC41" s="84" t="str">
        <f t="shared" si="15"/>
        <v/>
      </c>
      <c r="AD41" s="85" t="str">
        <f>IF(AA41=0,0,IF($F41&amp;"/Día"=AC$9,ROUND(AB41/AA41,4),""))</f>
        <v/>
      </c>
      <c r="AE41" s="85" t="str">
        <f>IF(AA41=0,0,IF($F41&amp;"/Día"=AC$9,ROUND(AF41/AA41,4),""))</f>
        <v/>
      </c>
      <c r="AF41" s="45" t="str">
        <f>IF(AA41&lt;&gt;"",$P41,"")</f>
        <v/>
      </c>
      <c r="AG41" s="55"/>
    </row>
    <row r="42" spans="1:33" x14ac:dyDescent="0.25">
      <c r="A42" s="34"/>
      <c r="B42" s="165" t="s">
        <v>108</v>
      </c>
      <c r="C42" s="35" t="str">
        <f>TEXT(A$38,)&amp;" US$"</f>
        <v>Provincia Puerto Inca Huanuco US$</v>
      </c>
      <c r="D42" s="43"/>
      <c r="E42" s="44"/>
      <c r="F42" s="43"/>
      <c r="G42" s="239"/>
      <c r="H42" s="239"/>
      <c r="I42" s="240"/>
      <c r="J42" s="240"/>
      <c r="K42" s="239"/>
      <c r="L42" s="239"/>
      <c r="M42" s="239"/>
      <c r="N42" s="239"/>
      <c r="O42" s="249">
        <f>SUM(O39:O41)</f>
        <v>5639472.7700000005</v>
      </c>
      <c r="P42" s="250">
        <f>SUM(P39:P41)</f>
        <v>845920.92</v>
      </c>
      <c r="Q42" s="250">
        <f>SUM(Q39:Q41)</f>
        <v>845920.92</v>
      </c>
      <c r="R42" s="252"/>
      <c r="S42" s="250">
        <f>SUM(S39:S41)</f>
        <v>0</v>
      </c>
      <c r="T42" s="252"/>
      <c r="U42" s="48">
        <f>SUM(U39:U41)</f>
        <v>94536</v>
      </c>
      <c r="V42" s="48">
        <f>SUM(V39:V41)</f>
        <v>5639472.7700000005</v>
      </c>
      <c r="W42" s="91">
        <f>SUM(W39:W41)</f>
        <v>3049.6</v>
      </c>
      <c r="X42" s="92">
        <f>ROUND(V42/U42,4)</f>
        <v>59.654200000000003</v>
      </c>
      <c r="Y42" s="92">
        <f>ROUND(Z42/U42,4)</f>
        <v>8.9481000000000002</v>
      </c>
      <c r="Z42" s="48">
        <f>SUM(Z39:Z41)</f>
        <v>845920.92</v>
      </c>
      <c r="AA42" s="48">
        <f>SUM(AA39:AA41)</f>
        <v>0</v>
      </c>
      <c r="AB42" s="48">
        <f>SUM(AB39:AB41)</f>
        <v>0</v>
      </c>
      <c r="AC42" s="91">
        <f>SUM(AC39:AC41)</f>
        <v>0</v>
      </c>
      <c r="AD42" s="92">
        <f>IF(AA42=0,0,ROUND(AB42/AA42,4))</f>
        <v>0</v>
      </c>
      <c r="AE42" s="92">
        <f>IF(AA42=0,0,ROUND(AF42/AA42,4))</f>
        <v>0</v>
      </c>
      <c r="AF42" s="48">
        <f>SUM(AF39:AF41)</f>
        <v>0</v>
      </c>
      <c r="AG42" s="86">
        <f>P42-Z42-AF42</f>
        <v>0</v>
      </c>
    </row>
    <row r="43" spans="1:33" x14ac:dyDescent="0.25">
      <c r="A43" s="136"/>
      <c r="B43" s="137"/>
      <c r="C43" s="35" t="str">
        <f>TEXT(A$38,)&amp;" S/."</f>
        <v>Provincia Puerto Inca Huanuco S/.</v>
      </c>
      <c r="D43" s="148"/>
      <c r="E43" s="148"/>
      <c r="F43" s="149"/>
      <c r="G43" s="299"/>
      <c r="H43" s="299"/>
      <c r="I43" s="221"/>
      <c r="J43" s="221"/>
      <c r="K43" s="299"/>
      <c r="L43" s="299"/>
      <c r="M43" s="299"/>
      <c r="N43" s="299"/>
      <c r="O43" s="228"/>
      <c r="P43" s="229">
        <f>ROUND($F$1*P42,2)</f>
        <v>0</v>
      </c>
      <c r="Q43" s="229">
        <f>ROUND($F$1*Q42,2)</f>
        <v>0</v>
      </c>
      <c r="R43" s="151"/>
      <c r="S43" s="229">
        <f>ROUND($F$1*S42,2)</f>
        <v>0</v>
      </c>
      <c r="T43" s="151"/>
      <c r="U43" s="152"/>
      <c r="V43" s="152"/>
      <c r="W43" s="153"/>
      <c r="X43" s="154"/>
      <c r="Y43" s="154"/>
      <c r="Z43" s="152"/>
      <c r="AA43" s="152"/>
      <c r="AB43" s="152"/>
      <c r="AC43" s="153"/>
      <c r="AD43" s="154"/>
      <c r="AE43" s="154"/>
      <c r="AF43" s="152"/>
      <c r="AG43" s="152"/>
    </row>
    <row r="44" spans="1:33" x14ac:dyDescent="0.25">
      <c r="A44" s="313" t="s">
        <v>24</v>
      </c>
      <c r="B44" s="19"/>
      <c r="C44" s="63"/>
      <c r="D44" s="63"/>
      <c r="E44" s="20"/>
      <c r="F44" s="258"/>
      <c r="G44" s="241"/>
      <c r="H44" s="241"/>
      <c r="I44" s="242"/>
      <c r="J44" s="242"/>
      <c r="K44" s="241"/>
      <c r="L44" s="241"/>
      <c r="M44" s="241"/>
      <c r="N44" s="241"/>
      <c r="O44" s="254"/>
      <c r="P44" s="255"/>
      <c r="Q44" s="256" t="s">
        <v>47</v>
      </c>
      <c r="R44" s="234"/>
      <c r="S44" s="259" t="s">
        <v>48</v>
      </c>
      <c r="T44" s="234"/>
      <c r="U44" s="51"/>
      <c r="V44" s="51"/>
      <c r="W44" s="82"/>
      <c r="X44" s="83"/>
      <c r="Y44" s="83"/>
      <c r="Z44" s="83"/>
      <c r="AA44" s="51"/>
      <c r="AB44" s="51"/>
      <c r="AC44" s="82"/>
      <c r="AD44" s="83"/>
      <c r="AE44" s="83"/>
      <c r="AF44" s="83"/>
      <c r="AG44" s="51"/>
    </row>
    <row r="45" spans="1:33" x14ac:dyDescent="0.25">
      <c r="A45" s="26" t="s">
        <v>28</v>
      </c>
      <c r="B45" s="29" t="s">
        <v>167</v>
      </c>
      <c r="C45" s="62" t="s">
        <v>31</v>
      </c>
      <c r="D45" s="62" t="s">
        <v>21</v>
      </c>
      <c r="E45" s="134" t="s">
        <v>101</v>
      </c>
      <c r="F45" s="261" t="s">
        <v>37</v>
      </c>
      <c r="G45" s="236">
        <v>1368</v>
      </c>
      <c r="H45" s="236"/>
      <c r="I45" s="238">
        <v>50.715499999999999</v>
      </c>
      <c r="J45" s="238"/>
      <c r="K45" s="236"/>
      <c r="L45" s="312"/>
      <c r="M45" s="312"/>
      <c r="N45" s="236">
        <v>505.22</v>
      </c>
      <c r="O45" s="245">
        <f t="shared" ref="O45:O51" si="16">ROUND(G45*I45,2)+ROUND(H45*J45,2)-K45-L45-M45-N45</f>
        <v>68873.58</v>
      </c>
      <c r="P45" s="243">
        <f>ROUND(18.75%*O45,2)</f>
        <v>12913.8</v>
      </c>
      <c r="Q45" s="243">
        <f t="shared" ref="Q45:Q51" si="17">ROUND($O45*R45,2)</f>
        <v>10331.040000000001</v>
      </c>
      <c r="R45" s="244">
        <v>0.15</v>
      </c>
      <c r="S45" s="243">
        <f t="shared" ref="S45:S51" si="18">ROUND($O45*T45,2)</f>
        <v>2582.7600000000002</v>
      </c>
      <c r="T45" s="286">
        <v>3.7499999999999999E-2</v>
      </c>
      <c r="U45" s="45">
        <f t="shared" ref="U45:U55" si="19">IF($F45&amp;"/Día"=W$9,SUM($G45:$H45),"")</f>
        <v>1368</v>
      </c>
      <c r="V45" s="45">
        <f t="shared" ref="V45:V55" si="20">IF(U45&lt;&gt;"",$O45,"")</f>
        <v>68873.58</v>
      </c>
      <c r="W45" s="84">
        <f t="shared" ref="W45:W55" si="21">IF($F45&amp;"/Día"=W$9,ROUND(U45/$W$1,1),"")</f>
        <v>44.1</v>
      </c>
      <c r="X45" s="85">
        <f t="shared" ref="X45:X55" si="22">IF(U45=0,0,IF($F45&amp;"/Día"=W$9,ROUND(V45/U45,4),""))</f>
        <v>50.346200000000003</v>
      </c>
      <c r="Y45" s="85">
        <f t="shared" ref="Y45:Y55" si="23">IF(U45=0,0,IF($F45&amp;"/Día"=W$9,ROUND(Z45/U45,4),""))</f>
        <v>9.4398999999999997</v>
      </c>
      <c r="Z45" s="45">
        <f t="shared" ref="Z45:Z55" si="24">IF(U45&lt;&gt;"",$P45,"")</f>
        <v>12913.8</v>
      </c>
      <c r="AA45" s="45" t="str">
        <f t="shared" ref="AA45:AA55" si="25">IF($F45&amp;"/Día"=AC$9,SUM($G45:$H45),"")</f>
        <v/>
      </c>
      <c r="AB45" s="45" t="str">
        <f t="shared" ref="AB45:AB55" si="26">IF(AA45&lt;&gt;"",$O45,"")</f>
        <v/>
      </c>
      <c r="AC45" s="84" t="str">
        <f t="shared" ref="AC45:AC55" si="27">IF($F45&amp;"/Día"=AC$9,ROUND(AA45/$W$1,1),"")</f>
        <v/>
      </c>
      <c r="AD45" s="85" t="str">
        <f t="shared" ref="AD45:AD55" si="28">IF(AA45=0,0,IF($F45&amp;"/Día"=AC$9,ROUND(AB45/AA45,4),""))</f>
        <v/>
      </c>
      <c r="AE45" s="85" t="str">
        <f t="shared" ref="AE45:AE55" si="29">IF(AA45=0,0,IF($F45&amp;"/Día"=AC$9,ROUND(AF45/AA45,4),""))</f>
        <v/>
      </c>
      <c r="AF45" s="45" t="str">
        <f t="shared" ref="AF45:AF55" si="30">IF(AA45&lt;&gt;"",$P45,"")</f>
        <v/>
      </c>
      <c r="AG45" s="55"/>
    </row>
    <row r="46" spans="1:33" x14ac:dyDescent="0.25">
      <c r="A46" s="26" t="s">
        <v>28</v>
      </c>
      <c r="B46" s="272">
        <v>192</v>
      </c>
      <c r="C46" s="62" t="s">
        <v>29</v>
      </c>
      <c r="D46" s="62" t="s">
        <v>21</v>
      </c>
      <c r="E46" s="62" t="s">
        <v>98</v>
      </c>
      <c r="F46" s="261" t="s">
        <v>37</v>
      </c>
      <c r="G46" s="236"/>
      <c r="H46" s="236">
        <v>158494</v>
      </c>
      <c r="I46" s="238"/>
      <c r="J46" s="238">
        <v>47.072200000000002</v>
      </c>
      <c r="K46" s="236"/>
      <c r="L46" s="312"/>
      <c r="M46" s="312"/>
      <c r="N46" s="312">
        <v>8353.7800000000007</v>
      </c>
      <c r="O46" s="245">
        <f t="shared" si="16"/>
        <v>7452307.4899999993</v>
      </c>
      <c r="P46" s="243">
        <f t="shared" ref="P46:P51" si="31">ROUND(18.75%*O46,2)</f>
        <v>1397307.65</v>
      </c>
      <c r="Q46" s="243">
        <f t="shared" si="17"/>
        <v>1117846.1200000001</v>
      </c>
      <c r="R46" s="244">
        <v>0.15</v>
      </c>
      <c r="S46" s="243">
        <f t="shared" si="18"/>
        <v>279461.53000000003</v>
      </c>
      <c r="T46" s="286">
        <v>3.7499999999999999E-2</v>
      </c>
      <c r="U46" s="45">
        <f t="shared" si="19"/>
        <v>158494</v>
      </c>
      <c r="V46" s="45">
        <f t="shared" si="20"/>
        <v>7452307.4899999993</v>
      </c>
      <c r="W46" s="84">
        <f t="shared" si="21"/>
        <v>5112.7</v>
      </c>
      <c r="X46" s="85">
        <f t="shared" si="22"/>
        <v>47.019500000000001</v>
      </c>
      <c r="Y46" s="85">
        <f t="shared" si="23"/>
        <v>8.8162000000000003</v>
      </c>
      <c r="Z46" s="45">
        <f t="shared" si="24"/>
        <v>1397307.65</v>
      </c>
      <c r="AA46" s="45" t="str">
        <f t="shared" si="25"/>
        <v/>
      </c>
      <c r="AB46" s="45" t="str">
        <f t="shared" si="26"/>
        <v/>
      </c>
      <c r="AC46" s="84" t="str">
        <f t="shared" si="27"/>
        <v/>
      </c>
      <c r="AD46" s="85" t="str">
        <f t="shared" si="28"/>
        <v/>
      </c>
      <c r="AE46" s="85" t="str">
        <f t="shared" si="29"/>
        <v/>
      </c>
      <c r="AF46" s="45" t="str">
        <f t="shared" si="30"/>
        <v/>
      </c>
      <c r="AG46" s="55"/>
    </row>
    <row r="47" spans="1:33" x14ac:dyDescent="0.25">
      <c r="A47" s="26" t="s">
        <v>28</v>
      </c>
      <c r="B47" s="32">
        <v>8</v>
      </c>
      <c r="C47" s="62" t="s">
        <v>31</v>
      </c>
      <c r="D47" s="62" t="s">
        <v>30</v>
      </c>
      <c r="E47" s="62" t="s">
        <v>101</v>
      </c>
      <c r="F47" s="261" t="s">
        <v>37</v>
      </c>
      <c r="G47" s="312">
        <v>81642</v>
      </c>
      <c r="H47" s="236">
        <v>125328</v>
      </c>
      <c r="I47" s="237">
        <v>46.2682</v>
      </c>
      <c r="J47" s="238">
        <v>48.462800000000001</v>
      </c>
      <c r="K47" s="312"/>
      <c r="L47" s="312"/>
      <c r="M47" s="312"/>
      <c r="N47" s="312">
        <v>12445.28</v>
      </c>
      <c r="O47" s="245">
        <f t="shared" si="16"/>
        <v>9838728.9000000004</v>
      </c>
      <c r="P47" s="243">
        <f t="shared" si="31"/>
        <v>1844761.67</v>
      </c>
      <c r="Q47" s="243">
        <f t="shared" si="17"/>
        <v>1475809.34</v>
      </c>
      <c r="R47" s="244">
        <v>0.15</v>
      </c>
      <c r="S47" s="243">
        <f t="shared" si="18"/>
        <v>368952.33</v>
      </c>
      <c r="T47" s="286">
        <v>3.7499999999999999E-2</v>
      </c>
      <c r="U47" s="45">
        <f t="shared" si="19"/>
        <v>206970</v>
      </c>
      <c r="V47" s="45">
        <f t="shared" si="20"/>
        <v>9838728.9000000004</v>
      </c>
      <c r="W47" s="84">
        <f t="shared" si="21"/>
        <v>6676.5</v>
      </c>
      <c r="X47" s="85">
        <f t="shared" si="22"/>
        <v>47.536999999999999</v>
      </c>
      <c r="Y47" s="85">
        <f t="shared" si="23"/>
        <v>8.9131999999999998</v>
      </c>
      <c r="Z47" s="45">
        <f t="shared" si="24"/>
        <v>1844761.67</v>
      </c>
      <c r="AA47" s="45" t="str">
        <f t="shared" si="25"/>
        <v/>
      </c>
      <c r="AB47" s="45" t="str">
        <f t="shared" si="26"/>
        <v/>
      </c>
      <c r="AC47" s="84" t="str">
        <f t="shared" si="27"/>
        <v/>
      </c>
      <c r="AD47" s="85" t="str">
        <f t="shared" si="28"/>
        <v/>
      </c>
      <c r="AE47" s="85" t="str">
        <f t="shared" si="29"/>
        <v/>
      </c>
      <c r="AF47" s="45" t="str">
        <f t="shared" si="30"/>
        <v/>
      </c>
      <c r="AG47" s="55"/>
    </row>
    <row r="48" spans="1:33" x14ac:dyDescent="0.25">
      <c r="A48" s="26" t="s">
        <v>28</v>
      </c>
      <c r="B48" s="27" t="s">
        <v>10</v>
      </c>
      <c r="C48" s="62" t="s">
        <v>31</v>
      </c>
      <c r="D48" s="62" t="s">
        <v>30</v>
      </c>
      <c r="E48" s="62" t="s">
        <v>101</v>
      </c>
      <c r="F48" s="261" t="s">
        <v>37</v>
      </c>
      <c r="G48" s="236">
        <v>1236</v>
      </c>
      <c r="H48" s="236"/>
      <c r="I48" s="238">
        <v>61.596400000000003</v>
      </c>
      <c r="J48" s="238"/>
      <c r="K48" s="312"/>
      <c r="L48" s="312"/>
      <c r="M48" s="312"/>
      <c r="N48" s="236">
        <v>646.22</v>
      </c>
      <c r="O48" s="245">
        <f t="shared" si="16"/>
        <v>75486.929999999993</v>
      </c>
      <c r="P48" s="243">
        <f t="shared" si="31"/>
        <v>14153.8</v>
      </c>
      <c r="Q48" s="243">
        <f>ROUND($O48*R48,2)</f>
        <v>11323.04</v>
      </c>
      <c r="R48" s="244">
        <v>0.15</v>
      </c>
      <c r="S48" s="243">
        <f t="shared" si="18"/>
        <v>2830.76</v>
      </c>
      <c r="T48" s="286">
        <v>3.7499999999999999E-2</v>
      </c>
      <c r="U48" s="45">
        <f t="shared" si="19"/>
        <v>1236</v>
      </c>
      <c r="V48" s="45">
        <f t="shared" si="20"/>
        <v>75486.929999999993</v>
      </c>
      <c r="W48" s="84">
        <f t="shared" si="21"/>
        <v>39.9</v>
      </c>
      <c r="X48" s="85">
        <f t="shared" si="22"/>
        <v>61.073599999999999</v>
      </c>
      <c r="Y48" s="85">
        <f t="shared" si="23"/>
        <v>11.4513</v>
      </c>
      <c r="Z48" s="45">
        <f t="shared" si="24"/>
        <v>14153.8</v>
      </c>
      <c r="AA48" s="45" t="str">
        <f t="shared" si="25"/>
        <v/>
      </c>
      <c r="AB48" s="45" t="str">
        <f t="shared" si="26"/>
        <v/>
      </c>
      <c r="AC48" s="84" t="str">
        <f t="shared" si="27"/>
        <v/>
      </c>
      <c r="AD48" s="85" t="str">
        <f t="shared" si="28"/>
        <v/>
      </c>
      <c r="AE48" s="85" t="str">
        <f t="shared" si="29"/>
        <v/>
      </c>
      <c r="AF48" s="45" t="str">
        <f t="shared" si="30"/>
        <v/>
      </c>
      <c r="AG48" s="55"/>
    </row>
    <row r="49" spans="1:33" x14ac:dyDescent="0.25">
      <c r="A49" s="26" t="s">
        <v>28</v>
      </c>
      <c r="B49" s="27" t="s">
        <v>12</v>
      </c>
      <c r="C49" s="62" t="s">
        <v>31</v>
      </c>
      <c r="D49" s="62" t="s">
        <v>30</v>
      </c>
      <c r="E49" s="62" t="s">
        <v>101</v>
      </c>
      <c r="F49" s="262" t="s">
        <v>56</v>
      </c>
      <c r="G49" s="236">
        <v>84478.391900000002</v>
      </c>
      <c r="H49" s="236">
        <v>7574.7703000000001</v>
      </c>
      <c r="I49" s="238">
        <v>3.7464</v>
      </c>
      <c r="J49" s="238">
        <v>3.7464</v>
      </c>
      <c r="K49" s="312"/>
      <c r="L49" s="312"/>
      <c r="M49" s="312"/>
      <c r="N49" s="236">
        <v>1164.7</v>
      </c>
      <c r="O49" s="245">
        <f t="shared" si="16"/>
        <v>343703.26999999996</v>
      </c>
      <c r="P49" s="243">
        <f t="shared" si="31"/>
        <v>64444.36</v>
      </c>
      <c r="Q49" s="243">
        <f t="shared" si="17"/>
        <v>12888.87</v>
      </c>
      <c r="R49" s="286">
        <v>3.7499999999999999E-2</v>
      </c>
      <c r="S49" s="243">
        <f t="shared" si="18"/>
        <v>51555.49</v>
      </c>
      <c r="T49" s="244">
        <v>0.15</v>
      </c>
      <c r="U49" s="45" t="str">
        <f t="shared" si="19"/>
        <v/>
      </c>
      <c r="V49" s="45" t="str">
        <f t="shared" si="20"/>
        <v/>
      </c>
      <c r="W49" s="84" t="str">
        <f t="shared" si="21"/>
        <v/>
      </c>
      <c r="X49" s="85" t="str">
        <f t="shared" si="22"/>
        <v/>
      </c>
      <c r="Y49" s="85" t="str">
        <f t="shared" si="23"/>
        <v/>
      </c>
      <c r="Z49" s="45" t="str">
        <f t="shared" si="24"/>
        <v/>
      </c>
      <c r="AA49" s="45">
        <f t="shared" si="25"/>
        <v>92053.162200000006</v>
      </c>
      <c r="AB49" s="45">
        <f t="shared" si="26"/>
        <v>343703.26999999996</v>
      </c>
      <c r="AC49" s="84">
        <f t="shared" si="27"/>
        <v>2969.5</v>
      </c>
      <c r="AD49" s="85">
        <f t="shared" si="28"/>
        <v>3.7336999999999998</v>
      </c>
      <c r="AE49" s="85">
        <f t="shared" si="29"/>
        <v>0.70009999999999994</v>
      </c>
      <c r="AF49" s="45">
        <f t="shared" si="30"/>
        <v>64444.36</v>
      </c>
      <c r="AG49" s="55"/>
    </row>
    <row r="50" spans="1:33" x14ac:dyDescent="0.25">
      <c r="A50" s="26" t="s">
        <v>28</v>
      </c>
      <c r="B50" s="29" t="s">
        <v>75</v>
      </c>
      <c r="C50" s="62" t="s">
        <v>31</v>
      </c>
      <c r="D50" s="62" t="s">
        <v>30</v>
      </c>
      <c r="E50" s="62" t="s">
        <v>103</v>
      </c>
      <c r="F50" s="261" t="s">
        <v>37</v>
      </c>
      <c r="G50" s="236">
        <v>16329</v>
      </c>
      <c r="H50" s="236">
        <v>15499</v>
      </c>
      <c r="I50" s="238">
        <v>54.823399999999999</v>
      </c>
      <c r="J50" s="238">
        <v>55.009399999999999</v>
      </c>
      <c r="K50" s="312"/>
      <c r="L50" s="312"/>
      <c r="M50" s="312"/>
      <c r="N50" s="312">
        <v>5271.08</v>
      </c>
      <c r="O50" s="245">
        <f t="shared" si="16"/>
        <v>1742530.91</v>
      </c>
      <c r="P50" s="243">
        <f t="shared" si="31"/>
        <v>326724.55</v>
      </c>
      <c r="Q50" s="243">
        <f t="shared" si="17"/>
        <v>65344.91</v>
      </c>
      <c r="R50" s="286">
        <v>3.7499999999999999E-2</v>
      </c>
      <c r="S50" s="243">
        <f t="shared" si="18"/>
        <v>261379.64</v>
      </c>
      <c r="T50" s="244">
        <v>0.15</v>
      </c>
      <c r="U50" s="45">
        <f t="shared" si="19"/>
        <v>31828</v>
      </c>
      <c r="V50" s="45">
        <f t="shared" si="20"/>
        <v>1742530.91</v>
      </c>
      <c r="W50" s="84">
        <f t="shared" si="21"/>
        <v>1026.7</v>
      </c>
      <c r="X50" s="85">
        <f t="shared" si="22"/>
        <v>54.748399999999997</v>
      </c>
      <c r="Y50" s="85">
        <f t="shared" si="23"/>
        <v>10.2653</v>
      </c>
      <c r="Z50" s="45">
        <f t="shared" si="24"/>
        <v>326724.55</v>
      </c>
      <c r="AA50" s="45" t="str">
        <f t="shared" si="25"/>
        <v/>
      </c>
      <c r="AB50" s="45" t="str">
        <f t="shared" si="26"/>
        <v/>
      </c>
      <c r="AC50" s="84" t="str">
        <f t="shared" si="27"/>
        <v/>
      </c>
      <c r="AD50" s="85" t="str">
        <f t="shared" si="28"/>
        <v/>
      </c>
      <c r="AE50" s="85" t="str">
        <f t="shared" si="29"/>
        <v/>
      </c>
      <c r="AF50" s="45" t="str">
        <f t="shared" si="30"/>
        <v/>
      </c>
      <c r="AG50" s="55"/>
    </row>
    <row r="51" spans="1:33" x14ac:dyDescent="0.25">
      <c r="A51" s="26" t="s">
        <v>28</v>
      </c>
      <c r="B51" s="29" t="s">
        <v>32</v>
      </c>
      <c r="C51" s="62" t="s">
        <v>31</v>
      </c>
      <c r="D51" s="62" t="s">
        <v>30</v>
      </c>
      <c r="E51" s="62" t="s">
        <v>101</v>
      </c>
      <c r="F51" s="261" t="s">
        <v>37</v>
      </c>
      <c r="G51" s="312"/>
      <c r="H51" s="312"/>
      <c r="I51" s="238"/>
      <c r="J51" s="238"/>
      <c r="K51" s="312"/>
      <c r="L51" s="312"/>
      <c r="M51" s="312"/>
      <c r="N51" s="312"/>
      <c r="O51" s="245">
        <f t="shared" si="16"/>
        <v>0</v>
      </c>
      <c r="P51" s="243">
        <f t="shared" si="31"/>
        <v>0</v>
      </c>
      <c r="Q51" s="243">
        <f t="shared" si="17"/>
        <v>0</v>
      </c>
      <c r="R51" s="286">
        <v>3.7499999999999999E-2</v>
      </c>
      <c r="S51" s="243">
        <f t="shared" si="18"/>
        <v>0</v>
      </c>
      <c r="T51" s="244">
        <v>0.15</v>
      </c>
      <c r="U51" s="45">
        <f t="shared" si="19"/>
        <v>0</v>
      </c>
      <c r="V51" s="45">
        <f t="shared" si="20"/>
        <v>0</v>
      </c>
      <c r="W51" s="84">
        <f t="shared" si="21"/>
        <v>0</v>
      </c>
      <c r="X51" s="85">
        <f t="shared" si="22"/>
        <v>0</v>
      </c>
      <c r="Y51" s="85">
        <f t="shared" si="23"/>
        <v>0</v>
      </c>
      <c r="Z51" s="45">
        <f t="shared" si="24"/>
        <v>0</v>
      </c>
      <c r="AA51" s="45" t="str">
        <f t="shared" si="25"/>
        <v/>
      </c>
      <c r="AB51" s="45" t="str">
        <f t="shared" si="26"/>
        <v/>
      </c>
      <c r="AC51" s="84" t="str">
        <f t="shared" si="27"/>
        <v/>
      </c>
      <c r="AD51" s="85" t="str">
        <f t="shared" si="28"/>
        <v/>
      </c>
      <c r="AE51" s="85" t="str">
        <f t="shared" si="29"/>
        <v/>
      </c>
      <c r="AF51" s="45" t="str">
        <f t="shared" si="30"/>
        <v/>
      </c>
      <c r="AG51" s="55"/>
    </row>
    <row r="52" spans="1:33" x14ac:dyDescent="0.25">
      <c r="A52" s="26" t="s">
        <v>28</v>
      </c>
      <c r="B52" s="32">
        <v>102</v>
      </c>
      <c r="C52" s="62" t="s">
        <v>31</v>
      </c>
      <c r="D52" s="62" t="s">
        <v>30</v>
      </c>
      <c r="E52" s="62" t="s">
        <v>101</v>
      </c>
      <c r="F52" s="261" t="s">
        <v>37</v>
      </c>
      <c r="G52" s="236"/>
      <c r="H52" s="236"/>
      <c r="I52" s="238"/>
      <c r="J52" s="238"/>
      <c r="K52" s="236"/>
      <c r="L52" s="312"/>
      <c r="M52" s="312"/>
      <c r="N52" s="236"/>
      <c r="O52" s="245">
        <f>ROUND(G52*I52,2)+ROUND(H52*J52,2)-K52-L52-M52-N52</f>
        <v>0</v>
      </c>
      <c r="P52" s="243">
        <f>ROUND(18.75%*O52,2)</f>
        <v>0</v>
      </c>
      <c r="Q52" s="243">
        <f>P52-S52</f>
        <v>0</v>
      </c>
      <c r="R52" s="244">
        <v>0.15</v>
      </c>
      <c r="S52" s="243">
        <f>ROUND($O52*T52,2)</f>
        <v>0</v>
      </c>
      <c r="T52" s="286">
        <v>3.7499999999999999E-2</v>
      </c>
      <c r="U52" s="45">
        <f>IF($F52&amp;"/Día"=W$9,SUM($G52:$H52),"")</f>
        <v>0</v>
      </c>
      <c r="V52" s="45">
        <f>IF(U52&lt;&gt;"",$O52,"")</f>
        <v>0</v>
      </c>
      <c r="W52" s="84">
        <f>IF($F52&amp;"/Día"=W$9,ROUND(U52/$W$1,1),"")</f>
        <v>0</v>
      </c>
      <c r="X52" s="85">
        <f>IF(U52=0,0,IF($F52&amp;"/Día"=W$9,ROUND(V52/U52,4),""))</f>
        <v>0</v>
      </c>
      <c r="Y52" s="85">
        <f>IF(U52=0,0,IF($F52&amp;"/Día"=W$9,ROUND(Z52/U52,4),""))</f>
        <v>0</v>
      </c>
      <c r="Z52" s="45">
        <f>IF(U52&lt;&gt;"",$P52,"")</f>
        <v>0</v>
      </c>
      <c r="AA52" s="45" t="str">
        <f>IF($F52&amp;"/Día"=AC$9,SUM($G52:$H52),"")</f>
        <v/>
      </c>
      <c r="AB52" s="45" t="str">
        <f>IF(AA52&lt;&gt;"",$O52,"")</f>
        <v/>
      </c>
      <c r="AC52" s="84" t="str">
        <f>IF($F52&amp;"/Día"=AC$9,ROUND(AA52/$W$1,1),"")</f>
        <v/>
      </c>
      <c r="AD52" s="85" t="str">
        <f>IF(AA52=0,0,IF($F52&amp;"/Día"=AC$9,ROUND(AB52/AA52,4),""))</f>
        <v/>
      </c>
      <c r="AE52" s="85" t="str">
        <f>IF(AA52=0,0,IF($F52&amp;"/Día"=AC$9,ROUND(AF52/AA52,4),""))</f>
        <v/>
      </c>
      <c r="AF52" s="45" t="str">
        <f>IF(AA52&lt;&gt;"",$P52,"")</f>
        <v/>
      </c>
      <c r="AG52" s="55"/>
    </row>
    <row r="53" spans="1:33" x14ac:dyDescent="0.25">
      <c r="A53" s="26" t="s">
        <v>28</v>
      </c>
      <c r="B53" s="32">
        <v>95</v>
      </c>
      <c r="C53" s="62" t="s">
        <v>31</v>
      </c>
      <c r="D53" s="62" t="s">
        <v>30</v>
      </c>
      <c r="E53" s="62" t="s">
        <v>101</v>
      </c>
      <c r="F53" s="261" t="s">
        <v>37</v>
      </c>
      <c r="G53" s="236"/>
      <c r="H53" s="236"/>
      <c r="I53" s="238"/>
      <c r="J53" s="238"/>
      <c r="K53" s="236"/>
      <c r="L53" s="312"/>
      <c r="M53" s="312"/>
      <c r="N53" s="236"/>
      <c r="O53" s="245">
        <f>ROUND(G53*I53,2)+ROUND(H53*J53,2)-K53-L53-M53-N53</f>
        <v>0</v>
      </c>
      <c r="P53" s="243">
        <f>ROUND(18.75%*O53,2)</f>
        <v>0</v>
      </c>
      <c r="Q53" s="243">
        <f>P53-S53</f>
        <v>0</v>
      </c>
      <c r="R53" s="244">
        <v>0.15</v>
      </c>
      <c r="S53" s="243">
        <f>ROUND($O53*T53,2)</f>
        <v>0</v>
      </c>
      <c r="T53" s="286">
        <v>3.7499999999999999E-2</v>
      </c>
      <c r="U53" s="45">
        <f>IF($F53&amp;"/Día"=W$9,SUM($G53:$H53),"")</f>
        <v>0</v>
      </c>
      <c r="V53" s="45">
        <f>IF(U53&lt;&gt;"",$O53,"")</f>
        <v>0</v>
      </c>
      <c r="W53" s="84">
        <f>IF($F53&amp;"/Día"=W$9,ROUND(U53/$W$1,1),"")</f>
        <v>0</v>
      </c>
      <c r="X53" s="85">
        <f>IF(U53=0,0,IF($F53&amp;"/Día"=W$9,ROUND(V53/U53,4),""))</f>
        <v>0</v>
      </c>
      <c r="Y53" s="85">
        <f>IF(U53=0,0,IF($F53&amp;"/Día"=W$9,ROUND(Z53/U53,4),""))</f>
        <v>0</v>
      </c>
      <c r="Z53" s="45">
        <f>IF(U53&lt;&gt;"",$P53,"")</f>
        <v>0</v>
      </c>
      <c r="AA53" s="45" t="str">
        <f>IF($F53&amp;"/Día"=AC$9,SUM($G53:$H53),"")</f>
        <v/>
      </c>
      <c r="AB53" s="45" t="str">
        <f>IF(AA53&lt;&gt;"",$O53,"")</f>
        <v/>
      </c>
      <c r="AC53" s="84" t="str">
        <f>IF($F53&amp;"/Día"=AC$9,ROUND(AA53/$W$1,1),"")</f>
        <v/>
      </c>
      <c r="AD53" s="85" t="str">
        <f>IF(AA53=0,0,IF($F53&amp;"/Día"=AC$9,ROUND(AB53/AA53,4),""))</f>
        <v/>
      </c>
      <c r="AE53" s="85" t="str">
        <f>IF(AA53=0,0,IF($F53&amp;"/Día"=AC$9,ROUND(AF53/AA53,4),""))</f>
        <v/>
      </c>
      <c r="AF53" s="45" t="str">
        <f>IF(AA53&lt;&gt;"",$P53,"")</f>
        <v/>
      </c>
      <c r="AG53" s="55"/>
    </row>
    <row r="54" spans="1:33" x14ac:dyDescent="0.25">
      <c r="A54" s="26" t="s">
        <v>28</v>
      </c>
      <c r="B54" s="302">
        <v>67</v>
      </c>
      <c r="C54" s="62" t="s">
        <v>31</v>
      </c>
      <c r="D54" s="62" t="s">
        <v>30</v>
      </c>
      <c r="E54" s="62" t="s">
        <v>101</v>
      </c>
      <c r="F54" s="261" t="s">
        <v>37</v>
      </c>
      <c r="G54" s="236"/>
      <c r="H54" s="236"/>
      <c r="I54" s="238"/>
      <c r="J54" s="238"/>
      <c r="K54" s="236"/>
      <c r="L54" s="312"/>
      <c r="M54" s="312"/>
      <c r="N54" s="236"/>
      <c r="O54" s="245">
        <f>ROUND(G54*I54,2)+ROUND(H54*J54,2)-K54-L54-M54-N54</f>
        <v>0</v>
      </c>
      <c r="P54" s="243">
        <f>ROUND(18.75%*O54,2)</f>
        <v>0</v>
      </c>
      <c r="Q54" s="243">
        <f>P54-S54</f>
        <v>0</v>
      </c>
      <c r="R54" s="244">
        <v>0.15</v>
      </c>
      <c r="S54" s="243">
        <f>ROUND($O54*T54,2)</f>
        <v>0</v>
      </c>
      <c r="T54" s="286">
        <v>3.7499999999999999E-2</v>
      </c>
      <c r="U54" s="45">
        <f>IF($F54&amp;"/Día"=W$9,SUM($G54:$H54),"")</f>
        <v>0</v>
      </c>
      <c r="V54" s="45">
        <f>IF(U54&lt;&gt;"",$O54,"")</f>
        <v>0</v>
      </c>
      <c r="W54" s="84">
        <f>IF($F54&amp;"/Día"=W$9,ROUND(U54/$W$1,1),"")</f>
        <v>0</v>
      </c>
      <c r="X54" s="85">
        <f>IF(U54=0,0,IF($F54&amp;"/Día"=W$9,ROUND(V54/U54,4),""))</f>
        <v>0</v>
      </c>
      <c r="Y54" s="85">
        <f>IF(U54=0,0,IF($F54&amp;"/Día"=W$9,ROUND(Z54/U54,4),""))</f>
        <v>0</v>
      </c>
      <c r="Z54" s="45">
        <f>IF(U54&lt;&gt;"",$P54,"")</f>
        <v>0</v>
      </c>
      <c r="AA54" s="45" t="str">
        <f>IF($F54&amp;"/Día"=AC$9,SUM($G54:$H54),"")</f>
        <v/>
      </c>
      <c r="AB54" s="45" t="str">
        <f>IF(AA54&lt;&gt;"",$O54,"")</f>
        <v/>
      </c>
      <c r="AC54" s="84" t="str">
        <f>IF($F54&amp;"/Día"=AC$9,ROUND(AA54/$W$1,1),"")</f>
        <v/>
      </c>
      <c r="AD54" s="85" t="str">
        <f>IF(AA54=0,0,IF($F54&amp;"/Día"=AC$9,ROUND(AB54/AA54,4),""))</f>
        <v/>
      </c>
      <c r="AE54" s="85" t="str">
        <f>IF(AA54=0,0,IF($F54&amp;"/Día"=AC$9,ROUND(AF54/AA54,4),""))</f>
        <v/>
      </c>
      <c r="AF54" s="45" t="str">
        <f>IF(AA54&lt;&gt;"",$P54,"")</f>
        <v/>
      </c>
      <c r="AG54" s="55"/>
    </row>
    <row r="55" spans="1:33" x14ac:dyDescent="0.25">
      <c r="A55" s="21" t="s">
        <v>28</v>
      </c>
      <c r="B55" s="33" t="s">
        <v>54</v>
      </c>
      <c r="C55" s="61"/>
      <c r="D55" s="31"/>
      <c r="E55" s="31"/>
      <c r="F55" s="263"/>
      <c r="G55" s="312"/>
      <c r="H55" s="312"/>
      <c r="I55" s="237"/>
      <c r="J55" s="237"/>
      <c r="K55" s="312"/>
      <c r="L55" s="312"/>
      <c r="M55" s="312"/>
      <c r="N55" s="312"/>
      <c r="O55" s="312">
        <f>+O142</f>
        <v>599.97999999999593</v>
      </c>
      <c r="P55" s="312">
        <f>ROUND(18.75%*O55,2)</f>
        <v>112.5</v>
      </c>
      <c r="Q55" s="312">
        <f>+Q142</f>
        <v>89.989999999999782</v>
      </c>
      <c r="R55" s="244"/>
      <c r="S55" s="312">
        <f>+S142</f>
        <v>22.5</v>
      </c>
      <c r="T55" s="244"/>
      <c r="U55" s="45" t="str">
        <f t="shared" si="19"/>
        <v/>
      </c>
      <c r="V55" s="45" t="str">
        <f t="shared" si="20"/>
        <v/>
      </c>
      <c r="W55" s="84" t="str">
        <f t="shared" si="21"/>
        <v/>
      </c>
      <c r="X55" s="85" t="str">
        <f t="shared" si="22"/>
        <v/>
      </c>
      <c r="Y55" s="85" t="str">
        <f t="shared" si="23"/>
        <v/>
      </c>
      <c r="Z55" s="45" t="str">
        <f t="shared" si="24"/>
        <v/>
      </c>
      <c r="AA55" s="45" t="str">
        <f t="shared" si="25"/>
        <v/>
      </c>
      <c r="AB55" s="45" t="str">
        <f t="shared" si="26"/>
        <v/>
      </c>
      <c r="AC55" s="84" t="str">
        <f t="shared" si="27"/>
        <v/>
      </c>
      <c r="AD55" s="85" t="str">
        <f t="shared" si="28"/>
        <v/>
      </c>
      <c r="AE55" s="85" t="str">
        <f t="shared" si="29"/>
        <v/>
      </c>
      <c r="AF55" s="45" t="str">
        <f t="shared" si="30"/>
        <v/>
      </c>
      <c r="AG55" s="55"/>
    </row>
    <row r="56" spans="1:33" x14ac:dyDescent="0.25">
      <c r="A56" s="34"/>
      <c r="B56" s="165" t="s">
        <v>108</v>
      </c>
      <c r="C56" s="35" t="str">
        <f>TEXT(A$44,)&amp;" US$"</f>
        <v>Loreto / Ucayali US$</v>
      </c>
      <c r="D56" s="22"/>
      <c r="E56" s="22"/>
      <c r="F56" s="279"/>
      <c r="G56" s="277"/>
      <c r="H56" s="277"/>
      <c r="I56" s="278"/>
      <c r="J56" s="265"/>
      <c r="K56" s="264"/>
      <c r="L56" s="264"/>
      <c r="M56" s="264"/>
      <c r="N56" s="249"/>
      <c r="O56" s="249">
        <f>SUM(O45:O55)</f>
        <v>19522231.059999999</v>
      </c>
      <c r="P56" s="250">
        <f>SUM(P45:P55)</f>
        <v>3660418.3299999996</v>
      </c>
      <c r="Q56" s="250">
        <f>SUM(Q45:Q55)</f>
        <v>2693633.3100000005</v>
      </c>
      <c r="R56" s="266"/>
      <c r="S56" s="250">
        <f>SUM(S45:S55)</f>
        <v>966785.01000000013</v>
      </c>
      <c r="T56" s="252"/>
      <c r="U56" s="86">
        <f>SUM(U45:U55)</f>
        <v>399896</v>
      </c>
      <c r="V56" s="86">
        <f>SUM(V45:V55)</f>
        <v>19177927.809999999</v>
      </c>
      <c r="W56" s="87">
        <f>SUM(W45:W55)</f>
        <v>12899.9</v>
      </c>
      <c r="X56" s="88">
        <f>ROUND(V56/U56,4)</f>
        <v>47.957299999999996</v>
      </c>
      <c r="Y56" s="88">
        <f>ROUND(Z56/U56,4)</f>
        <v>8.9920000000000009</v>
      </c>
      <c r="Z56" s="86">
        <f>SUM(Z45:Z55)</f>
        <v>3595861.4699999997</v>
      </c>
      <c r="AA56" s="86">
        <f>SUM(AA45:AA55)</f>
        <v>92053.162200000006</v>
      </c>
      <c r="AB56" s="86">
        <f>SUM(AB45:AB55)</f>
        <v>343703.26999999996</v>
      </c>
      <c r="AC56" s="87">
        <f>SUM(AC45:AC55)</f>
        <v>2969.5</v>
      </c>
      <c r="AD56" s="88">
        <f>ROUND(AB56/AA56,4)</f>
        <v>3.7336999999999998</v>
      </c>
      <c r="AE56" s="88">
        <f>ROUND(AF56/AA56,4)</f>
        <v>0.70009999999999994</v>
      </c>
      <c r="AF56" s="86">
        <f>SUM(AF45:AF55)</f>
        <v>64444.36</v>
      </c>
      <c r="AG56" s="86">
        <f>P56-Z56-AF56</f>
        <v>112.49999999986903</v>
      </c>
    </row>
    <row r="57" spans="1:33" x14ac:dyDescent="0.25">
      <c r="A57" s="157"/>
      <c r="B57" s="158"/>
      <c r="C57" s="35" t="str">
        <f>TEXT(A$44,)&amp;" S/."</f>
        <v>Loreto / Ucayali S/.</v>
      </c>
      <c r="D57" s="114"/>
      <c r="E57" s="114"/>
      <c r="F57" s="157"/>
      <c r="G57" s="227"/>
      <c r="H57" s="227"/>
      <c r="I57" s="224"/>
      <c r="J57" s="224"/>
      <c r="K57" s="227"/>
      <c r="L57" s="227"/>
      <c r="M57" s="227"/>
      <c r="N57" s="227"/>
      <c r="O57" s="230"/>
      <c r="P57" s="231">
        <f>ROUND($F$1*P56,2)</f>
        <v>0</v>
      </c>
      <c r="Q57" s="231">
        <f>ROUND($F$1*Q56,2)</f>
        <v>0</v>
      </c>
      <c r="R57" s="172"/>
      <c r="S57" s="231">
        <f>ROUND($F$1*S56,2)</f>
        <v>0</v>
      </c>
      <c r="T57" s="160"/>
      <c r="U57" s="161"/>
      <c r="V57" s="161"/>
      <c r="W57" s="162"/>
      <c r="X57" s="163"/>
      <c r="Y57" s="163"/>
      <c r="Z57" s="161"/>
      <c r="AA57" s="161"/>
      <c r="AB57" s="161"/>
      <c r="AC57" s="162"/>
      <c r="AD57" s="163"/>
      <c r="AE57" s="163"/>
      <c r="AF57" s="161"/>
      <c r="AG57" s="161"/>
    </row>
    <row r="58" spans="1:33" x14ac:dyDescent="0.25">
      <c r="A58" s="313" t="s">
        <v>164</v>
      </c>
      <c r="B58" s="19"/>
      <c r="C58" s="19"/>
      <c r="D58" s="19"/>
      <c r="E58" s="24"/>
      <c r="F58" s="313"/>
      <c r="G58" s="225"/>
      <c r="H58" s="226"/>
      <c r="I58" s="222"/>
      <c r="J58" s="223"/>
      <c r="K58" s="225"/>
      <c r="L58" s="225"/>
      <c r="M58" s="225"/>
      <c r="N58" s="225"/>
      <c r="O58" s="225"/>
      <c r="P58" s="233" t="s">
        <v>166</v>
      </c>
      <c r="Q58" s="233" t="s">
        <v>164</v>
      </c>
      <c r="R58" s="182"/>
      <c r="S58" s="232"/>
      <c r="T58" s="193"/>
      <c r="U58" s="161"/>
      <c r="V58" s="161"/>
      <c r="W58" s="162"/>
      <c r="X58" s="163"/>
      <c r="Y58" s="163"/>
      <c r="Z58" s="161"/>
      <c r="AA58" s="161"/>
      <c r="AB58" s="161"/>
      <c r="AC58" s="162"/>
      <c r="AD58" s="163"/>
      <c r="AE58" s="163"/>
      <c r="AF58" s="161"/>
      <c r="AG58" s="161"/>
    </row>
    <row r="59" spans="1:33" x14ac:dyDescent="0.25">
      <c r="A59" s="26" t="s">
        <v>28</v>
      </c>
      <c r="B59" s="27" t="s">
        <v>163</v>
      </c>
      <c r="C59" s="62" t="s">
        <v>31</v>
      </c>
      <c r="D59" s="62" t="s">
        <v>30</v>
      </c>
      <c r="E59" s="62" t="s">
        <v>161</v>
      </c>
      <c r="F59" s="261" t="s">
        <v>37</v>
      </c>
      <c r="G59" s="312">
        <v>723802</v>
      </c>
      <c r="H59" s="312">
        <v>818485</v>
      </c>
      <c r="I59" s="237">
        <v>41.539099999999998</v>
      </c>
      <c r="J59" s="237">
        <v>43.476199999999999</v>
      </c>
      <c r="K59" s="312"/>
      <c r="L59" s="312"/>
      <c r="M59" s="312"/>
      <c r="N59" s="312"/>
      <c r="O59" s="245">
        <f>G59*I59+H59*J59</f>
        <v>65650701.215199992</v>
      </c>
      <c r="P59" s="243">
        <f>ROUND(37.24%*(G59*I59+H59*J59),2)</f>
        <v>24448321.129999999</v>
      </c>
      <c r="Q59" s="243">
        <f t="shared" ref="Q59:Q67" si="32">ROUND(R59*P59,2)</f>
        <v>12224160.57</v>
      </c>
      <c r="R59" s="244">
        <v>0.5</v>
      </c>
      <c r="S59" s="243"/>
      <c r="T59" s="286"/>
      <c r="U59" s="45">
        <f t="shared" ref="U59:U68" si="33">IF($F59&amp;"/Día"=W$9,SUM($G59:$H59),"")</f>
        <v>1542287</v>
      </c>
      <c r="V59" s="45">
        <f t="shared" ref="V59:V68" si="34">IF(U59&lt;&gt;"",$O59,"")</f>
        <v>65650701.215199992</v>
      </c>
      <c r="W59" s="84">
        <f t="shared" ref="W59:W68" si="35">IF($F59&amp;"/Día"=W$9,ROUND(U59/$W$1,1),"")</f>
        <v>49751.199999999997</v>
      </c>
      <c r="X59" s="85">
        <f t="shared" ref="X59:X68" si="36">IF(U59=0,0,IF($F59&amp;"/Día"=W$9,ROUND(V59/U59,4),""))</f>
        <v>42.567100000000003</v>
      </c>
      <c r="Y59" s="85">
        <f t="shared" ref="Y59:Y68" si="37">IF(U59=0,0,IF($F59&amp;"/Día"=W$9,ROUND(Z59/U59,4),""))</f>
        <v>7.9260000000000002</v>
      </c>
      <c r="Z59" s="45">
        <f t="shared" ref="Z59:Z68" si="38">IF(U59&lt;&gt;"",$Q59,"")</f>
        <v>12224160.57</v>
      </c>
      <c r="AA59" s="45" t="str">
        <f t="shared" ref="AA59:AA68" si="39">IF($F59&amp;"/Día"=AC$9,SUM($G59:$H59),"")</f>
        <v/>
      </c>
      <c r="AB59" s="45" t="str">
        <f t="shared" ref="AB59:AB68" si="40">IF(AA59&lt;&gt;"",$O59,"")</f>
        <v/>
      </c>
      <c r="AC59" s="84" t="str">
        <f t="shared" ref="AC59:AC68" si="41">IF($F59&amp;"/Día"=AC$9,ROUND(AA59/$W$1,1),"")</f>
        <v/>
      </c>
      <c r="AD59" s="85" t="str">
        <f t="shared" ref="AD59:AD68" si="42">IF(AA59=0,0,IF($F59&amp;"/Día"=AC$9,ROUND(AB59/AA59,4),""))</f>
        <v/>
      </c>
      <c r="AE59" s="85" t="str">
        <f t="shared" ref="AE59:AE68" si="43">IF(AA59=0,0,IF($F59&amp;"/Día"=AC$9,ROUND(AF59/AA59,4),""))</f>
        <v/>
      </c>
      <c r="AF59" s="45" t="str">
        <f t="shared" ref="AF59:AF68" si="44">IF(AA59&lt;&gt;"",$Q59,"")</f>
        <v/>
      </c>
      <c r="AG59" s="161"/>
    </row>
    <row r="60" spans="1:33" x14ac:dyDescent="0.25">
      <c r="A60" s="26" t="s">
        <v>28</v>
      </c>
      <c r="B60" s="27" t="s">
        <v>162</v>
      </c>
      <c r="C60" s="62" t="s">
        <v>31</v>
      </c>
      <c r="D60" s="62" t="s">
        <v>30</v>
      </c>
      <c r="E60" s="62" t="s">
        <v>161</v>
      </c>
      <c r="F60" s="262" t="s">
        <v>56</v>
      </c>
      <c r="G60" s="312">
        <v>10073302.630000001</v>
      </c>
      <c r="H60" s="312">
        <v>9746635.0399999991</v>
      </c>
      <c r="I60" s="237">
        <v>1.9083000000000001</v>
      </c>
      <c r="J60" s="237">
        <v>1.9083000000000001</v>
      </c>
      <c r="K60" s="312"/>
      <c r="L60" s="312"/>
      <c r="M60" s="312"/>
      <c r="N60" s="312"/>
      <c r="O60" s="245">
        <f>G60*I60+H60*J60</f>
        <v>37822387.055661008</v>
      </c>
      <c r="P60" s="243">
        <f>ROUND(37.24%*(G60*I60+H60*J60),2)</f>
        <v>14085056.939999999</v>
      </c>
      <c r="Q60" s="243">
        <f t="shared" si="32"/>
        <v>7042528.4699999997</v>
      </c>
      <c r="R60" s="244">
        <v>0.5</v>
      </c>
      <c r="S60" s="243"/>
      <c r="T60" s="244"/>
      <c r="U60" s="45" t="str">
        <f t="shared" si="33"/>
        <v/>
      </c>
      <c r="V60" s="45" t="str">
        <f t="shared" si="34"/>
        <v/>
      </c>
      <c r="W60" s="84" t="str">
        <f t="shared" si="35"/>
        <v/>
      </c>
      <c r="X60" s="85" t="str">
        <f t="shared" si="36"/>
        <v/>
      </c>
      <c r="Y60" s="85" t="str">
        <f t="shared" si="37"/>
        <v/>
      </c>
      <c r="Z60" s="45" t="str">
        <f t="shared" si="38"/>
        <v/>
      </c>
      <c r="AA60" s="45">
        <f t="shared" si="39"/>
        <v>19819937.670000002</v>
      </c>
      <c r="AB60" s="45">
        <f t="shared" si="40"/>
        <v>37822387.055661008</v>
      </c>
      <c r="AC60" s="84">
        <f t="shared" si="41"/>
        <v>639352.80000000005</v>
      </c>
      <c r="AD60" s="85">
        <f t="shared" si="42"/>
        <v>1.9083000000000001</v>
      </c>
      <c r="AE60" s="85">
        <f t="shared" si="43"/>
        <v>0.3553</v>
      </c>
      <c r="AF60" s="45">
        <f t="shared" si="44"/>
        <v>7042528.4699999997</v>
      </c>
      <c r="AG60" s="161"/>
    </row>
    <row r="61" spans="1:33" x14ac:dyDescent="0.25">
      <c r="A61" s="26" t="s">
        <v>28</v>
      </c>
      <c r="B61" s="27" t="s">
        <v>181</v>
      </c>
      <c r="C61" s="62" t="s">
        <v>31</v>
      </c>
      <c r="D61" s="62" t="s">
        <v>30</v>
      </c>
      <c r="E61" s="62" t="s">
        <v>161</v>
      </c>
      <c r="F61" s="262" t="s">
        <v>56</v>
      </c>
      <c r="G61" s="312">
        <v>24300.12</v>
      </c>
      <c r="H61" s="312">
        <v>25520.17</v>
      </c>
      <c r="I61" s="237">
        <v>2.7753000000000001</v>
      </c>
      <c r="J61" s="237">
        <v>2.7753000000000001</v>
      </c>
      <c r="K61" s="312"/>
      <c r="L61" s="312"/>
      <c r="M61" s="312"/>
      <c r="N61" s="312"/>
      <c r="O61" s="245">
        <f t="shared" ref="O61:O67" si="45">G61*I61+H61*J61</f>
        <v>138266.250837</v>
      </c>
      <c r="P61" s="243">
        <f>ROUND(37.24%*O61,2)</f>
        <v>51490.35</v>
      </c>
      <c r="Q61" s="243">
        <f t="shared" si="32"/>
        <v>25745.18</v>
      </c>
      <c r="R61" s="244">
        <v>0.5</v>
      </c>
      <c r="S61" s="243"/>
      <c r="T61" s="244"/>
      <c r="U61" s="45" t="str">
        <f>IF($F61&amp;"/Día"=W$9,SUM($G61:$H61),"")</f>
        <v/>
      </c>
      <c r="V61" s="45" t="str">
        <f>IF(U61&lt;&gt;"",$O61,"")</f>
        <v/>
      </c>
      <c r="W61" s="84" t="str">
        <f>IF($F61&amp;"/Día"=W$9,ROUND(U61/$W$1,1),"")</f>
        <v/>
      </c>
      <c r="X61" s="85" t="str">
        <f>IF(U61=0,0,IF($F61&amp;"/Día"=W$9,ROUND(V61/U61,4),""))</f>
        <v/>
      </c>
      <c r="Y61" s="85" t="str">
        <f>IF(U61=0,0,IF($F61&amp;"/Día"=W$9,ROUND(Z61/U61,4),""))</f>
        <v/>
      </c>
      <c r="Z61" s="45" t="str">
        <f>IF(U61&lt;&gt;"",$Q61,"")</f>
        <v/>
      </c>
      <c r="AA61" s="45">
        <f t="shared" si="39"/>
        <v>49820.289999999994</v>
      </c>
      <c r="AB61" s="45">
        <f>IF(AA61&lt;&gt;"",$O61,"")</f>
        <v>138266.250837</v>
      </c>
      <c r="AC61" s="84">
        <f t="shared" si="41"/>
        <v>1607.1</v>
      </c>
      <c r="AD61" s="85">
        <f>IF(AA61=0,0,IF($F61&amp;"/Día"=AC$9,ROUND(AB61/AA61,4),""))</f>
        <v>2.7753000000000001</v>
      </c>
      <c r="AE61" s="85">
        <f t="shared" si="43"/>
        <v>0.51680000000000004</v>
      </c>
      <c r="AF61" s="45">
        <f t="shared" si="44"/>
        <v>25745.18</v>
      </c>
      <c r="AG61" s="161"/>
    </row>
    <row r="62" spans="1:33" x14ac:dyDescent="0.25">
      <c r="A62" s="26" t="s">
        <v>28</v>
      </c>
      <c r="B62" s="27" t="s">
        <v>182</v>
      </c>
      <c r="C62" s="62" t="s">
        <v>31</v>
      </c>
      <c r="D62" s="62" t="s">
        <v>30</v>
      </c>
      <c r="E62" s="62" t="s">
        <v>161</v>
      </c>
      <c r="F62" s="262" t="s">
        <v>56</v>
      </c>
      <c r="G62" s="312">
        <v>897806.7</v>
      </c>
      <c r="H62" s="312">
        <v>933949.05</v>
      </c>
      <c r="I62" s="237">
        <v>3.0219999999999998</v>
      </c>
      <c r="J62" s="237">
        <v>3.2109999999999999</v>
      </c>
      <c r="K62" s="312"/>
      <c r="L62" s="312"/>
      <c r="M62" s="312"/>
      <c r="N62" s="312"/>
      <c r="O62" s="245">
        <f t="shared" si="45"/>
        <v>5712082.2469500005</v>
      </c>
      <c r="P62" s="243">
        <f>ROUND(38%*G62*I62,2)+ROUND(38%*H62*J62,2)</f>
        <v>2170591.25</v>
      </c>
      <c r="Q62" s="243">
        <f t="shared" si="32"/>
        <v>1085295.6299999999</v>
      </c>
      <c r="R62" s="314">
        <v>0.5</v>
      </c>
      <c r="S62" s="243"/>
      <c r="T62" s="244"/>
      <c r="U62" s="45" t="str">
        <f>IF($F62&amp;"/Día"=W$9,SUM($G62:$H62),"")</f>
        <v/>
      </c>
      <c r="V62" s="45" t="str">
        <f>IF(U62&lt;&gt;"",$O62,"")</f>
        <v/>
      </c>
      <c r="W62" s="84" t="str">
        <f>IF($F62&amp;"/Día"=W$9,ROUND(U62/$W$1,1),"")</f>
        <v/>
      </c>
      <c r="X62" s="85" t="str">
        <f>IF(U62=0,0,IF($F62&amp;"/Día"=W$9,ROUND(V62/U62,4),""))</f>
        <v/>
      </c>
      <c r="Y62" s="85" t="str">
        <f>IF(U62=0,0,IF($F62&amp;"/Día"=W$9,ROUND(Z62/U62,4),""))</f>
        <v/>
      </c>
      <c r="Z62" s="45" t="str">
        <f>IF(U62&lt;&gt;"",$Q62,"")</f>
        <v/>
      </c>
      <c r="AA62" s="45">
        <f t="shared" si="39"/>
        <v>1831755.75</v>
      </c>
      <c r="AB62" s="45">
        <f>IF(AA62&lt;&gt;"",$O62,"")</f>
        <v>5712082.2469500005</v>
      </c>
      <c r="AC62" s="84">
        <f t="shared" si="41"/>
        <v>59088.9</v>
      </c>
      <c r="AD62" s="85">
        <f>IF(AA62=0,0,IF($F62&amp;"/Día"=AC$9,ROUND(AB62/AA62,4),""))</f>
        <v>3.1183999999999998</v>
      </c>
      <c r="AE62" s="85">
        <f t="shared" si="43"/>
        <v>0.59250000000000003</v>
      </c>
      <c r="AF62" s="45">
        <f t="shared" si="44"/>
        <v>1085295.6299999999</v>
      </c>
      <c r="AG62" s="161"/>
    </row>
    <row r="63" spans="1:33" x14ac:dyDescent="0.25">
      <c r="A63" s="26" t="s">
        <v>28</v>
      </c>
      <c r="B63" s="29" t="s">
        <v>171</v>
      </c>
      <c r="C63" s="62" t="s">
        <v>31</v>
      </c>
      <c r="D63" s="62" t="s">
        <v>30</v>
      </c>
      <c r="E63" s="62" t="s">
        <v>161</v>
      </c>
      <c r="F63" s="261" t="s">
        <v>37</v>
      </c>
      <c r="G63" s="312">
        <v>454424</v>
      </c>
      <c r="H63" s="312">
        <v>474083</v>
      </c>
      <c r="I63" s="237">
        <v>41.534100000000002</v>
      </c>
      <c r="J63" s="237">
        <v>43.476100000000002</v>
      </c>
      <c r="K63" s="312"/>
      <c r="L63" s="312"/>
      <c r="M63" s="312"/>
      <c r="N63" s="312"/>
      <c r="O63" s="245">
        <f t="shared" si="45"/>
        <v>39485371.774700001</v>
      </c>
      <c r="P63" s="243">
        <f>ROUND(40%*G63*I63,2)+ROUND(40%*H63*J63,2)</f>
        <v>15794148.710000001</v>
      </c>
      <c r="Q63" s="243">
        <f t="shared" si="32"/>
        <v>7897074.3600000003</v>
      </c>
      <c r="R63" s="244">
        <v>0.5</v>
      </c>
      <c r="S63" s="243"/>
      <c r="T63" s="244"/>
      <c r="U63" s="45">
        <f t="shared" si="33"/>
        <v>928507</v>
      </c>
      <c r="V63" s="45">
        <f t="shared" si="34"/>
        <v>39485371.774700001</v>
      </c>
      <c r="W63" s="84">
        <f t="shared" si="35"/>
        <v>29951.8</v>
      </c>
      <c r="X63" s="85">
        <f t="shared" si="36"/>
        <v>42.525700000000001</v>
      </c>
      <c r="Y63" s="85">
        <f t="shared" si="37"/>
        <v>8.5051000000000005</v>
      </c>
      <c r="Z63" s="45">
        <f t="shared" si="38"/>
        <v>7897074.3600000003</v>
      </c>
      <c r="AA63" s="45" t="str">
        <f t="shared" si="39"/>
        <v/>
      </c>
      <c r="AB63" s="45" t="str">
        <f t="shared" si="40"/>
        <v/>
      </c>
      <c r="AC63" s="84" t="str">
        <f t="shared" si="41"/>
        <v/>
      </c>
      <c r="AD63" s="85" t="str">
        <f t="shared" si="42"/>
        <v/>
      </c>
      <c r="AE63" s="85" t="str">
        <f t="shared" si="43"/>
        <v/>
      </c>
      <c r="AF63" s="45" t="str">
        <f t="shared" si="44"/>
        <v/>
      </c>
      <c r="AG63" s="161"/>
    </row>
    <row r="64" spans="1:33" x14ac:dyDescent="0.25">
      <c r="A64" s="26" t="s">
        <v>28</v>
      </c>
      <c r="B64" s="29" t="s">
        <v>172</v>
      </c>
      <c r="C64" s="62" t="s">
        <v>31</v>
      </c>
      <c r="D64" s="62" t="s">
        <v>30</v>
      </c>
      <c r="E64" s="62" t="s">
        <v>161</v>
      </c>
      <c r="F64" s="261" t="s">
        <v>56</v>
      </c>
      <c r="G64" s="312">
        <v>7019870.04</v>
      </c>
      <c r="H64" s="312">
        <v>7244483.5199999996</v>
      </c>
      <c r="I64" s="237">
        <v>3.0219999999999998</v>
      </c>
      <c r="J64" s="237">
        <v>3.2109999999999999</v>
      </c>
      <c r="K64" s="312"/>
      <c r="L64" s="312"/>
      <c r="M64" s="312"/>
      <c r="N64" s="312"/>
      <c r="O64" s="245">
        <f t="shared" si="45"/>
        <v>44476083.84359999</v>
      </c>
      <c r="P64" s="243">
        <f>ROUND(38%*G64*I64,2)+ROUND(38%*H64*J64,2)</f>
        <v>16900911.859999999</v>
      </c>
      <c r="Q64" s="243">
        <f t="shared" si="32"/>
        <v>8450455.9299999997</v>
      </c>
      <c r="R64" s="244">
        <v>0.5</v>
      </c>
      <c r="S64" s="243"/>
      <c r="T64" s="244"/>
      <c r="U64" s="45" t="str">
        <f t="shared" si="33"/>
        <v/>
      </c>
      <c r="V64" s="45" t="str">
        <f t="shared" si="34"/>
        <v/>
      </c>
      <c r="W64" s="84" t="str">
        <f t="shared" si="35"/>
        <v/>
      </c>
      <c r="X64" s="85" t="str">
        <f t="shared" si="36"/>
        <v/>
      </c>
      <c r="Y64" s="85" t="str">
        <f t="shared" si="37"/>
        <v/>
      </c>
      <c r="Z64" s="45" t="str">
        <f t="shared" si="38"/>
        <v/>
      </c>
      <c r="AA64" s="45">
        <f t="shared" si="39"/>
        <v>14264353.559999999</v>
      </c>
      <c r="AB64" s="45">
        <f t="shared" si="40"/>
        <v>44476083.84359999</v>
      </c>
      <c r="AC64" s="84">
        <f t="shared" si="41"/>
        <v>460140.4</v>
      </c>
      <c r="AD64" s="85">
        <f t="shared" si="42"/>
        <v>3.1179999999999999</v>
      </c>
      <c r="AE64" s="85">
        <f t="shared" si="43"/>
        <v>0.59240000000000004</v>
      </c>
      <c r="AF64" s="45">
        <f t="shared" si="44"/>
        <v>8450455.9299999997</v>
      </c>
      <c r="AG64" s="161"/>
    </row>
    <row r="65" spans="1:33" x14ac:dyDescent="0.25">
      <c r="A65" s="26" t="s">
        <v>28</v>
      </c>
      <c r="B65" s="32" t="s">
        <v>177</v>
      </c>
      <c r="C65" s="62" t="s">
        <v>31</v>
      </c>
      <c r="D65" s="62" t="s">
        <v>30</v>
      </c>
      <c r="E65" s="62" t="s">
        <v>161</v>
      </c>
      <c r="F65" s="261" t="s">
        <v>56</v>
      </c>
      <c r="G65" s="312">
        <v>275481.21000000002</v>
      </c>
      <c r="H65" s="312">
        <v>272627.36</v>
      </c>
      <c r="I65" s="237">
        <v>1.8204</v>
      </c>
      <c r="J65" s="237">
        <v>1.8204</v>
      </c>
      <c r="K65" s="236"/>
      <c r="L65" s="312"/>
      <c r="M65" s="312"/>
      <c r="N65" s="236"/>
      <c r="O65" s="245">
        <f t="shared" si="45"/>
        <v>997776.84082799999</v>
      </c>
      <c r="P65" s="243">
        <f>ROUND(37.24%*(G65*I65+H65*J65),2)</f>
        <v>371572.1</v>
      </c>
      <c r="Q65" s="243">
        <f t="shared" si="32"/>
        <v>185786.05</v>
      </c>
      <c r="R65" s="244">
        <v>0.5</v>
      </c>
      <c r="S65" s="243"/>
      <c r="T65" s="286"/>
      <c r="U65" s="45" t="str">
        <f t="shared" si="33"/>
        <v/>
      </c>
      <c r="V65" s="45" t="str">
        <f t="shared" si="34"/>
        <v/>
      </c>
      <c r="W65" s="84" t="str">
        <f t="shared" si="35"/>
        <v/>
      </c>
      <c r="X65" s="85" t="str">
        <f t="shared" si="36"/>
        <v/>
      </c>
      <c r="Y65" s="85" t="str">
        <f t="shared" si="37"/>
        <v/>
      </c>
      <c r="Z65" s="45" t="str">
        <f t="shared" si="38"/>
        <v/>
      </c>
      <c r="AA65" s="45">
        <f t="shared" si="39"/>
        <v>548108.57000000007</v>
      </c>
      <c r="AB65" s="45">
        <f t="shared" si="40"/>
        <v>997776.84082799999</v>
      </c>
      <c r="AC65" s="84">
        <f t="shared" si="41"/>
        <v>17680.900000000001</v>
      </c>
      <c r="AD65" s="85">
        <f t="shared" si="42"/>
        <v>1.8204</v>
      </c>
      <c r="AE65" s="85">
        <f t="shared" si="43"/>
        <v>0.33900000000000002</v>
      </c>
      <c r="AF65" s="45">
        <f t="shared" si="44"/>
        <v>185786.05</v>
      </c>
      <c r="AG65" s="161"/>
    </row>
    <row r="66" spans="1:33" x14ac:dyDescent="0.25">
      <c r="A66" s="26" t="s">
        <v>28</v>
      </c>
      <c r="B66" s="32" t="s">
        <v>179</v>
      </c>
      <c r="C66" s="62" t="s">
        <v>31</v>
      </c>
      <c r="D66" s="62" t="s">
        <v>30</v>
      </c>
      <c r="E66" s="62" t="s">
        <v>161</v>
      </c>
      <c r="F66" s="261" t="s">
        <v>37</v>
      </c>
      <c r="G66" s="312">
        <v>174422</v>
      </c>
      <c r="H66" s="312">
        <v>182442</v>
      </c>
      <c r="I66" s="237">
        <v>37.166200000000003</v>
      </c>
      <c r="J66" s="237">
        <v>39.107700000000001</v>
      </c>
      <c r="K66" s="236"/>
      <c r="L66" s="312"/>
      <c r="M66" s="312"/>
      <c r="N66" s="236"/>
      <c r="O66" s="245">
        <f t="shared" si="45"/>
        <v>13617489.939800002</v>
      </c>
      <c r="P66" s="281">
        <f>ROUND(G66*I66,2)*6.05%+ROUND(H66*J66,2)*6.01%</f>
        <v>821004.18657000002</v>
      </c>
      <c r="Q66" s="243">
        <f t="shared" si="32"/>
        <v>410502.09</v>
      </c>
      <c r="R66" s="244">
        <v>0.5</v>
      </c>
      <c r="S66" s="243"/>
      <c r="T66" s="286"/>
      <c r="U66" s="45">
        <f>IF($F66&amp;"/Día"=W$9,SUM($G66:$H66),"")</f>
        <v>356864</v>
      </c>
      <c r="V66" s="45">
        <f t="shared" si="34"/>
        <v>13617489.939800002</v>
      </c>
      <c r="W66" s="84">
        <f t="shared" si="35"/>
        <v>11511.7</v>
      </c>
      <c r="X66" s="85">
        <f t="shared" si="36"/>
        <v>38.158799999999999</v>
      </c>
      <c r="Y66" s="85">
        <f>IF(U66=0,0,IF($F66&amp;"/Día"=W$9,ROUND(Z66/U66,4),""))</f>
        <v>1.1503000000000001</v>
      </c>
      <c r="Z66" s="45">
        <f>IF(U66&lt;&gt;"",$Q66,"")</f>
        <v>410502.09</v>
      </c>
      <c r="AA66" s="45" t="str">
        <f t="shared" si="39"/>
        <v/>
      </c>
      <c r="AB66" s="45" t="str">
        <f t="shared" si="40"/>
        <v/>
      </c>
      <c r="AC66" s="84" t="str">
        <f t="shared" si="41"/>
        <v/>
      </c>
      <c r="AD66" s="85" t="str">
        <f t="shared" si="42"/>
        <v/>
      </c>
      <c r="AE66" s="85" t="str">
        <f>IF(AA66=0,0,IF($F66&amp;"/Día"=AC$9,ROUND(AF66/AA66,4),""))</f>
        <v/>
      </c>
      <c r="AF66" s="45" t="str">
        <f>IF(AA66&lt;&gt;"",$Q66,"")</f>
        <v/>
      </c>
      <c r="AG66" s="161"/>
    </row>
    <row r="67" spans="1:33" x14ac:dyDescent="0.25">
      <c r="A67" s="26" t="s">
        <v>28</v>
      </c>
      <c r="B67" s="302" t="s">
        <v>180</v>
      </c>
      <c r="C67" s="62" t="s">
        <v>31</v>
      </c>
      <c r="D67" s="62" t="s">
        <v>30</v>
      </c>
      <c r="E67" s="62" t="s">
        <v>161</v>
      </c>
      <c r="F67" s="261" t="s">
        <v>56</v>
      </c>
      <c r="G67" s="312">
        <v>2724943.05</v>
      </c>
      <c r="H67" s="312">
        <v>2811643.4</v>
      </c>
      <c r="I67" s="237">
        <v>1.974</v>
      </c>
      <c r="J67" s="237">
        <v>1.974</v>
      </c>
      <c r="K67" s="236"/>
      <c r="L67" s="312"/>
      <c r="M67" s="312"/>
      <c r="N67" s="236"/>
      <c r="O67" s="245">
        <f t="shared" si="45"/>
        <v>10929221.6523</v>
      </c>
      <c r="P67" s="281">
        <f>ROUND(G67*I67,2)*8.99%+ROUND(H67*J67,2)*8.83%</f>
        <v>973656.73182300013</v>
      </c>
      <c r="Q67" s="243">
        <f t="shared" si="32"/>
        <v>486828.37</v>
      </c>
      <c r="R67" s="244">
        <v>0.5</v>
      </c>
      <c r="S67" s="243"/>
      <c r="T67" s="286"/>
      <c r="U67" s="45" t="str">
        <f>IF($F67&amp;"/Día"=W$9,SUM($G67:$H67),"")</f>
        <v/>
      </c>
      <c r="V67" s="45" t="str">
        <f t="shared" si="34"/>
        <v/>
      </c>
      <c r="W67" s="84" t="str">
        <f t="shared" si="35"/>
        <v/>
      </c>
      <c r="X67" s="85" t="str">
        <f t="shared" si="36"/>
        <v/>
      </c>
      <c r="Y67" s="85" t="str">
        <f>IF(U67=0,0,IF($F67&amp;"/Día"=W$9,ROUND(Z67/U67,4),""))</f>
        <v/>
      </c>
      <c r="Z67" s="45" t="str">
        <f>IF(U67&lt;&gt;"",$Q67,"")</f>
        <v/>
      </c>
      <c r="AA67" s="45">
        <f t="shared" si="39"/>
        <v>5536586.4499999993</v>
      </c>
      <c r="AB67" s="45">
        <f t="shared" si="40"/>
        <v>10929221.6523</v>
      </c>
      <c r="AC67" s="84">
        <f t="shared" si="41"/>
        <v>178599.6</v>
      </c>
      <c r="AD67" s="85">
        <f t="shared" si="42"/>
        <v>1.974</v>
      </c>
      <c r="AE67" s="85">
        <f>IF(AA67=0,0,IF($F67&amp;"/Día"=AC$9,ROUND(AF67/AA67,4),""))</f>
        <v>8.7900000000000006E-2</v>
      </c>
      <c r="AF67" s="45">
        <f>IF(AA67&lt;&gt;"",$Q67,"")</f>
        <v>486828.37</v>
      </c>
      <c r="AG67" s="161"/>
    </row>
    <row r="68" spans="1:33" x14ac:dyDescent="0.25">
      <c r="A68" s="194" t="s">
        <v>28</v>
      </c>
      <c r="B68" s="195" t="s">
        <v>165</v>
      </c>
      <c r="C68" s="196"/>
      <c r="D68" s="196"/>
      <c r="E68" s="197"/>
      <c r="F68" s="38"/>
      <c r="G68" s="290"/>
      <c r="H68" s="291"/>
      <c r="I68" s="291"/>
      <c r="J68" s="292"/>
      <c r="K68" s="292"/>
      <c r="L68" s="292"/>
      <c r="M68" s="200"/>
      <c r="N68" s="200"/>
      <c r="O68" s="213">
        <f>+O149</f>
        <v>4353435.076761541</v>
      </c>
      <c r="P68" s="213">
        <f>+P149</f>
        <v>335777.48429400061</v>
      </c>
      <c r="Q68" s="213">
        <f>+Q149</f>
        <v>167888.73000000039</v>
      </c>
      <c r="R68" s="160"/>
      <c r="S68" s="201"/>
      <c r="T68" s="160"/>
      <c r="U68" s="45" t="str">
        <f t="shared" si="33"/>
        <v/>
      </c>
      <c r="V68" s="45" t="str">
        <f t="shared" si="34"/>
        <v/>
      </c>
      <c r="W68" s="84" t="str">
        <f t="shared" si="35"/>
        <v/>
      </c>
      <c r="X68" s="85" t="str">
        <f t="shared" si="36"/>
        <v/>
      </c>
      <c r="Y68" s="85" t="str">
        <f t="shared" si="37"/>
        <v/>
      </c>
      <c r="Z68" s="45" t="str">
        <f t="shared" si="38"/>
        <v/>
      </c>
      <c r="AA68" s="45" t="str">
        <f t="shared" si="39"/>
        <v/>
      </c>
      <c r="AB68" s="45" t="str">
        <f t="shared" si="40"/>
        <v/>
      </c>
      <c r="AC68" s="84" t="str">
        <f t="shared" si="41"/>
        <v/>
      </c>
      <c r="AD68" s="85" t="str">
        <f t="shared" si="42"/>
        <v/>
      </c>
      <c r="AE68" s="85" t="str">
        <f t="shared" si="43"/>
        <v/>
      </c>
      <c r="AF68" s="45" t="str">
        <f t="shared" si="44"/>
        <v/>
      </c>
      <c r="AG68" s="161"/>
    </row>
    <row r="69" spans="1:33" x14ac:dyDescent="0.25">
      <c r="A69" s="34"/>
      <c r="B69" s="165" t="s">
        <v>108</v>
      </c>
      <c r="C69" s="35" t="str">
        <f>TEXT(A$58,)&amp;" US$"</f>
        <v>Cusco US$</v>
      </c>
      <c r="D69" s="22"/>
      <c r="E69" s="22"/>
      <c r="F69" s="297"/>
      <c r="G69" s="420">
        <f>SUM(G64:G65)</f>
        <v>7295351.25</v>
      </c>
      <c r="H69" s="420">
        <f>SUM(H64:H65)</f>
        <v>7517110.8799999999</v>
      </c>
      <c r="I69" s="421"/>
      <c r="J69" s="420"/>
      <c r="K69" s="422"/>
      <c r="L69" s="287"/>
      <c r="M69" s="202"/>
      <c r="N69" s="219"/>
      <c r="O69" s="219">
        <f>SUM(O59:O68)</f>
        <v>223182815.89663753</v>
      </c>
      <c r="P69" s="219">
        <f>SUM(P59:P68)</f>
        <v>75952530.742687002</v>
      </c>
      <c r="Q69" s="219">
        <f>SUM(Q59:Q68)</f>
        <v>37976265.379999995</v>
      </c>
      <c r="R69" s="199"/>
      <c r="S69" s="207"/>
      <c r="T69" s="160"/>
      <c r="U69" s="86">
        <f>SUM(U59:U68)</f>
        <v>2827658</v>
      </c>
      <c r="V69" s="86">
        <f>SUM(V59:V68)</f>
        <v>118753562.92969999</v>
      </c>
      <c r="W69" s="87">
        <f>SUM(W59:W68)</f>
        <v>91214.7</v>
      </c>
      <c r="X69" s="88">
        <f>ROUND(V69/U69,4)</f>
        <v>41.997100000000003</v>
      </c>
      <c r="Y69" s="88">
        <f>ROUND(Z69/U69,4)</f>
        <v>7.2610000000000001</v>
      </c>
      <c r="Z69" s="86">
        <f>SUM(Z59:Z68)</f>
        <v>20531737.02</v>
      </c>
      <c r="AA69" s="86">
        <f>SUM(AA59:AA68)</f>
        <v>42050562.289999992</v>
      </c>
      <c r="AB69" s="86">
        <f>SUM(AB59:AB68)</f>
        <v>100075817.890176</v>
      </c>
      <c r="AC69" s="87">
        <f>SUM(AC59:AC68)</f>
        <v>1356469.7000000002</v>
      </c>
      <c r="AD69" s="88">
        <f>ROUND(AB69/AA69,4)</f>
        <v>2.3799000000000001</v>
      </c>
      <c r="AE69" s="88">
        <f>ROUND(AF69/AA69,4)</f>
        <v>0.41089999999999999</v>
      </c>
      <c r="AF69" s="86">
        <f>SUM(AF59:AF68)</f>
        <v>17276639.629999999</v>
      </c>
      <c r="AG69" s="86">
        <f>Q69-Z69-AF69</f>
        <v>167888.72999999672</v>
      </c>
    </row>
    <row r="70" spans="1:33" x14ac:dyDescent="0.25">
      <c r="A70" s="157"/>
      <c r="B70" s="158"/>
      <c r="C70" s="35" t="str">
        <f>TEXT(A$58,)&amp;" S/."</f>
        <v>Cusco S/.</v>
      </c>
      <c r="D70" s="114"/>
      <c r="E70" s="114"/>
      <c r="F70" s="297"/>
      <c r="G70" s="423">
        <f>SUMPRODUCT(I64:I65,G64:G65)/SUM(G64:G65)</f>
        <v>2.9766261433353187</v>
      </c>
      <c r="H70" s="423">
        <f>SUMPRODUCT(J64:J65,H64:H65)/SUM(H64:H65)</f>
        <v>3.1605663143901896</v>
      </c>
      <c r="I70" s="424"/>
      <c r="J70" s="420"/>
      <c r="K70" s="425"/>
      <c r="L70" s="288"/>
      <c r="M70" s="206"/>
      <c r="N70" s="206"/>
      <c r="O70" s="206"/>
      <c r="P70" s="209"/>
      <c r="Q70" s="209">
        <f>Q69*F1</f>
        <v>0</v>
      </c>
      <c r="R70" s="198"/>
      <c r="S70" s="207"/>
      <c r="T70" s="160"/>
      <c r="U70" s="161"/>
      <c r="V70" s="161"/>
      <c r="W70" s="162"/>
      <c r="X70" s="163"/>
      <c r="Y70" s="163"/>
      <c r="Z70" s="161"/>
      <c r="AA70" s="161"/>
      <c r="AB70" s="161"/>
      <c r="AC70" s="162"/>
      <c r="AD70" s="163"/>
      <c r="AE70" s="163"/>
      <c r="AF70" s="161"/>
      <c r="AG70" s="161"/>
    </row>
    <row r="71" spans="1:33" x14ac:dyDescent="0.25">
      <c r="A71" s="10" t="s">
        <v>55</v>
      </c>
      <c r="B71" s="308"/>
      <c r="C71" s="308"/>
      <c r="D71" s="308"/>
      <c r="E71" s="308"/>
      <c r="F71" s="298"/>
      <c r="G71" s="426">
        <f>G69*G70</f>
        <v>21715533.255563997</v>
      </c>
      <c r="H71" s="426">
        <f>H69*H70</f>
        <v>23758327.428863995</v>
      </c>
      <c r="I71" s="420">
        <f>H71+G71</f>
        <v>45473860.684427992</v>
      </c>
      <c r="J71" s="420">
        <f>+O64+O65</f>
        <v>45473860.684427992</v>
      </c>
      <c r="K71" s="427">
        <f>I71-J71</f>
        <v>0</v>
      </c>
      <c r="L71" s="289"/>
      <c r="M71" s="210"/>
      <c r="N71" s="311">
        <f>SUM(N10:N69)</f>
        <v>77421.52</v>
      </c>
      <c r="O71" s="311">
        <f>O36+O42+O56+O69</f>
        <v>316391731.86663753</v>
      </c>
      <c r="P71" s="311">
        <f>Q69+P56+P42+P36</f>
        <v>55241456.909999996</v>
      </c>
      <c r="Q71" s="211">
        <f>Q70+P57+P43+P37</f>
        <v>0</v>
      </c>
      <c r="R71" s="60"/>
      <c r="S71" s="211"/>
      <c r="T71" s="60"/>
      <c r="U71" s="93">
        <f>U36+U42+U56+U69</f>
        <v>4350918</v>
      </c>
      <c r="V71" s="93">
        <f>V36+V42+V56+V69</f>
        <v>206879502.9497</v>
      </c>
      <c r="W71" s="94">
        <f>W36+W42+W56+W69</f>
        <v>140352</v>
      </c>
      <c r="X71" s="95">
        <f>ROUND(V71/U71,4)</f>
        <v>47.548499999999997</v>
      </c>
      <c r="Y71" s="95">
        <f>ROUND(Z71/U71,4)</f>
        <v>8.4680999999999997</v>
      </c>
      <c r="Z71" s="93">
        <f>Z36+Z42+Z56+Z69</f>
        <v>36843870.560000002</v>
      </c>
      <c r="AA71" s="93">
        <f>AA36+AA42+AA56+AA69</f>
        <v>43758318.212199993</v>
      </c>
      <c r="AB71" s="93">
        <f>AB36+AB42+AB56+AB69</f>
        <v>105181789.71017599</v>
      </c>
      <c r="AC71" s="93">
        <f>AC36+AC42+AC56+AC69</f>
        <v>1411558.7000000002</v>
      </c>
      <c r="AD71" s="95">
        <f>ROUND(AB71/AA71,4)</f>
        <v>2.4037000000000002</v>
      </c>
      <c r="AE71" s="95">
        <f>ROUND(AF71/AA71,4)</f>
        <v>0.41670000000000001</v>
      </c>
      <c r="AF71" s="93">
        <f>AF36+AF42+AF56+AF69</f>
        <v>18234009.34</v>
      </c>
      <c r="AG71" s="93">
        <f>P71-Z71-AF71</f>
        <v>163577.00999999419</v>
      </c>
    </row>
    <row r="72" spans="1:33" x14ac:dyDescent="0.25">
      <c r="A72" s="6"/>
      <c r="B72" s="6"/>
      <c r="C72" s="6"/>
      <c r="D72" s="6"/>
      <c r="E72" s="6"/>
      <c r="F72" s="6"/>
      <c r="G72" s="6"/>
      <c r="H72" s="6"/>
      <c r="I72" s="6"/>
      <c r="J72" s="6"/>
      <c r="K72" s="6"/>
      <c r="L72" s="6"/>
      <c r="M72" s="6"/>
      <c r="N72" s="6"/>
      <c r="O72" s="6"/>
      <c r="P72" s="6"/>
      <c r="Q72" s="6"/>
      <c r="R72" s="6"/>
      <c r="S72" s="6"/>
      <c r="T72" s="6"/>
      <c r="U72" s="6"/>
      <c r="V72" s="6"/>
      <c r="W72" s="6"/>
      <c r="X72" s="6"/>
      <c r="Y72" s="6"/>
      <c r="Z72" s="75"/>
      <c r="AA72" s="75"/>
      <c r="AB72" s="75"/>
      <c r="AC72" s="75"/>
      <c r="AD72" s="75"/>
      <c r="AE72" s="75"/>
    </row>
    <row r="73" spans="1:33" x14ac:dyDescent="0.25">
      <c r="A73" s="99" t="s">
        <v>93</v>
      </c>
      <c r="B73" s="7" t="s">
        <v>76</v>
      </c>
      <c r="C73" s="7"/>
      <c r="D73" s="6"/>
      <c r="E73" s="6"/>
      <c r="F73" s="6"/>
      <c r="H73" s="99" t="s">
        <v>77</v>
      </c>
      <c r="J73" s="72"/>
      <c r="K73" s="72"/>
      <c r="L73" s="6"/>
      <c r="M73" s="6"/>
      <c r="N73" s="6"/>
      <c r="O73" s="407">
        <f>132524706.83-0.42+151199109.41-0.56+4330439.21-77421.52+28437650.25-3320.68-19431.32+0.44</f>
        <v>316391731.63999999</v>
      </c>
      <c r="P73" s="404"/>
      <c r="Q73" s="405"/>
      <c r="R73" s="6"/>
      <c r="S73" s="6"/>
      <c r="T73" s="6"/>
      <c r="U73" s="75" t="s">
        <v>193</v>
      </c>
      <c r="V73" s="350">
        <f>5784791.08-V79</f>
        <v>5143627.58</v>
      </c>
      <c r="W73" s="350">
        <f>+P36</f>
        <v>12758852.279999999</v>
      </c>
      <c r="X73" s="350" t="s">
        <v>23</v>
      </c>
      <c r="Y73" s="6"/>
    </row>
    <row r="74" spans="1:33" x14ac:dyDescent="0.25">
      <c r="A74" s="6"/>
      <c r="B74" s="126" t="s">
        <v>78</v>
      </c>
      <c r="C74" s="127" t="s">
        <v>79</v>
      </c>
      <c r="D74" s="128"/>
      <c r="E74" s="129" t="s">
        <v>35</v>
      </c>
      <c r="F74" s="129" t="s">
        <v>80</v>
      </c>
      <c r="H74" s="100" t="s">
        <v>35</v>
      </c>
      <c r="I74" s="308"/>
      <c r="J74" s="308"/>
      <c r="K74" s="308"/>
      <c r="L74" s="101"/>
      <c r="M74" s="6"/>
      <c r="N74" s="6"/>
      <c r="O74" s="346">
        <f>+O73-O71</f>
        <v>-0.22663754224777222</v>
      </c>
      <c r="P74" s="403"/>
      <c r="Q74" s="403"/>
      <c r="R74" s="6"/>
      <c r="S74" s="6"/>
      <c r="T74" s="6"/>
      <c r="U74" s="75" t="s">
        <v>194</v>
      </c>
      <c r="V74" s="350">
        <f>7252550.18-V82</f>
        <v>6793106.1899999995</v>
      </c>
      <c r="W74" s="350">
        <f>+P56</f>
        <v>3660418.3299999996</v>
      </c>
      <c r="X74" s="350" t="s">
        <v>24</v>
      </c>
      <c r="Y74" s="6"/>
    </row>
    <row r="75" spans="1:33" x14ac:dyDescent="0.25">
      <c r="A75" s="7"/>
      <c r="B75" s="102" t="s">
        <v>81</v>
      </c>
      <c r="C75" s="103" t="s">
        <v>82</v>
      </c>
      <c r="D75" s="104"/>
      <c r="E75" s="105">
        <f>I39</f>
        <v>61.596400000000003</v>
      </c>
      <c r="F75" s="105">
        <f>J39</f>
        <v>0</v>
      </c>
      <c r="H75" s="106" t="str">
        <f>"=  ("&amp;TEXT(E75,"0.0000")&amp;" * "&amp;TEXT(E78,"0.00%")&amp;" + ("&amp;TEXT(E76,"0.0000")&amp;" - "&amp;TEXT(E77,"0.0000")&amp;" - "&amp;TEXT(E80,"0.0000")&amp;") * (1 - "&amp;TEXT(E78,"0.00%")&amp;"))"</f>
        <v>=  (61.5964 * 0.00% + (0.0000 - 0.0000 - 0.0000) * (1 - 0.00%))</v>
      </c>
      <c r="I75" s="6"/>
      <c r="J75" s="6"/>
      <c r="K75" s="6"/>
      <c r="L75" s="107"/>
      <c r="M75" s="6"/>
      <c r="N75" s="6"/>
      <c r="O75" s="406"/>
      <c r="P75" s="405"/>
      <c r="Q75" s="403"/>
      <c r="R75" s="6"/>
      <c r="S75" s="6"/>
      <c r="T75" s="6"/>
      <c r="U75" s="75" t="s">
        <v>29</v>
      </c>
      <c r="V75" s="350">
        <v>5328457.8243749999</v>
      </c>
      <c r="W75" s="350">
        <f>+P42</f>
        <v>845920.92</v>
      </c>
      <c r="X75" s="350" t="s">
        <v>195</v>
      </c>
      <c r="Y75" s="6"/>
    </row>
    <row r="76" spans="1:33" x14ac:dyDescent="0.25">
      <c r="A76" s="6"/>
      <c r="B76" s="108" t="s">
        <v>83</v>
      </c>
      <c r="C76" s="109" t="s">
        <v>84</v>
      </c>
      <c r="D76" s="110"/>
      <c r="E76" s="111"/>
      <c r="F76" s="112"/>
      <c r="H76" s="113">
        <f>((85.98%*E75+4.4221)*E78+(E76-E77-E80)*(1-E78))</f>
        <v>0</v>
      </c>
      <c r="I76" s="114"/>
      <c r="J76" s="114"/>
      <c r="K76" s="114"/>
      <c r="L76" s="115"/>
      <c r="M76" s="6"/>
      <c r="N76" s="72">
        <v>19431.32</v>
      </c>
      <c r="O76" s="408">
        <f>392197.48/6482602.94</f>
        <v>6.0500000328571717E-2</v>
      </c>
      <c r="P76" s="408">
        <f>428806.71/7134887</f>
        <v>6.0100000182203309E-2</v>
      </c>
      <c r="Q76" s="403"/>
      <c r="R76" s="6"/>
      <c r="S76" s="6"/>
      <c r="T76" s="6"/>
      <c r="U76" s="75"/>
      <c r="V76" s="351">
        <f>SUM(V73:V75)</f>
        <v>17265191.594374999</v>
      </c>
      <c r="W76" s="351">
        <f>SUM(W73:W75)</f>
        <v>17265191.530000001</v>
      </c>
      <c r="X76" s="350">
        <f>+V76-W76</f>
        <v>6.4374998211860657E-2</v>
      </c>
      <c r="Y76" s="6"/>
    </row>
    <row r="77" spans="1:33" x14ac:dyDescent="0.25">
      <c r="A77" s="6"/>
      <c r="B77" s="108" t="s">
        <v>85</v>
      </c>
      <c r="C77" s="109" t="s">
        <v>86</v>
      </c>
      <c r="D77" s="110"/>
      <c r="E77" s="111"/>
      <c r="F77" s="111"/>
      <c r="G77" s="6"/>
      <c r="I77" s="116"/>
      <c r="J77" s="6"/>
      <c r="K77" s="6"/>
      <c r="L77" s="6"/>
      <c r="M77" s="6"/>
      <c r="N77" s="72">
        <v>3320.68</v>
      </c>
      <c r="O77" s="408">
        <f>7549636.74/18874091.86</f>
        <v>0.39999999978806927</v>
      </c>
      <c r="P77" s="408">
        <f>8244511.97/20611279.92</f>
        <v>0.40000000009703418</v>
      </c>
      <c r="Q77" s="403"/>
      <c r="R77" s="6"/>
      <c r="S77" s="6"/>
      <c r="T77" s="6"/>
      <c r="U77" s="75" t="s">
        <v>196</v>
      </c>
      <c r="V77" s="350">
        <v>7899397.5800000001</v>
      </c>
      <c r="W77" s="350"/>
      <c r="X77" s="350"/>
      <c r="Y77" s="6"/>
      <c r="Z77" s="74"/>
    </row>
    <row r="78" spans="1:33" x14ac:dyDescent="0.25">
      <c r="A78" s="6"/>
      <c r="B78" s="108" t="s">
        <v>87</v>
      </c>
      <c r="C78" s="109" t="s">
        <v>88</v>
      </c>
      <c r="D78" s="110"/>
      <c r="E78" s="117"/>
      <c r="F78" s="117"/>
      <c r="G78" s="6"/>
      <c r="H78" s="100" t="s">
        <v>80</v>
      </c>
      <c r="I78" s="118"/>
      <c r="J78" s="308"/>
      <c r="K78" s="308"/>
      <c r="L78" s="101"/>
      <c r="M78" s="6"/>
      <c r="N78" s="72">
        <f>SUM(N76:N77)</f>
        <v>22752</v>
      </c>
      <c r="O78" s="408">
        <f>483575.48/5379037.59</f>
        <v>8.9900000122512619E-2</v>
      </c>
      <c r="P78" s="408">
        <f>490081.25/5550184.07</f>
        <v>8.829999939083101E-2</v>
      </c>
      <c r="Q78" s="403"/>
      <c r="R78" s="6"/>
      <c r="S78" s="6"/>
      <c r="T78" s="6"/>
      <c r="U78" s="75" t="s">
        <v>197</v>
      </c>
      <c r="V78" s="350">
        <v>9669743.8800000008</v>
      </c>
      <c r="W78" s="350"/>
      <c r="X78" s="350"/>
      <c r="Y78" s="6"/>
    </row>
    <row r="79" spans="1:33" x14ac:dyDescent="0.25">
      <c r="A79" s="6"/>
      <c r="B79" s="108" t="s">
        <v>89</v>
      </c>
      <c r="C79" s="109" t="s">
        <v>90</v>
      </c>
      <c r="D79" s="110"/>
      <c r="E79" s="119"/>
      <c r="F79" s="112"/>
      <c r="G79" s="6"/>
      <c r="H79" s="106" t="str">
        <f>"=  ("&amp;TEXT(F75,"0.0000")&amp;" * "&amp;TEXT(F78,"0.00%")&amp;" + ("&amp;TEXT(F76,"0.0000")&amp;" - "&amp;TEXT(F77,"0.0000")&amp;" - "&amp;TEXT(F80,"0.0000")&amp;") * (1 - "&amp;TEXT(F78,"0.00%")&amp;"))"</f>
        <v>=  (0.0000 * 0.00% + (0.0000 - 0.0000 - 0.0000) * (1 - 0.00%))</v>
      </c>
      <c r="I79" s="116"/>
      <c r="J79" s="6"/>
      <c r="K79" s="6"/>
      <c r="L79" s="107"/>
      <c r="M79" s="6"/>
      <c r="N79" s="72"/>
      <c r="O79" s="408">
        <f>8061337.96/21214047.26</f>
        <v>0.38000000005656626</v>
      </c>
      <c r="P79" s="408">
        <f>8839573.9/23262036.59</f>
        <v>0.37999999981944832</v>
      </c>
      <c r="Q79" s="403"/>
      <c r="R79" s="6"/>
      <c r="S79" s="6"/>
      <c r="T79" s="6"/>
      <c r="U79" s="75" t="s">
        <v>198</v>
      </c>
      <c r="V79" s="350">
        <v>641163.5</v>
      </c>
      <c r="W79" s="350"/>
      <c r="X79" s="350"/>
      <c r="Y79" s="6"/>
      <c r="Z79" s="192"/>
    </row>
    <row r="80" spans="1:33" x14ac:dyDescent="0.25">
      <c r="A80" s="6"/>
      <c r="B80" s="120" t="s">
        <v>91</v>
      </c>
      <c r="C80" s="121" t="s">
        <v>92</v>
      </c>
      <c r="D80" s="122"/>
      <c r="E80" s="123">
        <v>0</v>
      </c>
      <c r="F80" s="123">
        <v>0</v>
      </c>
      <c r="G80" s="6"/>
      <c r="H80" s="113">
        <f>((85.98%*F75+4.4221)*F78+(F76-F77-F80)*(1-F78))</f>
        <v>0</v>
      </c>
      <c r="I80" s="124"/>
      <c r="J80" s="114"/>
      <c r="K80" s="114"/>
      <c r="L80" s="115"/>
      <c r="M80" s="6"/>
      <c r="N80" s="6"/>
      <c r="O80" s="408">
        <f>1031005.3/2713171.84</f>
        <v>0.38000000029485786</v>
      </c>
      <c r="P80" s="408">
        <f>1139585.95/2998910.39</f>
        <v>0.38000000060021799</v>
      </c>
      <c r="Q80" s="403"/>
      <c r="R80" s="6"/>
      <c r="S80" s="6"/>
      <c r="T80" s="6"/>
      <c r="U80" s="75" t="s">
        <v>199</v>
      </c>
      <c r="V80" s="350">
        <v>10672064.18</v>
      </c>
      <c r="W80" s="350"/>
      <c r="X80" s="350"/>
      <c r="Y80" s="6"/>
      <c r="Z80" s="428"/>
    </row>
    <row r="81" spans="1:25" x14ac:dyDescent="0.25">
      <c r="A81" s="5"/>
      <c r="C81" s="4"/>
      <c r="D81" s="4"/>
      <c r="H81" s="190"/>
      <c r="O81" s="406"/>
      <c r="P81" s="406"/>
      <c r="Q81" s="406"/>
      <c r="U81" s="75" t="s">
        <v>200</v>
      </c>
      <c r="V81" s="350">
        <v>8634452.3000000007</v>
      </c>
      <c r="W81" s="350"/>
      <c r="X81" s="350"/>
    </row>
    <row r="82" spans="1:25" x14ac:dyDescent="0.25">
      <c r="U82" s="75" t="s">
        <v>201</v>
      </c>
      <c r="V82" s="350">
        <v>459443.99</v>
      </c>
      <c r="W82" s="350"/>
      <c r="X82" s="350"/>
    </row>
    <row r="83" spans="1:25" ht="17.399999999999999" x14ac:dyDescent="0.3">
      <c r="A83" s="301" t="str">
        <f>"AJUSTES PARA "&amp;UPPER(TEXT(E1,"MMMMMMM YYYY"))</f>
        <v>AJUSTES PARA DICIEMBRE 2021</v>
      </c>
      <c r="B83" s="301"/>
      <c r="C83" s="301"/>
      <c r="D83" s="301"/>
      <c r="E83" s="301"/>
      <c r="F83" s="301"/>
      <c r="G83" s="301"/>
      <c r="H83" s="301"/>
      <c r="I83" s="301"/>
      <c r="J83" s="301"/>
      <c r="K83" s="301"/>
      <c r="L83" s="301"/>
      <c r="M83" s="301"/>
      <c r="N83" s="301"/>
      <c r="O83" s="301"/>
      <c r="P83" s="301"/>
      <c r="Q83" s="301"/>
      <c r="R83" s="301"/>
      <c r="S83" s="301"/>
      <c r="T83" s="301"/>
      <c r="U83" s="75"/>
      <c r="V83" s="351">
        <f>SUM(V77:V82)</f>
        <v>37976265.43</v>
      </c>
      <c r="W83" s="351">
        <f>Q69</f>
        <v>37976265.379999995</v>
      </c>
      <c r="X83" s="350">
        <f>V83-W83</f>
        <v>5.0000004470348358E-2</v>
      </c>
      <c r="Y83" s="301"/>
    </row>
    <row r="85" spans="1:25" x14ac:dyDescent="0.25">
      <c r="A85" s="394" t="s">
        <v>187</v>
      </c>
      <c r="B85" s="321" t="s">
        <v>211</v>
      </c>
      <c r="C85" s="385"/>
      <c r="U85" s="75"/>
      <c r="V85" s="350">
        <f>+V73+V77+V78+V79</f>
        <v>23353932.539999999</v>
      </c>
      <c r="W85" s="350"/>
      <c r="X85" s="75"/>
    </row>
    <row r="86" spans="1:25" x14ac:dyDescent="0.25">
      <c r="A86" s="313" t="s">
        <v>164</v>
      </c>
      <c r="B86" s="308"/>
      <c r="C86" s="322"/>
      <c r="D86" s="319" t="s">
        <v>19</v>
      </c>
      <c r="E86" s="318" t="s">
        <v>59</v>
      </c>
      <c r="F86" s="319" t="s">
        <v>27</v>
      </c>
      <c r="G86" s="320" t="s">
        <v>35</v>
      </c>
      <c r="H86" s="309" t="s">
        <v>36</v>
      </c>
      <c r="I86" s="309" t="s">
        <v>35</v>
      </c>
      <c r="J86" s="320" t="s">
        <v>36</v>
      </c>
      <c r="K86" s="320" t="s">
        <v>39</v>
      </c>
      <c r="L86" s="320" t="s">
        <v>40</v>
      </c>
      <c r="M86" s="320" t="s">
        <v>42</v>
      </c>
      <c r="N86" s="320" t="s">
        <v>2</v>
      </c>
      <c r="O86" s="323" t="s">
        <v>184</v>
      </c>
      <c r="P86" s="332" t="s">
        <v>166</v>
      </c>
      <c r="Q86" s="332" t="s">
        <v>188</v>
      </c>
      <c r="R86" s="310"/>
      <c r="U86" s="75"/>
      <c r="V86" s="350">
        <f>+V74+V80+V81+V82</f>
        <v>26559066.659999996</v>
      </c>
      <c r="W86" s="351"/>
      <c r="X86" s="350"/>
    </row>
    <row r="87" spans="1:25" x14ac:dyDescent="0.25">
      <c r="A87" s="324" t="s">
        <v>28</v>
      </c>
      <c r="B87" s="32" t="s">
        <v>177</v>
      </c>
      <c r="C87" s="62" t="s">
        <v>31</v>
      </c>
      <c r="D87" s="62" t="s">
        <v>30</v>
      </c>
      <c r="E87" s="62" t="s">
        <v>161</v>
      </c>
      <c r="F87" s="261" t="s">
        <v>56</v>
      </c>
      <c r="G87" s="312">
        <v>265775.18579999998</v>
      </c>
      <c r="H87" s="312">
        <v>255199.54019999999</v>
      </c>
      <c r="I87" s="237">
        <v>1.8149</v>
      </c>
      <c r="J87" s="237">
        <v>1.8149</v>
      </c>
      <c r="K87" s="236"/>
      <c r="L87" s="312"/>
      <c r="M87" s="312"/>
      <c r="N87" s="236"/>
      <c r="O87" s="245">
        <f>G87*I87+H87*J87</f>
        <v>945517.03021739994</v>
      </c>
      <c r="P87" s="243">
        <f>ROUND(37.24%*(G87*I87+H87*J87),2)</f>
        <v>352110.54</v>
      </c>
      <c r="Q87" s="243">
        <f t="shared" ref="Q87:Q88" si="46">ROUND(R87*P87,2)</f>
        <v>176055.27</v>
      </c>
      <c r="R87" s="244">
        <v>0.5</v>
      </c>
      <c r="U87" s="74"/>
      <c r="V87" s="350">
        <f>+V75</f>
        <v>5328457.8243749999</v>
      </c>
      <c r="W87" s="74"/>
    </row>
    <row r="88" spans="1:25" x14ac:dyDescent="0.25">
      <c r="A88" s="326" t="s">
        <v>28</v>
      </c>
      <c r="B88" s="335" t="str">
        <f>B87</f>
        <v>56 GAS-Mlocal</v>
      </c>
      <c r="C88" s="336" t="s">
        <v>31</v>
      </c>
      <c r="D88" s="337" t="s">
        <v>190</v>
      </c>
      <c r="E88" s="337"/>
      <c r="F88" s="342" t="str">
        <f>F87</f>
        <v xml:space="preserve"> MM BTU</v>
      </c>
      <c r="G88" s="387">
        <f>+G87</f>
        <v>265775.18579999998</v>
      </c>
      <c r="H88" s="387">
        <f>+H87</f>
        <v>255199.54019999999</v>
      </c>
      <c r="I88" s="328">
        <v>1.8204</v>
      </c>
      <c r="J88" s="328">
        <v>1.8204</v>
      </c>
      <c r="K88" s="328"/>
      <c r="L88" s="328"/>
      <c r="M88" s="328"/>
      <c r="N88" s="327"/>
      <c r="O88" s="245">
        <f t="shared" ref="O88" si="47">G88*I88+H88*J88</f>
        <v>948382.39121039992</v>
      </c>
      <c r="P88" s="243">
        <f>ROUND(37.24%*(G88*I88+H88*J88),2)</f>
        <v>353177.59999999998</v>
      </c>
      <c r="Q88" s="243">
        <f t="shared" si="46"/>
        <v>176588.79999999999</v>
      </c>
      <c r="R88" s="244">
        <v>0.5</v>
      </c>
      <c r="U88" s="74"/>
      <c r="V88" s="352">
        <f>SUM(V85:V87)</f>
        <v>55241457.024374992</v>
      </c>
      <c r="W88" s="74"/>
      <c r="X88" s="74">
        <f>+V88-P71</f>
        <v>0.11437499523162842</v>
      </c>
    </row>
    <row r="89" spans="1:25" x14ac:dyDescent="0.25">
      <c r="A89" s="329"/>
      <c r="B89" s="338" t="s">
        <v>185</v>
      </c>
      <c r="C89" s="100"/>
      <c r="D89" s="210"/>
      <c r="E89" s="210"/>
      <c r="F89" s="329"/>
      <c r="G89" s="386">
        <f t="shared" ref="G89:Q89" si="48">G88-G87</f>
        <v>0</v>
      </c>
      <c r="H89" s="388">
        <f t="shared" si="48"/>
        <v>0</v>
      </c>
      <c r="I89" s="339">
        <f t="shared" si="48"/>
        <v>5.5000000000000604E-3</v>
      </c>
      <c r="J89" s="339">
        <f t="shared" si="48"/>
        <v>5.5000000000000604E-3</v>
      </c>
      <c r="K89" s="339">
        <f t="shared" si="48"/>
        <v>0</v>
      </c>
      <c r="L89" s="339">
        <f t="shared" si="48"/>
        <v>0</v>
      </c>
      <c r="M89" s="339">
        <f t="shared" si="48"/>
        <v>0</v>
      </c>
      <c r="N89" s="340">
        <f t="shared" si="48"/>
        <v>0</v>
      </c>
      <c r="O89" s="330">
        <f t="shared" si="48"/>
        <v>2865.3609929999802</v>
      </c>
      <c r="P89" s="331">
        <f t="shared" si="48"/>
        <v>1067.0599999999977</v>
      </c>
      <c r="Q89" s="330">
        <f t="shared" si="48"/>
        <v>533.52999999999884</v>
      </c>
      <c r="R89" s="341"/>
      <c r="S89" s="307" t="s">
        <v>186</v>
      </c>
    </row>
    <row r="90" spans="1:25" x14ac:dyDescent="0.25">
      <c r="V90" s="74"/>
    </row>
    <row r="91" spans="1:25" x14ac:dyDescent="0.25">
      <c r="A91" s="394" t="s">
        <v>187</v>
      </c>
      <c r="B91" s="321" t="s">
        <v>211</v>
      </c>
      <c r="C91" s="385"/>
      <c r="U91" s="75"/>
      <c r="V91" s="350"/>
      <c r="W91" s="350"/>
      <c r="X91" s="75"/>
    </row>
    <row r="92" spans="1:25" x14ac:dyDescent="0.25">
      <c r="A92" s="313" t="s">
        <v>164</v>
      </c>
      <c r="B92" s="308"/>
      <c r="C92" s="322"/>
      <c r="D92" s="319" t="s">
        <v>19</v>
      </c>
      <c r="E92" s="318" t="s">
        <v>59</v>
      </c>
      <c r="F92" s="319" t="s">
        <v>27</v>
      </c>
      <c r="G92" s="320" t="s">
        <v>35</v>
      </c>
      <c r="H92" s="309" t="s">
        <v>36</v>
      </c>
      <c r="I92" s="309" t="s">
        <v>35</v>
      </c>
      <c r="J92" s="320" t="s">
        <v>36</v>
      </c>
      <c r="K92" s="320" t="s">
        <v>39</v>
      </c>
      <c r="L92" s="320" t="s">
        <v>40</v>
      </c>
      <c r="M92" s="320" t="s">
        <v>42</v>
      </c>
      <c r="N92" s="320" t="s">
        <v>2</v>
      </c>
      <c r="O92" s="323" t="s">
        <v>184</v>
      </c>
      <c r="P92" s="332" t="s">
        <v>166</v>
      </c>
      <c r="Q92" s="332" t="s">
        <v>188</v>
      </c>
      <c r="R92" s="310"/>
      <c r="U92" s="75"/>
      <c r="V92" s="350"/>
      <c r="W92" s="351"/>
      <c r="X92" s="350"/>
    </row>
    <row r="93" spans="1:25" x14ac:dyDescent="0.25">
      <c r="A93" s="26" t="s">
        <v>28</v>
      </c>
      <c r="B93" s="302" t="s">
        <v>180</v>
      </c>
      <c r="C93" s="62" t="s">
        <v>31</v>
      </c>
      <c r="D93" s="62" t="s">
        <v>30</v>
      </c>
      <c r="E93" s="62" t="s">
        <v>161</v>
      </c>
      <c r="F93" s="261" t="s">
        <v>56</v>
      </c>
      <c r="G93" s="312">
        <v>2799271.4841</v>
      </c>
      <c r="H93" s="312">
        <v>2505225.2960000001</v>
      </c>
      <c r="I93" s="237">
        <v>1.097</v>
      </c>
      <c r="J93" s="237">
        <v>1.097</v>
      </c>
      <c r="K93" s="236"/>
      <c r="L93" s="312"/>
      <c r="M93" s="312"/>
      <c r="N93" s="236"/>
      <c r="O93" s="245">
        <f t="shared" ref="O93:O94" si="49">G93*I93+H93*J93</f>
        <v>5819032.9677697001</v>
      </c>
      <c r="P93" s="281">
        <f>ROUND(G93*I93,2)*9.12%+ROUND(H93*J93,2)*8.61%</f>
        <v>516679.8228989999</v>
      </c>
      <c r="Q93" s="243">
        <f t="shared" ref="Q93:Q94" si="50">ROUND(R93*P93,2)</f>
        <v>258339.91</v>
      </c>
      <c r="R93" s="244">
        <v>0.5</v>
      </c>
    </row>
    <row r="94" spans="1:25" x14ac:dyDescent="0.25">
      <c r="A94" s="326" t="s">
        <v>28</v>
      </c>
      <c r="B94" s="335" t="str">
        <f>B93</f>
        <v>57 GAS</v>
      </c>
      <c r="C94" s="336" t="s">
        <v>31</v>
      </c>
      <c r="D94" s="337" t="s">
        <v>190</v>
      </c>
      <c r="E94" s="337"/>
      <c r="F94" s="342" t="str">
        <f>F93</f>
        <v xml:space="preserve"> MM BTU</v>
      </c>
      <c r="G94" s="387">
        <f>+G93</f>
        <v>2799271.4841</v>
      </c>
      <c r="H94" s="387">
        <f>+H93</f>
        <v>2505225.2960000001</v>
      </c>
      <c r="I94" s="328">
        <v>1.974</v>
      </c>
      <c r="J94" s="328">
        <v>1.974</v>
      </c>
      <c r="K94" s="236"/>
      <c r="L94" s="312"/>
      <c r="M94" s="312"/>
      <c r="N94" s="236"/>
      <c r="O94" s="245">
        <f t="shared" si="49"/>
        <v>10471076.6439174</v>
      </c>
      <c r="P94" s="281">
        <f>ROUND(G94*I94,2)*9.12%+ROUND(H94*J94,2)*8.61%</f>
        <v>929741.08444499993</v>
      </c>
      <c r="Q94" s="243">
        <f t="shared" si="50"/>
        <v>464870.54</v>
      </c>
      <c r="R94" s="244">
        <v>0.5</v>
      </c>
    </row>
    <row r="95" spans="1:25" x14ac:dyDescent="0.25">
      <c r="A95" s="329"/>
      <c r="B95" s="338" t="s">
        <v>185</v>
      </c>
      <c r="C95" s="100"/>
      <c r="D95" s="210"/>
      <c r="E95" s="210"/>
      <c r="F95" s="329"/>
      <c r="G95" s="386">
        <f t="shared" ref="G95:P95" si="51">G94-G93</f>
        <v>0</v>
      </c>
      <c r="H95" s="388">
        <f t="shared" si="51"/>
        <v>0</v>
      </c>
      <c r="I95" s="339">
        <f t="shared" si="51"/>
        <v>0.877</v>
      </c>
      <c r="J95" s="339">
        <f t="shared" si="51"/>
        <v>0.877</v>
      </c>
      <c r="K95" s="339">
        <f t="shared" si="51"/>
        <v>0</v>
      </c>
      <c r="L95" s="339">
        <f t="shared" si="51"/>
        <v>0</v>
      </c>
      <c r="M95" s="339">
        <f t="shared" si="51"/>
        <v>0</v>
      </c>
      <c r="N95" s="340">
        <f t="shared" si="51"/>
        <v>0</v>
      </c>
      <c r="O95" s="330">
        <f t="shared" si="51"/>
        <v>4652043.6761477003</v>
      </c>
      <c r="P95" s="331">
        <f t="shared" si="51"/>
        <v>413061.26154600002</v>
      </c>
      <c r="Q95" s="330">
        <f>Q94-Q93</f>
        <v>206530.62999999998</v>
      </c>
      <c r="R95" s="341"/>
      <c r="S95" s="307" t="s">
        <v>186</v>
      </c>
    </row>
    <row r="97" spans="1:24" x14ac:dyDescent="0.25">
      <c r="A97" s="394" t="s">
        <v>187</v>
      </c>
      <c r="B97" s="321" t="s">
        <v>212</v>
      </c>
      <c r="C97" s="385"/>
      <c r="U97" s="75"/>
      <c r="V97" s="350"/>
      <c r="W97" s="350"/>
      <c r="X97" s="75"/>
    </row>
    <row r="98" spans="1:24" x14ac:dyDescent="0.25">
      <c r="A98" s="313" t="s">
        <v>164</v>
      </c>
      <c r="B98" s="308"/>
      <c r="C98" s="322"/>
      <c r="D98" s="319" t="s">
        <v>19</v>
      </c>
      <c r="E98" s="318" t="s">
        <v>59</v>
      </c>
      <c r="F98" s="319" t="s">
        <v>27</v>
      </c>
      <c r="G98" s="320" t="s">
        <v>35</v>
      </c>
      <c r="H98" s="309" t="s">
        <v>36</v>
      </c>
      <c r="I98" s="309" t="s">
        <v>35</v>
      </c>
      <c r="J98" s="320" t="s">
        <v>36</v>
      </c>
      <c r="K98" s="320" t="s">
        <v>39</v>
      </c>
      <c r="L98" s="320" t="s">
        <v>40</v>
      </c>
      <c r="M98" s="320" t="s">
        <v>42</v>
      </c>
      <c r="N98" s="320" t="s">
        <v>2</v>
      </c>
      <c r="O98" s="323" t="s">
        <v>184</v>
      </c>
      <c r="P98" s="332" t="s">
        <v>166</v>
      </c>
      <c r="Q98" s="332" t="s">
        <v>188</v>
      </c>
      <c r="R98" s="310"/>
      <c r="U98" s="75"/>
      <c r="V98" s="350"/>
      <c r="W98" s="351"/>
      <c r="X98" s="350"/>
    </row>
    <row r="99" spans="1:24" x14ac:dyDescent="0.25">
      <c r="A99" s="324" t="s">
        <v>28</v>
      </c>
      <c r="B99" s="325" t="s">
        <v>208</v>
      </c>
      <c r="C99" s="333" t="s">
        <v>31</v>
      </c>
      <c r="D99" s="334" t="s">
        <v>189</v>
      </c>
      <c r="E99" s="334"/>
      <c r="F99" s="343" t="s">
        <v>56</v>
      </c>
      <c r="G99" s="312">
        <v>9787700</v>
      </c>
      <c r="H99" s="312">
        <v>9337097.3200000003</v>
      </c>
      <c r="I99" s="237">
        <v>1.9096</v>
      </c>
      <c r="J99" s="237">
        <v>1.9096</v>
      </c>
      <c r="K99" s="236"/>
      <c r="L99" s="312"/>
      <c r="M99" s="312"/>
      <c r="N99" s="236"/>
      <c r="O99" s="245">
        <f>G99*I99+H99*J99</f>
        <v>36520712.962272003</v>
      </c>
      <c r="P99" s="243">
        <f>ROUND(37.24%*(G99*I99+H99*J99),2)</f>
        <v>13600313.51</v>
      </c>
      <c r="Q99" s="243">
        <f t="shared" ref="Q99:Q100" si="52">ROUND(R99*P99,2)</f>
        <v>6800156.7599999998</v>
      </c>
      <c r="R99" s="244">
        <v>0.5</v>
      </c>
      <c r="U99" s="74"/>
      <c r="V99" s="74"/>
      <c r="W99" s="74"/>
    </row>
    <row r="100" spans="1:24" x14ac:dyDescent="0.25">
      <c r="A100" s="326" t="s">
        <v>28</v>
      </c>
      <c r="B100" s="335" t="str">
        <f>B99</f>
        <v>88-GAS</v>
      </c>
      <c r="C100" s="336" t="s">
        <v>31</v>
      </c>
      <c r="D100" s="337" t="s">
        <v>190</v>
      </c>
      <c r="E100" s="337"/>
      <c r="F100" s="342" t="str">
        <f>F99</f>
        <v xml:space="preserve"> MM BTU</v>
      </c>
      <c r="G100" s="387">
        <f>+G99</f>
        <v>9787700</v>
      </c>
      <c r="H100" s="387">
        <f>+H99</f>
        <v>9337097.3200000003</v>
      </c>
      <c r="I100" s="328">
        <v>1.9157</v>
      </c>
      <c r="J100" s="328">
        <v>1.9157</v>
      </c>
      <c r="K100" s="328"/>
      <c r="L100" s="328"/>
      <c r="M100" s="328"/>
      <c r="N100" s="327"/>
      <c r="O100" s="344">
        <f>G100*I100+H100*J100</f>
        <v>36637374.225924</v>
      </c>
      <c r="P100" s="345">
        <f>ROUND(37.24%*(G100*I100+H100*J100),2)</f>
        <v>13643758.16</v>
      </c>
      <c r="Q100" s="345">
        <f t="shared" si="52"/>
        <v>6821879.0800000001</v>
      </c>
      <c r="R100" s="252">
        <v>0.5</v>
      </c>
      <c r="U100" s="74"/>
      <c r="V100" s="74"/>
      <c r="W100" s="74"/>
      <c r="X100" s="74"/>
    </row>
    <row r="101" spans="1:24" x14ac:dyDescent="0.25">
      <c r="A101" s="329"/>
      <c r="B101" s="338" t="s">
        <v>185</v>
      </c>
      <c r="C101" s="100"/>
      <c r="D101" s="210"/>
      <c r="E101" s="210"/>
      <c r="F101" s="329"/>
      <c r="G101" s="386">
        <f t="shared" ref="G101:Q101" si="53">G100-G99</f>
        <v>0</v>
      </c>
      <c r="H101" s="388">
        <f t="shared" si="53"/>
        <v>0</v>
      </c>
      <c r="I101" s="339">
        <f t="shared" si="53"/>
        <v>6.0999999999999943E-3</v>
      </c>
      <c r="J101" s="339">
        <f t="shared" si="53"/>
        <v>6.0999999999999943E-3</v>
      </c>
      <c r="K101" s="339">
        <f t="shared" si="53"/>
        <v>0</v>
      </c>
      <c r="L101" s="339">
        <f t="shared" si="53"/>
        <v>0</v>
      </c>
      <c r="M101" s="339">
        <f t="shared" si="53"/>
        <v>0</v>
      </c>
      <c r="N101" s="340">
        <f t="shared" si="53"/>
        <v>0</v>
      </c>
      <c r="O101" s="330">
        <f t="shared" si="53"/>
        <v>116661.26365199685</v>
      </c>
      <c r="P101" s="331">
        <f t="shared" si="53"/>
        <v>43444.650000000373</v>
      </c>
      <c r="Q101" s="330">
        <f t="shared" si="53"/>
        <v>21722.320000000298</v>
      </c>
      <c r="R101" s="341"/>
      <c r="S101" s="307" t="s">
        <v>186</v>
      </c>
    </row>
    <row r="103" spans="1:24" x14ac:dyDescent="0.25">
      <c r="A103" s="394" t="s">
        <v>187</v>
      </c>
      <c r="B103" s="321" t="s">
        <v>213</v>
      </c>
      <c r="C103" s="385"/>
      <c r="U103" s="75"/>
      <c r="V103" s="350"/>
      <c r="W103" s="350"/>
      <c r="X103" s="75"/>
    </row>
    <row r="104" spans="1:24" x14ac:dyDescent="0.25">
      <c r="A104" s="313" t="s">
        <v>164</v>
      </c>
      <c r="B104" s="308"/>
      <c r="C104" s="322"/>
      <c r="D104" s="319" t="s">
        <v>19</v>
      </c>
      <c r="E104" s="318" t="s">
        <v>59</v>
      </c>
      <c r="F104" s="319" t="s">
        <v>27</v>
      </c>
      <c r="G104" s="320" t="s">
        <v>35</v>
      </c>
      <c r="H104" s="309" t="s">
        <v>36</v>
      </c>
      <c r="I104" s="309" t="s">
        <v>35</v>
      </c>
      <c r="J104" s="320" t="s">
        <v>36</v>
      </c>
      <c r="K104" s="320" t="s">
        <v>39</v>
      </c>
      <c r="L104" s="320" t="s">
        <v>40</v>
      </c>
      <c r="M104" s="320" t="s">
        <v>42</v>
      </c>
      <c r="N104" s="320" t="s">
        <v>2</v>
      </c>
      <c r="O104" s="323" t="s">
        <v>184</v>
      </c>
      <c r="P104" s="332" t="s">
        <v>166</v>
      </c>
      <c r="Q104" s="332" t="s">
        <v>188</v>
      </c>
      <c r="R104" s="310"/>
      <c r="U104" s="75"/>
      <c r="V104" s="350"/>
      <c r="W104" s="351"/>
      <c r="X104" s="350"/>
    </row>
    <row r="105" spans="1:24" x14ac:dyDescent="0.25">
      <c r="A105" s="26" t="s">
        <v>28</v>
      </c>
      <c r="B105" s="27" t="s">
        <v>162</v>
      </c>
      <c r="C105" s="62" t="s">
        <v>31</v>
      </c>
      <c r="D105" s="62" t="s">
        <v>30</v>
      </c>
      <c r="E105" s="62" t="s">
        <v>161</v>
      </c>
      <c r="F105" s="262" t="s">
        <v>56</v>
      </c>
      <c r="G105" s="312">
        <v>11524971.52</v>
      </c>
      <c r="H105" s="312">
        <v>10703361.789999999</v>
      </c>
      <c r="I105" s="237">
        <v>1.9211</v>
      </c>
      <c r="J105" s="237">
        <v>1.9211</v>
      </c>
      <c r="K105" s="312"/>
      <c r="L105" s="312"/>
      <c r="M105" s="312"/>
      <c r="N105" s="312"/>
      <c r="O105" s="245">
        <f>G105*I105+H105*J105</f>
        <v>42702851.121840999</v>
      </c>
      <c r="P105" s="243">
        <f>ROUND(37.24%*(G105*I105+H105*J105),2)</f>
        <v>15902541.76</v>
      </c>
      <c r="Q105" s="243">
        <f t="shared" ref="Q105:Q106" si="54">ROUND(R105*P105,2)</f>
        <v>7951270.8799999999</v>
      </c>
      <c r="R105" s="244">
        <v>0.5</v>
      </c>
      <c r="U105" s="74"/>
      <c r="V105" s="74"/>
      <c r="W105" s="74"/>
    </row>
    <row r="106" spans="1:24" x14ac:dyDescent="0.25">
      <c r="A106" s="326" t="s">
        <v>28</v>
      </c>
      <c r="B106" s="335" t="str">
        <f>B105</f>
        <v>88 GAS</v>
      </c>
      <c r="C106" s="336" t="s">
        <v>31</v>
      </c>
      <c r="D106" s="337" t="s">
        <v>190</v>
      </c>
      <c r="E106" s="337"/>
      <c r="F106" s="342" t="str">
        <f>F105</f>
        <v xml:space="preserve"> MM BTU</v>
      </c>
      <c r="G106" s="387">
        <f>+G105</f>
        <v>11524971.52</v>
      </c>
      <c r="H106" s="387">
        <f>+H105</f>
        <v>10703361.789999999</v>
      </c>
      <c r="I106" s="328">
        <v>1.9194</v>
      </c>
      <c r="J106" s="328">
        <v>1.9194</v>
      </c>
      <c r="K106" s="328"/>
      <c r="L106" s="328"/>
      <c r="M106" s="328"/>
      <c r="N106" s="327"/>
      <c r="O106" s="245">
        <f>G106*I106+H106*J106</f>
        <v>42665062.955213994</v>
      </c>
      <c r="P106" s="243">
        <f>ROUND(37.24%*(G106*I106+H106*J106),2)</f>
        <v>15888469.439999999</v>
      </c>
      <c r="Q106" s="243">
        <f t="shared" si="54"/>
        <v>7944234.7199999997</v>
      </c>
      <c r="R106" s="244">
        <v>0.5</v>
      </c>
      <c r="U106" s="74"/>
      <c r="V106" s="74"/>
      <c r="W106" s="74"/>
      <c r="X106" s="74"/>
    </row>
    <row r="107" spans="1:24" x14ac:dyDescent="0.25">
      <c r="A107" s="329"/>
      <c r="B107" s="338" t="s">
        <v>185</v>
      </c>
      <c r="C107" s="100"/>
      <c r="D107" s="210"/>
      <c r="E107" s="210"/>
      <c r="F107" s="329"/>
      <c r="G107" s="386">
        <f t="shared" ref="G107:Q107" si="55">G106-G105</f>
        <v>0</v>
      </c>
      <c r="H107" s="388">
        <f t="shared" si="55"/>
        <v>0</v>
      </c>
      <c r="I107" s="339">
        <f t="shared" si="55"/>
        <v>-1.7000000000000348E-3</v>
      </c>
      <c r="J107" s="339">
        <f t="shared" si="55"/>
        <v>-1.7000000000000348E-3</v>
      </c>
      <c r="K107" s="339">
        <f t="shared" si="55"/>
        <v>0</v>
      </c>
      <c r="L107" s="339">
        <f t="shared" si="55"/>
        <v>0</v>
      </c>
      <c r="M107" s="339">
        <f t="shared" si="55"/>
        <v>0</v>
      </c>
      <c r="N107" s="340">
        <f t="shared" si="55"/>
        <v>0</v>
      </c>
      <c r="O107" s="330">
        <f t="shared" si="55"/>
        <v>-37788.166627004743</v>
      </c>
      <c r="P107" s="331">
        <f t="shared" si="55"/>
        <v>-14072.320000000298</v>
      </c>
      <c r="Q107" s="330">
        <f t="shared" si="55"/>
        <v>-7036.160000000149</v>
      </c>
      <c r="R107" s="341"/>
      <c r="S107" s="307" t="s">
        <v>186</v>
      </c>
    </row>
    <row r="109" spans="1:24" x14ac:dyDescent="0.25">
      <c r="A109" s="394" t="s">
        <v>187</v>
      </c>
      <c r="B109" s="321" t="s">
        <v>211</v>
      </c>
      <c r="C109" s="385"/>
      <c r="U109" s="75"/>
      <c r="V109" s="350"/>
      <c r="W109" s="350"/>
      <c r="X109" s="75"/>
    </row>
    <row r="110" spans="1:24" x14ac:dyDescent="0.25">
      <c r="A110" s="313" t="s">
        <v>164</v>
      </c>
      <c r="B110" s="308"/>
      <c r="C110" s="322"/>
      <c r="D110" s="319" t="s">
        <v>19</v>
      </c>
      <c r="E110" s="318" t="s">
        <v>59</v>
      </c>
      <c r="F110" s="319" t="s">
        <v>27</v>
      </c>
      <c r="G110" s="320" t="s">
        <v>35</v>
      </c>
      <c r="H110" s="309" t="s">
        <v>36</v>
      </c>
      <c r="I110" s="309" t="s">
        <v>35</v>
      </c>
      <c r="J110" s="320" t="s">
        <v>36</v>
      </c>
      <c r="K110" s="320" t="s">
        <v>39</v>
      </c>
      <c r="L110" s="320" t="s">
        <v>40</v>
      </c>
      <c r="M110" s="320" t="s">
        <v>42</v>
      </c>
      <c r="N110" s="320" t="s">
        <v>2</v>
      </c>
      <c r="O110" s="323" t="s">
        <v>184</v>
      </c>
      <c r="P110" s="332" t="s">
        <v>166</v>
      </c>
      <c r="Q110" s="332" t="s">
        <v>188</v>
      </c>
      <c r="R110" s="310"/>
      <c r="U110" s="75"/>
      <c r="V110" s="350"/>
      <c r="W110" s="351"/>
      <c r="X110" s="350"/>
    </row>
    <row r="111" spans="1:24" x14ac:dyDescent="0.25">
      <c r="A111" s="26" t="s">
        <v>28</v>
      </c>
      <c r="B111" s="27" t="s">
        <v>162</v>
      </c>
      <c r="C111" s="62" t="s">
        <v>31</v>
      </c>
      <c r="D111" s="62" t="s">
        <v>30</v>
      </c>
      <c r="E111" s="62" t="s">
        <v>161</v>
      </c>
      <c r="F111" s="262" t="s">
        <v>56</v>
      </c>
      <c r="G111" s="312">
        <v>10667901.2116</v>
      </c>
      <c r="H111" s="312">
        <v>10565974.9606</v>
      </c>
      <c r="I111" s="237">
        <v>1.9211</v>
      </c>
      <c r="J111" s="237">
        <v>1.9211</v>
      </c>
      <c r="K111" s="312"/>
      <c r="L111" s="312"/>
      <c r="M111" s="312"/>
      <c r="N111" s="312"/>
      <c r="O111" s="245">
        <f>G111*I111+H111*J111</f>
        <v>40792399.514413416</v>
      </c>
      <c r="P111" s="243">
        <f>ROUND(37.24%*(G111*I111+H111*J111),2)</f>
        <v>15191089.58</v>
      </c>
      <c r="Q111" s="243">
        <f t="shared" ref="Q111:Q112" si="56">ROUND(R111*P111,2)</f>
        <v>7595544.79</v>
      </c>
      <c r="R111" s="244">
        <v>0.5</v>
      </c>
      <c r="U111" s="74"/>
      <c r="V111" s="74"/>
      <c r="W111" s="74"/>
    </row>
    <row r="112" spans="1:24" x14ac:dyDescent="0.25">
      <c r="A112" s="326" t="s">
        <v>28</v>
      </c>
      <c r="B112" s="335" t="str">
        <f>B111</f>
        <v>88 GAS</v>
      </c>
      <c r="C112" s="336" t="s">
        <v>31</v>
      </c>
      <c r="D112" s="337" t="s">
        <v>190</v>
      </c>
      <c r="E112" s="337"/>
      <c r="F112" s="342" t="str">
        <f>F111</f>
        <v xml:space="preserve"> MM BTU</v>
      </c>
      <c r="G112" s="387">
        <f>+G111</f>
        <v>10667901.2116</v>
      </c>
      <c r="H112" s="387">
        <f>+H111</f>
        <v>10565974.9606</v>
      </c>
      <c r="I112" s="328">
        <v>1.9083000000000001</v>
      </c>
      <c r="J112" s="328">
        <v>1.9083000000000001</v>
      </c>
      <c r="K112" s="328"/>
      <c r="L112" s="328"/>
      <c r="M112" s="328"/>
      <c r="N112" s="327"/>
      <c r="O112" s="245">
        <f>G112*I112+H112*J112</f>
        <v>40520605.899409264</v>
      </c>
      <c r="P112" s="243">
        <f>ROUND(37.24%*(G112*I112+H112*J112),2)</f>
        <v>15089873.640000001</v>
      </c>
      <c r="Q112" s="243">
        <f t="shared" si="56"/>
        <v>7544936.8200000003</v>
      </c>
      <c r="R112" s="244">
        <v>0.5</v>
      </c>
      <c r="U112" s="74"/>
      <c r="V112" s="74"/>
      <c r="W112" s="74"/>
      <c r="X112" s="74"/>
    </row>
    <row r="113" spans="1:24" x14ac:dyDescent="0.25">
      <c r="A113" s="329"/>
      <c r="B113" s="338" t="s">
        <v>185</v>
      </c>
      <c r="C113" s="100"/>
      <c r="D113" s="210"/>
      <c r="E113" s="210"/>
      <c r="F113" s="329"/>
      <c r="G113" s="386">
        <f t="shared" ref="G113:Q113" si="57">G112-G111</f>
        <v>0</v>
      </c>
      <c r="H113" s="388">
        <f t="shared" si="57"/>
        <v>0</v>
      </c>
      <c r="I113" s="339">
        <f t="shared" si="57"/>
        <v>-1.2799999999999923E-2</v>
      </c>
      <c r="J113" s="339">
        <f t="shared" si="57"/>
        <v>-1.2799999999999923E-2</v>
      </c>
      <c r="K113" s="339">
        <f t="shared" si="57"/>
        <v>0</v>
      </c>
      <c r="L113" s="339">
        <f t="shared" si="57"/>
        <v>0</v>
      </c>
      <c r="M113" s="339">
        <f t="shared" si="57"/>
        <v>0</v>
      </c>
      <c r="N113" s="340">
        <f t="shared" si="57"/>
        <v>0</v>
      </c>
      <c r="O113" s="330">
        <f t="shared" si="57"/>
        <v>-271793.61500415206</v>
      </c>
      <c r="P113" s="331">
        <f t="shared" si="57"/>
        <v>-101215.93999999948</v>
      </c>
      <c r="Q113" s="330">
        <f t="shared" si="57"/>
        <v>-50607.969999999739</v>
      </c>
      <c r="R113" s="341"/>
      <c r="S113" s="307" t="s">
        <v>186</v>
      </c>
    </row>
    <row r="115" spans="1:24" x14ac:dyDescent="0.25">
      <c r="A115" s="394" t="s">
        <v>187</v>
      </c>
      <c r="B115" s="321" t="s">
        <v>211</v>
      </c>
      <c r="C115" s="385"/>
      <c r="U115" s="75"/>
      <c r="V115" s="350"/>
      <c r="W115" s="350"/>
      <c r="X115" s="75"/>
    </row>
    <row r="116" spans="1:24" x14ac:dyDescent="0.25">
      <c r="A116" s="313" t="s">
        <v>164</v>
      </c>
      <c r="B116" s="308"/>
      <c r="C116" s="322"/>
      <c r="D116" s="319" t="s">
        <v>19</v>
      </c>
      <c r="E116" s="318" t="s">
        <v>59</v>
      </c>
      <c r="F116" s="319" t="s">
        <v>27</v>
      </c>
      <c r="G116" s="320" t="s">
        <v>35</v>
      </c>
      <c r="H116" s="309" t="s">
        <v>36</v>
      </c>
      <c r="I116" s="309" t="s">
        <v>35</v>
      </c>
      <c r="J116" s="320" t="s">
        <v>36</v>
      </c>
      <c r="K116" s="320" t="s">
        <v>39</v>
      </c>
      <c r="L116" s="320" t="s">
        <v>40</v>
      </c>
      <c r="M116" s="320" t="s">
        <v>42</v>
      </c>
      <c r="N116" s="320" t="s">
        <v>2</v>
      </c>
      <c r="O116" s="323" t="s">
        <v>184</v>
      </c>
      <c r="P116" s="332" t="s">
        <v>166</v>
      </c>
      <c r="Q116" s="332" t="s">
        <v>188</v>
      </c>
      <c r="R116" s="310"/>
      <c r="U116" s="75"/>
      <c r="V116" s="350"/>
      <c r="W116" s="351"/>
      <c r="X116" s="350"/>
    </row>
    <row r="117" spans="1:24" x14ac:dyDescent="0.25">
      <c r="A117" s="26" t="s">
        <v>28</v>
      </c>
      <c r="B117" s="32" t="s">
        <v>179</v>
      </c>
      <c r="C117" s="62" t="s">
        <v>31</v>
      </c>
      <c r="D117" s="62" t="s">
        <v>30</v>
      </c>
      <c r="E117" s="62" t="s">
        <v>161</v>
      </c>
      <c r="F117" s="261" t="s">
        <v>37</v>
      </c>
      <c r="G117" s="312">
        <v>177857</v>
      </c>
      <c r="H117" s="312">
        <v>160949</v>
      </c>
      <c r="I117" s="237">
        <v>38.518900000000002</v>
      </c>
      <c r="J117" s="237">
        <v>38.653700000000001</v>
      </c>
      <c r="K117" s="236"/>
      <c r="L117" s="312"/>
      <c r="M117" s="312"/>
      <c r="N117" s="236"/>
      <c r="O117" s="245">
        <f t="shared" ref="O117:O118" si="58">G117*I117+H117*J117</f>
        <v>13072130.3586</v>
      </c>
      <c r="P117" s="281">
        <f>ROUND(G117*I117,2)*6.08%+ROUND(H117*J117,2)*5.9%</f>
        <v>783587.23204000003</v>
      </c>
      <c r="Q117" s="243">
        <f t="shared" ref="Q117:Q118" si="59">ROUND(R117*P117,2)</f>
        <v>391793.62</v>
      </c>
      <c r="R117" s="244">
        <v>0.5</v>
      </c>
    </row>
    <row r="118" spans="1:24" x14ac:dyDescent="0.25">
      <c r="A118" s="326" t="s">
        <v>28</v>
      </c>
      <c r="B118" s="335" t="str">
        <f>B117</f>
        <v>57 LGN</v>
      </c>
      <c r="C118" s="336" t="s">
        <v>31</v>
      </c>
      <c r="D118" s="337" t="s">
        <v>190</v>
      </c>
      <c r="E118" s="337"/>
      <c r="F118" s="342" t="str">
        <f>F117</f>
        <v>Bls</v>
      </c>
      <c r="G118" s="387">
        <f>+G117</f>
        <v>177857</v>
      </c>
      <c r="H118" s="387">
        <f>+H117</f>
        <v>160949</v>
      </c>
      <c r="I118" s="328">
        <v>38.198500000000003</v>
      </c>
      <c r="J118" s="328">
        <v>38.333300000000001</v>
      </c>
      <c r="K118" s="236"/>
      <c r="L118" s="312"/>
      <c r="M118" s="312"/>
      <c r="N118" s="236"/>
      <c r="O118" s="245">
        <f t="shared" si="58"/>
        <v>12963576.916200001</v>
      </c>
      <c r="P118" s="281">
        <f>ROUND(G118*I118,2)*6.08%+ROUND(H118*J118,2)*5.9%</f>
        <v>777080.00478800002</v>
      </c>
      <c r="Q118" s="243">
        <f t="shared" si="59"/>
        <v>388540</v>
      </c>
      <c r="R118" s="244">
        <v>0.5</v>
      </c>
    </row>
    <row r="119" spans="1:24" x14ac:dyDescent="0.25">
      <c r="A119" s="329"/>
      <c r="B119" s="338" t="s">
        <v>185</v>
      </c>
      <c r="C119" s="100"/>
      <c r="D119" s="210"/>
      <c r="E119" s="210"/>
      <c r="F119" s="329"/>
      <c r="G119" s="386">
        <f t="shared" ref="G119:P119" si="60">G118-G117</f>
        <v>0</v>
      </c>
      <c r="H119" s="388">
        <f t="shared" si="60"/>
        <v>0</v>
      </c>
      <c r="I119" s="339">
        <f t="shared" si="60"/>
        <v>-0.32039999999999935</v>
      </c>
      <c r="J119" s="339">
        <f t="shared" si="60"/>
        <v>-0.32039999999999935</v>
      </c>
      <c r="K119" s="339">
        <f t="shared" si="60"/>
        <v>0</v>
      </c>
      <c r="L119" s="339">
        <f t="shared" si="60"/>
        <v>0</v>
      </c>
      <c r="M119" s="339">
        <f t="shared" si="60"/>
        <v>0</v>
      </c>
      <c r="N119" s="340">
        <f t="shared" si="60"/>
        <v>0</v>
      </c>
      <c r="O119" s="330">
        <f t="shared" si="60"/>
        <v>-108553.44239999913</v>
      </c>
      <c r="P119" s="331">
        <f t="shared" si="60"/>
        <v>-6507.2272520000115</v>
      </c>
      <c r="Q119" s="330">
        <f>Q118-Q117</f>
        <v>-3253.6199999999953</v>
      </c>
      <c r="R119" s="341"/>
      <c r="S119" s="307" t="s">
        <v>186</v>
      </c>
    </row>
    <row r="121" spans="1:24" x14ac:dyDescent="0.25">
      <c r="A121" s="394" t="s">
        <v>203</v>
      </c>
      <c r="B121" s="321" t="s">
        <v>211</v>
      </c>
    </row>
    <row r="122" spans="1:24" x14ac:dyDescent="0.25">
      <c r="A122" s="375" t="s">
        <v>195</v>
      </c>
      <c r="B122" s="376"/>
      <c r="C122" s="63"/>
      <c r="D122" s="319" t="s">
        <v>19</v>
      </c>
      <c r="E122" s="318" t="s">
        <v>59</v>
      </c>
      <c r="F122" s="377" t="s">
        <v>27</v>
      </c>
      <c r="G122" s="320" t="s">
        <v>35</v>
      </c>
      <c r="H122" s="309" t="s">
        <v>36</v>
      </c>
      <c r="I122" s="320" t="s">
        <v>35</v>
      </c>
      <c r="J122" s="320" t="s">
        <v>36</v>
      </c>
      <c r="K122" s="320" t="s">
        <v>39</v>
      </c>
      <c r="L122" s="320" t="s">
        <v>40</v>
      </c>
      <c r="M122" s="320" t="s">
        <v>42</v>
      </c>
      <c r="N122" s="320" t="s">
        <v>2</v>
      </c>
      <c r="O122" s="323" t="s">
        <v>184</v>
      </c>
      <c r="P122" s="332" t="s">
        <v>166</v>
      </c>
      <c r="Q122" s="332" t="s">
        <v>47</v>
      </c>
      <c r="R122" s="310"/>
      <c r="S122" s="332" t="s">
        <v>48</v>
      </c>
      <c r="T122" s="310"/>
    </row>
    <row r="123" spans="1:24" x14ac:dyDescent="0.25">
      <c r="A123" s="26" t="s">
        <v>28</v>
      </c>
      <c r="B123" s="29" t="s">
        <v>167</v>
      </c>
      <c r="C123" s="62" t="s">
        <v>31</v>
      </c>
      <c r="D123" s="62" t="s">
        <v>21</v>
      </c>
      <c r="E123" s="134" t="s">
        <v>101</v>
      </c>
      <c r="F123" s="261" t="s">
        <v>37</v>
      </c>
      <c r="G123" s="236">
        <v>1378</v>
      </c>
      <c r="H123" s="236"/>
      <c r="I123" s="238">
        <v>50.015900000000002</v>
      </c>
      <c r="J123" s="238"/>
      <c r="K123" s="312"/>
      <c r="L123" s="312"/>
      <c r="M123" s="236"/>
      <c r="N123" s="245"/>
      <c r="O123" s="245">
        <f>ROUND(G123*I123,2)+ROUND(H123*J123,2)-K123-L123-M123-N123</f>
        <v>68921.91</v>
      </c>
      <c r="P123" s="243">
        <f>ROUND(18.75%*O123,2)</f>
        <v>12922.86</v>
      </c>
      <c r="Q123" s="243">
        <f t="shared" ref="Q123:Q124" si="61">ROUND($O123*R123,2)</f>
        <v>10338.290000000001</v>
      </c>
      <c r="R123" s="244">
        <v>0.15</v>
      </c>
      <c r="S123" s="243">
        <f t="shared" ref="S123:S124" si="62">ROUND($O123*T123,2)</f>
        <v>2584.5700000000002</v>
      </c>
      <c r="T123" s="286">
        <v>3.7499999999999999E-2</v>
      </c>
    </row>
    <row r="124" spans="1:24" x14ac:dyDescent="0.25">
      <c r="A124" s="380" t="s">
        <v>28</v>
      </c>
      <c r="B124" s="381" t="str">
        <f>+B123</f>
        <v>31-E</v>
      </c>
      <c r="C124" s="336" t="s">
        <v>31</v>
      </c>
      <c r="D124" s="337" t="s">
        <v>190</v>
      </c>
      <c r="E124" s="337"/>
      <c r="F124" s="342" t="str">
        <f>F123</f>
        <v>Bls</v>
      </c>
      <c r="G124" s="369">
        <f>+G123</f>
        <v>1378</v>
      </c>
      <c r="H124" s="369">
        <f>+H123</f>
        <v>0</v>
      </c>
      <c r="I124" s="370">
        <v>50.451300000000003</v>
      </c>
      <c r="J124" s="238"/>
      <c r="K124" s="369"/>
      <c r="L124" s="239"/>
      <c r="M124" s="239"/>
      <c r="N124" s="369"/>
      <c r="O124" s="245">
        <f>ROUND(G124*I124,2)+ROUND(H124*J124,2)-K124-L124-M124-N124</f>
        <v>69521.89</v>
      </c>
      <c r="P124" s="243">
        <f>ROUND(18.75%*O124,2)</f>
        <v>13035.35</v>
      </c>
      <c r="Q124" s="243">
        <f t="shared" si="61"/>
        <v>10428.280000000001</v>
      </c>
      <c r="R124" s="244">
        <v>0.15</v>
      </c>
      <c r="S124" s="243">
        <f t="shared" si="62"/>
        <v>2607.0700000000002</v>
      </c>
      <c r="T124" s="286">
        <v>3.7499999999999999E-2</v>
      </c>
    </row>
    <row r="125" spans="1:24" x14ac:dyDescent="0.25">
      <c r="A125" s="378"/>
      <c r="B125" s="378"/>
      <c r="C125" s="378"/>
      <c r="D125" s="378"/>
      <c r="E125" s="378"/>
      <c r="F125" s="378"/>
      <c r="G125" s="379">
        <f>+G124-G123</f>
        <v>0</v>
      </c>
      <c r="H125" s="379">
        <f>+H124-H123</f>
        <v>0</v>
      </c>
      <c r="I125" s="368">
        <f>+I124-I123</f>
        <v>0.43540000000000134</v>
      </c>
      <c r="J125" s="368">
        <f>+J124-J123</f>
        <v>0</v>
      </c>
      <c r="K125" s="378"/>
      <c r="L125" s="378"/>
      <c r="M125" s="378"/>
      <c r="N125" s="378"/>
      <c r="O125" s="382">
        <f>+O124-O123</f>
        <v>599.97999999999593</v>
      </c>
      <c r="P125" s="382">
        <f>+P124-P123</f>
        <v>112.48999999999978</v>
      </c>
      <c r="Q125" s="382">
        <f>+Q124-Q123</f>
        <v>89.989999999999782</v>
      </c>
      <c r="R125" s="378"/>
      <c r="S125" s="382">
        <f>+S124-S123</f>
        <v>22.5</v>
      </c>
      <c r="T125" s="378"/>
      <c r="U125" s="307" t="s">
        <v>186</v>
      </c>
    </row>
    <row r="127" spans="1:24" x14ac:dyDescent="0.25">
      <c r="A127" s="394" t="s">
        <v>205</v>
      </c>
      <c r="B127" s="321" t="s">
        <v>211</v>
      </c>
    </row>
    <row r="128" spans="1:24" x14ac:dyDescent="0.25">
      <c r="A128" s="313" t="s">
        <v>43</v>
      </c>
      <c r="B128" s="308"/>
      <c r="C128" s="322"/>
      <c r="D128" s="319" t="s">
        <v>19</v>
      </c>
      <c r="E128" s="318" t="s">
        <v>59</v>
      </c>
      <c r="F128" s="319" t="s">
        <v>27</v>
      </c>
      <c r="G128" s="320" t="s">
        <v>35</v>
      </c>
      <c r="H128" s="309" t="s">
        <v>36</v>
      </c>
      <c r="I128" s="320" t="s">
        <v>35</v>
      </c>
      <c r="J128" s="320" t="s">
        <v>36</v>
      </c>
      <c r="K128" s="320" t="s">
        <v>39</v>
      </c>
      <c r="L128" s="320" t="s">
        <v>40</v>
      </c>
      <c r="M128" s="320" t="s">
        <v>42</v>
      </c>
      <c r="N128" s="320" t="s">
        <v>2</v>
      </c>
      <c r="O128" s="323" t="s">
        <v>184</v>
      </c>
      <c r="P128" s="332" t="s">
        <v>166</v>
      </c>
      <c r="Q128" s="332" t="s">
        <v>43</v>
      </c>
      <c r="R128" s="310"/>
      <c r="S128" s="332" t="s">
        <v>44</v>
      </c>
      <c r="T128" s="310"/>
    </row>
    <row r="129" spans="1:20" x14ac:dyDescent="0.25">
      <c r="A129" s="26" t="s">
        <v>28</v>
      </c>
      <c r="B129" s="27" t="s">
        <v>6</v>
      </c>
      <c r="C129" s="62" t="s">
        <v>31</v>
      </c>
      <c r="D129" s="28" t="s">
        <v>30</v>
      </c>
      <c r="E129" s="62" t="s">
        <v>101</v>
      </c>
      <c r="F129" s="260" t="s">
        <v>37</v>
      </c>
      <c r="G129" s="236">
        <v>46031</v>
      </c>
      <c r="H129" s="236">
        <v>56204</v>
      </c>
      <c r="I129" s="238">
        <v>60.374099999999999</v>
      </c>
      <c r="J129" s="237">
        <v>60.473999999999997</v>
      </c>
      <c r="K129" s="312"/>
      <c r="L129" s="312"/>
      <c r="M129" s="312"/>
      <c r="N129" s="236"/>
      <c r="O129" s="245">
        <f t="shared" ref="O129:O130" si="63">ROUND(G129*I129,2)+ROUND(H129*J129,2)-K129-L129-M129-N129</f>
        <v>6177960.9000000004</v>
      </c>
      <c r="P129" s="243">
        <f t="shared" ref="P129:P130" si="64">ROUND(18.75%*O129,2)</f>
        <v>1158367.67</v>
      </c>
      <c r="Q129" s="243">
        <f t="shared" ref="Q129:Q130" si="65">ROUND($O129*R129,2)</f>
        <v>926694.14</v>
      </c>
      <c r="R129" s="244">
        <v>0.15</v>
      </c>
      <c r="S129" s="243">
        <f t="shared" ref="S129:S130" si="66">ROUND($O129*T129,2)</f>
        <v>231673.53</v>
      </c>
      <c r="T129" s="286">
        <v>3.7499999999999999E-2</v>
      </c>
    </row>
    <row r="130" spans="1:20" x14ac:dyDescent="0.25">
      <c r="A130" s="326" t="s">
        <v>28</v>
      </c>
      <c r="B130" s="335" t="str">
        <f>B129</f>
        <v>VII/VI</v>
      </c>
      <c r="C130" s="62" t="s">
        <v>31</v>
      </c>
      <c r="D130" s="62" t="s">
        <v>21</v>
      </c>
      <c r="E130" s="134" t="s">
        <v>101</v>
      </c>
      <c r="F130" s="342" t="str">
        <f>F129</f>
        <v>Bls</v>
      </c>
      <c r="G130" s="369">
        <f>+G129</f>
        <v>46031</v>
      </c>
      <c r="H130" s="369">
        <f>+H129</f>
        <v>56204</v>
      </c>
      <c r="I130" s="370">
        <v>60.143300000000004</v>
      </c>
      <c r="J130" s="238">
        <v>60.243200000000002</v>
      </c>
      <c r="K130" s="328"/>
      <c r="L130" s="328"/>
      <c r="M130" s="328"/>
      <c r="N130" s="327"/>
      <c r="O130" s="245">
        <f t="shared" si="63"/>
        <v>6154365.0500000007</v>
      </c>
      <c r="P130" s="243">
        <f t="shared" si="64"/>
        <v>1153943.45</v>
      </c>
      <c r="Q130" s="243">
        <f t="shared" si="65"/>
        <v>923154.76</v>
      </c>
      <c r="R130" s="244">
        <v>0.15</v>
      </c>
      <c r="S130" s="243">
        <f t="shared" si="66"/>
        <v>230788.69</v>
      </c>
      <c r="T130" s="286">
        <v>3.7499999999999999E-2</v>
      </c>
    </row>
    <row r="131" spans="1:20" x14ac:dyDescent="0.25">
      <c r="A131" s="329"/>
      <c r="B131" s="338" t="s">
        <v>185</v>
      </c>
      <c r="C131" s="100"/>
      <c r="D131" s="210"/>
      <c r="E131" s="210"/>
      <c r="F131" s="329"/>
      <c r="G131" s="386">
        <f>+G130-G129</f>
        <v>0</v>
      </c>
      <c r="H131" s="386">
        <f>+H130-H129</f>
        <v>0</v>
      </c>
      <c r="I131" s="339">
        <f>+I130-I129</f>
        <v>-0.23079999999999501</v>
      </c>
      <c r="J131" s="339">
        <f>+J130-J129</f>
        <v>-0.23079999999999501</v>
      </c>
      <c r="K131" s="389"/>
      <c r="L131" s="389"/>
      <c r="M131" s="389"/>
      <c r="N131" s="311"/>
      <c r="O131" s="330">
        <f t="shared" ref="O131:P131" si="67">O130-O129</f>
        <v>-23595.849999999627</v>
      </c>
      <c r="P131" s="331">
        <f t="shared" si="67"/>
        <v>-4424.2199999999721</v>
      </c>
      <c r="Q131" s="382">
        <f>+Q130-Q129</f>
        <v>-3539.3800000000047</v>
      </c>
      <c r="R131" s="341"/>
      <c r="S131" s="372">
        <f>+S130-S129</f>
        <v>-884.83999999999651</v>
      </c>
      <c r="T131" s="371"/>
    </row>
    <row r="136" spans="1:20" x14ac:dyDescent="0.25">
      <c r="N136" s="307" t="s">
        <v>1</v>
      </c>
      <c r="O136" s="74">
        <f>+O89+O95+O101+O107+O113+O119+O125+O131</f>
        <v>4330439.2067615418</v>
      </c>
      <c r="P136" s="74">
        <f>+P89+P95+P101+P107+P113+P119+P125+P131</f>
        <v>331465.75429400062</v>
      </c>
      <c r="Q136" s="74">
        <f>+Q89+Q95+Q101+Q107+Q113+Q119+Q125+Q131</f>
        <v>164439.34000000037</v>
      </c>
      <c r="R136" s="74"/>
      <c r="S136" s="74">
        <f>+S125+S131</f>
        <v>-862.33999999999651</v>
      </c>
      <c r="T136" s="74"/>
    </row>
    <row r="139" spans="1:20" x14ac:dyDescent="0.25">
      <c r="N139" s="307" t="s">
        <v>206</v>
      </c>
      <c r="O139" s="362">
        <f>+O131</f>
        <v>-23595.849999999627</v>
      </c>
      <c r="P139" s="362">
        <f>+P131</f>
        <v>-4424.2199999999721</v>
      </c>
      <c r="Q139" s="362">
        <f>+Q131</f>
        <v>-3539.3800000000047</v>
      </c>
      <c r="R139" s="362"/>
      <c r="S139" s="362">
        <f>+S131</f>
        <v>-884.83999999999651</v>
      </c>
    </row>
    <row r="140" spans="1:20" x14ac:dyDescent="0.25">
      <c r="O140" s="348">
        <f>+O139</f>
        <v>-23595.849999999627</v>
      </c>
      <c r="P140" s="348">
        <f t="shared" ref="P140:S140" si="68">+P139</f>
        <v>-4424.2199999999721</v>
      </c>
      <c r="Q140" s="348">
        <f t="shared" si="68"/>
        <v>-3539.3800000000047</v>
      </c>
      <c r="R140" s="348"/>
      <c r="S140" s="348">
        <f t="shared" si="68"/>
        <v>-884.83999999999651</v>
      </c>
    </row>
    <row r="141" spans="1:20" x14ac:dyDescent="0.25">
      <c r="O141" s="192"/>
      <c r="P141" s="192"/>
      <c r="Q141" s="192"/>
      <c r="R141" s="192"/>
      <c r="S141" s="192"/>
    </row>
    <row r="142" spans="1:20" x14ac:dyDescent="0.25">
      <c r="N142" s="307" t="s">
        <v>210</v>
      </c>
      <c r="O142" s="347">
        <f>+O125</f>
        <v>599.97999999999593</v>
      </c>
      <c r="P142" s="347">
        <f>+P125</f>
        <v>112.48999999999978</v>
      </c>
      <c r="Q142" s="347">
        <f>+Q125</f>
        <v>89.989999999999782</v>
      </c>
      <c r="R142" s="347"/>
      <c r="S142" s="347">
        <f>+S125</f>
        <v>22.5</v>
      </c>
    </row>
    <row r="143" spans="1:20" x14ac:dyDescent="0.25">
      <c r="O143" s="373">
        <f>+O142</f>
        <v>599.97999999999593</v>
      </c>
      <c r="P143" s="373">
        <f t="shared" ref="P143:Q143" si="69">+P142</f>
        <v>112.48999999999978</v>
      </c>
      <c r="Q143" s="373">
        <f t="shared" si="69"/>
        <v>89.989999999999782</v>
      </c>
      <c r="R143" s="373"/>
      <c r="S143" s="373">
        <f t="shared" ref="S143" si="70">+S142</f>
        <v>22.5</v>
      </c>
    </row>
    <row r="145" spans="14:19" x14ac:dyDescent="0.25">
      <c r="N145" s="307" t="s">
        <v>207</v>
      </c>
      <c r="O145" s="192">
        <f>+O89</f>
        <v>2865.3609929999802</v>
      </c>
      <c r="P145" s="192">
        <f>+P89</f>
        <v>1067.0599999999977</v>
      </c>
      <c r="Q145" s="192">
        <f>+Q89</f>
        <v>533.52999999999884</v>
      </c>
      <c r="R145" s="192"/>
      <c r="S145" s="192"/>
    </row>
    <row r="146" spans="14:19" x14ac:dyDescent="0.25">
      <c r="N146" s="307" t="s">
        <v>192</v>
      </c>
      <c r="O146" s="346">
        <f>+O95</f>
        <v>4652043.6761477003</v>
      </c>
      <c r="P146" s="346">
        <f>+P95</f>
        <v>413061.26154600002</v>
      </c>
      <c r="Q146" s="346">
        <f>+Q95</f>
        <v>206530.62999999998</v>
      </c>
      <c r="R146" s="392"/>
      <c r="S146" s="392"/>
    </row>
    <row r="147" spans="14:19" x14ac:dyDescent="0.25">
      <c r="N147" s="307" t="s">
        <v>204</v>
      </c>
      <c r="O147" s="192">
        <f>+O119</f>
        <v>-108553.44239999913</v>
      </c>
      <c r="P147" s="192">
        <f>+P119</f>
        <v>-6507.2272520000115</v>
      </c>
      <c r="Q147" s="192">
        <f>+Q119</f>
        <v>-3253.6199999999953</v>
      </c>
      <c r="R147" s="192"/>
      <c r="S147" s="192"/>
    </row>
    <row r="148" spans="14:19" x14ac:dyDescent="0.25">
      <c r="N148" s="307" t="s">
        <v>202</v>
      </c>
      <c r="O148" s="347">
        <f>+O101+O107+O113</f>
        <v>-192920.51797915995</v>
      </c>
      <c r="P148" s="347">
        <f>+P101+P107+P113</f>
        <v>-71843.609999999404</v>
      </c>
      <c r="Q148" s="347">
        <f>+Q101+Q107+Q113</f>
        <v>-35921.80999999959</v>
      </c>
      <c r="R148" s="346"/>
      <c r="S148" s="346"/>
    </row>
    <row r="149" spans="14:19" x14ac:dyDescent="0.25">
      <c r="O149" s="348">
        <f>SUM(O145:O148)</f>
        <v>4353435.076761541</v>
      </c>
      <c r="P149" s="348">
        <f t="shared" ref="P149:Q149" si="71">SUM(P145:P148)</f>
        <v>335777.48429400061</v>
      </c>
      <c r="Q149" s="348">
        <f t="shared" si="71"/>
        <v>167888.73000000039</v>
      </c>
    </row>
    <row r="151" spans="14:19" x14ac:dyDescent="0.25">
      <c r="N151" s="307" t="s">
        <v>1</v>
      </c>
      <c r="O151" s="373">
        <f>+O149+O143+O140</f>
        <v>4330439.2067615418</v>
      </c>
      <c r="P151" s="373">
        <f>+P149+P143+P140</f>
        <v>331465.75429400062</v>
      </c>
      <c r="Q151" s="373">
        <f>+Q149+Q143+Q140</f>
        <v>164439.34000000037</v>
      </c>
      <c r="R151" s="373"/>
      <c r="S151" s="373">
        <f>+S149+S143+S140</f>
        <v>-862.33999999999651</v>
      </c>
    </row>
    <row r="153" spans="14:19" x14ac:dyDescent="0.25">
      <c r="N153" s="307" t="s">
        <v>209</v>
      </c>
      <c r="O153" s="346">
        <f>+O151-O136</f>
        <v>0</v>
      </c>
      <c r="P153" s="346">
        <f>+P151-P136</f>
        <v>0</v>
      </c>
      <c r="Q153" s="346">
        <f>+Q151-Q136</f>
        <v>0</v>
      </c>
      <c r="S153" s="346">
        <f>+S151-S136</f>
        <v>0</v>
      </c>
    </row>
  </sheetData>
  <mergeCells count="2">
    <mergeCell ref="C7:C8"/>
    <mergeCell ref="O7:O8"/>
  </mergeCells>
  <printOptions horizontalCentered="1" verticalCentered="1"/>
  <pageMargins left="0.25" right="0.25" top="0.5" bottom="0.5" header="0" footer="0"/>
  <pageSetup paperSize="9" scale="51" orientation="landscape"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230"/>
  <sheetViews>
    <sheetView view="pageBreakPreview" zoomScaleNormal="95" zoomScaleSheetLayoutView="100" workbookViewId="0">
      <pane xSplit="3" ySplit="8" topLeftCell="P55" activePane="bottomRight" state="frozen"/>
      <selection pane="topRight" activeCell="D1" sqref="D1"/>
      <selection pane="bottomLeft" activeCell="A9" sqref="A9"/>
      <selection pane="bottomRight" activeCell="U92" sqref="U92"/>
    </sheetView>
  </sheetViews>
  <sheetFormatPr baseColWidth="10" defaultColWidth="8.90625" defaultRowHeight="13.2" x14ac:dyDescent="0.25"/>
  <cols>
    <col min="1" max="1" width="3" style="307" customWidth="1"/>
    <col min="2" max="2" width="9.54296875" style="307" customWidth="1"/>
    <col min="3" max="4" width="7.1796875" style="307" customWidth="1"/>
    <col min="5" max="5" width="7.453125" style="307" customWidth="1"/>
    <col min="6" max="6" width="9.81640625" style="307" customWidth="1"/>
    <col min="7" max="8" width="10.453125" style="217" customWidth="1"/>
    <col min="9" max="10" width="10" style="217" customWidth="1"/>
    <col min="11" max="11" width="11.54296875" style="217" hidden="1" customWidth="1"/>
    <col min="12" max="14" width="11.54296875" style="307" hidden="1"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21" width="11.36328125" style="307" customWidth="1"/>
    <col min="22" max="23" width="10.6328125" style="307" customWidth="1"/>
    <col min="24" max="24" width="10.54296875" style="307" customWidth="1"/>
    <col min="25" max="25" width="8.90625" style="307"/>
    <col min="26" max="26" width="9.54296875" style="307" customWidth="1"/>
    <col min="27" max="16384" width="8.90625" style="307"/>
  </cols>
  <sheetData>
    <row r="1" spans="1:33" x14ac:dyDescent="0.25">
      <c r="A1" s="4" t="s">
        <v>51</v>
      </c>
      <c r="C1" s="3"/>
      <c r="D1" s="3"/>
      <c r="E1" s="9">
        <v>43132</v>
      </c>
      <c r="F1" s="300"/>
      <c r="S1" s="307" t="s">
        <v>183</v>
      </c>
      <c r="U1" s="75" t="s">
        <v>60</v>
      </c>
      <c r="V1" s="75"/>
      <c r="W1" s="76">
        <f>DATE(YEAR(E1),MONTH(E1)+1,1)-DATE(YEAR(E1),MONTH(E1),1)</f>
        <v>28</v>
      </c>
    </row>
    <row r="2" spans="1:33" x14ac:dyDescent="0.25">
      <c r="A2" s="3" t="s">
        <v>0</v>
      </c>
    </row>
    <row r="3" spans="1:33" x14ac:dyDescent="0.25">
      <c r="A3" s="144" t="s">
        <v>109</v>
      </c>
      <c r="B3" s="214"/>
      <c r="C3" s="144"/>
      <c r="D3" s="144"/>
      <c r="E3" s="144"/>
      <c r="F3" s="144"/>
      <c r="G3" s="144"/>
      <c r="H3" s="144"/>
      <c r="I3" s="144"/>
      <c r="J3" s="144"/>
      <c r="K3" s="144"/>
      <c r="L3" s="144"/>
      <c r="M3" s="144"/>
      <c r="N3" s="144"/>
      <c r="O3" s="144"/>
      <c r="P3" s="144"/>
      <c r="Q3" s="144"/>
      <c r="R3" s="144"/>
      <c r="S3" s="144"/>
      <c r="T3" s="144"/>
      <c r="V3" s="4"/>
      <c r="W3" s="4"/>
    </row>
    <row r="4" spans="1:33" x14ac:dyDescent="0.25">
      <c r="A4" s="143" t="str">
        <f>"Correspondiente a  "&amp;TEXT(E1,"MMMMMMM YYYY")</f>
        <v>Correspondiente a  febrero 2018</v>
      </c>
      <c r="B4" s="215"/>
      <c r="C4" s="143"/>
      <c r="D4" s="143"/>
      <c r="E4" s="143"/>
      <c r="F4" s="143"/>
      <c r="G4" s="143"/>
      <c r="H4" s="143"/>
      <c r="I4" s="143"/>
      <c r="J4" s="143"/>
      <c r="K4" s="143"/>
      <c r="L4" s="143"/>
      <c r="M4" s="143"/>
      <c r="N4" s="143"/>
      <c r="O4" s="143"/>
      <c r="P4" s="143"/>
      <c r="Q4" s="143"/>
      <c r="R4" s="143"/>
      <c r="S4" s="143"/>
      <c r="T4" s="143"/>
    </row>
    <row r="5" spans="1:33" x14ac:dyDescent="0.25">
      <c r="A5" s="143" t="str">
        <f>"Tipo de Cambio= "&amp;TEXT(F1,"0.000")</f>
        <v>Tipo de Cambio= 0.000</v>
      </c>
      <c r="B5" s="215"/>
      <c r="C5" s="143"/>
      <c r="D5" s="143"/>
      <c r="E5" s="143"/>
      <c r="F5" s="143"/>
      <c r="G5" s="143"/>
      <c r="H5" s="143"/>
      <c r="I5" s="143"/>
      <c r="J5" s="143"/>
      <c r="K5" s="143"/>
      <c r="L5" s="143"/>
      <c r="M5" s="143"/>
      <c r="N5" s="143"/>
      <c r="O5" s="143"/>
      <c r="P5" s="143"/>
      <c r="Q5" s="143"/>
      <c r="R5" s="143"/>
      <c r="S5" s="143"/>
      <c r="T5" s="143"/>
    </row>
    <row r="6" spans="1:33" x14ac:dyDescent="0.25">
      <c r="E6" s="74"/>
      <c r="F6" s="74"/>
      <c r="G6" s="293"/>
      <c r="H6" s="218"/>
    </row>
    <row r="7" spans="1:33"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c r="U7" s="145" t="s">
        <v>61</v>
      </c>
      <c r="V7" s="146"/>
      <c r="W7" s="146"/>
      <c r="X7" s="146"/>
      <c r="Y7" s="146"/>
      <c r="Z7" s="147"/>
      <c r="AA7" s="189" t="s">
        <v>62</v>
      </c>
      <c r="AB7" s="189"/>
      <c r="AC7" s="189"/>
      <c r="AD7" s="189"/>
      <c r="AE7" s="189"/>
      <c r="AF7" s="145"/>
      <c r="AG7" s="42" t="s">
        <v>63</v>
      </c>
    </row>
    <row r="8" spans="1:33"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c r="U8" s="145" t="s">
        <v>64</v>
      </c>
      <c r="V8" s="146"/>
      <c r="W8" s="147"/>
      <c r="X8" s="77" t="s">
        <v>65</v>
      </c>
      <c r="Y8" s="145" t="s">
        <v>66</v>
      </c>
      <c r="Z8" s="147"/>
      <c r="AA8" s="145" t="s">
        <v>64</v>
      </c>
      <c r="AB8" s="146"/>
      <c r="AC8" s="147"/>
      <c r="AD8" s="320" t="s">
        <v>65</v>
      </c>
      <c r="AE8" s="189" t="s">
        <v>66</v>
      </c>
      <c r="AF8" s="145"/>
      <c r="AG8" s="78" t="s">
        <v>1</v>
      </c>
    </row>
    <row r="9" spans="1:33" x14ac:dyDescent="0.25">
      <c r="A9" s="313" t="s">
        <v>23</v>
      </c>
      <c r="B9" s="19"/>
      <c r="C9" s="64"/>
      <c r="D9" s="24"/>
      <c r="E9" s="24"/>
      <c r="F9" s="313"/>
      <c r="G9" s="205"/>
      <c r="H9" s="208"/>
      <c r="I9" s="204"/>
      <c r="J9" s="205"/>
      <c r="K9" s="205"/>
      <c r="L9" s="205"/>
      <c r="M9" s="205"/>
      <c r="N9" s="205"/>
      <c r="O9" s="212"/>
      <c r="P9" s="205"/>
      <c r="Q9" s="203" t="s">
        <v>43</v>
      </c>
      <c r="R9" s="182"/>
      <c r="S9" s="203" t="s">
        <v>44</v>
      </c>
      <c r="T9" s="182"/>
      <c r="U9" s="79" t="s">
        <v>67</v>
      </c>
      <c r="V9" s="79" t="s">
        <v>97</v>
      </c>
      <c r="W9" s="79" t="s">
        <v>68</v>
      </c>
      <c r="X9" s="79" t="s">
        <v>69</v>
      </c>
      <c r="Y9" s="79" t="s">
        <v>69</v>
      </c>
      <c r="Z9" s="79" t="s">
        <v>70</v>
      </c>
      <c r="AA9" s="79" t="s">
        <v>71</v>
      </c>
      <c r="AB9" s="79" t="s">
        <v>97</v>
      </c>
      <c r="AC9" s="79" t="s">
        <v>72</v>
      </c>
      <c r="AD9" s="79" t="s">
        <v>73</v>
      </c>
      <c r="AE9" s="79" t="s">
        <v>73</v>
      </c>
      <c r="AF9" s="80" t="s">
        <v>70</v>
      </c>
      <c r="AG9" s="81" t="s">
        <v>74</v>
      </c>
    </row>
    <row r="10" spans="1:33" x14ac:dyDescent="0.25">
      <c r="A10" s="26" t="s">
        <v>28</v>
      </c>
      <c r="B10" s="27" t="s">
        <v>13</v>
      </c>
      <c r="C10" s="62" t="s">
        <v>29</v>
      </c>
      <c r="D10" s="28" t="s">
        <v>21</v>
      </c>
      <c r="E10" s="62" t="s">
        <v>98</v>
      </c>
      <c r="F10" s="260" t="s">
        <v>37</v>
      </c>
      <c r="G10" s="312"/>
      <c r="H10" s="236">
        <v>21037</v>
      </c>
      <c r="I10" s="237"/>
      <c r="J10" s="238">
        <v>63.018799999999999</v>
      </c>
      <c r="K10" s="312"/>
      <c r="L10" s="312"/>
      <c r="M10" s="312"/>
      <c r="N10" s="236">
        <v>668.38</v>
      </c>
      <c r="O10" s="236">
        <f t="shared" ref="O10:O29" si="0">ROUND(G10*I10,2)+ROUND(H10*J10,2)-K10-L10-M10-N10</f>
        <v>1325058.1200000001</v>
      </c>
      <c r="P10" s="531">
        <f>ROUND(18.75%*O10,2)</f>
        <v>248448.4</v>
      </c>
      <c r="Q10" s="243">
        <f>ROUND($O10*R10,2)</f>
        <v>198758.72</v>
      </c>
      <c r="R10" s="244">
        <v>0.15</v>
      </c>
      <c r="S10" s="243">
        <f>ROUND($O10*T10,2)</f>
        <v>49689.68</v>
      </c>
      <c r="T10" s="286">
        <v>3.7499999999999999E-2</v>
      </c>
      <c r="U10" s="73">
        <f t="shared" ref="U10:U29" si="1">IF($F10&amp;"/Día"=W$9,SUM($G10:$H10),"")</f>
        <v>21037</v>
      </c>
      <c r="V10" s="73">
        <f>IF(U10&lt;&gt;"",$O10,"")</f>
        <v>1325058.1200000001</v>
      </c>
      <c r="W10" s="82">
        <f>IF($F10&amp;"/Día"=W$9,ROUND(U10/$W$1,1),"")</f>
        <v>751.3</v>
      </c>
      <c r="X10" s="83">
        <f t="shared" ref="X10:X29" si="2">IF(U10=0,0,IF($F10&amp;"/Día"=W$9,ROUND(V10/U10,4),""))</f>
        <v>62.987000000000002</v>
      </c>
      <c r="Y10" s="83">
        <f t="shared" ref="Y10:Y29" si="3">IF(U10=0,0,IF($F10&amp;"/Día"=W$9,ROUND(Z10/U10,4),""))</f>
        <v>11.8101</v>
      </c>
      <c r="Z10" s="73">
        <f t="shared" ref="Z10:Z29" si="4">IF(U10&lt;&gt;"",$P10,"")</f>
        <v>248448.4</v>
      </c>
      <c r="AA10" s="73" t="str">
        <f t="shared" ref="AA10:AA29" si="5">IF($F10&amp;"/Día"=AC$9,SUM($G10:$H10),"")</f>
        <v/>
      </c>
      <c r="AB10" s="73" t="str">
        <f>IF(AA10&lt;&gt;"",$O10,"")</f>
        <v/>
      </c>
      <c r="AC10" s="82" t="str">
        <f>IF($F10&amp;"/Día"=AC$9,ROUND(AA10/$W$1,1),"")</f>
        <v/>
      </c>
      <c r="AD10" s="83" t="str">
        <f t="shared" ref="AD10:AD29" si="6">IF(AA10=0,0,IF($F10&amp;"/Día"=AC$9,ROUND(AB10/AA10,4),""))</f>
        <v/>
      </c>
      <c r="AE10" s="83" t="str">
        <f t="shared" ref="AE10:AE29" si="7">IF(AA10=0,0,IF($F10&amp;"/Día"=AC$9,ROUND(AF10/AA10,4),""))</f>
        <v/>
      </c>
      <c r="AF10" s="73" t="str">
        <f t="shared" ref="AF10:AF29" si="8">IF(AA10&lt;&gt;"",$P10,"")</f>
        <v/>
      </c>
      <c r="AG10" s="54"/>
    </row>
    <row r="11" spans="1:33" x14ac:dyDescent="0.25">
      <c r="A11" s="26" t="s">
        <v>28</v>
      </c>
      <c r="B11" s="27" t="s">
        <v>14</v>
      </c>
      <c r="C11" s="62" t="s">
        <v>29</v>
      </c>
      <c r="D11" s="28" t="s">
        <v>21</v>
      </c>
      <c r="E11" s="62" t="s">
        <v>98</v>
      </c>
      <c r="F11" s="260" t="s">
        <v>56</v>
      </c>
      <c r="G11" s="312"/>
      <c r="H11" s="236">
        <v>216169.9</v>
      </c>
      <c r="I11" s="237"/>
      <c r="J11" s="238">
        <v>3.0903999999999998</v>
      </c>
      <c r="K11" s="312"/>
      <c r="L11" s="312"/>
      <c r="M11" s="312"/>
      <c r="N11" s="236">
        <v>1871.49</v>
      </c>
      <c r="O11" s="236">
        <f t="shared" si="0"/>
        <v>666179.97</v>
      </c>
      <c r="P11" s="531">
        <f t="shared" ref="P11:P34" si="9">ROUND(18.75%*O11,2)</f>
        <v>124908.74</v>
      </c>
      <c r="Q11" s="243">
        <f t="shared" ref="Q11:Q29" si="10">ROUND($O11*R11,2)</f>
        <v>99927</v>
      </c>
      <c r="R11" s="244">
        <v>0.15</v>
      </c>
      <c r="S11" s="243">
        <f t="shared" ref="S11:S34" si="11">ROUND($O11*T11,2)</f>
        <v>24981.75</v>
      </c>
      <c r="T11" s="286">
        <v>3.7499999999999999E-2</v>
      </c>
      <c r="U11" s="45" t="str">
        <f t="shared" si="1"/>
        <v/>
      </c>
      <c r="V11" s="45" t="str">
        <f t="shared" ref="V11:V35" si="12">IF(U11&lt;&gt;"",$O11,"")</f>
        <v/>
      </c>
      <c r="W11" s="84" t="str">
        <f t="shared" ref="W11:W41" si="13">IF($F11&amp;"/Día"=W$9,ROUND(U11/$W$1,1),"")</f>
        <v/>
      </c>
      <c r="X11" s="85" t="str">
        <f t="shared" si="2"/>
        <v/>
      </c>
      <c r="Y11" s="85" t="str">
        <f t="shared" si="3"/>
        <v/>
      </c>
      <c r="Z11" s="45" t="str">
        <f t="shared" si="4"/>
        <v/>
      </c>
      <c r="AA11" s="45">
        <f t="shared" si="5"/>
        <v>216169.9</v>
      </c>
      <c r="AB11" s="45">
        <f t="shared" ref="AB11:AB35" si="14">IF(AA11&lt;&gt;"",$O11,"")</f>
        <v>666179.97</v>
      </c>
      <c r="AC11" s="84">
        <f t="shared" ref="AC11:AC41" si="15">IF($F11&amp;"/Día"=AC$9,ROUND(AA11/$W$1,1),"")</f>
        <v>7720.4</v>
      </c>
      <c r="AD11" s="85">
        <f t="shared" si="6"/>
        <v>3.0817000000000001</v>
      </c>
      <c r="AE11" s="85">
        <f t="shared" si="7"/>
        <v>0.57779999999999998</v>
      </c>
      <c r="AF11" s="45">
        <f t="shared" si="8"/>
        <v>124908.74</v>
      </c>
      <c r="AG11" s="55"/>
    </row>
    <row r="12" spans="1:33" x14ac:dyDescent="0.25">
      <c r="A12" s="26" t="s">
        <v>28</v>
      </c>
      <c r="B12" s="27" t="s">
        <v>3</v>
      </c>
      <c r="C12" s="62" t="s">
        <v>31</v>
      </c>
      <c r="D12" s="28" t="s">
        <v>30</v>
      </c>
      <c r="E12" s="62" t="s">
        <v>101</v>
      </c>
      <c r="F12" s="260" t="s">
        <v>37</v>
      </c>
      <c r="G12" s="236">
        <v>4983</v>
      </c>
      <c r="H12" s="236">
        <v>4008</v>
      </c>
      <c r="I12" s="238">
        <v>61.567</v>
      </c>
      <c r="J12" s="238">
        <v>62.166699999999999</v>
      </c>
      <c r="K12" s="312"/>
      <c r="L12" s="312"/>
      <c r="M12" s="312"/>
      <c r="N12" s="236">
        <v>1725.59</v>
      </c>
      <c r="O12" s="236">
        <f t="shared" si="0"/>
        <v>554226.9</v>
      </c>
      <c r="P12" s="531">
        <f>ROUND(18.75%*O12,2)</f>
        <v>103917.54</v>
      </c>
      <c r="Q12" s="243">
        <f>ROUND($O12*R12,2)</f>
        <v>83134.039999999994</v>
      </c>
      <c r="R12" s="244">
        <v>0.15</v>
      </c>
      <c r="S12" s="243">
        <f t="shared" si="11"/>
        <v>20783.509999999998</v>
      </c>
      <c r="T12" s="286">
        <v>3.7499999999999999E-2</v>
      </c>
      <c r="U12" s="45">
        <f t="shared" si="1"/>
        <v>8991</v>
      </c>
      <c r="V12" s="45">
        <f t="shared" si="12"/>
        <v>554226.9</v>
      </c>
      <c r="W12" s="84">
        <f t="shared" si="13"/>
        <v>321.10000000000002</v>
      </c>
      <c r="X12" s="85">
        <f t="shared" si="2"/>
        <v>61.642400000000002</v>
      </c>
      <c r="Y12" s="85">
        <f t="shared" si="3"/>
        <v>11.558</v>
      </c>
      <c r="Z12" s="45">
        <f t="shared" si="4"/>
        <v>103917.54</v>
      </c>
      <c r="AA12" s="45" t="str">
        <f t="shared" si="5"/>
        <v/>
      </c>
      <c r="AB12" s="45" t="str">
        <f t="shared" si="14"/>
        <v/>
      </c>
      <c r="AC12" s="84" t="str">
        <f t="shared" si="15"/>
        <v/>
      </c>
      <c r="AD12" s="85" t="str">
        <f t="shared" si="6"/>
        <v/>
      </c>
      <c r="AE12" s="85" t="str">
        <f t="shared" si="7"/>
        <v/>
      </c>
      <c r="AF12" s="45" t="str">
        <f t="shared" si="8"/>
        <v/>
      </c>
      <c r="AG12" s="55"/>
    </row>
    <row r="13" spans="1:33" x14ac:dyDescent="0.25">
      <c r="A13" s="267" t="s">
        <v>28</v>
      </c>
      <c r="B13" s="271" t="s">
        <v>176</v>
      </c>
      <c r="C13" s="260" t="s">
        <v>29</v>
      </c>
      <c r="D13" s="268" t="s">
        <v>21</v>
      </c>
      <c r="E13" s="260" t="s">
        <v>98</v>
      </c>
      <c r="F13" s="260" t="s">
        <v>56</v>
      </c>
      <c r="G13" s="236">
        <v>43900.054499999998</v>
      </c>
      <c r="H13" s="236">
        <v>35893.615299999998</v>
      </c>
      <c r="I13" s="238">
        <v>2.6775000000000002</v>
      </c>
      <c r="J13" s="238">
        <v>2.6775000000000002</v>
      </c>
      <c r="K13" s="312"/>
      <c r="L13" s="312"/>
      <c r="M13" s="312"/>
      <c r="N13" s="236">
        <v>1842.63</v>
      </c>
      <c r="O13" s="236">
        <f>ROUND(G13*I13,2)+ROUND(H13*J13,2)-K13-L13-M13-N13</f>
        <v>211804.91999999998</v>
      </c>
      <c r="P13" s="531">
        <f t="shared" si="9"/>
        <v>39713.42</v>
      </c>
      <c r="Q13" s="243">
        <f>ROUND($O13*R13,2)</f>
        <v>31770.74</v>
      </c>
      <c r="R13" s="244">
        <v>0.15</v>
      </c>
      <c r="S13" s="243">
        <f t="shared" si="11"/>
        <v>7942.68</v>
      </c>
      <c r="T13" s="286">
        <v>3.7499999999999999E-2</v>
      </c>
      <c r="U13" s="45" t="str">
        <f t="shared" si="1"/>
        <v/>
      </c>
      <c r="V13" s="45" t="str">
        <f t="shared" si="12"/>
        <v/>
      </c>
      <c r="W13" s="84" t="str">
        <f t="shared" si="13"/>
        <v/>
      </c>
      <c r="X13" s="85" t="str">
        <f t="shared" si="2"/>
        <v/>
      </c>
      <c r="Y13" s="85" t="str">
        <f t="shared" si="3"/>
        <v/>
      </c>
      <c r="Z13" s="45" t="str">
        <f t="shared" si="4"/>
        <v/>
      </c>
      <c r="AA13" s="45">
        <f t="shared" si="5"/>
        <v>79793.669800000003</v>
      </c>
      <c r="AB13" s="45">
        <f t="shared" si="14"/>
        <v>211804.91999999998</v>
      </c>
      <c r="AC13" s="84">
        <f t="shared" si="15"/>
        <v>2849.8</v>
      </c>
      <c r="AD13" s="85">
        <f t="shared" si="6"/>
        <v>2.6543999999999999</v>
      </c>
      <c r="AE13" s="85">
        <f t="shared" si="7"/>
        <v>0.49769999999999998</v>
      </c>
      <c r="AF13" s="45">
        <f t="shared" si="8"/>
        <v>39713.42</v>
      </c>
      <c r="AG13" s="55"/>
    </row>
    <row r="14" spans="1:33" x14ac:dyDescent="0.25">
      <c r="A14" s="26" t="s">
        <v>28</v>
      </c>
      <c r="B14" s="27" t="s">
        <v>4</v>
      </c>
      <c r="C14" s="62" t="s">
        <v>31</v>
      </c>
      <c r="D14" s="28" t="s">
        <v>30</v>
      </c>
      <c r="E14" s="62" t="s">
        <v>101</v>
      </c>
      <c r="F14" s="260" t="s">
        <v>37</v>
      </c>
      <c r="G14" s="236">
        <v>12004</v>
      </c>
      <c r="H14" s="236">
        <v>10139</v>
      </c>
      <c r="I14" s="238">
        <v>62.8598</v>
      </c>
      <c r="J14" s="238">
        <v>63.237299999999998</v>
      </c>
      <c r="K14" s="312"/>
      <c r="L14" s="312"/>
      <c r="M14" s="312"/>
      <c r="N14" s="236">
        <v>1229.3599999999999</v>
      </c>
      <c r="O14" s="236">
        <f t="shared" si="0"/>
        <v>1394502.66</v>
      </c>
      <c r="P14" s="531">
        <f t="shared" si="9"/>
        <v>261469.25</v>
      </c>
      <c r="Q14" s="243">
        <f t="shared" si="10"/>
        <v>209175.4</v>
      </c>
      <c r="R14" s="244">
        <v>0.15</v>
      </c>
      <c r="S14" s="243">
        <f t="shared" si="11"/>
        <v>52293.85</v>
      </c>
      <c r="T14" s="286">
        <v>3.7499999999999999E-2</v>
      </c>
      <c r="U14" s="45">
        <f t="shared" si="1"/>
        <v>22143</v>
      </c>
      <c r="V14" s="45">
        <f t="shared" si="12"/>
        <v>1394502.66</v>
      </c>
      <c r="W14" s="84">
        <f t="shared" si="13"/>
        <v>790.8</v>
      </c>
      <c r="X14" s="85">
        <f t="shared" si="2"/>
        <v>62.9771</v>
      </c>
      <c r="Y14" s="85">
        <f t="shared" si="3"/>
        <v>11.808199999999999</v>
      </c>
      <c r="Z14" s="45">
        <f t="shared" si="4"/>
        <v>261469.25</v>
      </c>
      <c r="AA14" s="45" t="str">
        <f t="shared" si="5"/>
        <v/>
      </c>
      <c r="AB14" s="45" t="str">
        <f t="shared" si="14"/>
        <v/>
      </c>
      <c r="AC14" s="84" t="str">
        <f t="shared" si="15"/>
        <v/>
      </c>
      <c r="AD14" s="85" t="str">
        <f t="shared" si="6"/>
        <v/>
      </c>
      <c r="AE14" s="85" t="str">
        <f t="shared" si="7"/>
        <v/>
      </c>
      <c r="AF14" s="45" t="str">
        <f t="shared" si="8"/>
        <v/>
      </c>
      <c r="AG14" s="55"/>
    </row>
    <row r="15" spans="1:33" x14ac:dyDescent="0.25">
      <c r="A15" s="26" t="s">
        <v>28</v>
      </c>
      <c r="B15" s="27" t="s">
        <v>5</v>
      </c>
      <c r="C15" s="62" t="s">
        <v>31</v>
      </c>
      <c r="D15" s="28" t="s">
        <v>30</v>
      </c>
      <c r="E15" s="62" t="s">
        <v>101</v>
      </c>
      <c r="F15" s="260" t="s">
        <v>37</v>
      </c>
      <c r="G15" s="236">
        <v>23016</v>
      </c>
      <c r="H15" s="236">
        <v>24801</v>
      </c>
      <c r="I15" s="238">
        <v>62.8598</v>
      </c>
      <c r="J15" s="238">
        <v>63.237299999999998</v>
      </c>
      <c r="K15" s="312"/>
      <c r="L15" s="312"/>
      <c r="M15" s="312"/>
      <c r="N15" s="236">
        <v>3175.04</v>
      </c>
      <c r="O15" s="236">
        <f t="shared" si="0"/>
        <v>3011954.4</v>
      </c>
      <c r="P15" s="531">
        <f t="shared" si="9"/>
        <v>564741.44999999995</v>
      </c>
      <c r="Q15" s="243">
        <f t="shared" si="10"/>
        <v>451793.16</v>
      </c>
      <c r="R15" s="244">
        <v>0.15</v>
      </c>
      <c r="S15" s="243">
        <f t="shared" si="11"/>
        <v>112948.29</v>
      </c>
      <c r="T15" s="286">
        <v>3.7499999999999999E-2</v>
      </c>
      <c r="U15" s="45">
        <f t="shared" si="1"/>
        <v>47817</v>
      </c>
      <c r="V15" s="45">
        <f t="shared" si="12"/>
        <v>3011954.4</v>
      </c>
      <c r="W15" s="84">
        <f t="shared" si="13"/>
        <v>1707.8</v>
      </c>
      <c r="X15" s="85">
        <f t="shared" si="2"/>
        <v>62.989199999999997</v>
      </c>
      <c r="Y15" s="85">
        <f t="shared" si="3"/>
        <v>11.810499999999999</v>
      </c>
      <c r="Z15" s="45">
        <f t="shared" si="4"/>
        <v>564741.44999999995</v>
      </c>
      <c r="AA15" s="45" t="str">
        <f t="shared" si="5"/>
        <v/>
      </c>
      <c r="AB15" s="45" t="str">
        <f t="shared" si="14"/>
        <v/>
      </c>
      <c r="AC15" s="84" t="str">
        <f t="shared" si="15"/>
        <v/>
      </c>
      <c r="AD15" s="85" t="str">
        <f t="shared" si="6"/>
        <v/>
      </c>
      <c r="AE15" s="85" t="str">
        <f t="shared" si="7"/>
        <v/>
      </c>
      <c r="AF15" s="45" t="str">
        <f t="shared" si="8"/>
        <v/>
      </c>
      <c r="AG15" s="55"/>
    </row>
    <row r="16" spans="1:33" x14ac:dyDescent="0.25">
      <c r="A16" s="26" t="s">
        <v>28</v>
      </c>
      <c r="B16" s="27" t="s">
        <v>17</v>
      </c>
      <c r="C16" s="62" t="s">
        <v>29</v>
      </c>
      <c r="D16" s="28" t="s">
        <v>21</v>
      </c>
      <c r="E16" s="62" t="s">
        <v>98</v>
      </c>
      <c r="F16" s="260" t="s">
        <v>37</v>
      </c>
      <c r="G16" s="312"/>
      <c r="H16" s="236">
        <v>2270</v>
      </c>
      <c r="I16" s="237"/>
      <c r="J16" s="238">
        <v>63.018799999999999</v>
      </c>
      <c r="K16" s="312"/>
      <c r="L16" s="312"/>
      <c r="M16" s="312"/>
      <c r="N16" s="236">
        <v>1454.5</v>
      </c>
      <c r="O16" s="245">
        <f t="shared" si="0"/>
        <v>141598.18</v>
      </c>
      <c r="P16" s="531">
        <f t="shared" si="9"/>
        <v>26549.66</v>
      </c>
      <c r="Q16" s="243">
        <f t="shared" si="10"/>
        <v>21239.73</v>
      </c>
      <c r="R16" s="244">
        <v>0.15</v>
      </c>
      <c r="S16" s="243">
        <f t="shared" si="11"/>
        <v>5309.93</v>
      </c>
      <c r="T16" s="286">
        <v>3.7499999999999999E-2</v>
      </c>
      <c r="U16" s="45">
        <f t="shared" si="1"/>
        <v>2270</v>
      </c>
      <c r="V16" s="45">
        <f t="shared" si="12"/>
        <v>141598.18</v>
      </c>
      <c r="W16" s="84">
        <f t="shared" si="13"/>
        <v>81.099999999999994</v>
      </c>
      <c r="X16" s="85">
        <f t="shared" si="2"/>
        <v>62.378100000000003</v>
      </c>
      <c r="Y16" s="85">
        <f t="shared" si="3"/>
        <v>11.6959</v>
      </c>
      <c r="Z16" s="45">
        <f t="shared" si="4"/>
        <v>26549.66</v>
      </c>
      <c r="AA16" s="45" t="str">
        <f t="shared" si="5"/>
        <v/>
      </c>
      <c r="AB16" s="45" t="str">
        <f t="shared" si="14"/>
        <v/>
      </c>
      <c r="AC16" s="84" t="str">
        <f t="shared" si="15"/>
        <v/>
      </c>
      <c r="AD16" s="85" t="str">
        <f t="shared" si="6"/>
        <v/>
      </c>
      <c r="AE16" s="85" t="str">
        <f t="shared" si="7"/>
        <v/>
      </c>
      <c r="AF16" s="45" t="str">
        <f t="shared" si="8"/>
        <v/>
      </c>
      <c r="AG16" s="55"/>
    </row>
    <row r="17" spans="1:33" x14ac:dyDescent="0.25">
      <c r="A17" s="26" t="s">
        <v>28</v>
      </c>
      <c r="B17" s="27" t="s">
        <v>6</v>
      </c>
      <c r="C17" s="62" t="s">
        <v>31</v>
      </c>
      <c r="D17" s="28" t="s">
        <v>30</v>
      </c>
      <c r="E17" s="62" t="s">
        <v>101</v>
      </c>
      <c r="F17" s="260" t="s">
        <v>37</v>
      </c>
      <c r="G17" s="236">
        <v>55352</v>
      </c>
      <c r="H17" s="236">
        <v>55652</v>
      </c>
      <c r="I17" s="238">
        <v>62.309800000000003</v>
      </c>
      <c r="J17" s="237">
        <v>62.6873</v>
      </c>
      <c r="K17" s="312"/>
      <c r="L17" s="312"/>
      <c r="M17" s="312"/>
      <c r="N17" s="236">
        <v>2172.48</v>
      </c>
      <c r="O17" s="245">
        <f t="shared" si="0"/>
        <v>6935473.1899999995</v>
      </c>
      <c r="P17" s="531">
        <f t="shared" si="9"/>
        <v>1300401.22</v>
      </c>
      <c r="Q17" s="243">
        <f t="shared" si="10"/>
        <v>1040320.98</v>
      </c>
      <c r="R17" s="244">
        <v>0.15</v>
      </c>
      <c r="S17" s="243">
        <f t="shared" si="11"/>
        <v>260080.24</v>
      </c>
      <c r="T17" s="286">
        <v>3.7499999999999999E-2</v>
      </c>
      <c r="U17" s="45">
        <f t="shared" si="1"/>
        <v>111004</v>
      </c>
      <c r="V17" s="45">
        <f t="shared" si="12"/>
        <v>6935473.1899999995</v>
      </c>
      <c r="W17" s="84">
        <f t="shared" si="13"/>
        <v>3964.4</v>
      </c>
      <c r="X17" s="85">
        <f t="shared" si="2"/>
        <v>62.479500000000002</v>
      </c>
      <c r="Y17" s="85">
        <f t="shared" si="3"/>
        <v>11.7149</v>
      </c>
      <c r="Z17" s="45">
        <f t="shared" si="4"/>
        <v>1300401.22</v>
      </c>
      <c r="AA17" s="45" t="str">
        <f t="shared" si="5"/>
        <v/>
      </c>
      <c r="AB17" s="45" t="str">
        <f t="shared" si="14"/>
        <v/>
      </c>
      <c r="AC17" s="84" t="str">
        <f t="shared" si="15"/>
        <v/>
      </c>
      <c r="AD17" s="85" t="str">
        <f t="shared" si="6"/>
        <v/>
      </c>
      <c r="AE17" s="85" t="str">
        <f t="shared" si="7"/>
        <v/>
      </c>
      <c r="AF17" s="45" t="str">
        <f t="shared" si="8"/>
        <v/>
      </c>
      <c r="AG17" s="55"/>
    </row>
    <row r="18" spans="1:33" x14ac:dyDescent="0.25">
      <c r="A18" s="26" t="s">
        <v>28</v>
      </c>
      <c r="B18" s="29" t="s">
        <v>158</v>
      </c>
      <c r="C18" s="62" t="s">
        <v>29</v>
      </c>
      <c r="D18" s="28" t="s">
        <v>21</v>
      </c>
      <c r="E18" s="62" t="s">
        <v>98</v>
      </c>
      <c r="F18" s="260" t="s">
        <v>37</v>
      </c>
      <c r="G18" s="312"/>
      <c r="H18" s="312"/>
      <c r="I18" s="237"/>
      <c r="J18" s="237"/>
      <c r="K18" s="312"/>
      <c r="L18" s="312"/>
      <c r="M18" s="312"/>
      <c r="N18" s="312"/>
      <c r="O18" s="245">
        <f t="shared" si="0"/>
        <v>0</v>
      </c>
      <c r="P18" s="243">
        <f t="shared" si="9"/>
        <v>0</v>
      </c>
      <c r="Q18" s="243">
        <f t="shared" si="10"/>
        <v>0</v>
      </c>
      <c r="R18" s="244">
        <v>0.15</v>
      </c>
      <c r="S18" s="243">
        <f t="shared" si="11"/>
        <v>0</v>
      </c>
      <c r="T18" s="286">
        <v>3.7499999999999999E-2</v>
      </c>
      <c r="U18" s="45">
        <f t="shared" si="1"/>
        <v>0</v>
      </c>
      <c r="V18" s="45">
        <f t="shared" si="12"/>
        <v>0</v>
      </c>
      <c r="W18" s="84">
        <f t="shared" si="13"/>
        <v>0</v>
      </c>
      <c r="X18" s="85">
        <f t="shared" si="2"/>
        <v>0</v>
      </c>
      <c r="Y18" s="85">
        <f t="shared" si="3"/>
        <v>0</v>
      </c>
      <c r="Z18" s="45">
        <f t="shared" si="4"/>
        <v>0</v>
      </c>
      <c r="AA18" s="45" t="str">
        <f t="shared" si="5"/>
        <v/>
      </c>
      <c r="AB18" s="45" t="str">
        <f t="shared" si="14"/>
        <v/>
      </c>
      <c r="AC18" s="84" t="str">
        <f t="shared" si="15"/>
        <v/>
      </c>
      <c r="AD18" s="85" t="str">
        <f t="shared" si="6"/>
        <v/>
      </c>
      <c r="AE18" s="85" t="str">
        <f t="shared" si="7"/>
        <v/>
      </c>
      <c r="AF18" s="45" t="str">
        <f t="shared" si="8"/>
        <v/>
      </c>
      <c r="AG18" s="55"/>
    </row>
    <row r="19" spans="1:33" x14ac:dyDescent="0.25">
      <c r="A19" s="26" t="s">
        <v>28</v>
      </c>
      <c r="B19" s="27" t="s">
        <v>7</v>
      </c>
      <c r="C19" s="62" t="s">
        <v>31</v>
      </c>
      <c r="D19" s="28" t="s">
        <v>30</v>
      </c>
      <c r="E19" s="62" t="s">
        <v>101</v>
      </c>
      <c r="F19" s="260" t="s">
        <v>56</v>
      </c>
      <c r="G19" s="312">
        <v>58427.63</v>
      </c>
      <c r="H19" s="236">
        <v>50453.55</v>
      </c>
      <c r="I19" s="349">
        <v>2.2141000000000002</v>
      </c>
      <c r="J19" s="237">
        <v>2.2141000000000002</v>
      </c>
      <c r="K19" s="312"/>
      <c r="L19" s="312"/>
      <c r="M19" s="312"/>
      <c r="N19" s="312">
        <v>2074.48</v>
      </c>
      <c r="O19" s="245">
        <f t="shared" si="0"/>
        <v>238999.35</v>
      </c>
      <c r="P19" s="243">
        <f t="shared" si="9"/>
        <v>44812.38</v>
      </c>
      <c r="Q19" s="243">
        <f t="shared" si="10"/>
        <v>35849.9</v>
      </c>
      <c r="R19" s="244">
        <v>0.15</v>
      </c>
      <c r="S19" s="243">
        <f t="shared" si="11"/>
        <v>8962.48</v>
      </c>
      <c r="T19" s="286">
        <v>3.7499999999999999E-2</v>
      </c>
      <c r="U19" s="45" t="str">
        <f t="shared" si="1"/>
        <v/>
      </c>
      <c r="V19" s="45" t="str">
        <f t="shared" si="12"/>
        <v/>
      </c>
      <c r="W19" s="84" t="str">
        <f t="shared" si="13"/>
        <v/>
      </c>
      <c r="X19" s="85" t="str">
        <f t="shared" si="2"/>
        <v/>
      </c>
      <c r="Y19" s="85" t="str">
        <f t="shared" si="3"/>
        <v/>
      </c>
      <c r="Z19" s="45" t="str">
        <f t="shared" si="4"/>
        <v/>
      </c>
      <c r="AA19" s="45">
        <f t="shared" si="5"/>
        <v>108881.18</v>
      </c>
      <c r="AB19" s="45">
        <f t="shared" si="14"/>
        <v>238999.35</v>
      </c>
      <c r="AC19" s="84">
        <f t="shared" si="15"/>
        <v>3888.6</v>
      </c>
      <c r="AD19" s="85">
        <f t="shared" si="6"/>
        <v>2.1949999999999998</v>
      </c>
      <c r="AE19" s="85">
        <f t="shared" si="7"/>
        <v>0.41160000000000002</v>
      </c>
      <c r="AF19" s="45">
        <f t="shared" si="8"/>
        <v>44812.38</v>
      </c>
      <c r="AG19" s="55"/>
    </row>
    <row r="20" spans="1:33" x14ac:dyDescent="0.25">
      <c r="A20" s="26" t="s">
        <v>28</v>
      </c>
      <c r="B20" s="27" t="s">
        <v>18</v>
      </c>
      <c r="C20" s="62" t="s">
        <v>31</v>
      </c>
      <c r="D20" s="28" t="s">
        <v>30</v>
      </c>
      <c r="E20" s="62" t="s">
        <v>101</v>
      </c>
      <c r="F20" s="260" t="s">
        <v>37</v>
      </c>
      <c r="G20" s="312">
        <v>2061</v>
      </c>
      <c r="H20" s="312">
        <v>2919</v>
      </c>
      <c r="I20" s="237">
        <v>62.8598</v>
      </c>
      <c r="J20" s="237">
        <v>63.237299999999998</v>
      </c>
      <c r="K20" s="312"/>
      <c r="L20" s="312"/>
      <c r="M20" s="312"/>
      <c r="N20" s="236">
        <v>721.38</v>
      </c>
      <c r="O20" s="245">
        <f t="shared" si="0"/>
        <v>313422.34999999998</v>
      </c>
      <c r="P20" s="531">
        <f t="shared" si="9"/>
        <v>58766.69</v>
      </c>
      <c r="Q20" s="243">
        <f t="shared" si="10"/>
        <v>47013.35</v>
      </c>
      <c r="R20" s="244">
        <v>0.15</v>
      </c>
      <c r="S20" s="243">
        <f t="shared" si="11"/>
        <v>11753.34</v>
      </c>
      <c r="T20" s="286">
        <v>3.7499999999999999E-2</v>
      </c>
      <c r="U20" s="45">
        <f t="shared" si="1"/>
        <v>4980</v>
      </c>
      <c r="V20" s="45">
        <f t="shared" si="12"/>
        <v>313422.34999999998</v>
      </c>
      <c r="W20" s="84">
        <f t="shared" si="13"/>
        <v>177.9</v>
      </c>
      <c r="X20" s="85">
        <f t="shared" si="2"/>
        <v>62.936199999999999</v>
      </c>
      <c r="Y20" s="85">
        <f t="shared" si="3"/>
        <v>11.8005</v>
      </c>
      <c r="Z20" s="45">
        <f t="shared" si="4"/>
        <v>58766.69</v>
      </c>
      <c r="AA20" s="45" t="str">
        <f t="shared" si="5"/>
        <v/>
      </c>
      <c r="AB20" s="45" t="str">
        <f t="shared" si="14"/>
        <v/>
      </c>
      <c r="AC20" s="84" t="str">
        <f t="shared" si="15"/>
        <v/>
      </c>
      <c r="AD20" s="85" t="str">
        <f t="shared" si="6"/>
        <v/>
      </c>
      <c r="AE20" s="85" t="str">
        <f t="shared" si="7"/>
        <v/>
      </c>
      <c r="AF20" s="45" t="str">
        <f t="shared" si="8"/>
        <v/>
      </c>
      <c r="AG20" s="55"/>
    </row>
    <row r="21" spans="1:33" x14ac:dyDescent="0.25">
      <c r="A21" s="26" t="s">
        <v>28</v>
      </c>
      <c r="B21" s="29" t="s">
        <v>20</v>
      </c>
      <c r="C21" s="62" t="s">
        <v>31</v>
      </c>
      <c r="D21" s="28" t="s">
        <v>30</v>
      </c>
      <c r="E21" s="62" t="s">
        <v>101</v>
      </c>
      <c r="F21" s="260" t="s">
        <v>37</v>
      </c>
      <c r="G21" s="312">
        <v>194807</v>
      </c>
      <c r="H21" s="236">
        <v>167968</v>
      </c>
      <c r="I21" s="238">
        <v>62.8598</v>
      </c>
      <c r="J21" s="237">
        <v>63.237299999999998</v>
      </c>
      <c r="K21" s="312"/>
      <c r="L21" s="312"/>
      <c r="M21" s="312"/>
      <c r="N21" s="236">
        <v>4237.82</v>
      </c>
      <c r="O21" s="245">
        <f t="shared" si="0"/>
        <v>22863134.050000001</v>
      </c>
      <c r="P21" s="531">
        <f t="shared" si="9"/>
        <v>4286837.63</v>
      </c>
      <c r="Q21" s="243">
        <f t="shared" si="10"/>
        <v>3429470.11</v>
      </c>
      <c r="R21" s="244">
        <v>0.15</v>
      </c>
      <c r="S21" s="243">
        <f t="shared" si="11"/>
        <v>857367.53</v>
      </c>
      <c r="T21" s="286">
        <v>3.7499999999999999E-2</v>
      </c>
      <c r="U21" s="45">
        <f t="shared" si="1"/>
        <v>362775</v>
      </c>
      <c r="V21" s="45">
        <f t="shared" si="12"/>
        <v>22863134.050000001</v>
      </c>
      <c r="W21" s="84">
        <f t="shared" si="13"/>
        <v>12956.3</v>
      </c>
      <c r="X21" s="85">
        <f t="shared" si="2"/>
        <v>63.0229</v>
      </c>
      <c r="Y21" s="85">
        <f t="shared" si="3"/>
        <v>11.816800000000001</v>
      </c>
      <c r="Z21" s="45">
        <f t="shared" si="4"/>
        <v>4286837.63</v>
      </c>
      <c r="AA21" s="45" t="str">
        <f t="shared" si="5"/>
        <v/>
      </c>
      <c r="AB21" s="45" t="str">
        <f t="shared" si="14"/>
        <v/>
      </c>
      <c r="AC21" s="84" t="str">
        <f t="shared" si="15"/>
        <v/>
      </c>
      <c r="AD21" s="85" t="str">
        <f t="shared" si="6"/>
        <v/>
      </c>
      <c r="AE21" s="85" t="str">
        <f t="shared" si="7"/>
        <v/>
      </c>
      <c r="AF21" s="45" t="str">
        <f t="shared" si="8"/>
        <v/>
      </c>
      <c r="AG21" s="55"/>
    </row>
    <row r="22" spans="1:33" x14ac:dyDescent="0.25">
      <c r="A22" s="26" t="s">
        <v>28</v>
      </c>
      <c r="B22" s="27" t="s">
        <v>8</v>
      </c>
      <c r="C22" s="62" t="s">
        <v>31</v>
      </c>
      <c r="D22" s="28" t="s">
        <v>21</v>
      </c>
      <c r="E22" s="62" t="s">
        <v>101</v>
      </c>
      <c r="F22" s="260" t="s">
        <v>56</v>
      </c>
      <c r="G22" s="312">
        <v>247038.94</v>
      </c>
      <c r="H22" s="236">
        <v>210769.83</v>
      </c>
      <c r="I22" s="363">
        <v>1.7948</v>
      </c>
      <c r="J22" s="238">
        <v>1.7948</v>
      </c>
      <c r="K22" s="312"/>
      <c r="L22" s="312"/>
      <c r="M22" s="312"/>
      <c r="N22" s="236">
        <v>2185.46</v>
      </c>
      <c r="O22" s="245">
        <f t="shared" si="0"/>
        <v>819489.72</v>
      </c>
      <c r="P22" s="243">
        <f t="shared" si="9"/>
        <v>153654.32</v>
      </c>
      <c r="Q22" s="243">
        <f t="shared" si="10"/>
        <v>122923.46</v>
      </c>
      <c r="R22" s="244">
        <v>0.15</v>
      </c>
      <c r="S22" s="243">
        <f t="shared" si="11"/>
        <v>30730.86</v>
      </c>
      <c r="T22" s="286">
        <v>3.7499999999999999E-2</v>
      </c>
      <c r="U22" s="45" t="str">
        <f t="shared" si="1"/>
        <v/>
      </c>
      <c r="V22" s="45" t="str">
        <f t="shared" si="12"/>
        <v/>
      </c>
      <c r="W22" s="84" t="str">
        <f t="shared" si="13"/>
        <v/>
      </c>
      <c r="X22" s="85" t="str">
        <f t="shared" si="2"/>
        <v/>
      </c>
      <c r="Y22" s="85" t="str">
        <f t="shared" si="3"/>
        <v/>
      </c>
      <c r="Z22" s="45" t="str">
        <f t="shared" si="4"/>
        <v/>
      </c>
      <c r="AA22" s="45">
        <f t="shared" si="5"/>
        <v>457808.77</v>
      </c>
      <c r="AB22" s="45">
        <f t="shared" si="14"/>
        <v>819489.72</v>
      </c>
      <c r="AC22" s="84">
        <f t="shared" si="15"/>
        <v>16350.3</v>
      </c>
      <c r="AD22" s="85">
        <f t="shared" si="6"/>
        <v>1.79</v>
      </c>
      <c r="AE22" s="85">
        <f t="shared" si="7"/>
        <v>0.33560000000000001</v>
      </c>
      <c r="AF22" s="45">
        <f t="shared" si="8"/>
        <v>153654.32</v>
      </c>
      <c r="AG22" s="55"/>
    </row>
    <row r="23" spans="1:33" x14ac:dyDescent="0.25">
      <c r="A23" s="26" t="s">
        <v>28</v>
      </c>
      <c r="B23" s="29" t="s">
        <v>57</v>
      </c>
      <c r="C23" s="62" t="s">
        <v>31</v>
      </c>
      <c r="D23" s="28" t="s">
        <v>21</v>
      </c>
      <c r="E23" s="62" t="s">
        <v>101</v>
      </c>
      <c r="F23" s="260" t="s">
        <v>37</v>
      </c>
      <c r="G23" s="312"/>
      <c r="H23" s="312"/>
      <c r="I23" s="237"/>
      <c r="J23" s="237"/>
      <c r="K23" s="312"/>
      <c r="L23" s="312"/>
      <c r="M23" s="312"/>
      <c r="N23" s="312"/>
      <c r="O23" s="245">
        <f t="shared" si="0"/>
        <v>0</v>
      </c>
      <c r="P23" s="243">
        <f t="shared" si="9"/>
        <v>0</v>
      </c>
      <c r="Q23" s="243">
        <f t="shared" si="10"/>
        <v>0</v>
      </c>
      <c r="R23" s="244">
        <v>0.15</v>
      </c>
      <c r="S23" s="243">
        <f t="shared" si="11"/>
        <v>0</v>
      </c>
      <c r="T23" s="286">
        <v>3.7499999999999999E-2</v>
      </c>
      <c r="U23" s="45">
        <f t="shared" si="1"/>
        <v>0</v>
      </c>
      <c r="V23" s="45">
        <f t="shared" si="12"/>
        <v>0</v>
      </c>
      <c r="W23" s="84">
        <f t="shared" si="13"/>
        <v>0</v>
      </c>
      <c r="X23" s="85">
        <f t="shared" si="2"/>
        <v>0</v>
      </c>
      <c r="Y23" s="85">
        <f t="shared" si="3"/>
        <v>0</v>
      </c>
      <c r="Z23" s="45">
        <f t="shared" si="4"/>
        <v>0</v>
      </c>
      <c r="AA23" s="45" t="str">
        <f t="shared" si="5"/>
        <v/>
      </c>
      <c r="AB23" s="45" t="str">
        <f t="shared" si="14"/>
        <v/>
      </c>
      <c r="AC23" s="84" t="str">
        <f t="shared" si="15"/>
        <v/>
      </c>
      <c r="AD23" s="85" t="str">
        <f t="shared" si="6"/>
        <v/>
      </c>
      <c r="AE23" s="85" t="str">
        <f t="shared" si="7"/>
        <v/>
      </c>
      <c r="AF23" s="45" t="str">
        <f t="shared" si="8"/>
        <v/>
      </c>
      <c r="AG23" s="55"/>
    </row>
    <row r="24" spans="1:33" x14ac:dyDescent="0.25">
      <c r="A24" s="26" t="s">
        <v>28</v>
      </c>
      <c r="B24" s="27" t="s">
        <v>9</v>
      </c>
      <c r="C24" s="62" t="s">
        <v>31</v>
      </c>
      <c r="D24" s="28" t="s">
        <v>30</v>
      </c>
      <c r="E24" s="62" t="s">
        <v>101</v>
      </c>
      <c r="F24" s="260" t="s">
        <v>37</v>
      </c>
      <c r="G24" s="312">
        <v>565</v>
      </c>
      <c r="H24" s="312">
        <v>574</v>
      </c>
      <c r="I24" s="237">
        <v>63.867899999999999</v>
      </c>
      <c r="J24" s="238">
        <v>64.315200000000004</v>
      </c>
      <c r="K24" s="312"/>
      <c r="L24" s="312"/>
      <c r="M24" s="312"/>
      <c r="N24" s="312">
        <v>784.43</v>
      </c>
      <c r="O24" s="245">
        <f t="shared" si="0"/>
        <v>72217.850000000006</v>
      </c>
      <c r="P24" s="531">
        <f t="shared" si="9"/>
        <v>13540.85</v>
      </c>
      <c r="Q24" s="243">
        <f t="shared" si="10"/>
        <v>10832.68</v>
      </c>
      <c r="R24" s="244">
        <v>0.15</v>
      </c>
      <c r="S24" s="243">
        <f t="shared" si="11"/>
        <v>2708.17</v>
      </c>
      <c r="T24" s="286">
        <v>3.7499999999999999E-2</v>
      </c>
      <c r="U24" s="45">
        <f t="shared" si="1"/>
        <v>1139</v>
      </c>
      <c r="V24" s="45">
        <f t="shared" si="12"/>
        <v>72217.850000000006</v>
      </c>
      <c r="W24" s="84">
        <f t="shared" si="13"/>
        <v>40.700000000000003</v>
      </c>
      <c r="X24" s="85">
        <f t="shared" si="2"/>
        <v>63.404600000000002</v>
      </c>
      <c r="Y24" s="85">
        <f t="shared" si="3"/>
        <v>11.888400000000001</v>
      </c>
      <c r="Z24" s="45">
        <f t="shared" si="4"/>
        <v>13540.85</v>
      </c>
      <c r="AA24" s="45" t="str">
        <f t="shared" si="5"/>
        <v/>
      </c>
      <c r="AB24" s="45" t="str">
        <f t="shared" si="14"/>
        <v/>
      </c>
      <c r="AC24" s="84" t="str">
        <f t="shared" si="15"/>
        <v/>
      </c>
      <c r="AD24" s="85" t="str">
        <f t="shared" si="6"/>
        <v/>
      </c>
      <c r="AE24" s="85" t="str">
        <f t="shared" si="7"/>
        <v/>
      </c>
      <c r="AF24" s="45" t="str">
        <f t="shared" si="8"/>
        <v/>
      </c>
      <c r="AG24" s="55"/>
    </row>
    <row r="25" spans="1:33" x14ac:dyDescent="0.25">
      <c r="A25" s="26" t="s">
        <v>28</v>
      </c>
      <c r="B25" s="29" t="s">
        <v>168</v>
      </c>
      <c r="C25" s="62" t="s">
        <v>31</v>
      </c>
      <c r="D25" s="28" t="s">
        <v>30</v>
      </c>
      <c r="E25" s="62" t="s">
        <v>101</v>
      </c>
      <c r="F25" s="260" t="s">
        <v>37</v>
      </c>
      <c r="G25" s="236">
        <v>29918</v>
      </c>
      <c r="H25" s="236">
        <v>27066</v>
      </c>
      <c r="I25" s="238">
        <v>62.8598</v>
      </c>
      <c r="J25" s="238">
        <v>63.237299999999998</v>
      </c>
      <c r="K25" s="312"/>
      <c r="L25" s="312"/>
      <c r="M25" s="312"/>
      <c r="N25" s="236">
        <v>1496.45</v>
      </c>
      <c r="O25" s="245">
        <f>ROUND(G25*I25,2)+ROUND(H25*J25,2)-K25-L25-M25-N25</f>
        <v>3590723.8099999996</v>
      </c>
      <c r="P25" s="531">
        <f t="shared" si="9"/>
        <v>673260.71</v>
      </c>
      <c r="Q25" s="243">
        <f>ROUND($O25*R25,2)</f>
        <v>538608.56999999995</v>
      </c>
      <c r="R25" s="244">
        <v>0.15</v>
      </c>
      <c r="S25" s="243">
        <f>ROUND($O25*T25,2)</f>
        <v>134652.14000000001</v>
      </c>
      <c r="T25" s="286">
        <v>3.7499999999999999E-2</v>
      </c>
      <c r="U25" s="45">
        <f>IF($F25&amp;"/Día"=W$9,SUM($G25:$H25),"")</f>
        <v>56984</v>
      </c>
      <c r="V25" s="45">
        <f t="shared" si="12"/>
        <v>3590723.8099999996</v>
      </c>
      <c r="W25" s="84">
        <f>IF($F25&amp;"/Día"=W$9,ROUND(U25/$W$1,1),"")</f>
        <v>2035.1</v>
      </c>
      <c r="X25" s="85">
        <f>IF(U25=0,0,IF($F25&amp;"/Día"=W$9,ROUND(V25/U25,4),""))</f>
        <v>63.012799999999999</v>
      </c>
      <c r="Y25" s="85">
        <f>IF(U25=0,0,IF($F25&amp;"/Día"=W$9,ROUND(Z25/U25,4),""))</f>
        <v>11.8149</v>
      </c>
      <c r="Z25" s="45">
        <f>IF(U25&lt;&gt;"",$P25,"")</f>
        <v>673260.71</v>
      </c>
      <c r="AA25" s="45" t="str">
        <f>IF($F25&amp;"/Día"=AC$9,SUM($G25:$H25),"")</f>
        <v/>
      </c>
      <c r="AB25" s="45" t="str">
        <f t="shared" si="14"/>
        <v/>
      </c>
      <c r="AC25" s="84" t="str">
        <f>IF($F25&amp;"/Día"=AC$9,ROUND(AA25/$W$1,1),"")</f>
        <v/>
      </c>
      <c r="AD25" s="85" t="str">
        <f>IF(AA25=0,0,IF($F25&amp;"/Día"=AC$9,ROUND(AB25/AA25,4),""))</f>
        <v/>
      </c>
      <c r="AE25" s="85" t="str">
        <f>IF(AA25=0,0,IF($F25&amp;"/Día"=AC$9,ROUND(AF25/AA25,4),""))</f>
        <v/>
      </c>
      <c r="AF25" s="45" t="str">
        <f>IF(AA25&lt;&gt;"",$P25,"")</f>
        <v/>
      </c>
      <c r="AG25" s="55"/>
    </row>
    <row r="26" spans="1:33" x14ac:dyDescent="0.25">
      <c r="A26" s="26" t="s">
        <v>28</v>
      </c>
      <c r="B26" s="29" t="s">
        <v>191</v>
      </c>
      <c r="C26" s="62" t="s">
        <v>31</v>
      </c>
      <c r="D26" s="28" t="s">
        <v>30</v>
      </c>
      <c r="E26" s="62" t="s">
        <v>101</v>
      </c>
      <c r="F26" s="260" t="s">
        <v>37</v>
      </c>
      <c r="G26" s="236"/>
      <c r="H26" s="312"/>
      <c r="I26" s="237"/>
      <c r="J26" s="312"/>
      <c r="K26" s="312"/>
      <c r="L26" s="312"/>
      <c r="M26" s="312"/>
      <c r="N26" s="236"/>
      <c r="O26" s="245">
        <f>ROUND(G26*I26,2)+ROUND(H26*J26,2)-K26-L26-M26-N26</f>
        <v>0</v>
      </c>
      <c r="P26" s="243">
        <f t="shared" si="9"/>
        <v>0</v>
      </c>
      <c r="Q26" s="243">
        <f>ROUND($O26*R26,2)</f>
        <v>0</v>
      </c>
      <c r="R26" s="244">
        <v>0.15</v>
      </c>
      <c r="S26" s="243">
        <f>ROUND($O26*T26,2)</f>
        <v>0</v>
      </c>
      <c r="T26" s="286">
        <v>3.7499999999999999E-2</v>
      </c>
      <c r="U26" s="45">
        <f>IF($F26&amp;"/Día"=W$9,SUM($G26:$H26),"")</f>
        <v>0</v>
      </c>
      <c r="V26" s="45">
        <f>IF(U26&lt;&gt;"",$O26,"")</f>
        <v>0</v>
      </c>
      <c r="W26" s="84">
        <f>IF($F26&amp;"/Día"=W$9,ROUND(U26/$W$1,1),"")</f>
        <v>0</v>
      </c>
      <c r="X26" s="85">
        <f>IF(U26=0,0,IF($F26&amp;"/Día"=W$9,ROUND(V26/U26,4),""))</f>
        <v>0</v>
      </c>
      <c r="Y26" s="85">
        <f>IF(U26=0,0,IF($F26&amp;"/Día"=W$9,ROUND(Z26/U26,4),""))</f>
        <v>0</v>
      </c>
      <c r="Z26" s="45">
        <f>IF(U26&lt;&gt;"",$P26,"")</f>
        <v>0</v>
      </c>
      <c r="AA26" s="45" t="str">
        <f>IF($F26&amp;"/Día"=AC$9,SUM($G26:$H26),"")</f>
        <v/>
      </c>
      <c r="AB26" s="45" t="str">
        <f>IF(AA26&lt;&gt;"",$O26,"")</f>
        <v/>
      </c>
      <c r="AC26" s="84" t="str">
        <f>IF($F26&amp;"/Día"=AC$9,ROUND(AA26/$W$1,1),"")</f>
        <v/>
      </c>
      <c r="AD26" s="85" t="str">
        <f>IF(AA26=0,0,IF($F26&amp;"/Día"=AC$9,ROUND(AB26/AA26,4),""))</f>
        <v/>
      </c>
      <c r="AE26" s="85" t="str">
        <f>IF(AA26=0,0,IF($F26&amp;"/Día"=AC$9,ROUND(AF26/AA26,4),""))</f>
        <v/>
      </c>
      <c r="AF26" s="45" t="str">
        <f>IF(AA26&lt;&gt;"",$P26,"")</f>
        <v/>
      </c>
      <c r="AG26" s="55"/>
    </row>
    <row r="27" spans="1:33" x14ac:dyDescent="0.25">
      <c r="A27" s="26" t="s">
        <v>28</v>
      </c>
      <c r="B27" s="29" t="s">
        <v>160</v>
      </c>
      <c r="C27" s="62" t="s">
        <v>31</v>
      </c>
      <c r="D27" s="28" t="s">
        <v>30</v>
      </c>
      <c r="E27" s="62" t="s">
        <v>101</v>
      </c>
      <c r="F27" s="260" t="s">
        <v>56</v>
      </c>
      <c r="G27" s="236">
        <f>80755.7378+108003.1931</f>
        <v>188758.93090000001</v>
      </c>
      <c r="H27" s="312">
        <f>93892.9507+84259.4053</f>
        <v>178152.356</v>
      </c>
      <c r="I27" s="237">
        <v>2.5834233520762115</v>
      </c>
      <c r="J27" s="349">
        <v>2.6983453982500234</v>
      </c>
      <c r="K27" s="312"/>
      <c r="L27" s="312"/>
      <c r="M27" s="312"/>
      <c r="N27" s="236">
        <v>3092.96</v>
      </c>
      <c r="O27" s="245">
        <f t="shared" si="0"/>
        <v>965267.8600000001</v>
      </c>
      <c r="P27" s="531">
        <f t="shared" si="9"/>
        <v>180987.72</v>
      </c>
      <c r="Q27" s="243">
        <f t="shared" si="10"/>
        <v>144790.18</v>
      </c>
      <c r="R27" s="244">
        <v>0.15</v>
      </c>
      <c r="S27" s="243">
        <f t="shared" si="11"/>
        <v>36197.54</v>
      </c>
      <c r="T27" s="286">
        <v>3.7499999999999999E-2</v>
      </c>
      <c r="U27" s="45" t="str">
        <f t="shared" si="1"/>
        <v/>
      </c>
      <c r="V27" s="45" t="str">
        <f t="shared" si="12"/>
        <v/>
      </c>
      <c r="W27" s="84" t="str">
        <f t="shared" si="13"/>
        <v/>
      </c>
      <c r="X27" s="85" t="str">
        <f t="shared" si="2"/>
        <v/>
      </c>
      <c r="Y27" s="85" t="str">
        <f t="shared" si="3"/>
        <v/>
      </c>
      <c r="Z27" s="45" t="str">
        <f t="shared" si="4"/>
        <v/>
      </c>
      <c r="AA27" s="45">
        <f t="shared" si="5"/>
        <v>366911.28690000001</v>
      </c>
      <c r="AB27" s="45">
        <f t="shared" si="14"/>
        <v>965267.8600000001</v>
      </c>
      <c r="AC27" s="84">
        <f t="shared" si="15"/>
        <v>13104</v>
      </c>
      <c r="AD27" s="85">
        <f t="shared" si="6"/>
        <v>2.6307999999999998</v>
      </c>
      <c r="AE27" s="85">
        <f t="shared" si="7"/>
        <v>0.49330000000000002</v>
      </c>
      <c r="AF27" s="45">
        <f t="shared" si="8"/>
        <v>180987.72</v>
      </c>
      <c r="AG27" s="55"/>
    </row>
    <row r="28" spans="1:33" x14ac:dyDescent="0.25">
      <c r="A28" s="26" t="s">
        <v>28</v>
      </c>
      <c r="B28" s="27" t="s">
        <v>15</v>
      </c>
      <c r="C28" s="62" t="s">
        <v>29</v>
      </c>
      <c r="D28" s="28" t="s">
        <v>21</v>
      </c>
      <c r="E28" s="62" t="s">
        <v>98</v>
      </c>
      <c r="F28" s="260" t="s">
        <v>37</v>
      </c>
      <c r="G28" s="312"/>
      <c r="H28" s="236">
        <f>34290+180024</f>
        <v>214314</v>
      </c>
      <c r="I28" s="364"/>
      <c r="J28" s="238">
        <v>60.966099999999997</v>
      </c>
      <c r="K28" s="312"/>
      <c r="L28" s="312"/>
      <c r="M28" s="312"/>
      <c r="N28" s="236">
        <v>2391.37</v>
      </c>
      <c r="O28" s="245">
        <f>ROUND(G28*I28,2)+ROUND(H28*J28,2)-K28-L28-M28-N28</f>
        <v>13063497.390000001</v>
      </c>
      <c r="P28" s="531">
        <f t="shared" si="9"/>
        <v>2449405.7599999998</v>
      </c>
      <c r="Q28" s="243">
        <f t="shared" si="10"/>
        <v>1959524.61</v>
      </c>
      <c r="R28" s="244">
        <v>0.15</v>
      </c>
      <c r="S28" s="243">
        <f t="shared" si="11"/>
        <v>489881.15</v>
      </c>
      <c r="T28" s="286">
        <v>3.7499999999999999E-2</v>
      </c>
      <c r="U28" s="45">
        <f>IF($F28&amp;"/Día"=W$9,SUM($G28:$H28),"")</f>
        <v>214314</v>
      </c>
      <c r="V28" s="45">
        <f t="shared" si="12"/>
        <v>13063497.390000001</v>
      </c>
      <c r="W28" s="84">
        <f t="shared" si="13"/>
        <v>7654.1</v>
      </c>
      <c r="X28" s="85">
        <f t="shared" si="2"/>
        <v>60.954900000000002</v>
      </c>
      <c r="Y28" s="85">
        <f t="shared" si="3"/>
        <v>11.4291</v>
      </c>
      <c r="Z28" s="45">
        <f t="shared" si="4"/>
        <v>2449405.7599999998</v>
      </c>
      <c r="AA28" s="45" t="str">
        <f>IF($F28&amp;"/Día"=AC$9,SUM($G28:$H28),"")</f>
        <v/>
      </c>
      <c r="AB28" s="45" t="str">
        <f t="shared" si="14"/>
        <v/>
      </c>
      <c r="AC28" s="84" t="str">
        <f t="shared" si="15"/>
        <v/>
      </c>
      <c r="AD28" s="85" t="str">
        <f t="shared" si="6"/>
        <v/>
      </c>
      <c r="AE28" s="85" t="str">
        <f t="shared" si="7"/>
        <v/>
      </c>
      <c r="AF28" s="45" t="str">
        <f t="shared" si="8"/>
        <v/>
      </c>
      <c r="AG28" s="55"/>
    </row>
    <row r="29" spans="1:33" x14ac:dyDescent="0.25">
      <c r="A29" s="26" t="s">
        <v>28</v>
      </c>
      <c r="B29" s="27" t="s">
        <v>16</v>
      </c>
      <c r="C29" s="62" t="s">
        <v>29</v>
      </c>
      <c r="D29" s="28" t="s">
        <v>21</v>
      </c>
      <c r="E29" s="62" t="s">
        <v>98</v>
      </c>
      <c r="F29" s="260" t="s">
        <v>56</v>
      </c>
      <c r="G29" s="312"/>
      <c r="H29" s="236">
        <f>177687.13+1019.28+32825.88</f>
        <v>211532.29</v>
      </c>
      <c r="I29" s="237"/>
      <c r="J29" s="480">
        <v>5.2921608327504037</v>
      </c>
      <c r="K29" s="312"/>
      <c r="L29" s="312"/>
      <c r="M29" s="312"/>
      <c r="N29" s="236">
        <v>2108.8000000000002</v>
      </c>
      <c r="O29" s="245">
        <f t="shared" si="0"/>
        <v>1117354.0999999999</v>
      </c>
      <c r="P29" s="531">
        <f t="shared" si="9"/>
        <v>209503.89</v>
      </c>
      <c r="Q29" s="243">
        <f t="shared" si="10"/>
        <v>167603.12</v>
      </c>
      <c r="R29" s="244">
        <v>0.15</v>
      </c>
      <c r="S29" s="243">
        <f t="shared" si="11"/>
        <v>41900.78</v>
      </c>
      <c r="T29" s="286">
        <v>3.7499999999999999E-2</v>
      </c>
      <c r="U29" s="45" t="str">
        <f t="shared" si="1"/>
        <v/>
      </c>
      <c r="V29" s="45" t="str">
        <f t="shared" si="12"/>
        <v/>
      </c>
      <c r="W29" s="84" t="str">
        <f t="shared" si="13"/>
        <v/>
      </c>
      <c r="X29" s="85" t="str">
        <f t="shared" si="2"/>
        <v/>
      </c>
      <c r="Y29" s="85" t="str">
        <f t="shared" si="3"/>
        <v/>
      </c>
      <c r="Z29" s="45" t="str">
        <f t="shared" si="4"/>
        <v/>
      </c>
      <c r="AA29" s="45">
        <f t="shared" si="5"/>
        <v>211532.29</v>
      </c>
      <c r="AB29" s="45">
        <f t="shared" si="14"/>
        <v>1117354.0999999999</v>
      </c>
      <c r="AC29" s="84">
        <f t="shared" si="15"/>
        <v>7554.7</v>
      </c>
      <c r="AD29" s="85">
        <f t="shared" si="6"/>
        <v>5.2821999999999996</v>
      </c>
      <c r="AE29" s="85">
        <f t="shared" si="7"/>
        <v>0.99039999999999995</v>
      </c>
      <c r="AF29" s="45">
        <f t="shared" si="8"/>
        <v>209503.89</v>
      </c>
      <c r="AG29" s="55"/>
    </row>
    <row r="30" spans="1:33" x14ac:dyDescent="0.25">
      <c r="A30" s="26" t="s">
        <v>28</v>
      </c>
      <c r="B30" s="27" t="s">
        <v>173</v>
      </c>
      <c r="C30" s="62" t="s">
        <v>31</v>
      </c>
      <c r="D30" s="28" t="s">
        <v>30</v>
      </c>
      <c r="E30" s="62" t="s">
        <v>101</v>
      </c>
      <c r="F30" s="260" t="s">
        <v>37</v>
      </c>
      <c r="G30" s="312">
        <v>326</v>
      </c>
      <c r="H30" s="236">
        <v>229</v>
      </c>
      <c r="I30" s="238">
        <v>62.8598</v>
      </c>
      <c r="J30" s="238">
        <v>63.237299999999998</v>
      </c>
      <c r="K30" s="312"/>
      <c r="L30" s="312"/>
      <c r="M30" s="312"/>
      <c r="N30" s="236">
        <v>460.72</v>
      </c>
      <c r="O30" s="245">
        <f>ROUND(G30*I30,2)+ROUND(H30*J30,2)-K30-L30-M30-N30</f>
        <v>34512.910000000003</v>
      </c>
      <c r="P30" s="531">
        <f t="shared" si="9"/>
        <v>6471.17</v>
      </c>
      <c r="Q30" s="243">
        <f>ROUND($O30*R30,2)</f>
        <v>1294.23</v>
      </c>
      <c r="R30" s="286">
        <v>3.7499999999999999E-2</v>
      </c>
      <c r="S30" s="243">
        <f t="shared" si="11"/>
        <v>5176.9399999999996</v>
      </c>
      <c r="T30" s="244">
        <v>0.15</v>
      </c>
      <c r="U30" s="45">
        <f>IF($F30&amp;"/Día"=W$9,SUM($G30:$H30),"")</f>
        <v>555</v>
      </c>
      <c r="V30" s="45">
        <f t="shared" si="12"/>
        <v>34512.910000000003</v>
      </c>
      <c r="W30" s="84">
        <f>IF($F30&amp;"/Día"=W$9,ROUND(U30/$W$1,1),"")</f>
        <v>19.8</v>
      </c>
      <c r="X30" s="85">
        <f>IF(U30=0,0,IF($F30&amp;"/Día"=W$9,ROUND(V30/U30,4),""))</f>
        <v>62.185400000000001</v>
      </c>
      <c r="Y30" s="85">
        <f>IF(U30=0,0,IF($F30&amp;"/Día"=W$9,ROUND(Z30/U30,4),""))</f>
        <v>11.659800000000001</v>
      </c>
      <c r="Z30" s="45">
        <f>IF(U30&lt;&gt;"",$P30,"")</f>
        <v>6471.17</v>
      </c>
      <c r="AA30" s="45" t="str">
        <f>IF($F30&amp;"/Día"=AC$9,SUM($G30:$H30),"")</f>
        <v/>
      </c>
      <c r="AB30" s="45" t="str">
        <f t="shared" si="14"/>
        <v/>
      </c>
      <c r="AC30" s="84" t="str">
        <f>IF($F30&amp;"/Día"=AC$9,ROUND(AA30/$W$1,1),"")</f>
        <v/>
      </c>
      <c r="AD30" s="85" t="str">
        <f>IF(AA30=0,0,IF($F30&amp;"/Día"=AC$9,ROUND(AB30/AA30,4),""))</f>
        <v/>
      </c>
      <c r="AE30" s="85" t="str">
        <f>IF(AA30=0,0,IF($F30&amp;"/Día"=AC$9,ROUND(AF30/AA30,4),""))</f>
        <v/>
      </c>
      <c r="AF30" s="45" t="str">
        <f>IF(AA30&lt;&gt;"",$P30,"")</f>
        <v/>
      </c>
      <c r="AG30" s="55"/>
    </row>
    <row r="31" spans="1:33" x14ac:dyDescent="0.25">
      <c r="A31" s="26" t="s">
        <v>28</v>
      </c>
      <c r="B31" s="216" t="s">
        <v>169</v>
      </c>
      <c r="C31" s="62" t="s">
        <v>31</v>
      </c>
      <c r="D31" s="28" t="s">
        <v>30</v>
      </c>
      <c r="E31" s="62" t="s">
        <v>101</v>
      </c>
      <c r="F31" s="260" t="s">
        <v>37</v>
      </c>
      <c r="G31" s="236">
        <v>78469</v>
      </c>
      <c r="H31" s="236"/>
      <c r="I31" s="238">
        <v>62.8598</v>
      </c>
      <c r="J31" s="238"/>
      <c r="K31" s="236"/>
      <c r="L31" s="312"/>
      <c r="M31" s="312"/>
      <c r="N31" s="236">
        <v>1418.72</v>
      </c>
      <c r="O31" s="245">
        <f>ROUND(G31*I31,2)+ROUND(H31*J31,2)-K31-L31-M31-N31</f>
        <v>4931126.9300000006</v>
      </c>
      <c r="P31" s="531">
        <f t="shared" si="9"/>
        <v>924586.3</v>
      </c>
      <c r="Q31" s="243">
        <f>ROUND($O31*R31,2)</f>
        <v>184917.26</v>
      </c>
      <c r="R31" s="286">
        <v>3.7499999999999999E-2</v>
      </c>
      <c r="S31" s="243">
        <f t="shared" si="11"/>
        <v>739669.04</v>
      </c>
      <c r="T31" s="244">
        <v>0.15</v>
      </c>
      <c r="U31" s="45">
        <f>IF($F31&amp;"/Día"=W$9,SUM($G31:$H31),"")</f>
        <v>78469</v>
      </c>
      <c r="V31" s="45">
        <f t="shared" si="12"/>
        <v>4931126.9300000006</v>
      </c>
      <c r="W31" s="84">
        <f>IF($F31&amp;"/Día"=W$9,ROUND(U31/$W$1,1),"")</f>
        <v>2802.5</v>
      </c>
      <c r="X31" s="85">
        <f>IF(U31=0,0,IF($F31&amp;"/Día"=W$9,ROUND(V31/U31,4),""))</f>
        <v>62.841700000000003</v>
      </c>
      <c r="Y31" s="85">
        <f>IF(U31=0,0,IF($F31&amp;"/Día"=W$9,ROUND(Z31/U31,4),""))</f>
        <v>11.7828</v>
      </c>
      <c r="Z31" s="45">
        <f>IF(U31&lt;&gt;"",$P31,"")</f>
        <v>924586.3</v>
      </c>
      <c r="AA31" s="45" t="str">
        <f>IF($F31&amp;"/Día"=AC$9,SUM($G31:$H31),"")</f>
        <v/>
      </c>
      <c r="AB31" s="45" t="str">
        <f t="shared" si="14"/>
        <v/>
      </c>
      <c r="AC31" s="84" t="str">
        <f>IF($F31&amp;"/Día"=AC$9,ROUND(AA31/$W$1,1),"")</f>
        <v/>
      </c>
      <c r="AD31" s="85" t="str">
        <f>IF(AA31=0,0,IF($F31&amp;"/Día"=AC$9,ROUND(AB31/AA31,4),""))</f>
        <v/>
      </c>
      <c r="AE31" s="85" t="str">
        <f>IF(AA31=0,0,IF($F31&amp;"/Día"=AC$9,ROUND(AF31/AA31,4),""))</f>
        <v/>
      </c>
      <c r="AF31" s="45" t="str">
        <f>IF(AA31&lt;&gt;"",$P31,"")</f>
        <v/>
      </c>
      <c r="AG31" s="55"/>
    </row>
    <row r="32" spans="1:33" x14ac:dyDescent="0.25">
      <c r="A32" s="26" t="s">
        <v>28</v>
      </c>
      <c r="B32" s="216" t="s">
        <v>170</v>
      </c>
      <c r="C32" s="62" t="s">
        <v>31</v>
      </c>
      <c r="D32" s="28" t="s">
        <v>30</v>
      </c>
      <c r="E32" s="62" t="s">
        <v>101</v>
      </c>
      <c r="F32" s="260" t="s">
        <v>56</v>
      </c>
      <c r="G32" s="236"/>
      <c r="H32" s="236"/>
      <c r="I32" s="238"/>
      <c r="J32" s="238"/>
      <c r="K32" s="236"/>
      <c r="L32" s="312"/>
      <c r="M32" s="312"/>
      <c r="N32" s="236"/>
      <c r="O32" s="245">
        <f>ROUND(G32*I32,2)+ROUND(H32*J32,2)-K32-L32-M32-N32</f>
        <v>0</v>
      </c>
      <c r="P32" s="243">
        <f t="shared" si="9"/>
        <v>0</v>
      </c>
      <c r="Q32" s="243">
        <f>ROUND($O32*R32,2)</f>
        <v>0</v>
      </c>
      <c r="R32" s="286">
        <v>3.7499999999999999E-2</v>
      </c>
      <c r="S32" s="243">
        <f t="shared" si="11"/>
        <v>0</v>
      </c>
      <c r="T32" s="244">
        <v>0.15</v>
      </c>
      <c r="U32" s="45" t="str">
        <f>IF($F32&amp;"/Día"=W$9,SUM($G32:$H32),"")</f>
        <v/>
      </c>
      <c r="V32" s="45" t="str">
        <f t="shared" si="12"/>
        <v/>
      </c>
      <c r="W32" s="84" t="str">
        <f>IF($F32&amp;"/Día"=W$9,ROUND(U32/$W$1,1),"")</f>
        <v/>
      </c>
      <c r="X32" s="85" t="str">
        <f>IF(U32=0,0,IF($F32&amp;"/Día"=W$9,ROUND(V32/U32,4),""))</f>
        <v/>
      </c>
      <c r="Y32" s="85" t="str">
        <f>IF(U32=0,0,IF($F32&amp;"/Día"=W$9,ROUND(Z32/U32,4),""))</f>
        <v/>
      </c>
      <c r="Z32" s="45" t="str">
        <f>IF(U32&lt;&gt;"",$P32,"")</f>
        <v/>
      </c>
      <c r="AA32" s="45">
        <f>IF($F32&amp;"/Día"=AC$9,SUM($G32:$H32),"")</f>
        <v>0</v>
      </c>
      <c r="AB32" s="45">
        <f t="shared" si="14"/>
        <v>0</v>
      </c>
      <c r="AC32" s="84">
        <f>IF($F32&amp;"/Día"=AC$9,ROUND(AA32/$W$1,1),"")</f>
        <v>0</v>
      </c>
      <c r="AD32" s="85">
        <f>IF(AA32=0,0,IF($F32&amp;"/Día"=AC$9,ROUND(AB32/AA32,4),""))</f>
        <v>0</v>
      </c>
      <c r="AE32" s="85">
        <f>IF(AA32=0,0,IF($F32&amp;"/Día"=AC$9,ROUND(AF32/AA32,4),""))</f>
        <v>0</v>
      </c>
      <c r="AF32" s="45">
        <f>IF(AA32&lt;&gt;"",$P32,"")</f>
        <v>0</v>
      </c>
      <c r="AG32" s="55"/>
    </row>
    <row r="33" spans="1:33" x14ac:dyDescent="0.25">
      <c r="A33" s="30" t="s">
        <v>28</v>
      </c>
      <c r="B33" s="271" t="s">
        <v>174</v>
      </c>
      <c r="C33" s="260" t="s">
        <v>29</v>
      </c>
      <c r="D33" s="268" t="s">
        <v>21</v>
      </c>
      <c r="E33" s="260" t="s">
        <v>98</v>
      </c>
      <c r="F33" s="260" t="s">
        <v>37</v>
      </c>
      <c r="G33" s="236"/>
      <c r="H33" s="236">
        <f>4658+24454</f>
        <v>29112</v>
      </c>
      <c r="I33" s="238"/>
      <c r="J33" s="238">
        <v>56.8538</v>
      </c>
      <c r="K33" s="236"/>
      <c r="L33" s="312"/>
      <c r="M33" s="312"/>
      <c r="N33" s="236">
        <v>2297.09</v>
      </c>
      <c r="O33" s="245">
        <f>ROUND(G33*I33,2)+ROUND(H33*J33,2)-K33-L33-M33-N33</f>
        <v>1652830.74</v>
      </c>
      <c r="P33" s="531">
        <f t="shared" si="9"/>
        <v>309905.76</v>
      </c>
      <c r="Q33" s="243">
        <f>ROUND($O33*R33,2)</f>
        <v>247924.61</v>
      </c>
      <c r="R33" s="247">
        <v>0.15</v>
      </c>
      <c r="S33" s="243">
        <f t="shared" si="11"/>
        <v>61981.15</v>
      </c>
      <c r="T33" s="286">
        <v>3.7499999999999999E-2</v>
      </c>
      <c r="U33" s="45">
        <f>IF($F33&amp;"/Día"=W$9,SUM($G33:$H33),"")</f>
        <v>29112</v>
      </c>
      <c r="V33" s="45">
        <f t="shared" si="12"/>
        <v>1652830.74</v>
      </c>
      <c r="W33" s="84">
        <f>IF($F33&amp;"/Día"=W$9,ROUND(U33/$W$1,1),"")</f>
        <v>1039.7</v>
      </c>
      <c r="X33" s="85">
        <f>IF(U33=0,0,IF($F33&amp;"/Día"=W$9,ROUND(V33/U33,4),""))</f>
        <v>56.774900000000002</v>
      </c>
      <c r="Y33" s="85">
        <f>IF(U33=0,0,IF($F33&amp;"/Día"=W$9,ROUND(Z33/U33,4),""))</f>
        <v>10.645300000000001</v>
      </c>
      <c r="Z33" s="45">
        <f>IF(U33&lt;&gt;"",$P33,"")</f>
        <v>309905.76</v>
      </c>
      <c r="AA33" s="45" t="str">
        <f>IF($F33&amp;"/Día"=AC$9,SUM($G33:$H33),"")</f>
        <v/>
      </c>
      <c r="AB33" s="45" t="str">
        <f t="shared" si="14"/>
        <v/>
      </c>
      <c r="AC33" s="84" t="str">
        <f>IF($F33&amp;"/Día"=AC$9,ROUND(AA33/$W$1,1),"")</f>
        <v/>
      </c>
      <c r="AD33" s="85" t="str">
        <f>IF(AA33=0,0,IF($F33&amp;"/Día"=AC$9,ROUND(AB33/AA33,4),""))</f>
        <v/>
      </c>
      <c r="AE33" s="85" t="str">
        <f>IF(AA33=0,0,IF($F33&amp;"/Día"=AC$9,ROUND(AF33/AA33,4),""))</f>
        <v/>
      </c>
      <c r="AF33" s="45" t="str">
        <f>IF(AA33&lt;&gt;"",$P33,"")</f>
        <v/>
      </c>
      <c r="AG33" s="55"/>
    </row>
    <row r="34" spans="1:33" x14ac:dyDescent="0.25">
      <c r="A34" s="30" t="s">
        <v>28</v>
      </c>
      <c r="B34" s="216" t="s">
        <v>178</v>
      </c>
      <c r="C34" s="62" t="s">
        <v>31</v>
      </c>
      <c r="D34" s="28" t="s">
        <v>30</v>
      </c>
      <c r="E34" s="62" t="s">
        <v>101</v>
      </c>
      <c r="F34" s="260" t="s">
        <v>56</v>
      </c>
      <c r="G34" s="236"/>
      <c r="H34" s="236"/>
      <c r="I34" s="238"/>
      <c r="J34" s="238"/>
      <c r="K34" s="236"/>
      <c r="L34" s="312"/>
      <c r="M34" s="312"/>
      <c r="N34" s="236"/>
      <c r="O34" s="245">
        <f>ROUND(G34*I34,2)+ROUND(H34*J34,2)-K34-L34-M34-N34</f>
        <v>0</v>
      </c>
      <c r="P34" s="243">
        <f t="shared" si="9"/>
        <v>0</v>
      </c>
      <c r="Q34" s="243">
        <f>ROUND($O34*R34,2)</f>
        <v>0</v>
      </c>
      <c r="R34" s="275">
        <v>0.15</v>
      </c>
      <c r="S34" s="243">
        <f t="shared" si="11"/>
        <v>0</v>
      </c>
      <c r="T34" s="286">
        <v>3.7499999999999999E-2</v>
      </c>
      <c r="U34" s="45"/>
      <c r="V34" s="45"/>
      <c r="W34" s="84"/>
      <c r="X34" s="85"/>
      <c r="Y34" s="85"/>
      <c r="Z34" s="45"/>
      <c r="AA34" s="45"/>
      <c r="AB34" s="45"/>
      <c r="AC34" s="84"/>
      <c r="AD34" s="85"/>
      <c r="AE34" s="85"/>
      <c r="AF34" s="45"/>
      <c r="AG34" s="55"/>
    </row>
    <row r="35" spans="1:33" x14ac:dyDescent="0.25">
      <c r="A35" s="30" t="s">
        <v>28</v>
      </c>
      <c r="B35" s="33" t="s">
        <v>52</v>
      </c>
      <c r="C35" s="61"/>
      <c r="D35" s="61"/>
      <c r="E35" s="31"/>
      <c r="F35" s="269"/>
      <c r="G35" s="312"/>
      <c r="H35" s="312"/>
      <c r="I35" s="237"/>
      <c r="J35" s="237"/>
      <c r="K35" s="312"/>
      <c r="L35" s="312"/>
      <c r="M35" s="312"/>
      <c r="N35" s="312"/>
      <c r="O35" s="245">
        <f>+O211</f>
        <v>-23589.879999999888</v>
      </c>
      <c r="P35" s="245">
        <f>+P211</f>
        <v>-4423.0999999998603</v>
      </c>
      <c r="Q35" s="245">
        <f>+Q211</f>
        <v>-3538.4799999999814</v>
      </c>
      <c r="R35" s="275"/>
      <c r="S35" s="245">
        <f>+S211</f>
        <v>-884.61999999999534</v>
      </c>
      <c r="T35" s="244"/>
      <c r="U35" s="45" t="str">
        <f>IF($F35&amp;"/Día"=W$9,SUM($G35:$H35),"")</f>
        <v/>
      </c>
      <c r="V35" s="45" t="str">
        <f t="shared" si="12"/>
        <v/>
      </c>
      <c r="W35" s="84" t="str">
        <f>IF($F35&amp;"/Día"=W$9,ROUND(U35/$W$1,1),"")</f>
        <v/>
      </c>
      <c r="X35" s="85" t="str">
        <f>IF(U35=0,0,IF($F35&amp;"/Día"=W$9,ROUND(V35/U35,4),""))</f>
        <v/>
      </c>
      <c r="Y35" s="85" t="str">
        <f>IF(U35=0,0,IF($F35&amp;"/Día"=W$9,ROUND(Z35/U35,4),""))</f>
        <v/>
      </c>
      <c r="Z35" s="45" t="str">
        <f>IF(U35&lt;&gt;"",$P35,"")</f>
        <v/>
      </c>
      <c r="AA35" s="45" t="str">
        <f>IF($F35&amp;"/Día"=AC$9,SUM($G35:$H35),"")</f>
        <v/>
      </c>
      <c r="AB35" s="45" t="str">
        <f t="shared" si="14"/>
        <v/>
      </c>
      <c r="AC35" s="84" t="str">
        <f>IF($F35&amp;"/Día"=AC$9,ROUND(AA35/$W$1,1),"")</f>
        <v/>
      </c>
      <c r="AD35" s="85" t="str">
        <f>IF(AA35=0,0,IF($F35&amp;"/Día"=AC$9,ROUND(AB35/AA35,4),""))</f>
        <v/>
      </c>
      <c r="AE35" s="85" t="str">
        <f>IF(AA35=0,0,IF($F35&amp;"/Día"=AC$9,ROUND(AF35/AA35,4),""))</f>
        <v/>
      </c>
      <c r="AF35" s="45" t="str">
        <f>IF(AA35&lt;&gt;"",$P35,"")</f>
        <v/>
      </c>
      <c r="AG35" s="55"/>
    </row>
    <row r="36" spans="1:33" x14ac:dyDescent="0.25">
      <c r="A36" s="34"/>
      <c r="B36" s="165" t="s">
        <v>108</v>
      </c>
      <c r="C36" s="35" t="str">
        <f>TEXT(A$9,)&amp;" US$"</f>
        <v>Piura / Tumbes US$</v>
      </c>
      <c r="D36" s="43"/>
      <c r="E36" s="44"/>
      <c r="F36" s="270"/>
      <c r="G36" s="239"/>
      <c r="H36" s="239"/>
      <c r="I36" s="240"/>
      <c r="J36" s="240"/>
      <c r="K36" s="239"/>
      <c r="L36" s="239"/>
      <c r="M36" s="239"/>
      <c r="N36" s="239"/>
      <c r="O36" s="250">
        <f>SUM(O10:O35)</f>
        <v>63879785.520000003</v>
      </c>
      <c r="P36" s="250">
        <f>SUM(P10:P35)</f>
        <v>11977459.76</v>
      </c>
      <c r="Q36" s="250">
        <f>SUM(Q10:Q35)</f>
        <v>9023333.3699999973</v>
      </c>
      <c r="R36" s="252"/>
      <c r="S36" s="250">
        <f>SUM(S10:S35)</f>
        <v>2954126.4299999992</v>
      </c>
      <c r="T36" s="252"/>
      <c r="U36" s="86">
        <f>SUM(U10:U35)</f>
        <v>961590</v>
      </c>
      <c r="V36" s="86">
        <f>SUM(V10:V35)</f>
        <v>59884279.480000004</v>
      </c>
      <c r="W36" s="87">
        <f>SUM(W10:W35)</f>
        <v>34342.599999999991</v>
      </c>
      <c r="X36" s="88">
        <f>ROUND(V36/U36,4)</f>
        <v>62.276299999999999</v>
      </c>
      <c r="Y36" s="88">
        <f>ROUND(Z36/U36,4)</f>
        <v>11.6768</v>
      </c>
      <c r="Z36" s="86">
        <f>SUM(Z10:Z35)</f>
        <v>11228302.390000001</v>
      </c>
      <c r="AA36" s="86">
        <f>SUM(AA10:AA35)</f>
        <v>1441097.0967000001</v>
      </c>
      <c r="AB36" s="86">
        <f>SUM(AB10:AB35)</f>
        <v>4019095.92</v>
      </c>
      <c r="AC36" s="87">
        <f>SUM(AC10:AC35)</f>
        <v>51467.799999999996</v>
      </c>
      <c r="AD36" s="88">
        <f>ROUND(AB36/AA36,4)</f>
        <v>2.7888999999999999</v>
      </c>
      <c r="AE36" s="88">
        <f>ROUND(AF36/AA36,4)</f>
        <v>0.52290000000000003</v>
      </c>
      <c r="AF36" s="86">
        <f>SUM(AF10:AF35)</f>
        <v>753580.47</v>
      </c>
      <c r="AG36" s="48">
        <f>P36-Z36-AF36</f>
        <v>-4423.1000000007916</v>
      </c>
    </row>
    <row r="37" spans="1:33" x14ac:dyDescent="0.25">
      <c r="A37" s="136"/>
      <c r="B37" s="137"/>
      <c r="C37" s="35" t="str">
        <f>TEXT(A$9,)&amp;" S/."</f>
        <v>Piura / Tumbes S/.</v>
      </c>
      <c r="D37" s="148"/>
      <c r="E37" s="148"/>
      <c r="F37" s="149"/>
      <c r="G37" s="299"/>
      <c r="H37" s="299"/>
      <c r="I37" s="221"/>
      <c r="J37" s="221"/>
      <c r="K37" s="299"/>
      <c r="L37" s="299"/>
      <c r="M37" s="299"/>
      <c r="N37" s="299"/>
      <c r="O37" s="228"/>
      <c r="P37" s="229">
        <f>ROUND($F$1*P36,2)</f>
        <v>0</v>
      </c>
      <c r="Q37" s="229">
        <f>ROUND($F$1*Q36,2)</f>
        <v>0</v>
      </c>
      <c r="R37" s="151"/>
      <c r="S37" s="231">
        <f>ROUND($F$1*S36,2)</f>
        <v>0</v>
      </c>
      <c r="T37" s="172"/>
      <c r="U37" s="152"/>
      <c r="V37" s="152"/>
      <c r="W37" s="153"/>
      <c r="X37" s="154"/>
      <c r="Y37" s="154"/>
      <c r="Z37" s="152"/>
      <c r="AA37" s="152"/>
      <c r="AB37" s="152"/>
      <c r="AC37" s="153"/>
      <c r="AD37" s="154"/>
      <c r="AE37" s="154"/>
      <c r="AF37" s="152"/>
      <c r="AG37" s="152"/>
    </row>
    <row r="38" spans="1:33" x14ac:dyDescent="0.25">
      <c r="A38" s="313" t="s">
        <v>22</v>
      </c>
      <c r="B38" s="19"/>
      <c r="C38" s="63"/>
      <c r="D38" s="63"/>
      <c r="E38" s="20"/>
      <c r="F38" s="39"/>
      <c r="G38" s="241"/>
      <c r="H38" s="241"/>
      <c r="I38" s="242"/>
      <c r="J38" s="242"/>
      <c r="K38" s="241"/>
      <c r="L38" s="241"/>
      <c r="M38" s="241"/>
      <c r="N38" s="241"/>
      <c r="O38" s="254"/>
      <c r="P38" s="255"/>
      <c r="Q38" s="256" t="s">
        <v>49</v>
      </c>
      <c r="R38" s="234"/>
      <c r="S38" s="316"/>
      <c r="T38" s="317"/>
      <c r="U38" s="54"/>
      <c r="V38" s="54"/>
      <c r="W38" s="89"/>
      <c r="X38" s="90"/>
      <c r="Y38" s="90"/>
      <c r="Z38" s="90"/>
      <c r="AA38" s="54"/>
      <c r="AB38" s="54"/>
      <c r="AC38" s="89"/>
      <c r="AD38" s="90"/>
      <c r="AE38" s="90"/>
      <c r="AF38" s="90"/>
      <c r="AG38" s="51"/>
    </row>
    <row r="39" spans="1:33" x14ac:dyDescent="0.25">
      <c r="A39" s="30" t="s">
        <v>28</v>
      </c>
      <c r="B39" s="27" t="s">
        <v>11</v>
      </c>
      <c r="C39" s="62" t="s">
        <v>31</v>
      </c>
      <c r="D39" s="28" t="s">
        <v>30</v>
      </c>
      <c r="E39" s="62" t="s">
        <v>101</v>
      </c>
      <c r="F39" s="40" t="s">
        <v>37</v>
      </c>
      <c r="G39" s="236">
        <v>454</v>
      </c>
      <c r="H39" s="236"/>
      <c r="I39" s="238">
        <v>64.244500000000002</v>
      </c>
      <c r="J39" s="238"/>
      <c r="K39" s="312"/>
      <c r="L39" s="312"/>
      <c r="M39" s="312"/>
      <c r="N39" s="236">
        <v>1087.7</v>
      </c>
      <c r="O39" s="245">
        <f>ROUND(G39*I39,2)+ROUND(H39*J39,2)-K39-L39-M39-N39</f>
        <v>28079.3</v>
      </c>
      <c r="P39" s="531">
        <f>ROUND(15%*O39,2)</f>
        <v>4211.8999999999996</v>
      </c>
      <c r="Q39" s="243">
        <f>ROUND($O39*R39,2)</f>
        <v>4211.8999999999996</v>
      </c>
      <c r="R39" s="244">
        <v>0.15</v>
      </c>
      <c r="S39" s="248"/>
      <c r="T39" s="247"/>
      <c r="U39" s="45">
        <f>IF($F39&amp;"/Día"=W$9,SUM($G39:$H39),"")</f>
        <v>454</v>
      </c>
      <c r="V39" s="45">
        <f>IF(U39&lt;&gt;"",$O39,"")</f>
        <v>28079.3</v>
      </c>
      <c r="W39" s="84">
        <f t="shared" si="13"/>
        <v>16.2</v>
      </c>
      <c r="X39" s="85">
        <f>IF(U39=0,0,IF($F39&amp;"/Día"=W$9,ROUND(V39/U39,4),""))</f>
        <v>61.848700000000001</v>
      </c>
      <c r="Y39" s="85">
        <f>IF(U39=0,0,IF($F39&amp;"/Día"=W$9,ROUND(Z39/U39,4),""))</f>
        <v>9.2773000000000003</v>
      </c>
      <c r="Z39" s="45">
        <f>IF(U39&lt;&gt;"",$P39,"")</f>
        <v>4211.8999999999996</v>
      </c>
      <c r="AA39" s="45" t="str">
        <f>IF($F39&amp;"/Día"=AC$9,SUM($G39:$H39),"")</f>
        <v/>
      </c>
      <c r="AB39" s="45" t="str">
        <f>IF(AA39&lt;&gt;"",$O39,"")</f>
        <v/>
      </c>
      <c r="AC39" s="84" t="str">
        <f t="shared" si="15"/>
        <v/>
      </c>
      <c r="AD39" s="85" t="str">
        <f>IF(AA39=0,0,IF($F39&amp;"/Día"=AC$9,ROUND(AB39/AA39,4),""))</f>
        <v/>
      </c>
      <c r="AE39" s="85" t="str">
        <f>IF(AA39=0,0,IF($F39&amp;"/Día"=AC$9,ROUND(AF39/AA39,4),""))</f>
        <v/>
      </c>
      <c r="AF39" s="45" t="str">
        <f>IF(AA39&lt;&gt;"",$P39,"")</f>
        <v/>
      </c>
      <c r="AG39" s="55"/>
    </row>
    <row r="40" spans="1:33" x14ac:dyDescent="0.25">
      <c r="A40" s="30" t="s">
        <v>28</v>
      </c>
      <c r="B40" s="315">
        <v>131</v>
      </c>
      <c r="C40" s="62" t="s">
        <v>31</v>
      </c>
      <c r="D40" s="28" t="s">
        <v>30</v>
      </c>
      <c r="E40" s="62" t="s">
        <v>101</v>
      </c>
      <c r="F40" s="40" t="s">
        <v>37</v>
      </c>
      <c r="G40" s="236">
        <v>41216</v>
      </c>
      <c r="H40" s="236">
        <v>37648</v>
      </c>
      <c r="I40" s="238">
        <v>60.841900000000003</v>
      </c>
      <c r="J40" s="238">
        <v>61.491199999999999</v>
      </c>
      <c r="K40" s="312"/>
      <c r="L40" s="312"/>
      <c r="M40" s="312"/>
      <c r="N40" s="236">
        <v>9234.9</v>
      </c>
      <c r="O40" s="245">
        <f>ROUND(G40*I40,2)+ROUND(H40*J40,2)-K40-L40-M40-N40</f>
        <v>4813445.55</v>
      </c>
      <c r="P40" s="531">
        <f>ROUND(15%*O40,2)</f>
        <v>722016.83</v>
      </c>
      <c r="Q40" s="243">
        <f>ROUND($O40*R40,2)</f>
        <v>722016.83</v>
      </c>
      <c r="R40" s="244">
        <v>0.15</v>
      </c>
      <c r="S40" s="248"/>
      <c r="T40" s="247"/>
      <c r="U40" s="45">
        <f>IF($F40&amp;"/Día"=W$9,SUM($G40:$H40),"")</f>
        <v>78864</v>
      </c>
      <c r="V40" s="45">
        <f>IF(U40&lt;&gt;"",$O40,"")</f>
        <v>4813445.55</v>
      </c>
      <c r="W40" s="84">
        <f t="shared" si="13"/>
        <v>2816.6</v>
      </c>
      <c r="X40" s="85">
        <f>IF(U40=0,0,IF($F40&amp;"/Día"=W$9,ROUND(V40/U40,4),""))</f>
        <v>61.034799999999997</v>
      </c>
      <c r="Y40" s="85">
        <f>IF(U40=0,0,IF($F40&amp;"/Día"=W$9,ROUND(Z40/U40,4),""))</f>
        <v>9.1552000000000007</v>
      </c>
      <c r="Z40" s="45">
        <f>IF(U40&lt;&gt;"",$P40,"")</f>
        <v>722016.83</v>
      </c>
      <c r="AA40" s="45" t="str">
        <f>IF($F40&amp;"/Día"=AC$9,SUM($G40:$H40),"")</f>
        <v/>
      </c>
      <c r="AB40" s="45" t="str">
        <f>IF(AA40&lt;&gt;"",$O40,"")</f>
        <v/>
      </c>
      <c r="AC40" s="84" t="str">
        <f t="shared" si="15"/>
        <v/>
      </c>
      <c r="AD40" s="85" t="str">
        <f>IF(AA40=0,0,IF($F40&amp;"/Día"=AC$9,ROUND(AB40/AA40,4),""))</f>
        <v/>
      </c>
      <c r="AE40" s="85" t="str">
        <f>IF(AA40=0,0,IF($F40&amp;"/Día"=AC$9,ROUND(AF40/AA40,4),""))</f>
        <v/>
      </c>
      <c r="AF40" s="45" t="str">
        <f>IF(AA40&lt;&gt;"",$P40,"")</f>
        <v/>
      </c>
      <c r="AG40" s="55"/>
    </row>
    <row r="41" spans="1:33" x14ac:dyDescent="0.25">
      <c r="A41" s="30" t="s">
        <v>28</v>
      </c>
      <c r="B41" s="33" t="s">
        <v>53</v>
      </c>
      <c r="C41" s="61"/>
      <c r="D41" s="61"/>
      <c r="E41" s="8"/>
      <c r="F41" s="235"/>
      <c r="G41" s="312"/>
      <c r="H41" s="312"/>
      <c r="I41" s="237"/>
      <c r="J41" s="237"/>
      <c r="K41" s="312"/>
      <c r="L41" s="312"/>
      <c r="M41" s="312"/>
      <c r="N41" s="312"/>
      <c r="O41" s="312">
        <f>+O214</f>
        <v>0</v>
      </c>
      <c r="P41" s="531">
        <f>+P214</f>
        <v>-166.87</v>
      </c>
      <c r="Q41" s="312">
        <f>+Q214</f>
        <v>-166.87</v>
      </c>
      <c r="R41" s="247"/>
      <c r="S41" s="248"/>
      <c r="T41" s="247"/>
      <c r="U41" s="45" t="str">
        <f>IF($F41&amp;"/Día"=W$9,SUM($G41:$H41),"")</f>
        <v/>
      </c>
      <c r="V41" s="45" t="str">
        <f>IF(U41&lt;&gt;"",$O41,"")</f>
        <v/>
      </c>
      <c r="W41" s="84" t="str">
        <f t="shared" si="13"/>
        <v/>
      </c>
      <c r="X41" s="85" t="str">
        <f>IF(U41=0,0,IF($F41&amp;"/Día"=W$9,ROUND(V41/U41,4),""))</f>
        <v/>
      </c>
      <c r="Y41" s="85" t="str">
        <f>IF(U41=0,0,IF($F41&amp;"/Día"=W$9,ROUND(Z41/U41,4),""))</f>
        <v/>
      </c>
      <c r="Z41" s="45" t="str">
        <f>IF(U41&lt;&gt;"",$P41,"")</f>
        <v/>
      </c>
      <c r="AA41" s="45" t="str">
        <f>IF($F41&amp;"/Día"=AC$9,SUM($G41:$H41),"")</f>
        <v/>
      </c>
      <c r="AB41" s="45" t="str">
        <f>IF(AA41&lt;&gt;"",$O41,"")</f>
        <v/>
      </c>
      <c r="AC41" s="84" t="str">
        <f t="shared" si="15"/>
        <v/>
      </c>
      <c r="AD41" s="85" t="str">
        <f>IF(AA41=0,0,IF($F41&amp;"/Día"=AC$9,ROUND(AB41/AA41,4),""))</f>
        <v/>
      </c>
      <c r="AE41" s="85" t="str">
        <f>IF(AA41=0,0,IF($F41&amp;"/Día"=AC$9,ROUND(AF41/AA41,4),""))</f>
        <v/>
      </c>
      <c r="AF41" s="45" t="str">
        <f>IF(AA41&lt;&gt;"",$P41,"")</f>
        <v/>
      </c>
      <c r="AG41" s="55"/>
    </row>
    <row r="42" spans="1:33" x14ac:dyDescent="0.25">
      <c r="A42" s="34"/>
      <c r="B42" s="165" t="s">
        <v>108</v>
      </c>
      <c r="C42" s="35" t="str">
        <f>TEXT(A$38,)&amp;" US$"</f>
        <v>Provincia Puerto Inca Huanuco US$</v>
      </c>
      <c r="D42" s="43"/>
      <c r="E42" s="44"/>
      <c r="F42" s="43"/>
      <c r="G42" s="239"/>
      <c r="H42" s="239"/>
      <c r="I42" s="240"/>
      <c r="J42" s="240"/>
      <c r="K42" s="239"/>
      <c r="L42" s="239"/>
      <c r="M42" s="239"/>
      <c r="N42" s="239"/>
      <c r="O42" s="250">
        <f>SUM(O39:O41)</f>
        <v>4841524.8499999996</v>
      </c>
      <c r="P42" s="250">
        <f>SUM(P39:P41)</f>
        <v>726061.86</v>
      </c>
      <c r="Q42" s="250">
        <f>SUM(Q39:Q41)</f>
        <v>726061.86</v>
      </c>
      <c r="R42" s="252"/>
      <c r="S42" s="250">
        <f>SUM(S39:S41)</f>
        <v>0</v>
      </c>
      <c r="T42" s="252"/>
      <c r="U42" s="48">
        <f>SUM(U39:U41)</f>
        <v>79318</v>
      </c>
      <c r="V42" s="48">
        <f>SUM(V39:V41)</f>
        <v>4841524.8499999996</v>
      </c>
      <c r="W42" s="91">
        <f>SUM(W39:W41)</f>
        <v>2832.7999999999997</v>
      </c>
      <c r="X42" s="92">
        <f>ROUND(V42/U42,4)</f>
        <v>61.039400000000001</v>
      </c>
      <c r="Y42" s="92">
        <f>ROUND(Z42/U42,4)</f>
        <v>9.1559000000000008</v>
      </c>
      <c r="Z42" s="48">
        <f>SUM(Z39:Z41)</f>
        <v>726228.73</v>
      </c>
      <c r="AA42" s="48">
        <f>SUM(AA39:AA41)</f>
        <v>0</v>
      </c>
      <c r="AB42" s="48">
        <f>SUM(AB39:AB41)</f>
        <v>0</v>
      </c>
      <c r="AC42" s="91">
        <f>SUM(AC39:AC41)</f>
        <v>0</v>
      </c>
      <c r="AD42" s="92">
        <f>IF(AA42=0,0,ROUND(AB42/AA42,4))</f>
        <v>0</v>
      </c>
      <c r="AE42" s="92">
        <f>IF(AA42=0,0,ROUND(AF42/AA42,4))</f>
        <v>0</v>
      </c>
      <c r="AF42" s="48">
        <f>SUM(AF39:AF41)</f>
        <v>0</v>
      </c>
      <c r="AG42" s="86">
        <f>P42-Z42-AF42</f>
        <v>-166.86999999999534</v>
      </c>
    </row>
    <row r="43" spans="1:33" x14ac:dyDescent="0.25">
      <c r="A43" s="136"/>
      <c r="B43" s="137"/>
      <c r="C43" s="35" t="str">
        <f>TEXT(A$38,)&amp;" S/."</f>
        <v>Provincia Puerto Inca Huanuco S/.</v>
      </c>
      <c r="D43" s="148"/>
      <c r="E43" s="148"/>
      <c r="F43" s="149"/>
      <c r="G43" s="299"/>
      <c r="H43" s="299"/>
      <c r="I43" s="221"/>
      <c r="J43" s="221"/>
      <c r="K43" s="299"/>
      <c r="L43" s="299"/>
      <c r="M43" s="299"/>
      <c r="N43" s="299"/>
      <c r="O43" s="228"/>
      <c r="P43" s="229">
        <f>ROUND($F$1*P42,2)</f>
        <v>0</v>
      </c>
      <c r="Q43" s="229">
        <f>ROUND($F$1*Q42,2)</f>
        <v>0</v>
      </c>
      <c r="R43" s="151"/>
      <c r="S43" s="229">
        <f>ROUND($F$1*S42,2)</f>
        <v>0</v>
      </c>
      <c r="T43" s="151"/>
      <c r="U43" s="152"/>
      <c r="V43" s="152"/>
      <c r="W43" s="153"/>
      <c r="X43" s="154"/>
      <c r="Y43" s="154"/>
      <c r="Z43" s="152"/>
      <c r="AA43" s="152"/>
      <c r="AB43" s="152"/>
      <c r="AC43" s="153"/>
      <c r="AD43" s="154"/>
      <c r="AE43" s="154"/>
      <c r="AF43" s="152"/>
      <c r="AG43" s="152"/>
    </row>
    <row r="44" spans="1:33" x14ac:dyDescent="0.25">
      <c r="A44" s="313" t="s">
        <v>24</v>
      </c>
      <c r="B44" s="19"/>
      <c r="C44" s="63"/>
      <c r="D44" s="63"/>
      <c r="E44" s="20"/>
      <c r="F44" s="258"/>
      <c r="G44" s="241"/>
      <c r="H44" s="241"/>
      <c r="I44" s="242"/>
      <c r="J44" s="242"/>
      <c r="K44" s="241"/>
      <c r="L44" s="241"/>
      <c r="M44" s="241"/>
      <c r="N44" s="241"/>
      <c r="O44" s="254"/>
      <c r="P44" s="255"/>
      <c r="Q44" s="256" t="s">
        <v>47</v>
      </c>
      <c r="R44" s="234"/>
      <c r="S44" s="259" t="s">
        <v>48</v>
      </c>
      <c r="T44" s="234"/>
      <c r="U44" s="51"/>
      <c r="V44" s="51"/>
      <c r="W44" s="82"/>
      <c r="X44" s="83"/>
      <c r="Y44" s="83"/>
      <c r="Z44" s="83"/>
      <c r="AA44" s="51"/>
      <c r="AB44" s="51"/>
      <c r="AC44" s="82"/>
      <c r="AD44" s="83"/>
      <c r="AE44" s="83"/>
      <c r="AF44" s="83"/>
      <c r="AG44" s="51"/>
    </row>
    <row r="45" spans="1:33" x14ac:dyDescent="0.25">
      <c r="A45" s="26" t="s">
        <v>28</v>
      </c>
      <c r="B45" s="29" t="s">
        <v>167</v>
      </c>
      <c r="C45" s="62" t="s">
        <v>31</v>
      </c>
      <c r="D45" s="62" t="s">
        <v>21</v>
      </c>
      <c r="E45" s="134" t="s">
        <v>101</v>
      </c>
      <c r="F45" s="261" t="s">
        <v>37</v>
      </c>
      <c r="G45" s="236"/>
      <c r="H45" s="236"/>
      <c r="I45" s="238"/>
      <c r="J45" s="238"/>
      <c r="K45" s="236"/>
      <c r="L45" s="312"/>
      <c r="M45" s="312"/>
      <c r="N45" s="236">
        <v>502.28</v>
      </c>
      <c r="O45" s="245">
        <f t="shared" ref="O45:O51" si="16">ROUND(G45*I45,2)+ROUND(H45*J45,2)-K45-L45-M45-N45</f>
        <v>-502.28</v>
      </c>
      <c r="P45" s="531">
        <f>ROUND(18.75%*O45,2)</f>
        <v>-94.18</v>
      </c>
      <c r="Q45" s="243">
        <f>ROUND($O45*R45,2)</f>
        <v>-75.34</v>
      </c>
      <c r="R45" s="244">
        <v>0.15</v>
      </c>
      <c r="S45" s="243">
        <f t="shared" ref="S45:S51" si="17">ROUND($O45*T45,2)</f>
        <v>-18.84</v>
      </c>
      <c r="T45" s="286">
        <v>3.7499999999999999E-2</v>
      </c>
      <c r="U45" s="45">
        <f t="shared" ref="U45:U55" si="18">IF($F45&amp;"/Día"=W$9,SUM($G45:$H45),"")</f>
        <v>0</v>
      </c>
      <c r="V45" s="45">
        <f t="shared" ref="V45:V55" si="19">IF(U45&lt;&gt;"",$O45,"")</f>
        <v>-502.28</v>
      </c>
      <c r="W45" s="84">
        <f t="shared" ref="W45:W55" si="20">IF($F45&amp;"/Día"=W$9,ROUND(U45/$W$1,1),"")</f>
        <v>0</v>
      </c>
      <c r="X45" s="85">
        <f t="shared" ref="X45:X55" si="21">IF(U45=0,0,IF($F45&amp;"/Día"=W$9,ROUND(V45/U45,4),""))</f>
        <v>0</v>
      </c>
      <c r="Y45" s="85">
        <f t="shared" ref="Y45:Y55" si="22">IF(U45=0,0,IF($F45&amp;"/Día"=W$9,ROUND(Z45/U45,4),""))</f>
        <v>0</v>
      </c>
      <c r="Z45" s="45">
        <f t="shared" ref="Z45:Z55" si="23">IF(U45&lt;&gt;"",$P45,"")</f>
        <v>-94.18</v>
      </c>
      <c r="AA45" s="45" t="str">
        <f t="shared" ref="AA45:AA55" si="24">IF($F45&amp;"/Día"=AC$9,SUM($G45:$H45),"")</f>
        <v/>
      </c>
      <c r="AB45" s="45" t="str">
        <f t="shared" ref="AB45:AB55" si="25">IF(AA45&lt;&gt;"",$O45,"")</f>
        <v/>
      </c>
      <c r="AC45" s="84" t="str">
        <f t="shared" ref="AC45:AC55" si="26">IF($F45&amp;"/Día"=AC$9,ROUND(AA45/$W$1,1),"")</f>
        <v/>
      </c>
      <c r="AD45" s="85" t="str">
        <f t="shared" ref="AD45:AD55" si="27">IF(AA45=0,0,IF($F45&amp;"/Día"=AC$9,ROUND(AB45/AA45,4),""))</f>
        <v/>
      </c>
      <c r="AE45" s="85" t="str">
        <f t="shared" ref="AE45:AE55" si="28">IF(AA45=0,0,IF($F45&amp;"/Día"=AC$9,ROUND(AF45/AA45,4),""))</f>
        <v/>
      </c>
      <c r="AF45" s="45" t="str">
        <f t="shared" ref="AF45:AF55" si="29">IF(AA45&lt;&gt;"",$P45,"")</f>
        <v/>
      </c>
      <c r="AG45" s="55"/>
    </row>
    <row r="46" spans="1:33" x14ac:dyDescent="0.25">
      <c r="A46" s="26" t="s">
        <v>28</v>
      </c>
      <c r="B46" s="272">
        <v>192</v>
      </c>
      <c r="C46" s="62" t="s">
        <v>29</v>
      </c>
      <c r="D46" s="62" t="s">
        <v>21</v>
      </c>
      <c r="E46" s="62" t="s">
        <v>98</v>
      </c>
      <c r="F46" s="261" t="s">
        <v>37</v>
      </c>
      <c r="G46" s="236"/>
      <c r="H46" s="236">
        <v>223464</v>
      </c>
      <c r="I46" s="238"/>
      <c r="J46" s="238">
        <v>48.772199999999998</v>
      </c>
      <c r="K46" s="236"/>
      <c r="L46" s="312"/>
      <c r="M46" s="312"/>
      <c r="N46" s="312">
        <v>10390.98</v>
      </c>
      <c r="O46" s="245">
        <f t="shared" si="16"/>
        <v>10888439.92</v>
      </c>
      <c r="P46" s="531">
        <f t="shared" ref="P46:P51" si="30">ROUND(18.75%*O46,2)</f>
        <v>2041582.49</v>
      </c>
      <c r="Q46" s="243">
        <f>ROUND($O46*R46,2)</f>
        <v>1633265.99</v>
      </c>
      <c r="R46" s="244">
        <v>0.15</v>
      </c>
      <c r="S46" s="243">
        <f>ROUND($O46*T46,2)</f>
        <v>408316.5</v>
      </c>
      <c r="T46" s="286">
        <v>3.7499999999999999E-2</v>
      </c>
      <c r="U46" s="45">
        <f t="shared" si="18"/>
        <v>223464</v>
      </c>
      <c r="V46" s="45">
        <f t="shared" si="19"/>
        <v>10888439.92</v>
      </c>
      <c r="W46" s="84">
        <f t="shared" si="20"/>
        <v>7980.9</v>
      </c>
      <c r="X46" s="85">
        <f t="shared" si="21"/>
        <v>48.725700000000003</v>
      </c>
      <c r="Y46" s="85">
        <f t="shared" si="22"/>
        <v>9.1361000000000008</v>
      </c>
      <c r="Z46" s="45">
        <f t="shared" si="23"/>
        <v>2041582.49</v>
      </c>
      <c r="AA46" s="45" t="str">
        <f t="shared" si="24"/>
        <v/>
      </c>
      <c r="AB46" s="45" t="str">
        <f t="shared" si="25"/>
        <v/>
      </c>
      <c r="AC46" s="84" t="str">
        <f t="shared" si="26"/>
        <v/>
      </c>
      <c r="AD46" s="85" t="str">
        <f t="shared" si="27"/>
        <v/>
      </c>
      <c r="AE46" s="85" t="str">
        <f t="shared" si="28"/>
        <v/>
      </c>
      <c r="AF46" s="45" t="str">
        <f t="shared" si="29"/>
        <v/>
      </c>
      <c r="AG46" s="55"/>
    </row>
    <row r="47" spans="1:33" x14ac:dyDescent="0.25">
      <c r="A47" s="26" t="s">
        <v>28</v>
      </c>
      <c r="B47" s="32">
        <v>8</v>
      </c>
      <c r="C47" s="62" t="s">
        <v>31</v>
      </c>
      <c r="D47" s="62" t="s">
        <v>30</v>
      </c>
      <c r="E47" s="62" t="s">
        <v>101</v>
      </c>
      <c r="F47" s="261" t="s">
        <v>37</v>
      </c>
      <c r="G47" s="312">
        <v>62584</v>
      </c>
      <c r="H47" s="236">
        <v>67041</v>
      </c>
      <c r="I47" s="237">
        <v>48.698599999999999</v>
      </c>
      <c r="J47" s="238">
        <v>48.783900000000003</v>
      </c>
      <c r="K47" s="312"/>
      <c r="L47" s="312"/>
      <c r="M47" s="312"/>
      <c r="N47" s="312">
        <v>12372.89</v>
      </c>
      <c r="O47" s="245">
        <f t="shared" si="16"/>
        <v>6305901.7300000004</v>
      </c>
      <c r="P47" s="531">
        <f t="shared" si="30"/>
        <v>1182356.57</v>
      </c>
      <c r="Q47" s="243">
        <f t="shared" ref="Q47:Q51" si="31">ROUND($O47*R47,2)</f>
        <v>945885.26</v>
      </c>
      <c r="R47" s="244">
        <v>0.15</v>
      </c>
      <c r="S47" s="243">
        <f t="shared" si="17"/>
        <v>236471.31</v>
      </c>
      <c r="T47" s="286">
        <v>3.7499999999999999E-2</v>
      </c>
      <c r="U47" s="45">
        <f t="shared" si="18"/>
        <v>129625</v>
      </c>
      <c r="V47" s="45">
        <f t="shared" si="19"/>
        <v>6305901.7300000004</v>
      </c>
      <c r="W47" s="84">
        <f t="shared" si="20"/>
        <v>4629.5</v>
      </c>
      <c r="X47" s="85">
        <f t="shared" si="21"/>
        <v>48.647300000000001</v>
      </c>
      <c r="Y47" s="85">
        <f t="shared" si="22"/>
        <v>9.1213999999999995</v>
      </c>
      <c r="Z47" s="45">
        <f t="shared" si="23"/>
        <v>1182356.57</v>
      </c>
      <c r="AA47" s="45" t="str">
        <f t="shared" si="24"/>
        <v/>
      </c>
      <c r="AB47" s="45" t="str">
        <f t="shared" si="25"/>
        <v/>
      </c>
      <c r="AC47" s="84" t="str">
        <f t="shared" si="26"/>
        <v/>
      </c>
      <c r="AD47" s="85" t="str">
        <f t="shared" si="27"/>
        <v/>
      </c>
      <c r="AE47" s="85" t="str">
        <f t="shared" si="28"/>
        <v/>
      </c>
      <c r="AF47" s="45" t="str">
        <f t="shared" si="29"/>
        <v/>
      </c>
      <c r="AG47" s="55"/>
    </row>
    <row r="48" spans="1:33" x14ac:dyDescent="0.25">
      <c r="A48" s="26" t="s">
        <v>28</v>
      </c>
      <c r="B48" s="27" t="s">
        <v>10</v>
      </c>
      <c r="C48" s="62" t="s">
        <v>31</v>
      </c>
      <c r="D48" s="62" t="s">
        <v>30</v>
      </c>
      <c r="E48" s="62" t="s">
        <v>101</v>
      </c>
      <c r="F48" s="261" t="s">
        <v>37</v>
      </c>
      <c r="G48" s="236"/>
      <c r="H48" s="236"/>
      <c r="I48" s="238"/>
      <c r="J48" s="238"/>
      <c r="K48" s="312"/>
      <c r="L48" s="312"/>
      <c r="M48" s="312"/>
      <c r="N48" s="236">
        <v>642.46</v>
      </c>
      <c r="O48" s="245">
        <f t="shared" si="16"/>
        <v>-642.46</v>
      </c>
      <c r="P48" s="531">
        <f t="shared" si="30"/>
        <v>-120.46</v>
      </c>
      <c r="Q48" s="243">
        <f>ROUND($O48*R48,2)</f>
        <v>-96.37</v>
      </c>
      <c r="R48" s="244">
        <v>0.15</v>
      </c>
      <c r="S48" s="243">
        <f t="shared" si="17"/>
        <v>-24.09</v>
      </c>
      <c r="T48" s="286">
        <v>3.7499999999999999E-2</v>
      </c>
      <c r="U48" s="45">
        <f t="shared" si="18"/>
        <v>0</v>
      </c>
      <c r="V48" s="45">
        <f t="shared" si="19"/>
        <v>-642.46</v>
      </c>
      <c r="W48" s="84">
        <f t="shared" si="20"/>
        <v>0</v>
      </c>
      <c r="X48" s="85">
        <f t="shared" si="21"/>
        <v>0</v>
      </c>
      <c r="Y48" s="85">
        <f t="shared" si="22"/>
        <v>0</v>
      </c>
      <c r="Z48" s="45">
        <f t="shared" si="23"/>
        <v>-120.46</v>
      </c>
      <c r="AA48" s="45" t="str">
        <f t="shared" si="24"/>
        <v/>
      </c>
      <c r="AB48" s="45" t="str">
        <f t="shared" si="25"/>
        <v/>
      </c>
      <c r="AC48" s="84" t="str">
        <f t="shared" si="26"/>
        <v/>
      </c>
      <c r="AD48" s="85" t="str">
        <f t="shared" si="27"/>
        <v/>
      </c>
      <c r="AE48" s="85" t="str">
        <f t="shared" si="28"/>
        <v/>
      </c>
      <c r="AF48" s="45" t="str">
        <f t="shared" si="29"/>
        <v/>
      </c>
      <c r="AG48" s="55"/>
    </row>
    <row r="49" spans="1:33" x14ac:dyDescent="0.25">
      <c r="A49" s="26" t="s">
        <v>28</v>
      </c>
      <c r="B49" s="27" t="s">
        <v>12</v>
      </c>
      <c r="C49" s="62" t="s">
        <v>31</v>
      </c>
      <c r="D49" s="62" t="s">
        <v>30</v>
      </c>
      <c r="E49" s="62" t="s">
        <v>101</v>
      </c>
      <c r="F49" s="262" t="s">
        <v>56</v>
      </c>
      <c r="G49" s="236">
        <v>385285.91879999998</v>
      </c>
      <c r="H49" s="236">
        <v>173838.07870000001</v>
      </c>
      <c r="I49" s="238">
        <v>3.7414999999999998</v>
      </c>
      <c r="J49" s="238">
        <v>3.7416999999999998</v>
      </c>
      <c r="K49" s="312"/>
      <c r="L49" s="312"/>
      <c r="M49" s="312"/>
      <c r="N49" s="236">
        <v>1157.93</v>
      </c>
      <c r="O49" s="245">
        <f t="shared" si="16"/>
        <v>2090839.28</v>
      </c>
      <c r="P49" s="531">
        <f t="shared" si="30"/>
        <v>392032.37</v>
      </c>
      <c r="Q49" s="243">
        <f t="shared" si="31"/>
        <v>78406.47</v>
      </c>
      <c r="R49" s="286">
        <v>3.7499999999999999E-2</v>
      </c>
      <c r="S49" s="243">
        <f t="shared" si="17"/>
        <v>313625.89</v>
      </c>
      <c r="T49" s="244">
        <v>0.15</v>
      </c>
      <c r="U49" s="45" t="str">
        <f t="shared" si="18"/>
        <v/>
      </c>
      <c r="V49" s="45" t="str">
        <f t="shared" si="19"/>
        <v/>
      </c>
      <c r="W49" s="84" t="str">
        <f t="shared" si="20"/>
        <v/>
      </c>
      <c r="X49" s="85" t="str">
        <f t="shared" si="21"/>
        <v/>
      </c>
      <c r="Y49" s="85" t="str">
        <f t="shared" si="22"/>
        <v/>
      </c>
      <c r="Z49" s="45" t="str">
        <f t="shared" si="23"/>
        <v/>
      </c>
      <c r="AA49" s="45">
        <f t="shared" si="24"/>
        <v>559123.99750000006</v>
      </c>
      <c r="AB49" s="45">
        <f t="shared" si="25"/>
        <v>2090839.28</v>
      </c>
      <c r="AC49" s="84">
        <f t="shared" si="26"/>
        <v>19968.7</v>
      </c>
      <c r="AD49" s="85">
        <f t="shared" si="27"/>
        <v>3.7395</v>
      </c>
      <c r="AE49" s="85">
        <f t="shared" si="28"/>
        <v>0.70120000000000005</v>
      </c>
      <c r="AF49" s="45">
        <f t="shared" si="29"/>
        <v>392032.37</v>
      </c>
      <c r="AG49" s="55"/>
    </row>
    <row r="50" spans="1:33" x14ac:dyDescent="0.25">
      <c r="A50" s="26" t="s">
        <v>28</v>
      </c>
      <c r="B50" s="29" t="s">
        <v>75</v>
      </c>
      <c r="C50" s="62" t="s">
        <v>31</v>
      </c>
      <c r="D50" s="62" t="s">
        <v>30</v>
      </c>
      <c r="E50" s="62" t="s">
        <v>103</v>
      </c>
      <c r="F50" s="261" t="s">
        <v>37</v>
      </c>
      <c r="G50" s="236">
        <v>18828</v>
      </c>
      <c r="H50" s="236">
        <v>17369</v>
      </c>
      <c r="I50" s="238">
        <v>54.4709</v>
      </c>
      <c r="J50" s="238">
        <v>54.353900000000003</v>
      </c>
      <c r="K50" s="312"/>
      <c r="L50" s="312"/>
      <c r="M50" s="312"/>
      <c r="N50" s="312">
        <v>5240.42</v>
      </c>
      <c r="O50" s="245">
        <f t="shared" si="16"/>
        <v>1964410.58</v>
      </c>
      <c r="P50" s="531">
        <f t="shared" si="30"/>
        <v>368326.98</v>
      </c>
      <c r="Q50" s="243">
        <f t="shared" si="31"/>
        <v>73665.399999999994</v>
      </c>
      <c r="R50" s="286">
        <v>3.7499999999999999E-2</v>
      </c>
      <c r="S50" s="243">
        <f t="shared" si="17"/>
        <v>294661.59000000003</v>
      </c>
      <c r="T50" s="244">
        <v>0.15</v>
      </c>
      <c r="U50" s="45">
        <f t="shared" si="18"/>
        <v>36197</v>
      </c>
      <c r="V50" s="45">
        <f t="shared" si="19"/>
        <v>1964410.58</v>
      </c>
      <c r="W50" s="84">
        <f t="shared" si="20"/>
        <v>1292.8</v>
      </c>
      <c r="X50" s="85">
        <f t="shared" si="21"/>
        <v>54.27</v>
      </c>
      <c r="Y50" s="85">
        <f t="shared" si="22"/>
        <v>10.175599999999999</v>
      </c>
      <c r="Z50" s="45">
        <f t="shared" si="23"/>
        <v>368326.98</v>
      </c>
      <c r="AA50" s="45" t="str">
        <f t="shared" si="24"/>
        <v/>
      </c>
      <c r="AB50" s="45" t="str">
        <f t="shared" si="25"/>
        <v/>
      </c>
      <c r="AC50" s="84" t="str">
        <f t="shared" si="26"/>
        <v/>
      </c>
      <c r="AD50" s="85" t="str">
        <f t="shared" si="27"/>
        <v/>
      </c>
      <c r="AE50" s="85" t="str">
        <f t="shared" si="28"/>
        <v/>
      </c>
      <c r="AF50" s="45" t="str">
        <f t="shared" si="29"/>
        <v/>
      </c>
      <c r="AG50" s="55"/>
    </row>
    <row r="51" spans="1:33" x14ac:dyDescent="0.25">
      <c r="A51" s="26" t="s">
        <v>28</v>
      </c>
      <c r="B51" s="29" t="s">
        <v>32</v>
      </c>
      <c r="C51" s="62" t="s">
        <v>31</v>
      </c>
      <c r="D51" s="62" t="s">
        <v>30</v>
      </c>
      <c r="E51" s="62" t="s">
        <v>101</v>
      </c>
      <c r="F51" s="261" t="s">
        <v>37</v>
      </c>
      <c r="G51" s="312"/>
      <c r="H51" s="312"/>
      <c r="I51" s="238"/>
      <c r="J51" s="238"/>
      <c r="K51" s="312"/>
      <c r="L51" s="312"/>
      <c r="M51" s="312"/>
      <c r="N51" s="312"/>
      <c r="O51" s="245">
        <f t="shared" si="16"/>
        <v>0</v>
      </c>
      <c r="P51" s="243">
        <f t="shared" si="30"/>
        <v>0</v>
      </c>
      <c r="Q51" s="243">
        <f t="shared" si="31"/>
        <v>0</v>
      </c>
      <c r="R51" s="286">
        <v>3.7499999999999999E-2</v>
      </c>
      <c r="S51" s="243">
        <f t="shared" si="17"/>
        <v>0</v>
      </c>
      <c r="T51" s="244">
        <v>0.15</v>
      </c>
      <c r="U51" s="45">
        <f t="shared" si="18"/>
        <v>0</v>
      </c>
      <c r="V51" s="45">
        <f t="shared" si="19"/>
        <v>0</v>
      </c>
      <c r="W51" s="84">
        <f t="shared" si="20"/>
        <v>0</v>
      </c>
      <c r="X51" s="85">
        <f t="shared" si="21"/>
        <v>0</v>
      </c>
      <c r="Y51" s="85">
        <f t="shared" si="22"/>
        <v>0</v>
      </c>
      <c r="Z51" s="45">
        <f t="shared" si="23"/>
        <v>0</v>
      </c>
      <c r="AA51" s="45" t="str">
        <f t="shared" si="24"/>
        <v/>
      </c>
      <c r="AB51" s="45" t="str">
        <f t="shared" si="25"/>
        <v/>
      </c>
      <c r="AC51" s="84" t="str">
        <f t="shared" si="26"/>
        <v/>
      </c>
      <c r="AD51" s="85" t="str">
        <f t="shared" si="27"/>
        <v/>
      </c>
      <c r="AE51" s="85" t="str">
        <f t="shared" si="28"/>
        <v/>
      </c>
      <c r="AF51" s="45" t="str">
        <f t="shared" si="29"/>
        <v/>
      </c>
      <c r="AG51" s="55"/>
    </row>
    <row r="52" spans="1:33" x14ac:dyDescent="0.25">
      <c r="A52" s="26" t="s">
        <v>28</v>
      </c>
      <c r="B52" s="32">
        <v>102</v>
      </c>
      <c r="C52" s="62" t="s">
        <v>31</v>
      </c>
      <c r="D52" s="62" t="s">
        <v>30</v>
      </c>
      <c r="E52" s="62" t="s">
        <v>101</v>
      </c>
      <c r="F52" s="261" t="s">
        <v>37</v>
      </c>
      <c r="G52" s="236"/>
      <c r="H52" s="236"/>
      <c r="I52" s="238"/>
      <c r="J52" s="238"/>
      <c r="K52" s="236"/>
      <c r="L52" s="312"/>
      <c r="M52" s="312"/>
      <c r="N52" s="236"/>
      <c r="O52" s="245">
        <f>ROUND(G52*I52,2)+ROUND(H52*J52,2)-K52-L52-M52-N52</f>
        <v>0</v>
      </c>
      <c r="P52" s="243">
        <f>ROUND(18.75%*O52,2)</f>
        <v>0</v>
      </c>
      <c r="Q52" s="243">
        <f>P52-S52</f>
        <v>0</v>
      </c>
      <c r="R52" s="244">
        <v>0.15</v>
      </c>
      <c r="S52" s="243">
        <f>ROUND($O52*T52,2)</f>
        <v>0</v>
      </c>
      <c r="T52" s="286">
        <v>3.7499999999999999E-2</v>
      </c>
      <c r="U52" s="45">
        <f>IF($F52&amp;"/Día"=W$9,SUM($G52:$H52),"")</f>
        <v>0</v>
      </c>
      <c r="V52" s="45">
        <f>IF(U52&lt;&gt;"",$O52,"")</f>
        <v>0</v>
      </c>
      <c r="W52" s="84">
        <f>IF($F52&amp;"/Día"=W$9,ROUND(U52/$W$1,1),"")</f>
        <v>0</v>
      </c>
      <c r="X52" s="85">
        <f>IF(U52=0,0,IF($F52&amp;"/Día"=W$9,ROUND(V52/U52,4),""))</f>
        <v>0</v>
      </c>
      <c r="Y52" s="85">
        <f>IF(U52=0,0,IF($F52&amp;"/Día"=W$9,ROUND(Z52/U52,4),""))</f>
        <v>0</v>
      </c>
      <c r="Z52" s="45">
        <f>IF(U52&lt;&gt;"",$P52,"")</f>
        <v>0</v>
      </c>
      <c r="AA52" s="45" t="str">
        <f>IF($F52&amp;"/Día"=AC$9,SUM($G52:$H52),"")</f>
        <v/>
      </c>
      <c r="AB52" s="45" t="str">
        <f>IF(AA52&lt;&gt;"",$O52,"")</f>
        <v/>
      </c>
      <c r="AC52" s="84" t="str">
        <f>IF($F52&amp;"/Día"=AC$9,ROUND(AA52/$W$1,1),"")</f>
        <v/>
      </c>
      <c r="AD52" s="85" t="str">
        <f>IF(AA52=0,0,IF($F52&amp;"/Día"=AC$9,ROUND(AB52/AA52,4),""))</f>
        <v/>
      </c>
      <c r="AE52" s="85" t="str">
        <f>IF(AA52=0,0,IF($F52&amp;"/Día"=AC$9,ROUND(AF52/AA52,4),""))</f>
        <v/>
      </c>
      <c r="AF52" s="45" t="str">
        <f>IF(AA52&lt;&gt;"",$P52,"")</f>
        <v/>
      </c>
      <c r="AG52" s="55"/>
    </row>
    <row r="53" spans="1:33" x14ac:dyDescent="0.25">
      <c r="A53" s="26" t="s">
        <v>28</v>
      </c>
      <c r="B53" s="32">
        <v>95</v>
      </c>
      <c r="C53" s="62" t="s">
        <v>31</v>
      </c>
      <c r="D53" s="62" t="s">
        <v>30</v>
      </c>
      <c r="E53" s="62" t="s">
        <v>101</v>
      </c>
      <c r="F53" s="261" t="s">
        <v>37</v>
      </c>
      <c r="G53" s="236"/>
      <c r="H53" s="236"/>
      <c r="I53" s="238"/>
      <c r="J53" s="238"/>
      <c r="K53" s="236"/>
      <c r="L53" s="312"/>
      <c r="M53" s="312"/>
      <c r="N53" s="236"/>
      <c r="O53" s="245">
        <f>ROUND(G53*I53,2)+ROUND(H53*J53,2)-K53-L53-M53-N53</f>
        <v>0</v>
      </c>
      <c r="P53" s="243">
        <f>ROUND(18.75%*O53,2)</f>
        <v>0</v>
      </c>
      <c r="Q53" s="243">
        <f>P53-S53</f>
        <v>0</v>
      </c>
      <c r="R53" s="244">
        <v>0.15</v>
      </c>
      <c r="S53" s="243">
        <f>ROUND($O53*T53,2)</f>
        <v>0</v>
      </c>
      <c r="T53" s="286">
        <v>3.7499999999999999E-2</v>
      </c>
      <c r="U53" s="45">
        <f>IF($F53&amp;"/Día"=W$9,SUM($G53:$H53),"")</f>
        <v>0</v>
      </c>
      <c r="V53" s="45">
        <f>IF(U53&lt;&gt;"",$O53,"")</f>
        <v>0</v>
      </c>
      <c r="W53" s="84">
        <f>IF($F53&amp;"/Día"=W$9,ROUND(U53/$W$1,1),"")</f>
        <v>0</v>
      </c>
      <c r="X53" s="85">
        <f>IF(U53=0,0,IF($F53&amp;"/Día"=W$9,ROUND(V53/U53,4),""))</f>
        <v>0</v>
      </c>
      <c r="Y53" s="85">
        <f>IF(U53=0,0,IF($F53&amp;"/Día"=W$9,ROUND(Z53/U53,4),""))</f>
        <v>0</v>
      </c>
      <c r="Z53" s="45">
        <f>IF(U53&lt;&gt;"",$P53,"")</f>
        <v>0</v>
      </c>
      <c r="AA53" s="45" t="str">
        <f>IF($F53&amp;"/Día"=AC$9,SUM($G53:$H53),"")</f>
        <v/>
      </c>
      <c r="AB53" s="45" t="str">
        <f>IF(AA53&lt;&gt;"",$O53,"")</f>
        <v/>
      </c>
      <c r="AC53" s="84" t="str">
        <f>IF($F53&amp;"/Día"=AC$9,ROUND(AA53/$W$1,1),"")</f>
        <v/>
      </c>
      <c r="AD53" s="85" t="str">
        <f>IF(AA53=0,0,IF($F53&amp;"/Día"=AC$9,ROUND(AB53/AA53,4),""))</f>
        <v/>
      </c>
      <c r="AE53" s="85" t="str">
        <f>IF(AA53=0,0,IF($F53&amp;"/Día"=AC$9,ROUND(AF53/AA53,4),""))</f>
        <v/>
      </c>
      <c r="AF53" s="45" t="str">
        <f>IF(AA53&lt;&gt;"",$P53,"")</f>
        <v/>
      </c>
      <c r="AG53" s="55"/>
    </row>
    <row r="54" spans="1:33" x14ac:dyDescent="0.25">
      <c r="A54" s="26" t="s">
        <v>28</v>
      </c>
      <c r="B54" s="302">
        <v>67</v>
      </c>
      <c r="C54" s="62" t="s">
        <v>31</v>
      </c>
      <c r="D54" s="62" t="s">
        <v>30</v>
      </c>
      <c r="E54" s="62" t="s">
        <v>101</v>
      </c>
      <c r="F54" s="261" t="s">
        <v>37</v>
      </c>
      <c r="G54" s="236"/>
      <c r="H54" s="236"/>
      <c r="I54" s="238"/>
      <c r="J54" s="238"/>
      <c r="K54" s="236"/>
      <c r="L54" s="312"/>
      <c r="M54" s="312"/>
      <c r="N54" s="236"/>
      <c r="O54" s="245">
        <f>ROUND(G54*I54,2)+ROUND(H54*J54,2)-K54-L54-M54-N54</f>
        <v>0</v>
      </c>
      <c r="P54" s="243">
        <f>ROUND(18.75%*O54,2)</f>
        <v>0</v>
      </c>
      <c r="Q54" s="243">
        <f>P54-S54</f>
        <v>0</v>
      </c>
      <c r="R54" s="244">
        <v>0.15</v>
      </c>
      <c r="S54" s="243">
        <f>ROUND($O54*T54,2)</f>
        <v>0</v>
      </c>
      <c r="T54" s="286">
        <v>3.7499999999999999E-2</v>
      </c>
      <c r="U54" s="45">
        <f>IF($F54&amp;"/Día"=W$9,SUM($G54:$H54),"")</f>
        <v>0</v>
      </c>
      <c r="V54" s="45">
        <f>IF(U54&lt;&gt;"",$O54,"")</f>
        <v>0</v>
      </c>
      <c r="W54" s="84">
        <f>IF($F54&amp;"/Día"=W$9,ROUND(U54/$W$1,1),"")</f>
        <v>0</v>
      </c>
      <c r="X54" s="85">
        <f>IF(U54=0,0,IF($F54&amp;"/Día"=W$9,ROUND(V54/U54,4),""))</f>
        <v>0</v>
      </c>
      <c r="Y54" s="85">
        <f>IF(U54=0,0,IF($F54&amp;"/Día"=W$9,ROUND(Z54/U54,4),""))</f>
        <v>0</v>
      </c>
      <c r="Z54" s="45">
        <f>IF(U54&lt;&gt;"",$P54,"")</f>
        <v>0</v>
      </c>
      <c r="AA54" s="45" t="str">
        <f>IF($F54&amp;"/Día"=AC$9,SUM($G54:$H54),"")</f>
        <v/>
      </c>
      <c r="AB54" s="45" t="str">
        <f>IF(AA54&lt;&gt;"",$O54,"")</f>
        <v/>
      </c>
      <c r="AC54" s="84" t="str">
        <f>IF($F54&amp;"/Día"=AC$9,ROUND(AA54/$W$1,1),"")</f>
        <v/>
      </c>
      <c r="AD54" s="85" t="str">
        <f>IF(AA54=0,0,IF($F54&amp;"/Día"=AC$9,ROUND(AB54/AA54,4),""))</f>
        <v/>
      </c>
      <c r="AE54" s="85" t="str">
        <f>IF(AA54=0,0,IF($F54&amp;"/Día"=AC$9,ROUND(AF54/AA54,4),""))</f>
        <v/>
      </c>
      <c r="AF54" s="45" t="str">
        <f>IF(AA54&lt;&gt;"",$P54,"")</f>
        <v/>
      </c>
      <c r="AG54" s="55"/>
    </row>
    <row r="55" spans="1:33" x14ac:dyDescent="0.25">
      <c r="A55" s="21" t="s">
        <v>28</v>
      </c>
      <c r="B55" s="33" t="s">
        <v>54</v>
      </c>
      <c r="C55" s="61"/>
      <c r="D55" s="31"/>
      <c r="E55" s="31"/>
      <c r="F55" s="263"/>
      <c r="G55" s="312"/>
      <c r="H55" s="312"/>
      <c r="I55" s="237"/>
      <c r="J55" s="237"/>
      <c r="K55" s="312"/>
      <c r="L55" s="312"/>
      <c r="M55" s="312"/>
      <c r="N55" s="312"/>
      <c r="O55" s="312">
        <f>+O220</f>
        <v>-1476468.5499999998</v>
      </c>
      <c r="P55" s="312">
        <f>+P220</f>
        <v>-277057.39</v>
      </c>
      <c r="Q55" s="312">
        <f>+Q220</f>
        <v>-221645.92</v>
      </c>
      <c r="R55" s="244"/>
      <c r="S55" s="312">
        <f>+S220</f>
        <v>-55411.459999999992</v>
      </c>
      <c r="T55" s="244"/>
      <c r="U55" s="45" t="str">
        <f t="shared" si="18"/>
        <v/>
      </c>
      <c r="V55" s="45" t="str">
        <f t="shared" si="19"/>
        <v/>
      </c>
      <c r="W55" s="84" t="str">
        <f t="shared" si="20"/>
        <v/>
      </c>
      <c r="X55" s="85" t="str">
        <f t="shared" si="21"/>
        <v/>
      </c>
      <c r="Y55" s="85" t="str">
        <f t="shared" si="22"/>
        <v/>
      </c>
      <c r="Z55" s="45" t="str">
        <f t="shared" si="23"/>
        <v/>
      </c>
      <c r="AA55" s="45" t="str">
        <f t="shared" si="24"/>
        <v/>
      </c>
      <c r="AB55" s="45" t="str">
        <f t="shared" si="25"/>
        <v/>
      </c>
      <c r="AC55" s="84" t="str">
        <f t="shared" si="26"/>
        <v/>
      </c>
      <c r="AD55" s="85" t="str">
        <f t="shared" si="27"/>
        <v/>
      </c>
      <c r="AE55" s="85" t="str">
        <f t="shared" si="28"/>
        <v/>
      </c>
      <c r="AF55" s="45" t="str">
        <f t="shared" si="29"/>
        <v/>
      </c>
      <c r="AG55" s="55"/>
    </row>
    <row r="56" spans="1:33" x14ac:dyDescent="0.25">
      <c r="A56" s="34"/>
      <c r="B56" s="165" t="s">
        <v>108</v>
      </c>
      <c r="C56" s="35" t="str">
        <f>TEXT(A$44,)&amp;" US$"</f>
        <v>Loreto / Ucayali US$</v>
      </c>
      <c r="D56" s="22"/>
      <c r="E56" s="22"/>
      <c r="F56" s="279"/>
      <c r="G56" s="277"/>
      <c r="H56" s="277"/>
      <c r="I56" s="278"/>
      <c r="J56" s="265"/>
      <c r="K56" s="264"/>
      <c r="L56" s="264"/>
      <c r="M56" s="264"/>
      <c r="N56" s="249"/>
      <c r="O56" s="249">
        <f>SUM(O45:O55)</f>
        <v>19771978.220000003</v>
      </c>
      <c r="P56" s="250">
        <f>SUM(P45:P55)</f>
        <v>3707026.38</v>
      </c>
      <c r="Q56" s="250">
        <f>SUM(Q45:Q55)</f>
        <v>2509405.4900000002</v>
      </c>
      <c r="R56" s="266"/>
      <c r="S56" s="250">
        <f t="shared" ref="S56" si="32">SUM(S45:S55)</f>
        <v>1197620.9000000001</v>
      </c>
      <c r="T56" s="252"/>
      <c r="U56" s="86">
        <f>SUM(U45:U55)</f>
        <v>389286</v>
      </c>
      <c r="V56" s="86">
        <f>SUM(V45:V55)</f>
        <v>19157607.490000002</v>
      </c>
      <c r="W56" s="87">
        <f>SUM(W45:W55)</f>
        <v>13903.199999999999</v>
      </c>
      <c r="X56" s="88">
        <f>ROUND(V56/U56,4)</f>
        <v>49.212200000000003</v>
      </c>
      <c r="Y56" s="88">
        <f>ROUND(Z56/U56,4)</f>
        <v>9.2272999999999996</v>
      </c>
      <c r="Z56" s="86">
        <f>SUM(Z45:Z55)</f>
        <v>3592051.4</v>
      </c>
      <c r="AA56" s="86">
        <f>SUM(AA45:AA55)</f>
        <v>559123.99750000006</v>
      </c>
      <c r="AB56" s="86">
        <f>SUM(AB45:AB55)</f>
        <v>2090839.28</v>
      </c>
      <c r="AC56" s="87">
        <f>SUM(AC45:AC55)</f>
        <v>19968.7</v>
      </c>
      <c r="AD56" s="88">
        <f>ROUND(AB56/AA56,4)</f>
        <v>3.7395</v>
      </c>
      <c r="AE56" s="88">
        <f>ROUND(AF56/AA56,4)</f>
        <v>0.70120000000000005</v>
      </c>
      <c r="AF56" s="86">
        <f>SUM(AF45:AF55)</f>
        <v>392032.37</v>
      </c>
      <c r="AG56" s="86">
        <f>P56-Z56-AF56</f>
        <v>-277057.39</v>
      </c>
    </row>
    <row r="57" spans="1:33" x14ac:dyDescent="0.25">
      <c r="A57" s="157"/>
      <c r="B57" s="158"/>
      <c r="C57" s="35" t="str">
        <f>TEXT(A$44,)&amp;" S/."</f>
        <v>Loreto / Ucayali S/.</v>
      </c>
      <c r="D57" s="114"/>
      <c r="E57" s="114"/>
      <c r="F57" s="157"/>
      <c r="G57" s="227"/>
      <c r="H57" s="227"/>
      <c r="I57" s="224"/>
      <c r="J57" s="224"/>
      <c r="K57" s="227"/>
      <c r="L57" s="227"/>
      <c r="M57" s="227"/>
      <c r="N57" s="227"/>
      <c r="O57" s="230"/>
      <c r="P57" s="231">
        <f>ROUND($F$1*P56,2)</f>
        <v>0</v>
      </c>
      <c r="Q57" s="231">
        <f>ROUND($F$1*Q56,2)</f>
        <v>0</v>
      </c>
      <c r="R57" s="172"/>
      <c r="S57" s="231">
        <f>ROUND($F$1*S56,2)</f>
        <v>0</v>
      </c>
      <c r="T57" s="160"/>
      <c r="U57" s="161"/>
      <c r="V57" s="161"/>
      <c r="W57" s="162"/>
      <c r="X57" s="163"/>
      <c r="Y57" s="163"/>
      <c r="Z57" s="161"/>
      <c r="AA57" s="161"/>
      <c r="AB57" s="161"/>
      <c r="AC57" s="162"/>
      <c r="AD57" s="163"/>
      <c r="AE57" s="163"/>
      <c r="AF57" s="161"/>
      <c r="AG57" s="161"/>
    </row>
    <row r="58" spans="1:33" x14ac:dyDescent="0.25">
      <c r="A58" s="313" t="s">
        <v>164</v>
      </c>
      <c r="B58" s="19"/>
      <c r="C58" s="19"/>
      <c r="D58" s="19"/>
      <c r="E58" s="24"/>
      <c r="F58" s="313"/>
      <c r="G58" s="225"/>
      <c r="H58" s="226"/>
      <c r="I58" s="222"/>
      <c r="J58" s="223"/>
      <c r="K58" s="225"/>
      <c r="L58" s="225"/>
      <c r="M58" s="225"/>
      <c r="N58" s="225"/>
      <c r="O58" s="225"/>
      <c r="P58" s="233" t="s">
        <v>166</v>
      </c>
      <c r="Q58" s="233" t="s">
        <v>164</v>
      </c>
      <c r="R58" s="182"/>
      <c r="S58" s="232"/>
      <c r="T58" s="193"/>
      <c r="U58" s="161"/>
      <c r="V58" s="161"/>
      <c r="W58" s="162"/>
      <c r="X58" s="163"/>
      <c r="Y58" s="163"/>
      <c r="Z58" s="161"/>
      <c r="AA58" s="161"/>
      <c r="AB58" s="161"/>
      <c r="AC58" s="162"/>
      <c r="AD58" s="163"/>
      <c r="AE58" s="163"/>
      <c r="AF58" s="161"/>
      <c r="AG58" s="161"/>
    </row>
    <row r="59" spans="1:33" x14ac:dyDescent="0.25">
      <c r="A59" s="26" t="s">
        <v>28</v>
      </c>
      <c r="B59" s="27" t="s">
        <v>163</v>
      </c>
      <c r="C59" s="62" t="s">
        <v>31</v>
      </c>
      <c r="D59" s="62" t="s">
        <v>30</v>
      </c>
      <c r="E59" s="62" t="s">
        <v>161</v>
      </c>
      <c r="F59" s="261" t="s">
        <v>37</v>
      </c>
      <c r="G59" s="312">
        <v>154527</v>
      </c>
      <c r="H59" s="312">
        <v>648045</v>
      </c>
      <c r="I59" s="237">
        <v>39.405299999999997</v>
      </c>
      <c r="J59" s="237">
        <v>40.888100000000001</v>
      </c>
      <c r="K59" s="312"/>
      <c r="L59" s="312"/>
      <c r="M59" s="312"/>
      <c r="N59" s="312"/>
      <c r="O59" s="245">
        <f>G59*I59+H59*J59</f>
        <v>32586511.557599999</v>
      </c>
      <c r="P59" s="243">
        <f>ROUND(37.24%*(G59*I59+H59*J59),2)</f>
        <v>12135216.9</v>
      </c>
      <c r="Q59" s="243">
        <f>ROUND(R59*P59,2)</f>
        <v>6067608.4500000002</v>
      </c>
      <c r="R59" s="244">
        <v>0.5</v>
      </c>
      <c r="S59" s="243"/>
      <c r="T59" s="286"/>
      <c r="U59" s="45">
        <f t="shared" ref="U59:U68" si="33">IF($F59&amp;"/Día"=W$9,SUM($G59:$H59),"")</f>
        <v>802572</v>
      </c>
      <c r="V59" s="45">
        <f t="shared" ref="V59:V68" si="34">IF(U59&lt;&gt;"",$O59,"")</f>
        <v>32586511.557599999</v>
      </c>
      <c r="W59" s="84">
        <f t="shared" ref="W59:W68" si="35">IF($F59&amp;"/Día"=W$9,ROUND(U59/$W$1,1),"")</f>
        <v>28663.3</v>
      </c>
      <c r="X59" s="85">
        <f t="shared" ref="X59:X68" si="36">IF(U59=0,0,IF($F59&amp;"/Día"=W$9,ROUND(V59/U59,4),""))</f>
        <v>40.602600000000002</v>
      </c>
      <c r="Y59" s="85">
        <f t="shared" ref="Y59:Y68" si="37">IF(U59=0,0,IF($F59&amp;"/Día"=W$9,ROUND(Z59/U59,4),""))</f>
        <v>7.5602</v>
      </c>
      <c r="Z59" s="45">
        <f t="shared" ref="Z59:Z68" si="38">IF(U59&lt;&gt;"",$Q59,"")</f>
        <v>6067608.4500000002</v>
      </c>
      <c r="AA59" s="45" t="str">
        <f t="shared" ref="AA59:AA68" si="39">IF($F59&amp;"/Día"=AC$9,SUM($G59:$H59),"")</f>
        <v/>
      </c>
      <c r="AB59" s="45" t="str">
        <f t="shared" ref="AB59:AB68" si="40">IF(AA59&lt;&gt;"",$O59,"")</f>
        <v/>
      </c>
      <c r="AC59" s="84" t="str">
        <f t="shared" ref="AC59:AC68" si="41">IF($F59&amp;"/Día"=AC$9,ROUND(AA59/$W$1,1),"")</f>
        <v/>
      </c>
      <c r="AD59" s="85" t="str">
        <f t="shared" ref="AD59:AD68" si="42">IF(AA59=0,0,IF($F59&amp;"/Día"=AC$9,ROUND(AB59/AA59,4),""))</f>
        <v/>
      </c>
      <c r="AE59" s="85" t="str">
        <f t="shared" ref="AE59:AE68" si="43">IF(AA59=0,0,IF($F59&amp;"/Día"=AC$9,ROUND(AF59/AA59,4),""))</f>
        <v/>
      </c>
      <c r="AF59" s="45" t="str">
        <f t="shared" ref="AF59:AF68" si="44">IF(AA59&lt;&gt;"",$Q59,"")</f>
        <v/>
      </c>
      <c r="AG59" s="161"/>
    </row>
    <row r="60" spans="1:33" x14ac:dyDescent="0.25">
      <c r="A60" s="26" t="s">
        <v>28</v>
      </c>
      <c r="B60" s="27" t="s">
        <v>162</v>
      </c>
      <c r="C60" s="62" t="s">
        <v>31</v>
      </c>
      <c r="D60" s="62" t="s">
        <v>30</v>
      </c>
      <c r="E60" s="62" t="s">
        <v>161</v>
      </c>
      <c r="F60" s="262" t="s">
        <v>56</v>
      </c>
      <c r="G60" s="312">
        <v>6714461.5531000001</v>
      </c>
      <c r="H60" s="312">
        <v>6354405.0686999997</v>
      </c>
      <c r="I60" s="237">
        <v>2.1093999999999999</v>
      </c>
      <c r="J60" s="237">
        <v>2.1093999999999999</v>
      </c>
      <c r="K60" s="312"/>
      <c r="L60" s="312"/>
      <c r="M60" s="312"/>
      <c r="N60" s="312"/>
      <c r="O60" s="245">
        <f>G60*I60+H60*J60</f>
        <v>27567467.252024919</v>
      </c>
      <c r="P60" s="243">
        <f>ROUND(37.24%*(G60*I60+H60*J60),2)</f>
        <v>10266124.800000001</v>
      </c>
      <c r="Q60" s="243">
        <f>ROUND(R60*P60,2)</f>
        <v>5133062.4000000004</v>
      </c>
      <c r="R60" s="244">
        <v>0.5</v>
      </c>
      <c r="S60" s="243"/>
      <c r="T60" s="244"/>
      <c r="U60" s="45" t="str">
        <f t="shared" si="33"/>
        <v/>
      </c>
      <c r="V60" s="45" t="str">
        <f t="shared" si="34"/>
        <v/>
      </c>
      <c r="W60" s="84" t="str">
        <f t="shared" si="35"/>
        <v/>
      </c>
      <c r="X60" s="85" t="str">
        <f t="shared" si="36"/>
        <v/>
      </c>
      <c r="Y60" s="85" t="str">
        <f t="shared" si="37"/>
        <v/>
      </c>
      <c r="Z60" s="45" t="str">
        <f t="shared" si="38"/>
        <v/>
      </c>
      <c r="AA60" s="45">
        <f t="shared" si="39"/>
        <v>13068866.6218</v>
      </c>
      <c r="AB60" s="45">
        <f t="shared" si="40"/>
        <v>27567467.252024919</v>
      </c>
      <c r="AC60" s="84">
        <f t="shared" si="41"/>
        <v>466745.2</v>
      </c>
      <c r="AD60" s="85">
        <f t="shared" si="42"/>
        <v>2.1093999999999999</v>
      </c>
      <c r="AE60" s="85">
        <f t="shared" si="43"/>
        <v>0.39279999999999998</v>
      </c>
      <c r="AF60" s="45">
        <f t="shared" si="44"/>
        <v>5133062.4000000004</v>
      </c>
      <c r="AG60" s="161"/>
    </row>
    <row r="61" spans="1:33" x14ac:dyDescent="0.25">
      <c r="A61" s="26" t="s">
        <v>28</v>
      </c>
      <c r="B61" s="27" t="s">
        <v>181</v>
      </c>
      <c r="C61" s="62" t="s">
        <v>31</v>
      </c>
      <c r="D61" s="62" t="s">
        <v>30</v>
      </c>
      <c r="E61" s="62" t="s">
        <v>161</v>
      </c>
      <c r="F61" s="262" t="s">
        <v>56</v>
      </c>
      <c r="G61" s="312">
        <v>5329.8662000000004</v>
      </c>
      <c r="H61" s="312">
        <v>20568.6021</v>
      </c>
      <c r="I61" s="237">
        <v>2.8782999999999999</v>
      </c>
      <c r="J61" s="237">
        <v>2.8782999999999999</v>
      </c>
      <c r="K61" s="312"/>
      <c r="L61" s="312"/>
      <c r="M61" s="312"/>
      <c r="N61" s="312"/>
      <c r="O61" s="245">
        <f t="shared" ref="O61:O67" si="45">G61*I61+H61*J61</f>
        <v>74543.561307889991</v>
      </c>
      <c r="P61" s="243">
        <f>ROUND(37.24%*O61,2)</f>
        <v>27760.02</v>
      </c>
      <c r="Q61" s="243">
        <f>ROUND(R61*P61,2)</f>
        <v>13880.01</v>
      </c>
      <c r="R61" s="244">
        <v>0.5</v>
      </c>
      <c r="S61" s="243"/>
      <c r="T61" s="244"/>
      <c r="U61" s="45" t="str">
        <f>IF($F61&amp;"/Día"=W$9,SUM($G61:$H61),"")</f>
        <v/>
      </c>
      <c r="V61" s="45" t="str">
        <f>IF(U61&lt;&gt;"",$O61,"")</f>
        <v/>
      </c>
      <c r="W61" s="84" t="str">
        <f>IF($F61&amp;"/Día"=W$9,ROUND(U61/$W$1,1),"")</f>
        <v/>
      </c>
      <c r="X61" s="85" t="str">
        <f>IF(U61=0,0,IF($F61&amp;"/Día"=W$9,ROUND(V61/U61,4),""))</f>
        <v/>
      </c>
      <c r="Y61" s="85" t="str">
        <f>IF(U61=0,0,IF($F61&amp;"/Día"=W$9,ROUND(Z61/U61,4),""))</f>
        <v/>
      </c>
      <c r="Z61" s="45" t="str">
        <f>IF(U61&lt;&gt;"",$Q61,"")</f>
        <v/>
      </c>
      <c r="AA61" s="45">
        <f t="shared" si="39"/>
        <v>25898.4683</v>
      </c>
      <c r="AB61" s="45">
        <f>IF(AA61&lt;&gt;"",$O61,"")</f>
        <v>74543.561307889991</v>
      </c>
      <c r="AC61" s="84">
        <f t="shared" si="41"/>
        <v>924.9</v>
      </c>
      <c r="AD61" s="85">
        <f>IF(AA61=0,0,IF($F61&amp;"/Día"=AC$9,ROUND(AB61/AA61,4),""))</f>
        <v>2.8782999999999999</v>
      </c>
      <c r="AE61" s="85">
        <f t="shared" si="43"/>
        <v>0.53590000000000004</v>
      </c>
      <c r="AF61" s="45">
        <f t="shared" si="44"/>
        <v>13880.01</v>
      </c>
      <c r="AG61" s="161"/>
    </row>
    <row r="62" spans="1:33" ht="12" customHeight="1" x14ac:dyDescent="0.25">
      <c r="A62" s="26" t="s">
        <v>28</v>
      </c>
      <c r="B62" s="27" t="s">
        <v>182</v>
      </c>
      <c r="C62" s="62" t="s">
        <v>31</v>
      </c>
      <c r="D62" s="62" t="s">
        <v>30</v>
      </c>
      <c r="E62" s="62" t="s">
        <v>161</v>
      </c>
      <c r="F62" s="262" t="s">
        <v>56</v>
      </c>
      <c r="G62" s="312">
        <v>361206.09899999999</v>
      </c>
      <c r="H62" s="312">
        <v>865614.38</v>
      </c>
      <c r="I62" s="237">
        <v>1.7470000000000001</v>
      </c>
      <c r="J62" s="237">
        <v>2.472</v>
      </c>
      <c r="K62" s="312"/>
      <c r="L62" s="312"/>
      <c r="M62" s="312"/>
      <c r="N62" s="312"/>
      <c r="O62" s="245">
        <f t="shared" si="45"/>
        <v>2770825.802313</v>
      </c>
      <c r="P62" s="243">
        <f>ROUND(38%*G62*I62,2)+ROUND(38%*H62*J62,2)</f>
        <v>1052913.8</v>
      </c>
      <c r="Q62" s="243">
        <f>ROUND(R62*P62,2)</f>
        <v>526456.9</v>
      </c>
      <c r="R62" s="314">
        <v>0.5</v>
      </c>
      <c r="S62" s="243"/>
      <c r="T62" s="244"/>
      <c r="U62" s="45" t="str">
        <f>IF($F62&amp;"/Día"=W$9,SUM($G62:$H62),"")</f>
        <v/>
      </c>
      <c r="V62" s="45" t="str">
        <f>IF(U62&lt;&gt;"",$O62,"")</f>
        <v/>
      </c>
      <c r="W62" s="84" t="str">
        <f>IF($F62&amp;"/Día"=W$9,ROUND(U62/$W$1,1),"")</f>
        <v/>
      </c>
      <c r="X62" s="85" t="str">
        <f>IF(U62=0,0,IF($F62&amp;"/Día"=W$9,ROUND(V62/U62,4),""))</f>
        <v/>
      </c>
      <c r="Y62" s="85" t="str">
        <f>IF(U62=0,0,IF($F62&amp;"/Día"=W$9,ROUND(Z62/U62,4),""))</f>
        <v/>
      </c>
      <c r="Z62" s="45" t="str">
        <f>IF(U62&lt;&gt;"",$Q62,"")</f>
        <v/>
      </c>
      <c r="AA62" s="45">
        <f t="shared" si="39"/>
        <v>1226820.4790000001</v>
      </c>
      <c r="AB62" s="45">
        <f>IF(AA62&lt;&gt;"",$O62,"")</f>
        <v>2770825.802313</v>
      </c>
      <c r="AC62" s="84">
        <f t="shared" si="41"/>
        <v>43815</v>
      </c>
      <c r="AD62" s="85">
        <f>IF(AA62=0,0,IF($F62&amp;"/Día"=AC$9,ROUND(AB62/AA62,4),""))</f>
        <v>2.2585000000000002</v>
      </c>
      <c r="AE62" s="85">
        <f t="shared" si="43"/>
        <v>0.42909999999999998</v>
      </c>
      <c r="AF62" s="45">
        <f t="shared" si="44"/>
        <v>526456.9</v>
      </c>
      <c r="AG62" s="161"/>
    </row>
    <row r="63" spans="1:33" x14ac:dyDescent="0.25">
      <c r="A63" s="26" t="s">
        <v>28</v>
      </c>
      <c r="B63" s="29" t="s">
        <v>171</v>
      </c>
      <c r="C63" s="62" t="s">
        <v>31</v>
      </c>
      <c r="D63" s="62" t="s">
        <v>30</v>
      </c>
      <c r="E63" s="62" t="s">
        <v>161</v>
      </c>
      <c r="F63" s="261" t="s">
        <v>37</v>
      </c>
      <c r="G63" s="312">
        <v>83164</v>
      </c>
      <c r="H63" s="312">
        <v>314254</v>
      </c>
      <c r="I63" s="237">
        <v>39.406300000000002</v>
      </c>
      <c r="J63" s="237">
        <v>40.861699999999999</v>
      </c>
      <c r="K63" s="312"/>
      <c r="L63" s="312"/>
      <c r="M63" s="312"/>
      <c r="N63" s="312"/>
      <c r="O63" s="245">
        <f t="shared" si="45"/>
        <v>16118138.205</v>
      </c>
      <c r="P63" s="243">
        <f>ROUND(40%*G63*I63,2)+ROUND(40%*H63*J63,2)</f>
        <v>6447255.2800000003</v>
      </c>
      <c r="Q63" s="243">
        <f t="shared" ref="Q63:Q67" si="46">ROUND(R63*P63,2)</f>
        <v>3223627.64</v>
      </c>
      <c r="R63" s="244">
        <v>0.5</v>
      </c>
      <c r="S63" s="243"/>
      <c r="T63" s="244"/>
      <c r="U63" s="45">
        <f t="shared" si="33"/>
        <v>397418</v>
      </c>
      <c r="V63" s="45">
        <f t="shared" si="34"/>
        <v>16118138.205</v>
      </c>
      <c r="W63" s="84">
        <f t="shared" si="35"/>
        <v>14193.5</v>
      </c>
      <c r="X63" s="85">
        <f t="shared" si="36"/>
        <v>40.557099999999998</v>
      </c>
      <c r="Y63" s="85">
        <f t="shared" si="37"/>
        <v>8.1113999999999997</v>
      </c>
      <c r="Z63" s="45">
        <f t="shared" si="38"/>
        <v>3223627.64</v>
      </c>
      <c r="AA63" s="45" t="str">
        <f t="shared" si="39"/>
        <v/>
      </c>
      <c r="AB63" s="45" t="str">
        <f t="shared" si="40"/>
        <v/>
      </c>
      <c r="AC63" s="84" t="str">
        <f t="shared" si="41"/>
        <v/>
      </c>
      <c r="AD63" s="85" t="str">
        <f t="shared" si="42"/>
        <v/>
      </c>
      <c r="AE63" s="85" t="str">
        <f t="shared" si="43"/>
        <v/>
      </c>
      <c r="AF63" s="45" t="str">
        <f t="shared" si="44"/>
        <v/>
      </c>
      <c r="AG63" s="161"/>
    </row>
    <row r="64" spans="1:33" x14ac:dyDescent="0.25">
      <c r="A64" s="26" t="s">
        <v>28</v>
      </c>
      <c r="B64" s="29" t="s">
        <v>172</v>
      </c>
      <c r="C64" s="62" t="s">
        <v>31</v>
      </c>
      <c r="D64" s="62" t="s">
        <v>30</v>
      </c>
      <c r="E64" s="62" t="s">
        <v>161</v>
      </c>
      <c r="F64" s="261" t="s">
        <v>56</v>
      </c>
      <c r="G64" s="312">
        <v>1254262.4510999999</v>
      </c>
      <c r="H64" s="312">
        <v>4808502.6498999996</v>
      </c>
      <c r="I64" s="237">
        <v>1.7470000000000001</v>
      </c>
      <c r="J64" s="237">
        <v>2.472</v>
      </c>
      <c r="K64" s="312"/>
      <c r="L64" s="312"/>
      <c r="M64" s="312"/>
      <c r="N64" s="312"/>
      <c r="O64" s="245">
        <f t="shared" si="45"/>
        <v>14077815.052624498</v>
      </c>
      <c r="P64" s="243">
        <f>ROUND(38%*G64*I64,2)+ROUND(38%*H64*J64,2)</f>
        <v>5349569.72</v>
      </c>
      <c r="Q64" s="243">
        <f>ROUND(R64*P64,2)</f>
        <v>2674784.86</v>
      </c>
      <c r="R64" s="244">
        <v>0.5</v>
      </c>
      <c r="S64" s="243"/>
      <c r="T64" s="244"/>
      <c r="U64" s="45" t="str">
        <f t="shared" si="33"/>
        <v/>
      </c>
      <c r="V64" s="45" t="str">
        <f t="shared" si="34"/>
        <v/>
      </c>
      <c r="W64" s="84" t="str">
        <f t="shared" si="35"/>
        <v/>
      </c>
      <c r="X64" s="85" t="str">
        <f t="shared" si="36"/>
        <v/>
      </c>
      <c r="Y64" s="85" t="str">
        <f t="shared" si="37"/>
        <v/>
      </c>
      <c r="Z64" s="45" t="str">
        <f t="shared" si="38"/>
        <v/>
      </c>
      <c r="AA64" s="45">
        <f t="shared" si="39"/>
        <v>6062765.1009999998</v>
      </c>
      <c r="AB64" s="45">
        <f t="shared" si="40"/>
        <v>14077815.052624498</v>
      </c>
      <c r="AC64" s="84">
        <f t="shared" si="41"/>
        <v>216527.3</v>
      </c>
      <c r="AD64" s="85">
        <f t="shared" si="42"/>
        <v>2.3220000000000001</v>
      </c>
      <c r="AE64" s="85">
        <f t="shared" si="43"/>
        <v>0.44119999999999998</v>
      </c>
      <c r="AF64" s="45">
        <f t="shared" si="44"/>
        <v>2674784.86</v>
      </c>
      <c r="AG64" s="161"/>
    </row>
    <row r="65" spans="1:33" x14ac:dyDescent="0.25">
      <c r="A65" s="26" t="s">
        <v>28</v>
      </c>
      <c r="B65" s="32" t="s">
        <v>177</v>
      </c>
      <c r="C65" s="62" t="s">
        <v>31</v>
      </c>
      <c r="D65" s="62" t="s">
        <v>30</v>
      </c>
      <c r="E65" s="62" t="s">
        <v>161</v>
      </c>
      <c r="F65" s="261" t="s">
        <v>56</v>
      </c>
      <c r="G65" s="312">
        <v>49070.6852</v>
      </c>
      <c r="H65" s="312">
        <v>185183.8695</v>
      </c>
      <c r="I65" s="237">
        <v>1.8274999999999999</v>
      </c>
      <c r="J65" s="237">
        <v>1.8274999999999999</v>
      </c>
      <c r="K65" s="236"/>
      <c r="L65" s="312"/>
      <c r="M65" s="312"/>
      <c r="N65" s="236"/>
      <c r="O65" s="245">
        <f t="shared" si="45"/>
        <v>428100.19871425</v>
      </c>
      <c r="P65" s="243">
        <f>ROUND(37.24%*(G65*I65+H65*J65),2)</f>
        <v>159424.51</v>
      </c>
      <c r="Q65" s="243">
        <f>ROUND(R65*P65,2)</f>
        <v>79712.259999999995</v>
      </c>
      <c r="R65" s="244">
        <v>0.5</v>
      </c>
      <c r="S65" s="243"/>
      <c r="T65" s="286"/>
      <c r="U65" s="45" t="str">
        <f t="shared" si="33"/>
        <v/>
      </c>
      <c r="V65" s="45" t="str">
        <f t="shared" si="34"/>
        <v/>
      </c>
      <c r="W65" s="84" t="str">
        <f t="shared" si="35"/>
        <v/>
      </c>
      <c r="X65" s="85" t="str">
        <f t="shared" si="36"/>
        <v/>
      </c>
      <c r="Y65" s="85" t="str">
        <f t="shared" si="37"/>
        <v/>
      </c>
      <c r="Z65" s="45" t="str">
        <f t="shared" si="38"/>
        <v/>
      </c>
      <c r="AA65" s="45">
        <f t="shared" si="39"/>
        <v>234254.55470000001</v>
      </c>
      <c r="AB65" s="45">
        <f t="shared" si="40"/>
        <v>428100.19871425</v>
      </c>
      <c r="AC65" s="84">
        <f t="shared" si="41"/>
        <v>8366.2000000000007</v>
      </c>
      <c r="AD65" s="85">
        <f t="shared" si="42"/>
        <v>1.8274999999999999</v>
      </c>
      <c r="AE65" s="85">
        <f t="shared" si="43"/>
        <v>0.34029999999999999</v>
      </c>
      <c r="AF65" s="45">
        <f t="shared" si="44"/>
        <v>79712.259999999995</v>
      </c>
      <c r="AG65" s="161"/>
    </row>
    <row r="66" spans="1:33" x14ac:dyDescent="0.25">
      <c r="A66" s="26" t="s">
        <v>28</v>
      </c>
      <c r="B66" s="32" t="s">
        <v>179</v>
      </c>
      <c r="C66" s="62" t="s">
        <v>31</v>
      </c>
      <c r="D66" s="62" t="s">
        <v>30</v>
      </c>
      <c r="E66" s="62" t="s">
        <v>161</v>
      </c>
      <c r="F66" s="261" t="s">
        <v>37</v>
      </c>
      <c r="G66" s="312">
        <v>32150</v>
      </c>
      <c r="H66" s="312">
        <v>142646</v>
      </c>
      <c r="I66" s="237">
        <v>34.953400000000002</v>
      </c>
      <c r="J66" s="237">
        <v>36.440399999999997</v>
      </c>
      <c r="K66" s="236"/>
      <c r="L66" s="312"/>
      <c r="M66" s="312"/>
      <c r="N66" s="236"/>
      <c r="O66" s="245">
        <f t="shared" si="45"/>
        <v>6321829.1084000003</v>
      </c>
      <c r="P66" s="281">
        <f>ROUND(G66*I66,2)*5.9%+ROUND(H66*J66,2)*6.09%</f>
        <v>382864.26435999997</v>
      </c>
      <c r="Q66" s="531">
        <f>ROUND(R66*P66,2)</f>
        <v>191432.13</v>
      </c>
      <c r="R66" s="244">
        <v>0.5</v>
      </c>
      <c r="S66" s="243"/>
      <c r="T66" s="286"/>
      <c r="U66" s="45">
        <f>IF($F66&amp;"/Día"=W$9,SUM($G66:$H66),"")</f>
        <v>174796</v>
      </c>
      <c r="V66" s="45">
        <f t="shared" si="34"/>
        <v>6321829.1084000003</v>
      </c>
      <c r="W66" s="84">
        <f t="shared" si="35"/>
        <v>6242.7</v>
      </c>
      <c r="X66" s="85">
        <f t="shared" si="36"/>
        <v>36.166899999999998</v>
      </c>
      <c r="Y66" s="85">
        <f>IF(U66=0,0,IF($F66&amp;"/Día"=W$9,ROUND(Z66/U66,4),""))</f>
        <v>1.0952</v>
      </c>
      <c r="Z66" s="45">
        <f>IF(U66&lt;&gt;"",$Q66,"")</f>
        <v>191432.13</v>
      </c>
      <c r="AA66" s="45" t="str">
        <f t="shared" si="39"/>
        <v/>
      </c>
      <c r="AB66" s="45" t="str">
        <f t="shared" si="40"/>
        <v/>
      </c>
      <c r="AC66" s="84" t="str">
        <f t="shared" si="41"/>
        <v/>
      </c>
      <c r="AD66" s="85" t="str">
        <f t="shared" si="42"/>
        <v/>
      </c>
      <c r="AE66" s="85" t="str">
        <f>IF(AA66=0,0,IF($F66&amp;"/Día"=AC$9,ROUND(AF66/AA66,4),""))</f>
        <v/>
      </c>
      <c r="AF66" s="45" t="str">
        <f>IF(AA66&lt;&gt;"",$Q66,"")</f>
        <v/>
      </c>
      <c r="AG66" s="161"/>
    </row>
    <row r="67" spans="1:33" x14ac:dyDescent="0.25">
      <c r="A67" s="26" t="s">
        <v>28</v>
      </c>
      <c r="B67" s="302" t="s">
        <v>180</v>
      </c>
      <c r="C67" s="62" t="s">
        <v>31</v>
      </c>
      <c r="D67" s="62" t="s">
        <v>30</v>
      </c>
      <c r="E67" s="62" t="s">
        <v>161</v>
      </c>
      <c r="F67" s="261" t="s">
        <v>56</v>
      </c>
      <c r="G67" s="312">
        <v>524216.31550000003</v>
      </c>
      <c r="H67" s="312">
        <v>2239481.4188000001</v>
      </c>
      <c r="I67" s="237">
        <v>2.7010000000000001</v>
      </c>
      <c r="J67" s="237">
        <v>2.7010000000000001</v>
      </c>
      <c r="K67" s="236"/>
      <c r="L67" s="312"/>
      <c r="M67" s="312"/>
      <c r="N67" s="236"/>
      <c r="O67" s="245">
        <f t="shared" si="45"/>
        <v>7464747.5803443007</v>
      </c>
      <c r="P67" s="281">
        <f>ROUND(G67*I67,2)*8.81%+ROUND(H67*J67,2)*9.12%</f>
        <v>676395.66365899984</v>
      </c>
      <c r="Q67" s="531">
        <f t="shared" si="46"/>
        <v>338197.83</v>
      </c>
      <c r="R67" s="244">
        <v>0.5</v>
      </c>
      <c r="S67" s="243"/>
      <c r="T67" s="286"/>
      <c r="U67" s="45" t="str">
        <f>IF($F67&amp;"/Día"=W$9,SUM($G67:$H67),"")</f>
        <v/>
      </c>
      <c r="V67" s="45" t="str">
        <f t="shared" si="34"/>
        <v/>
      </c>
      <c r="W67" s="84" t="str">
        <f t="shared" si="35"/>
        <v/>
      </c>
      <c r="X67" s="85" t="str">
        <f t="shared" si="36"/>
        <v/>
      </c>
      <c r="Y67" s="85" t="str">
        <f>IF(U67=0,0,IF($F67&amp;"/Día"=W$9,ROUND(Z67/U67,4),""))</f>
        <v/>
      </c>
      <c r="Z67" s="45" t="str">
        <f>IF(U67&lt;&gt;"",$Q67,"")</f>
        <v/>
      </c>
      <c r="AA67" s="45">
        <f t="shared" si="39"/>
        <v>2763697.7343000001</v>
      </c>
      <c r="AB67" s="45">
        <f t="shared" si="40"/>
        <v>7464747.5803443007</v>
      </c>
      <c r="AC67" s="84">
        <f t="shared" si="41"/>
        <v>98703.5</v>
      </c>
      <c r="AD67" s="85">
        <f t="shared" si="42"/>
        <v>2.7010000000000001</v>
      </c>
      <c r="AE67" s="85">
        <f>IF(AA67=0,0,IF($F67&amp;"/Día"=AC$9,ROUND(AF67/AA67,4),""))</f>
        <v>0.12239999999999999</v>
      </c>
      <c r="AF67" s="45">
        <f>IF(AA67&lt;&gt;"",$Q67,"")</f>
        <v>338197.83</v>
      </c>
      <c r="AG67" s="161"/>
    </row>
    <row r="68" spans="1:33" x14ac:dyDescent="0.25">
      <c r="A68" s="194" t="s">
        <v>28</v>
      </c>
      <c r="B68" s="195" t="s">
        <v>165</v>
      </c>
      <c r="C68" s="196"/>
      <c r="D68" s="196"/>
      <c r="E68" s="197"/>
      <c r="F68" s="38"/>
      <c r="G68" s="290"/>
      <c r="H68" s="291"/>
      <c r="I68" s="291"/>
      <c r="J68" s="292"/>
      <c r="K68" s="292"/>
      <c r="L68" s="292"/>
      <c r="M68" s="200"/>
      <c r="N68" s="200"/>
      <c r="O68" s="213">
        <f>+O226</f>
        <v>-299010.01988399774</v>
      </c>
      <c r="P68" s="213">
        <f>+P226</f>
        <v>602092.67307200166</v>
      </c>
      <c r="Q68" s="213">
        <f>+Q226</f>
        <v>301046.3299999999</v>
      </c>
      <c r="R68" s="160"/>
      <c r="S68" s="201"/>
      <c r="T68" s="160"/>
      <c r="U68" s="45" t="str">
        <f t="shared" si="33"/>
        <v/>
      </c>
      <c r="V68" s="45" t="str">
        <f t="shared" si="34"/>
        <v/>
      </c>
      <c r="W68" s="84" t="str">
        <f t="shared" si="35"/>
        <v/>
      </c>
      <c r="X68" s="85" t="str">
        <f t="shared" si="36"/>
        <v/>
      </c>
      <c r="Y68" s="85" t="str">
        <f t="shared" si="37"/>
        <v/>
      </c>
      <c r="Z68" s="45" t="str">
        <f t="shared" si="38"/>
        <v/>
      </c>
      <c r="AA68" s="45" t="str">
        <f t="shared" si="39"/>
        <v/>
      </c>
      <c r="AB68" s="45" t="str">
        <f t="shared" si="40"/>
        <v/>
      </c>
      <c r="AC68" s="84" t="str">
        <f t="shared" si="41"/>
        <v/>
      </c>
      <c r="AD68" s="85" t="str">
        <f t="shared" si="42"/>
        <v/>
      </c>
      <c r="AE68" s="85" t="str">
        <f t="shared" si="43"/>
        <v/>
      </c>
      <c r="AF68" s="45" t="str">
        <f t="shared" si="44"/>
        <v/>
      </c>
      <c r="AG68" s="161"/>
    </row>
    <row r="69" spans="1:33" x14ac:dyDescent="0.25">
      <c r="A69" s="34"/>
      <c r="B69" s="165" t="s">
        <v>108</v>
      </c>
      <c r="C69" s="35" t="str">
        <f>TEXT(A$58,)&amp;" US$"</f>
        <v>Cusco US$</v>
      </c>
      <c r="D69" s="22"/>
      <c r="E69" s="22"/>
      <c r="F69" s="297"/>
      <c r="G69" s="282">
        <f>SUM(G64:G65)</f>
        <v>1303333.1362999999</v>
      </c>
      <c r="H69" s="282">
        <f>SUM(H64:H65)</f>
        <v>4993686.5193999996</v>
      </c>
      <c r="I69" s="356"/>
      <c r="J69" s="282"/>
      <c r="K69" s="294"/>
      <c r="L69" s="353"/>
      <c r="M69" s="353"/>
      <c r="N69" s="219"/>
      <c r="O69" s="219">
        <f>SUM(O59:O68)</f>
        <v>107110968.29844487</v>
      </c>
      <c r="P69" s="219">
        <f>SUM(P59:P68)</f>
        <v>37099617.631091006</v>
      </c>
      <c r="Q69" s="219">
        <f>SUM(Q59:Q68)</f>
        <v>18549808.809999999</v>
      </c>
      <c r="R69" s="199"/>
      <c r="S69" s="207"/>
      <c r="T69" s="160"/>
      <c r="U69" s="86">
        <f>SUM(U59:U68)</f>
        <v>1374786</v>
      </c>
      <c r="V69" s="86">
        <f>SUM(V59:V68)</f>
        <v>55026478.870999999</v>
      </c>
      <c r="W69" s="87">
        <f>SUM(W59:W68)</f>
        <v>49099.5</v>
      </c>
      <c r="X69" s="88">
        <f>ROUND(V69/U69,4)</f>
        <v>40.025500000000001</v>
      </c>
      <c r="Y69" s="88">
        <f>ROUND(Z69/U69,4)</f>
        <v>6.8975999999999997</v>
      </c>
      <c r="Z69" s="86">
        <f>SUM(Z59:Z68)</f>
        <v>9482668.2200000007</v>
      </c>
      <c r="AA69" s="86">
        <f>SUM(AA59:AA68)</f>
        <v>23382302.959099997</v>
      </c>
      <c r="AB69" s="86">
        <f>SUM(AB59:AB68)</f>
        <v>52383499.447328851</v>
      </c>
      <c r="AC69" s="87">
        <f>SUM(AC59:AC68)</f>
        <v>835082.1</v>
      </c>
      <c r="AD69" s="88">
        <f>ROUND(AB69/AA69,4)</f>
        <v>2.2403</v>
      </c>
      <c r="AE69" s="88">
        <f>ROUND(AF69/AA69,4)</f>
        <v>0.37490000000000001</v>
      </c>
      <c r="AF69" s="86">
        <f>SUM(AF59:AF68)</f>
        <v>8766094.2599999998</v>
      </c>
      <c r="AG69" s="86">
        <f>Q69-Z69-AF69</f>
        <v>301046.32999999821</v>
      </c>
    </row>
    <row r="70" spans="1:33" x14ac:dyDescent="0.25">
      <c r="A70" s="157"/>
      <c r="B70" s="158"/>
      <c r="C70" s="35" t="str">
        <f>TEXT(A$58,)&amp;" S/."</f>
        <v>Cusco S/.</v>
      </c>
      <c r="D70" s="114"/>
      <c r="E70" s="114"/>
      <c r="F70" s="297"/>
      <c r="G70" s="283">
        <f>SUMPRODUCT(I64:I65,G64:G65)/SUM(G64:G65)</f>
        <v>1.750030836897015</v>
      </c>
      <c r="H70" s="283">
        <f>SUMPRODUCT(J64:J65,H64:H65)/SUM(H64:H65)</f>
        <v>2.4480996203047418</v>
      </c>
      <c r="I70" s="357"/>
      <c r="J70" s="282"/>
      <c r="K70" s="295"/>
      <c r="L70" s="354"/>
      <c r="M70" s="354"/>
      <c r="N70" s="206"/>
      <c r="O70" s="206"/>
      <c r="P70" s="209"/>
      <c r="Q70" s="209">
        <f>Q69*F1</f>
        <v>0</v>
      </c>
      <c r="R70" s="198"/>
      <c r="S70" s="207"/>
      <c r="T70" s="160"/>
      <c r="U70" s="161"/>
      <c r="V70" s="161"/>
      <c r="W70" s="162"/>
      <c r="X70" s="163"/>
      <c r="Y70" s="163"/>
      <c r="Z70" s="161"/>
      <c r="AA70" s="161"/>
      <c r="AB70" s="161"/>
      <c r="AC70" s="162"/>
      <c r="AD70" s="163"/>
      <c r="AE70" s="163"/>
      <c r="AF70" s="161"/>
      <c r="AG70" s="161"/>
    </row>
    <row r="71" spans="1:33" x14ac:dyDescent="0.25">
      <c r="A71" s="10" t="s">
        <v>55</v>
      </c>
      <c r="B71" s="308"/>
      <c r="C71" s="308"/>
      <c r="D71" s="308"/>
      <c r="E71" s="308"/>
      <c r="F71" s="298"/>
      <c r="G71" s="284">
        <f>G69*G70</f>
        <v>2280873.1792747001</v>
      </c>
      <c r="H71" s="284">
        <f>H69*H70</f>
        <v>12225042.072064048</v>
      </c>
      <c r="I71" s="282">
        <f>H71+G71</f>
        <v>14505915.251338748</v>
      </c>
      <c r="J71" s="282">
        <f>O64+O65</f>
        <v>14505915.251338748</v>
      </c>
      <c r="K71" s="358">
        <f>I71-J71</f>
        <v>0</v>
      </c>
      <c r="L71" s="365"/>
      <c r="M71" s="355"/>
      <c r="N71" s="311">
        <f>SUM(N10:N67)</f>
        <v>78038.709999999992</v>
      </c>
      <c r="O71" s="311">
        <f>O36+O42+O56+O69</f>
        <v>195604256.88844487</v>
      </c>
      <c r="P71" s="311">
        <f>+Q69+P56+P42+P36</f>
        <v>34960356.809999995</v>
      </c>
      <c r="Q71" s="211">
        <f>Q70+P57+P43+P37</f>
        <v>0</v>
      </c>
      <c r="R71" s="60"/>
      <c r="S71" s="211"/>
      <c r="T71" s="60"/>
      <c r="U71" s="93">
        <f>U36+U42+U56+U69</f>
        <v>2804980</v>
      </c>
      <c r="V71" s="93">
        <f>V36+V42+V56+V69</f>
        <v>138909890.69100001</v>
      </c>
      <c r="W71" s="94">
        <f>W36+W42+W56+W69</f>
        <v>100178.09999999999</v>
      </c>
      <c r="X71" s="95">
        <f>ROUND(V71/U71,4)</f>
        <v>49.522599999999997</v>
      </c>
      <c r="Y71" s="95">
        <f>ROUND(Z71/U71,4)</f>
        <v>8.9230999999999998</v>
      </c>
      <c r="Z71" s="93">
        <f>Z36+Z42+Z56+Z69</f>
        <v>25029250.740000002</v>
      </c>
      <c r="AA71" s="93">
        <f>AA36+AA42+AA56+AA69</f>
        <v>25382524.053299997</v>
      </c>
      <c r="AB71" s="93">
        <f>AB36+AB42+AB56+AB69</f>
        <v>58493434.647328854</v>
      </c>
      <c r="AC71" s="93">
        <f>AC36+AC42+AC56+AC69</f>
        <v>906518.6</v>
      </c>
      <c r="AD71" s="95">
        <f>ROUND(AB71/AA71,4)</f>
        <v>2.3045</v>
      </c>
      <c r="AE71" s="95">
        <f>ROUND(AF71/AA71,4)</f>
        <v>0.39050000000000001</v>
      </c>
      <c r="AF71" s="93">
        <f>AF36+AF42+AF56+AF69</f>
        <v>9911707.0999999996</v>
      </c>
      <c r="AG71" s="93">
        <f>P71-Z71-AF71</f>
        <v>19398.96999999322</v>
      </c>
    </row>
    <row r="72" spans="1:33" x14ac:dyDescent="0.25">
      <c r="A72" s="6"/>
      <c r="B72" s="6"/>
      <c r="C72" s="6"/>
      <c r="D72" s="6"/>
      <c r="E72" s="6"/>
      <c r="F72" s="6"/>
      <c r="G72" s="6"/>
      <c r="H72" s="6"/>
      <c r="I72" s="6"/>
      <c r="J72" s="6"/>
      <c r="K72" s="6"/>
      <c r="L72" s="6"/>
      <c r="M72" s="6"/>
      <c r="N72" s="6"/>
      <c r="P72" s="6"/>
      <c r="Q72" s="6"/>
      <c r="R72" s="6"/>
      <c r="S72" s="6"/>
      <c r="T72" s="6"/>
      <c r="U72" s="6"/>
      <c r="V72" s="6"/>
      <c r="W72" s="6"/>
      <c r="X72" s="6"/>
      <c r="Y72" s="6"/>
      <c r="Z72" s="75"/>
      <c r="AA72" s="75"/>
      <c r="AB72" s="75"/>
      <c r="AC72" s="75"/>
      <c r="AD72" s="75"/>
      <c r="AE72" s="75"/>
    </row>
    <row r="73" spans="1:33" x14ac:dyDescent="0.25">
      <c r="A73" s="99" t="s">
        <v>93</v>
      </c>
      <c r="B73" s="7" t="s">
        <v>76</v>
      </c>
      <c r="C73" s="7"/>
      <c r="D73" s="6"/>
      <c r="E73" s="6"/>
      <c r="F73" s="6"/>
      <c r="G73" s="307"/>
      <c r="H73" s="99" t="s">
        <v>77</v>
      </c>
      <c r="I73" s="307"/>
      <c r="J73" s="72"/>
      <c r="K73" s="72"/>
      <c r="L73" s="6"/>
      <c r="M73" s="6"/>
      <c r="N73" s="6"/>
      <c r="O73" s="360">
        <f>63427404.04+0.44+105176870.48-0.83+2529.92-1581.05+0.01-78038.71+28876141.03-1801351.67+2283.22</f>
        <v>195604256.87999997</v>
      </c>
      <c r="P73" s="285"/>
      <c r="Q73" s="220"/>
      <c r="R73" s="6"/>
      <c r="S73" s="6"/>
      <c r="T73" s="6"/>
      <c r="U73" s="75" t="s">
        <v>193</v>
      </c>
      <c r="V73" s="350">
        <f>6329295.84-V79</f>
        <v>6356192.6399999997</v>
      </c>
      <c r="W73" s="350">
        <f>+P36</f>
        <v>11977459.76</v>
      </c>
      <c r="X73" s="350" t="s">
        <v>23</v>
      </c>
      <c r="Y73" s="6"/>
    </row>
    <row r="74" spans="1:33" x14ac:dyDescent="0.25">
      <c r="A74" s="6"/>
      <c r="B74" s="126" t="s">
        <v>78</v>
      </c>
      <c r="C74" s="127" t="s">
        <v>79</v>
      </c>
      <c r="D74" s="128"/>
      <c r="E74" s="129" t="s">
        <v>35</v>
      </c>
      <c r="F74" s="129" t="s">
        <v>80</v>
      </c>
      <c r="G74" s="307"/>
      <c r="H74" s="100" t="s">
        <v>35</v>
      </c>
      <c r="I74" s="308"/>
      <c r="J74" s="308"/>
      <c r="K74" s="308"/>
      <c r="L74" s="101"/>
      <c r="M74" s="6"/>
      <c r="N74" s="6"/>
      <c r="P74" s="285"/>
      <c r="Q74" s="285"/>
      <c r="R74" s="6"/>
      <c r="S74" s="285"/>
      <c r="T74" s="6"/>
      <c r="U74" s="75" t="s">
        <v>194</v>
      </c>
      <c r="V74" s="350">
        <f>5078159.27-V82</f>
        <v>4644050.7299999995</v>
      </c>
      <c r="W74" s="350">
        <f>+P56</f>
        <v>3707026.38</v>
      </c>
      <c r="X74" s="350" t="s">
        <v>24</v>
      </c>
      <c r="Y74" s="6"/>
    </row>
    <row r="75" spans="1:33" x14ac:dyDescent="0.25">
      <c r="A75" s="7"/>
      <c r="B75" s="102" t="s">
        <v>81</v>
      </c>
      <c r="C75" s="103" t="s">
        <v>82</v>
      </c>
      <c r="D75" s="104"/>
      <c r="E75" s="105"/>
      <c r="F75" s="105"/>
      <c r="G75" s="307"/>
      <c r="H75" s="106" t="str">
        <f>"=  ("&amp;TEXT(E75,"0.0000")&amp;" * "&amp;TEXT(E78,"0.00%")&amp;" + ("&amp;TEXT(E76,"0.0000")&amp;" - "&amp;TEXT(E77,"0.0000")&amp;" - "&amp;TEXT(E80,"0.0000")&amp;") * (1 - "&amp;TEXT(E78,"0.00%")&amp;"))"</f>
        <v>=  (0.0000 * 0.00% + (0.0000 - 0.0000 - 0.0000) * (1 - 0.00%))</v>
      </c>
      <c r="I75" s="6"/>
      <c r="J75" s="6"/>
      <c r="K75" s="6"/>
      <c r="L75" s="107"/>
      <c r="M75" s="6"/>
      <c r="N75" s="6"/>
      <c r="O75" s="361">
        <f>+O73-O71</f>
        <v>-8.4449052810668945E-3</v>
      </c>
      <c r="P75" s="530"/>
      <c r="Q75" s="6"/>
      <c r="R75" s="6"/>
      <c r="S75" s="285"/>
      <c r="T75" s="6"/>
      <c r="U75" s="75" t="s">
        <v>29</v>
      </c>
      <c r="V75" s="350">
        <v>5410304.71</v>
      </c>
      <c r="W75" s="350">
        <f>+P42</f>
        <v>726061.86</v>
      </c>
      <c r="X75" s="350" t="s">
        <v>195</v>
      </c>
      <c r="Y75" s="6"/>
    </row>
    <row r="76" spans="1:33" x14ac:dyDescent="0.25">
      <c r="A76" s="6"/>
      <c r="B76" s="108" t="s">
        <v>83</v>
      </c>
      <c r="C76" s="109" t="s">
        <v>84</v>
      </c>
      <c r="D76" s="110"/>
      <c r="E76" s="111"/>
      <c r="F76" s="112"/>
      <c r="G76" s="307"/>
      <c r="H76" s="113">
        <f>((85.98%*E75+4.4221)*E78+(E76-E77-E80)*(1-E78))</f>
        <v>0</v>
      </c>
      <c r="I76" s="114"/>
      <c r="J76" s="114"/>
      <c r="K76" s="114"/>
      <c r="L76" s="115"/>
      <c r="M76" s="6"/>
      <c r="N76" s="6"/>
      <c r="O76" s="360"/>
      <c r="P76" s="6"/>
      <c r="Q76" s="6"/>
      <c r="R76" s="6"/>
      <c r="S76" s="285"/>
      <c r="T76" s="6"/>
      <c r="U76" s="75"/>
      <c r="V76" s="351">
        <f>SUM(V73:V75)</f>
        <v>16410548.079999998</v>
      </c>
      <c r="W76" s="351">
        <f>SUM(W73:W75)</f>
        <v>16410548</v>
      </c>
      <c r="X76" s="350">
        <f>+V76-W76</f>
        <v>7.9999998211860657E-2</v>
      </c>
      <c r="Y76" s="6"/>
    </row>
    <row r="77" spans="1:33" x14ac:dyDescent="0.25">
      <c r="A77" s="6"/>
      <c r="B77" s="108" t="s">
        <v>85</v>
      </c>
      <c r="C77" s="109" t="s">
        <v>86</v>
      </c>
      <c r="D77" s="110"/>
      <c r="E77" s="111"/>
      <c r="F77" s="111"/>
      <c r="G77" s="6"/>
      <c r="H77" s="307"/>
      <c r="I77" s="116"/>
      <c r="J77" s="6"/>
      <c r="K77" s="6"/>
      <c r="L77" s="6"/>
      <c r="M77" s="6"/>
      <c r="N77" s="6"/>
      <c r="O77" s="360"/>
      <c r="P77" s="6"/>
      <c r="Q77" s="6"/>
      <c r="R77" s="6"/>
      <c r="S77" s="285"/>
      <c r="T77" s="6"/>
      <c r="U77" s="75" t="s">
        <v>196</v>
      </c>
      <c r="V77" s="350">
        <v>1088541.57</v>
      </c>
      <c r="W77" s="350"/>
      <c r="X77" s="350"/>
      <c r="Y77" s="6"/>
    </row>
    <row r="78" spans="1:33" x14ac:dyDescent="0.25">
      <c r="A78" s="6"/>
      <c r="B78" s="108" t="s">
        <v>87</v>
      </c>
      <c r="C78" s="109" t="s">
        <v>88</v>
      </c>
      <c r="D78" s="110"/>
      <c r="E78" s="117"/>
      <c r="F78" s="117"/>
      <c r="G78" s="6"/>
      <c r="H78" s="100" t="s">
        <v>80</v>
      </c>
      <c r="I78" s="118"/>
      <c r="J78" s="308"/>
      <c r="K78" s="308"/>
      <c r="L78" s="101"/>
      <c r="M78" s="6"/>
      <c r="N78" s="6"/>
      <c r="O78" s="530" t="s">
        <v>246</v>
      </c>
      <c r="P78" s="72">
        <v>2283.2199999999998</v>
      </c>
      <c r="Q78" s="6"/>
      <c r="R78" s="6"/>
      <c r="S78" s="285"/>
      <c r="T78" s="6"/>
      <c r="U78" s="75" t="s">
        <v>197</v>
      </c>
      <c r="V78" s="350">
        <v>4317183.67</v>
      </c>
      <c r="W78" s="350"/>
      <c r="Y78" s="6"/>
      <c r="Z78" s="350"/>
      <c r="AB78" s="350">
        <v>281480.49</v>
      </c>
    </row>
    <row r="79" spans="1:33" x14ac:dyDescent="0.25">
      <c r="A79" s="6"/>
      <c r="B79" s="108" t="s">
        <v>89</v>
      </c>
      <c r="C79" s="109" t="s">
        <v>90</v>
      </c>
      <c r="D79" s="110"/>
      <c r="E79" s="119"/>
      <c r="F79" s="112"/>
      <c r="G79" s="6"/>
      <c r="H79" s="106" t="str">
        <f>"=  ("&amp;TEXT(F75,"0.0000")&amp;" * "&amp;TEXT(F78,"0.00%")&amp;" + ("&amp;TEXT(F76,"0.0000")&amp;" - "&amp;TEXT(F77,"0.0000")&amp;" - "&amp;TEXT(F80,"0.0000")&amp;") * (1 - "&amp;TEXT(F78,"0.00%")&amp;"))"</f>
        <v>=  (0.0000 * 0.00% + (0.0000 - 0.0000 - 0.0000) * (1 - 0.00%))</v>
      </c>
      <c r="I79" s="116"/>
      <c r="J79" s="6"/>
      <c r="K79" s="6"/>
      <c r="L79" s="107"/>
      <c r="M79" s="6"/>
      <c r="N79" s="6"/>
      <c r="O79" s="6"/>
      <c r="P79" s="6"/>
      <c r="Q79" s="6"/>
      <c r="R79" s="6"/>
      <c r="S79" s="6"/>
      <c r="T79" s="6"/>
      <c r="U79" s="75" t="s">
        <v>198</v>
      </c>
      <c r="V79" s="350">
        <v>-26896.799999999999</v>
      </c>
      <c r="W79" s="350"/>
      <c r="Y79" s="6"/>
      <c r="Z79" s="350"/>
    </row>
    <row r="80" spans="1:33" x14ac:dyDescent="0.25">
      <c r="A80" s="6"/>
      <c r="B80" s="120" t="s">
        <v>91</v>
      </c>
      <c r="C80" s="121" t="s">
        <v>92</v>
      </c>
      <c r="D80" s="122"/>
      <c r="E80" s="123"/>
      <c r="F80" s="123"/>
      <c r="G80" s="6"/>
      <c r="H80" s="113">
        <f>((85.98%*F75+4.4221)*F78+(F76-F77-F80)*(1-F78))</f>
        <v>0</v>
      </c>
      <c r="I80" s="124"/>
      <c r="J80" s="114"/>
      <c r="K80" s="114"/>
      <c r="L80" s="115"/>
      <c r="M80" s="6"/>
      <c r="N80" s="6"/>
      <c r="O80" s="6"/>
      <c r="P80" s="6"/>
      <c r="Q80" s="6"/>
      <c r="R80" s="6"/>
      <c r="S80" s="285"/>
      <c r="T80" s="6"/>
      <c r="U80" s="75" t="s">
        <v>199</v>
      </c>
      <c r="V80" s="350">
        <v>4889662.53</v>
      </c>
      <c r="W80" s="350"/>
      <c r="Y80" s="6"/>
      <c r="Z80" s="350"/>
    </row>
    <row r="81" spans="1:26" x14ac:dyDescent="0.25">
      <c r="A81" s="5"/>
      <c r="C81" s="4"/>
      <c r="D81" s="4"/>
      <c r="G81" s="307"/>
      <c r="H81" s="190"/>
      <c r="I81" s="307"/>
      <c r="J81" s="307"/>
      <c r="K81" s="307"/>
      <c r="M81" s="6"/>
      <c r="N81" s="6"/>
      <c r="O81" s="6"/>
      <c r="P81" s="6"/>
      <c r="Q81" s="6"/>
      <c r="S81" s="346"/>
      <c r="U81" s="75" t="s">
        <v>200</v>
      </c>
      <c r="V81" s="350">
        <v>7847209.3799999999</v>
      </c>
      <c r="W81" s="350"/>
      <c r="Z81" s="350"/>
    </row>
    <row r="82" spans="1:26" x14ac:dyDescent="0.25">
      <c r="A82" s="307" t="s">
        <v>240</v>
      </c>
      <c r="G82" s="307"/>
      <c r="H82" s="307"/>
      <c r="I82" s="307"/>
      <c r="J82" s="307"/>
      <c r="K82" s="307"/>
      <c r="U82" s="75" t="s">
        <v>201</v>
      </c>
      <c r="V82" s="350">
        <v>434108.54</v>
      </c>
      <c r="W82" s="350"/>
      <c r="X82" s="350"/>
    </row>
    <row r="83" spans="1:26" ht="17.399999999999999" x14ac:dyDescent="0.3">
      <c r="A83" s="301" t="str">
        <f>"AJUSTES PARA "&amp;UPPER(TEXT(E1,"MMMMMMM YYYY"))</f>
        <v>AJUSTES PARA FEBRERO 2018</v>
      </c>
      <c r="B83" s="301"/>
      <c r="C83" s="301"/>
      <c r="D83" s="301"/>
      <c r="E83" s="301"/>
      <c r="F83" s="301"/>
      <c r="G83" s="301"/>
      <c r="H83" s="301"/>
      <c r="I83" s="301"/>
      <c r="J83" s="301"/>
      <c r="K83" s="301"/>
      <c r="L83" s="301"/>
      <c r="M83" s="301"/>
      <c r="N83" s="301"/>
      <c r="O83" s="301"/>
      <c r="P83" s="301"/>
      <c r="Q83" s="301"/>
      <c r="R83" s="301"/>
      <c r="S83" s="301"/>
      <c r="T83" s="301"/>
      <c r="U83" s="75"/>
      <c r="V83" s="351">
        <f>SUM(V77:V82)</f>
        <v>18549808.890000001</v>
      </c>
      <c r="W83" s="351">
        <f>Q69</f>
        <v>18549808.809999999</v>
      </c>
      <c r="X83" s="350">
        <f>V83-W83</f>
        <v>8.0000001937150955E-2</v>
      </c>
      <c r="Y83" s="301"/>
    </row>
    <row r="85" spans="1:26" x14ac:dyDescent="0.25">
      <c r="A85" s="452" t="s">
        <v>187</v>
      </c>
      <c r="B85" s="321" t="s">
        <v>241</v>
      </c>
      <c r="C85" s="385"/>
      <c r="G85" s="307"/>
      <c r="H85" s="307"/>
      <c r="I85" s="307"/>
      <c r="J85" s="307"/>
      <c r="K85" s="307"/>
      <c r="U85" s="75"/>
      <c r="V85" s="350">
        <f>+V73+V77+V78+V79</f>
        <v>11735021.079999998</v>
      </c>
      <c r="W85" s="350"/>
      <c r="X85" s="75"/>
    </row>
    <row r="86" spans="1:26" x14ac:dyDescent="0.25">
      <c r="A86" s="313" t="s">
        <v>164</v>
      </c>
      <c r="B86" s="308"/>
      <c r="C86" s="322"/>
      <c r="D86" s="319" t="s">
        <v>19</v>
      </c>
      <c r="E86" s="318" t="s">
        <v>59</v>
      </c>
      <c r="F86" s="319" t="s">
        <v>27</v>
      </c>
      <c r="G86" s="320" t="s">
        <v>35</v>
      </c>
      <c r="H86" s="309" t="s">
        <v>36</v>
      </c>
      <c r="I86" s="309" t="s">
        <v>35</v>
      </c>
      <c r="J86" s="320" t="s">
        <v>36</v>
      </c>
      <c r="K86" s="320" t="s">
        <v>39</v>
      </c>
      <c r="L86" s="320" t="s">
        <v>40</v>
      </c>
      <c r="M86" s="320" t="s">
        <v>42</v>
      </c>
      <c r="N86" s="320" t="s">
        <v>2</v>
      </c>
      <c r="O86" s="323" t="s">
        <v>184</v>
      </c>
      <c r="P86" s="332" t="s">
        <v>166</v>
      </c>
      <c r="Q86" s="332" t="s">
        <v>188</v>
      </c>
      <c r="R86" s="310"/>
      <c r="U86" s="75"/>
      <c r="V86" s="350">
        <f>+V74+V80+V81+V82</f>
        <v>17815031.18</v>
      </c>
      <c r="W86" s="351"/>
      <c r="X86" s="350"/>
    </row>
    <row r="87" spans="1:26" x14ac:dyDescent="0.25">
      <c r="A87" s="324" t="s">
        <v>28</v>
      </c>
      <c r="B87" s="325" t="s">
        <v>177</v>
      </c>
      <c r="C87" s="333" t="s">
        <v>31</v>
      </c>
      <c r="D87" s="334" t="s">
        <v>189</v>
      </c>
      <c r="E87" s="334"/>
      <c r="F87" s="343" t="s">
        <v>56</v>
      </c>
      <c r="G87" s="312">
        <v>191112.54</v>
      </c>
      <c r="H87" s="312">
        <v>282162.15000000002</v>
      </c>
      <c r="I87" s="237">
        <v>1.8266</v>
      </c>
      <c r="J87" s="237">
        <v>1.8266</v>
      </c>
      <c r="K87" s="236"/>
      <c r="L87" s="312"/>
      <c r="M87" s="312"/>
      <c r="N87" s="236"/>
      <c r="O87" s="245">
        <f t="shared" ref="O87" si="47">G87*I87+H87*J87</f>
        <v>864483.5487540001</v>
      </c>
      <c r="P87" s="281">
        <f>ROUND(37.24%*(G87*I87+H87*J87),2)</f>
        <v>321933.67</v>
      </c>
      <c r="Q87" s="243">
        <f t="shared" ref="Q87:Q88" si="48">ROUND(R87*P87,2)</f>
        <v>160966.84</v>
      </c>
      <c r="R87" s="244">
        <v>0.5</v>
      </c>
      <c r="U87" s="74"/>
      <c r="V87" s="350">
        <f>+V75</f>
        <v>5410304.71</v>
      </c>
      <c r="W87" s="74"/>
    </row>
    <row r="88" spans="1:26" x14ac:dyDescent="0.25">
      <c r="A88" s="326" t="s">
        <v>28</v>
      </c>
      <c r="B88" s="335" t="str">
        <f>B87</f>
        <v>56 GAS-Mlocal</v>
      </c>
      <c r="C88" s="336" t="s">
        <v>31</v>
      </c>
      <c r="D88" s="337" t="s">
        <v>190</v>
      </c>
      <c r="E88" s="337"/>
      <c r="F88" s="342" t="str">
        <f>F87</f>
        <v xml:space="preserve"> MM BTU</v>
      </c>
      <c r="G88" s="387">
        <f>+G87</f>
        <v>191112.54</v>
      </c>
      <c r="H88" s="387">
        <f>+H87</f>
        <v>282162.15000000002</v>
      </c>
      <c r="I88" s="328">
        <v>1.8274999999999999</v>
      </c>
      <c r="J88" s="328">
        <v>1.8274999999999999</v>
      </c>
      <c r="K88" s="328"/>
      <c r="L88" s="328"/>
      <c r="M88" s="328"/>
      <c r="N88" s="327"/>
      <c r="O88" s="464">
        <f>G88*I88+H88*J88</f>
        <v>864909.49597499997</v>
      </c>
      <c r="P88" s="465">
        <f>ROUND(37.24%*(G88*I88+H88*J88),2)</f>
        <v>322092.3</v>
      </c>
      <c r="Q88" s="465">
        <f t="shared" si="48"/>
        <v>161046.15</v>
      </c>
      <c r="R88" s="50">
        <v>0.5</v>
      </c>
      <c r="U88" s="74"/>
      <c r="V88" s="352">
        <f>SUM(V85:V87)</f>
        <v>34960356.969999999</v>
      </c>
      <c r="W88" s="74"/>
      <c r="X88" s="74">
        <f>+V88-P71</f>
        <v>0.16000000387430191</v>
      </c>
      <c r="Z88" s="74"/>
    </row>
    <row r="89" spans="1:26" x14ac:dyDescent="0.25">
      <c r="A89" s="329"/>
      <c r="B89" s="338" t="s">
        <v>185</v>
      </c>
      <c r="C89" s="100"/>
      <c r="D89" s="210"/>
      <c r="E89" s="210"/>
      <c r="F89" s="329"/>
      <c r="G89" s="386">
        <f t="shared" ref="G89:Q89" si="49">G88-G87</f>
        <v>0</v>
      </c>
      <c r="H89" s="388">
        <f t="shared" si="49"/>
        <v>0</v>
      </c>
      <c r="I89" s="339">
        <f t="shared" si="49"/>
        <v>8.9999999999990088E-4</v>
      </c>
      <c r="J89" s="339">
        <f>J88-J87</f>
        <v>8.9999999999990088E-4</v>
      </c>
      <c r="K89" s="339">
        <f t="shared" si="49"/>
        <v>0</v>
      </c>
      <c r="L89" s="339">
        <f t="shared" si="49"/>
        <v>0</v>
      </c>
      <c r="M89" s="339">
        <f t="shared" si="49"/>
        <v>0</v>
      </c>
      <c r="N89" s="340">
        <f t="shared" si="49"/>
        <v>0</v>
      </c>
      <c r="O89" s="330">
        <f>O88-O87</f>
        <v>425.94722099986393</v>
      </c>
      <c r="P89" s="331">
        <f>P88-P87</f>
        <v>158.63000000000466</v>
      </c>
      <c r="Q89" s="330">
        <f t="shared" si="49"/>
        <v>79.309999999997672</v>
      </c>
      <c r="R89" s="341"/>
      <c r="S89" s="307" t="s">
        <v>186</v>
      </c>
    </row>
    <row r="90" spans="1:26" x14ac:dyDescent="0.25">
      <c r="G90" s="307"/>
      <c r="H90" s="307"/>
      <c r="I90" s="307"/>
      <c r="J90" s="307"/>
      <c r="K90" s="307"/>
      <c r="V90" s="350"/>
      <c r="X90" s="74"/>
    </row>
    <row r="91" spans="1:26" x14ac:dyDescent="0.25">
      <c r="A91" s="394"/>
      <c r="B91" s="321" t="s">
        <v>241</v>
      </c>
      <c r="C91" s="385"/>
      <c r="G91" s="307"/>
      <c r="H91" s="307"/>
      <c r="I91" s="307"/>
      <c r="J91" s="307"/>
      <c r="K91" s="307"/>
      <c r="U91" s="75"/>
      <c r="W91" s="350"/>
      <c r="X91" s="75"/>
    </row>
    <row r="92" spans="1:26" x14ac:dyDescent="0.25">
      <c r="A92" s="313" t="s">
        <v>164</v>
      </c>
      <c r="B92" s="308"/>
      <c r="C92" s="322"/>
      <c r="D92" s="319" t="s">
        <v>19</v>
      </c>
      <c r="E92" s="318" t="s">
        <v>59</v>
      </c>
      <c r="F92" s="319" t="s">
        <v>27</v>
      </c>
      <c r="G92" s="320" t="s">
        <v>35</v>
      </c>
      <c r="H92" s="309" t="s">
        <v>36</v>
      </c>
      <c r="I92" s="309" t="s">
        <v>35</v>
      </c>
      <c r="J92" s="320" t="s">
        <v>36</v>
      </c>
      <c r="K92" s="320" t="s">
        <v>39</v>
      </c>
      <c r="L92" s="320" t="s">
        <v>40</v>
      </c>
      <c r="M92" s="320" t="s">
        <v>42</v>
      </c>
      <c r="N92" s="320" t="s">
        <v>2</v>
      </c>
      <c r="O92" s="323" t="s">
        <v>184</v>
      </c>
      <c r="P92" s="332" t="s">
        <v>166</v>
      </c>
      <c r="Q92" s="332" t="s">
        <v>188</v>
      </c>
      <c r="R92" s="310"/>
      <c r="U92" s="75"/>
      <c r="V92" s="74"/>
      <c r="W92" s="351"/>
      <c r="X92" s="350"/>
    </row>
    <row r="93" spans="1:26" x14ac:dyDescent="0.25">
      <c r="A93" s="26" t="s">
        <v>28</v>
      </c>
      <c r="B93" s="302" t="s">
        <v>180</v>
      </c>
      <c r="C93" s="62" t="s">
        <v>31</v>
      </c>
      <c r="D93" s="62" t="s">
        <v>30</v>
      </c>
      <c r="E93" s="62" t="s">
        <v>161</v>
      </c>
      <c r="F93" s="511" t="s">
        <v>56</v>
      </c>
      <c r="G93" s="468">
        <v>2377392.5499999998</v>
      </c>
      <c r="H93" s="468">
        <v>3455909.84</v>
      </c>
      <c r="I93" s="475">
        <v>3.1179999999999999</v>
      </c>
      <c r="J93" s="475">
        <v>3.1179999999999999</v>
      </c>
      <c r="K93" s="467"/>
      <c r="L93" s="468"/>
      <c r="M93" s="468"/>
      <c r="N93" s="467"/>
      <c r="O93" s="458">
        <f t="shared" ref="O93:O94" si="50">G93*I93+H93*J93</f>
        <v>18188236.852019999</v>
      </c>
      <c r="P93" s="459">
        <f>ROUND(G93*I93,2)*9.42%+ROUND(H93*J93,2)*9.89%</f>
        <v>1763976.8876060001</v>
      </c>
      <c r="Q93" s="460">
        <f t="shared" ref="Q93:Q94" si="51">ROUND(R93*P93,2)</f>
        <v>881988.44</v>
      </c>
      <c r="R93" s="275">
        <v>0.5</v>
      </c>
    </row>
    <row r="94" spans="1:26" x14ac:dyDescent="0.25">
      <c r="A94" s="326" t="s">
        <v>28</v>
      </c>
      <c r="B94" s="335" t="str">
        <f>B93</f>
        <v>57 GAS</v>
      </c>
      <c r="C94" s="336" t="s">
        <v>31</v>
      </c>
      <c r="D94" s="337" t="s">
        <v>190</v>
      </c>
      <c r="E94" s="337"/>
      <c r="F94" s="342" t="str">
        <f>F93</f>
        <v xml:space="preserve"> MM BTU</v>
      </c>
      <c r="G94" s="387">
        <f>+G93</f>
        <v>2377392.5499999998</v>
      </c>
      <c r="H94" s="387">
        <f>+H93</f>
        <v>3455909.84</v>
      </c>
      <c r="I94" s="328">
        <v>2.7010000000000001</v>
      </c>
      <c r="J94" s="328">
        <v>2.7010000000000001</v>
      </c>
      <c r="K94" s="469"/>
      <c r="L94" s="470"/>
      <c r="M94" s="470"/>
      <c r="N94" s="469"/>
      <c r="O94" s="464">
        <f t="shared" si="50"/>
        <v>15755749.75539</v>
      </c>
      <c r="P94" s="471">
        <f>ROUND(G94*I94,2)*9.42%+ROUND(H94*J94,2)*9.89%</f>
        <v>1528063.3660480003</v>
      </c>
      <c r="Q94" s="465">
        <f t="shared" si="51"/>
        <v>764031.68</v>
      </c>
      <c r="R94" s="50">
        <v>0.5</v>
      </c>
    </row>
    <row r="95" spans="1:26" x14ac:dyDescent="0.25">
      <c r="A95" s="329"/>
      <c r="B95" s="338" t="s">
        <v>185</v>
      </c>
      <c r="C95" s="100"/>
      <c r="D95" s="210"/>
      <c r="E95" s="210"/>
      <c r="F95" s="329"/>
      <c r="G95" s="386">
        <f t="shared" ref="G95:P95" si="52">G94-G93</f>
        <v>0</v>
      </c>
      <c r="H95" s="388">
        <f t="shared" si="52"/>
        <v>0</v>
      </c>
      <c r="I95" s="339">
        <f t="shared" si="52"/>
        <v>-0.41699999999999982</v>
      </c>
      <c r="J95" s="339">
        <f t="shared" si="52"/>
        <v>-0.41699999999999982</v>
      </c>
      <c r="K95" s="339">
        <f t="shared" si="52"/>
        <v>0</v>
      </c>
      <c r="L95" s="339">
        <f t="shared" si="52"/>
        <v>0</v>
      </c>
      <c r="M95" s="339">
        <f t="shared" si="52"/>
        <v>0</v>
      </c>
      <c r="N95" s="340">
        <f t="shared" si="52"/>
        <v>0</v>
      </c>
      <c r="O95" s="311">
        <f t="shared" si="52"/>
        <v>-2432487.0966299996</v>
      </c>
      <c r="P95" s="461">
        <f t="shared" si="52"/>
        <v>-235913.52155799977</v>
      </c>
      <c r="Q95" s="311">
        <f>Q94-Q93</f>
        <v>-117956.75999999989</v>
      </c>
      <c r="R95" s="462"/>
      <c r="S95" s="307" t="s">
        <v>186</v>
      </c>
      <c r="X95" s="350"/>
    </row>
    <row r="96" spans="1:26" x14ac:dyDescent="0.25">
      <c r="G96" s="307"/>
      <c r="H96" s="307"/>
      <c r="I96" s="307"/>
      <c r="J96" s="307"/>
      <c r="K96" s="307"/>
      <c r="X96" s="350"/>
    </row>
    <row r="97" spans="1:25" x14ac:dyDescent="0.25">
      <c r="A97" s="394"/>
      <c r="B97" s="321" t="s">
        <v>242</v>
      </c>
      <c r="C97" s="385"/>
      <c r="G97" s="307"/>
      <c r="H97" s="307"/>
      <c r="I97" s="307"/>
      <c r="J97" s="307"/>
      <c r="K97" s="307"/>
      <c r="U97" s="75"/>
      <c r="X97" s="350"/>
    </row>
    <row r="98" spans="1:25" x14ac:dyDescent="0.25">
      <c r="A98" s="313" t="s">
        <v>164</v>
      </c>
      <c r="B98" s="308"/>
      <c r="C98" s="322"/>
      <c r="D98" s="319" t="s">
        <v>19</v>
      </c>
      <c r="E98" s="318" t="s">
        <v>59</v>
      </c>
      <c r="F98" s="319" t="s">
        <v>27</v>
      </c>
      <c r="G98" s="320" t="s">
        <v>35</v>
      </c>
      <c r="H98" s="309" t="s">
        <v>36</v>
      </c>
      <c r="I98" s="309" t="s">
        <v>35</v>
      </c>
      <c r="J98" s="320" t="s">
        <v>36</v>
      </c>
      <c r="K98" s="320" t="s">
        <v>39</v>
      </c>
      <c r="L98" s="320" t="s">
        <v>40</v>
      </c>
      <c r="M98" s="320" t="s">
        <v>42</v>
      </c>
      <c r="N98" s="320" t="s">
        <v>2</v>
      </c>
      <c r="O98" s="323" t="s">
        <v>184</v>
      </c>
      <c r="P98" s="332" t="s">
        <v>166</v>
      </c>
      <c r="Q98" s="332" t="s">
        <v>188</v>
      </c>
      <c r="R98" s="310"/>
      <c r="U98" s="75"/>
      <c r="X98" s="350"/>
    </row>
    <row r="99" spans="1:25" x14ac:dyDescent="0.25">
      <c r="A99" s="26" t="s">
        <v>28</v>
      </c>
      <c r="B99" s="27" t="s">
        <v>162</v>
      </c>
      <c r="C99" s="62" t="s">
        <v>31</v>
      </c>
      <c r="D99" s="62" t="s">
        <v>30</v>
      </c>
      <c r="E99" s="62" t="s">
        <v>161</v>
      </c>
      <c r="F99" s="262" t="s">
        <v>56</v>
      </c>
      <c r="G99" s="312">
        <v>10073302.630000001</v>
      </c>
      <c r="H99" s="312">
        <v>9746635.0399999991</v>
      </c>
      <c r="I99" s="237">
        <v>1.9641</v>
      </c>
      <c r="J99" s="237">
        <v>1.9641</v>
      </c>
      <c r="K99" s="312"/>
      <c r="L99" s="312"/>
      <c r="M99" s="312"/>
      <c r="N99" s="312"/>
      <c r="O99" s="458">
        <f>G99*I99+H99*J99</f>
        <v>38928339.577647001</v>
      </c>
      <c r="P99" s="460">
        <f>ROUND(37.24%*(G99*I99+H99*J99),2)</f>
        <v>14496913.66</v>
      </c>
      <c r="Q99" s="460">
        <f t="shared" ref="Q99:Q100" si="53">ROUND(R99*P99,2)</f>
        <v>7248456.8300000001</v>
      </c>
      <c r="R99" s="275">
        <v>0.5</v>
      </c>
      <c r="U99" s="74"/>
      <c r="V99" s="350"/>
      <c r="W99" s="350"/>
      <c r="X99" s="350">
        <v>5975668.6299999999</v>
      </c>
      <c r="Y99" s="350">
        <v>4298512.8899999997</v>
      </c>
    </row>
    <row r="100" spans="1:25" x14ac:dyDescent="0.25">
      <c r="A100" s="326" t="s">
        <v>28</v>
      </c>
      <c r="B100" s="335" t="str">
        <f>B99</f>
        <v>88 GAS</v>
      </c>
      <c r="C100" s="336" t="s">
        <v>31</v>
      </c>
      <c r="D100" s="337" t="s">
        <v>190</v>
      </c>
      <c r="E100" s="337"/>
      <c r="F100" s="342" t="str">
        <f>F99</f>
        <v xml:space="preserve"> MM BTU</v>
      </c>
      <c r="G100" s="387">
        <f>+G99</f>
        <v>10073302.630000001</v>
      </c>
      <c r="H100" s="387">
        <f>+H99</f>
        <v>9746635.0399999991</v>
      </c>
      <c r="I100" s="328">
        <v>1.9588000000000001</v>
      </c>
      <c r="J100" s="328">
        <v>1.9588000000000001</v>
      </c>
      <c r="K100" s="328"/>
      <c r="L100" s="328"/>
      <c r="M100" s="328"/>
      <c r="N100" s="327"/>
      <c r="O100" s="464">
        <f>G100*I100+H100*J100</f>
        <v>38823293.907995999</v>
      </c>
      <c r="P100" s="465">
        <f>ROUND(37.24%*(G100*I100+H100*J100),2)</f>
        <v>14457794.65</v>
      </c>
      <c r="Q100" s="465">
        <f t="shared" si="53"/>
        <v>7228897.3300000001</v>
      </c>
      <c r="R100" s="50">
        <v>0.5</v>
      </c>
      <c r="U100" s="74"/>
      <c r="V100" s="350"/>
      <c r="W100" s="350"/>
      <c r="X100" s="350">
        <v>380524.01</v>
      </c>
      <c r="Y100" s="350">
        <v>345537.84</v>
      </c>
    </row>
    <row r="101" spans="1:25" x14ac:dyDescent="0.25">
      <c r="A101" s="329"/>
      <c r="B101" s="338" t="s">
        <v>185</v>
      </c>
      <c r="C101" s="100"/>
      <c r="D101" s="210"/>
      <c r="E101" s="210"/>
      <c r="F101" s="329"/>
      <c r="G101" s="386">
        <f t="shared" ref="G101:Q101" si="54">G100-G99</f>
        <v>0</v>
      </c>
      <c r="H101" s="388">
        <f t="shared" si="54"/>
        <v>0</v>
      </c>
      <c r="I101" s="339">
        <f t="shared" si="54"/>
        <v>-5.2999999999998604E-3</v>
      </c>
      <c r="J101" s="339">
        <f t="shared" si="54"/>
        <v>-5.2999999999998604E-3</v>
      </c>
      <c r="K101" s="339">
        <f t="shared" si="54"/>
        <v>0</v>
      </c>
      <c r="L101" s="339">
        <f t="shared" si="54"/>
        <v>0</v>
      </c>
      <c r="M101" s="339">
        <f t="shared" si="54"/>
        <v>0</v>
      </c>
      <c r="N101" s="340">
        <f t="shared" si="54"/>
        <v>0</v>
      </c>
      <c r="O101" s="311">
        <f t="shared" si="54"/>
        <v>-105045.66965100169</v>
      </c>
      <c r="P101" s="461">
        <f t="shared" si="54"/>
        <v>-39119.009999999776</v>
      </c>
      <c r="Q101" s="311">
        <f t="shared" si="54"/>
        <v>-19559.5</v>
      </c>
      <c r="R101" s="462"/>
      <c r="S101" s="307" t="s">
        <v>186</v>
      </c>
      <c r="V101" s="350"/>
      <c r="W101" s="350"/>
      <c r="X101" s="350">
        <f>SUM(X99:X100)</f>
        <v>6356192.6399999997</v>
      </c>
      <c r="Y101" s="350">
        <f>SUM(Y99:Y100)</f>
        <v>4644050.7299999995</v>
      </c>
    </row>
    <row r="102" spans="1:25" x14ac:dyDescent="0.25">
      <c r="G102" s="307"/>
      <c r="H102" s="307"/>
      <c r="I102" s="307"/>
      <c r="J102" s="307"/>
      <c r="K102" s="307"/>
      <c r="V102" s="524"/>
      <c r="W102" s="524">
        <v>5975668.6299999999</v>
      </c>
      <c r="X102" s="350"/>
      <c r="Y102" s="350"/>
    </row>
    <row r="103" spans="1:25" x14ac:dyDescent="0.25">
      <c r="A103" s="394"/>
      <c r="B103" s="321" t="s">
        <v>241</v>
      </c>
      <c r="C103" s="385"/>
      <c r="G103" s="307"/>
      <c r="H103" s="307"/>
      <c r="I103" s="307"/>
      <c r="J103" s="307"/>
      <c r="K103" s="307"/>
      <c r="U103" s="75"/>
      <c r="V103" s="524"/>
      <c r="W103" s="524">
        <v>380524.01</v>
      </c>
      <c r="X103" s="526"/>
    </row>
    <row r="104" spans="1:25" x14ac:dyDescent="0.25">
      <c r="A104" s="313" t="s">
        <v>164</v>
      </c>
      <c r="B104" s="308"/>
      <c r="C104" s="322"/>
      <c r="D104" s="319" t="s">
        <v>19</v>
      </c>
      <c r="E104" s="318" t="s">
        <v>59</v>
      </c>
      <c r="F104" s="319" t="s">
        <v>27</v>
      </c>
      <c r="G104" s="320" t="s">
        <v>35</v>
      </c>
      <c r="H104" s="309" t="s">
        <v>36</v>
      </c>
      <c r="I104" s="309" t="s">
        <v>35</v>
      </c>
      <c r="J104" s="320" t="s">
        <v>36</v>
      </c>
      <c r="K104" s="320" t="s">
        <v>39</v>
      </c>
      <c r="L104" s="320" t="s">
        <v>40</v>
      </c>
      <c r="M104" s="320" t="s">
        <v>42</v>
      </c>
      <c r="N104" s="320" t="s">
        <v>2</v>
      </c>
      <c r="O104" s="323" t="s">
        <v>184</v>
      </c>
      <c r="P104" s="332" t="s">
        <v>166</v>
      </c>
      <c r="Q104" s="332" t="s">
        <v>188</v>
      </c>
      <c r="R104" s="310"/>
      <c r="U104" s="75"/>
      <c r="V104" s="527"/>
      <c r="W104" s="527">
        <f>SUM(W102:W103)</f>
        <v>6356192.6399999997</v>
      </c>
      <c r="X104" s="524"/>
    </row>
    <row r="105" spans="1:25" x14ac:dyDescent="0.25">
      <c r="A105" s="26" t="s">
        <v>28</v>
      </c>
      <c r="B105" s="27" t="s">
        <v>162</v>
      </c>
      <c r="C105" s="62" t="s">
        <v>31</v>
      </c>
      <c r="D105" s="62" t="s">
        <v>30</v>
      </c>
      <c r="E105" s="62" t="s">
        <v>161</v>
      </c>
      <c r="F105" s="262" t="s">
        <v>56</v>
      </c>
      <c r="G105" s="312">
        <v>7816183.6699999999</v>
      </c>
      <c r="H105" s="312">
        <v>8555912.25</v>
      </c>
      <c r="I105" s="237">
        <v>1.9641</v>
      </c>
      <c r="J105" s="237">
        <v>1.9641</v>
      </c>
      <c r="K105" s="312"/>
      <c r="L105" s="312"/>
      <c r="M105" s="312"/>
      <c r="N105" s="312"/>
      <c r="O105" s="245">
        <f>G105*I105+H105*J105</f>
        <v>32156433.596471999</v>
      </c>
      <c r="P105" s="281">
        <f>ROUND(37.24%*(G105*I105+H105*J105),2)</f>
        <v>11975055.869999999</v>
      </c>
      <c r="Q105" s="243">
        <f t="shared" ref="Q105:Q106" si="55">ROUND(R105*P105,2)</f>
        <v>5987527.9400000004</v>
      </c>
      <c r="R105" s="244">
        <v>0.5</v>
      </c>
      <c r="U105" s="74"/>
      <c r="V105" s="527"/>
      <c r="W105" s="524"/>
      <c r="X105" s="525"/>
    </row>
    <row r="106" spans="1:25" x14ac:dyDescent="0.25">
      <c r="A106" s="326" t="s">
        <v>28</v>
      </c>
      <c r="B106" s="335" t="str">
        <f>B105</f>
        <v>88 GAS</v>
      </c>
      <c r="C106" s="336" t="s">
        <v>31</v>
      </c>
      <c r="D106" s="337" t="s">
        <v>190</v>
      </c>
      <c r="E106" s="337"/>
      <c r="F106" s="342" t="str">
        <f>F105</f>
        <v xml:space="preserve"> MM BTU</v>
      </c>
      <c r="G106" s="387">
        <f>+G105</f>
        <v>7816183.6699999999</v>
      </c>
      <c r="H106" s="387">
        <f>+H105</f>
        <v>8555912.25</v>
      </c>
      <c r="I106" s="328">
        <v>2.1093999999999999</v>
      </c>
      <c r="J106" s="328">
        <v>2.1093999999999999</v>
      </c>
      <c r="K106" s="328"/>
      <c r="L106" s="328"/>
      <c r="M106" s="328"/>
      <c r="N106" s="327"/>
      <c r="O106" s="464">
        <f>G106*I106+H106*J106</f>
        <v>34535299.133648001</v>
      </c>
      <c r="P106" s="465">
        <f>ROUND(37.24%*(G106*I106+H106*J106),2)</f>
        <v>12860945.4</v>
      </c>
      <c r="Q106" s="465">
        <f t="shared" si="55"/>
        <v>6430472.7000000002</v>
      </c>
      <c r="R106" s="50">
        <v>0.5</v>
      </c>
      <c r="U106" s="74"/>
      <c r="V106" s="527"/>
      <c r="W106" s="527"/>
      <c r="X106" s="527"/>
    </row>
    <row r="107" spans="1:25" x14ac:dyDescent="0.25">
      <c r="A107" s="329"/>
      <c r="B107" s="338" t="s">
        <v>185</v>
      </c>
      <c r="C107" s="100"/>
      <c r="D107" s="210"/>
      <c r="E107" s="210"/>
      <c r="F107" s="329"/>
      <c r="G107" s="386">
        <f t="shared" ref="G107:Q107" si="56">G106-G105</f>
        <v>0</v>
      </c>
      <c r="H107" s="388">
        <f t="shared" si="56"/>
        <v>0</v>
      </c>
      <c r="I107" s="339">
        <f t="shared" si="56"/>
        <v>0.14529999999999998</v>
      </c>
      <c r="J107" s="339">
        <f t="shared" si="56"/>
        <v>0.14529999999999998</v>
      </c>
      <c r="K107" s="339">
        <f t="shared" si="56"/>
        <v>0</v>
      </c>
      <c r="L107" s="339">
        <f t="shared" si="56"/>
        <v>0</v>
      </c>
      <c r="M107" s="339">
        <f t="shared" si="56"/>
        <v>0</v>
      </c>
      <c r="N107" s="340">
        <f t="shared" si="56"/>
        <v>0</v>
      </c>
      <c r="O107" s="311">
        <f t="shared" si="56"/>
        <v>2378865.5371760018</v>
      </c>
      <c r="P107" s="461">
        <f t="shared" si="56"/>
        <v>885889.53000000119</v>
      </c>
      <c r="Q107" s="311">
        <f t="shared" si="56"/>
        <v>442944.75999999978</v>
      </c>
      <c r="R107" s="462"/>
      <c r="S107" s="307" t="s">
        <v>186</v>
      </c>
    </row>
    <row r="108" spans="1:25" x14ac:dyDescent="0.25">
      <c r="G108" s="307"/>
      <c r="H108" s="307"/>
      <c r="I108" s="307"/>
      <c r="J108" s="307"/>
      <c r="K108" s="307"/>
    </row>
    <row r="109" spans="1:25" x14ac:dyDescent="0.25">
      <c r="A109" s="394"/>
      <c r="B109" s="321" t="s">
        <v>241</v>
      </c>
      <c r="C109" s="385"/>
      <c r="G109" s="307"/>
      <c r="H109" s="307"/>
      <c r="I109" s="307"/>
      <c r="J109" s="307"/>
      <c r="K109" s="307"/>
      <c r="U109" s="75"/>
      <c r="V109" s="350"/>
      <c r="W109" s="350"/>
      <c r="X109" s="75"/>
    </row>
    <row r="110" spans="1:25" x14ac:dyDescent="0.25">
      <c r="A110" s="313" t="s">
        <v>164</v>
      </c>
      <c r="B110" s="308"/>
      <c r="C110" s="322"/>
      <c r="D110" s="319" t="s">
        <v>19</v>
      </c>
      <c r="E110" s="318" t="s">
        <v>59</v>
      </c>
      <c r="F110" s="319" t="s">
        <v>27</v>
      </c>
      <c r="G110" s="320" t="s">
        <v>35</v>
      </c>
      <c r="H110" s="309" t="s">
        <v>36</v>
      </c>
      <c r="I110" s="309" t="s">
        <v>35</v>
      </c>
      <c r="J110" s="320" t="s">
        <v>36</v>
      </c>
      <c r="K110" s="320" t="s">
        <v>39</v>
      </c>
      <c r="L110" s="320" t="s">
        <v>40</v>
      </c>
      <c r="M110" s="320" t="s">
        <v>42</v>
      </c>
      <c r="N110" s="320" t="s">
        <v>2</v>
      </c>
      <c r="O110" s="323" t="s">
        <v>184</v>
      </c>
      <c r="P110" s="332" t="s">
        <v>166</v>
      </c>
      <c r="Q110" s="332" t="s">
        <v>188</v>
      </c>
      <c r="R110" s="310"/>
      <c r="U110" s="75"/>
      <c r="V110" s="350"/>
      <c r="W110" s="351"/>
      <c r="X110" s="350"/>
    </row>
    <row r="111" spans="1:25" x14ac:dyDescent="0.25">
      <c r="A111" s="26" t="s">
        <v>28</v>
      </c>
      <c r="B111" s="32" t="s">
        <v>179</v>
      </c>
      <c r="C111" s="62" t="s">
        <v>31</v>
      </c>
      <c r="D111" s="62" t="s">
        <v>30</v>
      </c>
      <c r="E111" s="62" t="s">
        <v>161</v>
      </c>
      <c r="F111" s="262" t="s">
        <v>37</v>
      </c>
      <c r="G111" s="312">
        <v>152939</v>
      </c>
      <c r="H111" s="312">
        <v>223448</v>
      </c>
      <c r="I111" s="237">
        <v>38.984499999999997</v>
      </c>
      <c r="J111" s="237">
        <v>38.186799999999998</v>
      </c>
      <c r="K111" s="467"/>
      <c r="L111" s="468"/>
      <c r="M111" s="468"/>
      <c r="N111" s="467"/>
      <c r="O111" s="245">
        <f t="shared" ref="O111:O112" si="57">G111*I111+H111*J111</f>
        <v>14495014.5319</v>
      </c>
      <c r="P111" s="281">
        <f>ROUND(G111*I111,2)*6.22%+ROUND(H111*J111,2)*6.42%</f>
        <v>918655.43256799993</v>
      </c>
      <c r="Q111" s="243">
        <f t="shared" ref="Q111:Q112" si="58">ROUND(R111*P111,2)</f>
        <v>459327.72</v>
      </c>
      <c r="R111" s="244">
        <v>0.5</v>
      </c>
    </row>
    <row r="112" spans="1:25" x14ac:dyDescent="0.25">
      <c r="A112" s="326" t="s">
        <v>28</v>
      </c>
      <c r="B112" s="335" t="str">
        <f>B111</f>
        <v>57 LGN</v>
      </c>
      <c r="C112" s="336" t="s">
        <v>31</v>
      </c>
      <c r="D112" s="337" t="s">
        <v>190</v>
      </c>
      <c r="E112" s="337"/>
      <c r="F112" s="342" t="str">
        <f>F111</f>
        <v>Bls</v>
      </c>
      <c r="G112" s="387">
        <f>+G111</f>
        <v>152939</v>
      </c>
      <c r="H112" s="387">
        <f>+H111</f>
        <v>223448</v>
      </c>
      <c r="I112" s="328">
        <v>38.610500000000002</v>
      </c>
      <c r="J112" s="328">
        <v>37.812800000000003</v>
      </c>
      <c r="K112" s="328"/>
      <c r="L112" s="328"/>
      <c r="M112" s="328"/>
      <c r="N112" s="327"/>
      <c r="O112" s="464">
        <f t="shared" si="57"/>
        <v>14354245.793900002</v>
      </c>
      <c r="P112" s="465">
        <f>ROUND(G112*I112,2)*6.22%+ROUND(H112*J112,2)*6.42%</f>
        <v>909732.47719799995</v>
      </c>
      <c r="Q112" s="465">
        <f t="shared" si="58"/>
        <v>454866.24</v>
      </c>
      <c r="R112" s="50">
        <v>0.5</v>
      </c>
    </row>
    <row r="113" spans="1:21" x14ac:dyDescent="0.25">
      <c r="A113" s="329"/>
      <c r="B113" s="338" t="s">
        <v>185</v>
      </c>
      <c r="C113" s="100"/>
      <c r="D113" s="210"/>
      <c r="E113" s="210"/>
      <c r="F113" s="329"/>
      <c r="G113" s="386">
        <f t="shared" ref="G113:P113" si="59">G112-G111</f>
        <v>0</v>
      </c>
      <c r="H113" s="388">
        <f t="shared" si="59"/>
        <v>0</v>
      </c>
      <c r="I113" s="339">
        <f t="shared" si="59"/>
        <v>-0.37399999999999523</v>
      </c>
      <c r="J113" s="339">
        <f t="shared" si="59"/>
        <v>-0.37399999999999523</v>
      </c>
      <c r="K113" s="339">
        <f t="shared" si="59"/>
        <v>0</v>
      </c>
      <c r="L113" s="339">
        <f t="shared" si="59"/>
        <v>0</v>
      </c>
      <c r="M113" s="339">
        <f t="shared" si="59"/>
        <v>0</v>
      </c>
      <c r="N113" s="340">
        <f t="shared" si="59"/>
        <v>0</v>
      </c>
      <c r="O113" s="311">
        <f t="shared" si="59"/>
        <v>-140768.73799999803</v>
      </c>
      <c r="P113" s="461">
        <f t="shared" si="59"/>
        <v>-8922.9553699999815</v>
      </c>
      <c r="Q113" s="311">
        <f>Q112-Q111</f>
        <v>-4461.4799999999814</v>
      </c>
      <c r="R113" s="462"/>
      <c r="S113" s="307" t="s">
        <v>186</v>
      </c>
    </row>
    <row r="114" spans="1:21" x14ac:dyDescent="0.25">
      <c r="G114" s="307"/>
      <c r="H114" s="307"/>
      <c r="I114" s="307"/>
      <c r="J114" s="307"/>
      <c r="K114" s="307"/>
    </row>
    <row r="115" spans="1:21" x14ac:dyDescent="0.25">
      <c r="A115" s="394" t="s">
        <v>205</v>
      </c>
      <c r="B115" s="321" t="s">
        <v>241</v>
      </c>
      <c r="G115" s="307"/>
      <c r="H115" s="307"/>
      <c r="I115" s="307"/>
      <c r="J115" s="307"/>
      <c r="K115" s="307"/>
      <c r="N115" s="395"/>
    </row>
    <row r="116" spans="1:21" x14ac:dyDescent="0.25">
      <c r="A116" s="313" t="s">
        <v>164</v>
      </c>
      <c r="B116" s="308"/>
      <c r="C116" s="322"/>
      <c r="D116" s="319" t="s">
        <v>19</v>
      </c>
      <c r="E116" s="318" t="s">
        <v>59</v>
      </c>
      <c r="F116" s="319" t="s">
        <v>27</v>
      </c>
      <c r="G116" s="320"/>
      <c r="H116" s="309"/>
      <c r="I116" s="309"/>
      <c r="J116" s="320"/>
      <c r="K116" s="320" t="s">
        <v>39</v>
      </c>
      <c r="L116" s="320" t="s">
        <v>40</v>
      </c>
      <c r="M116" s="320" t="s">
        <v>42</v>
      </c>
      <c r="N116" s="397" t="s">
        <v>2</v>
      </c>
      <c r="O116" s="323" t="s">
        <v>184</v>
      </c>
      <c r="P116" s="332" t="s">
        <v>166</v>
      </c>
      <c r="Q116" s="332" t="s">
        <v>43</v>
      </c>
      <c r="R116" s="310"/>
      <c r="S116" s="332" t="s">
        <v>44</v>
      </c>
      <c r="T116" s="310"/>
    </row>
    <row r="117" spans="1:21" x14ac:dyDescent="0.25">
      <c r="A117" s="324" t="s">
        <v>28</v>
      </c>
      <c r="B117" s="325" t="s">
        <v>228</v>
      </c>
      <c r="C117" s="260" t="s">
        <v>31</v>
      </c>
      <c r="D117" s="334" t="s">
        <v>21</v>
      </c>
      <c r="E117" s="334" t="s">
        <v>101</v>
      </c>
      <c r="F117" s="506" t="s">
        <v>37</v>
      </c>
      <c r="G117" s="225">
        <v>46815</v>
      </c>
      <c r="H117" s="225">
        <v>59830</v>
      </c>
      <c r="I117" s="223">
        <v>66.247200000000007</v>
      </c>
      <c r="J117" s="223">
        <v>66.767899999999997</v>
      </c>
      <c r="K117" s="225"/>
      <c r="L117" s="225"/>
      <c r="M117" s="225"/>
      <c r="N117" s="225"/>
      <c r="O117" s="507">
        <f>ROUND(G117*I117,2)+ROUND(H117*J117,2)-K117-L117-M117-N117</f>
        <v>7096086.1299999999</v>
      </c>
      <c r="P117" s="508">
        <f>ROUND(18.75%*O117,2)</f>
        <v>1330516.1499999999</v>
      </c>
      <c r="Q117" s="508">
        <f>ROUND($O117*R117,2)</f>
        <v>1064412.92</v>
      </c>
      <c r="R117" s="509">
        <v>0.15</v>
      </c>
      <c r="S117" s="508">
        <f t="shared" ref="S117:S118" si="60">ROUND($O117*T117,2)</f>
        <v>266103.23</v>
      </c>
      <c r="T117" s="510">
        <v>3.7499999999999999E-2</v>
      </c>
    </row>
    <row r="118" spans="1:21" x14ac:dyDescent="0.25">
      <c r="A118" s="326" t="s">
        <v>28</v>
      </c>
      <c r="B118" s="335" t="str">
        <f>B117</f>
        <v>VII-VI Petroleo</v>
      </c>
      <c r="C118" s="62" t="s">
        <v>31</v>
      </c>
      <c r="D118" s="62" t="s">
        <v>21</v>
      </c>
      <c r="E118" s="62" t="s">
        <v>101</v>
      </c>
      <c r="F118" s="342" t="str">
        <f>F117</f>
        <v>Bls</v>
      </c>
      <c r="G118" s="327">
        <f>+G117</f>
        <v>46815</v>
      </c>
      <c r="H118" s="327">
        <f t="shared" ref="H118" si="61">+H117</f>
        <v>59830</v>
      </c>
      <c r="I118" s="476">
        <v>66.025999999999996</v>
      </c>
      <c r="J118" s="476">
        <v>66.546700000000001</v>
      </c>
      <c r="K118" s="328"/>
      <c r="L118" s="328"/>
      <c r="M118" s="328"/>
      <c r="N118" s="455"/>
      <c r="O118" s="245">
        <f>ROUND(G118*I118,2)+ROUND(H118*J118,2)-K118-L118-M118-N118</f>
        <v>7072496.25</v>
      </c>
      <c r="P118" s="243">
        <f>ROUND(18.75%*O118,2)</f>
        <v>1326093.05</v>
      </c>
      <c r="Q118" s="243">
        <f>ROUND($O118*R118,2)</f>
        <v>1060874.44</v>
      </c>
      <c r="R118" s="244">
        <v>0.15</v>
      </c>
      <c r="S118" s="243">
        <f t="shared" si="60"/>
        <v>265218.61</v>
      </c>
      <c r="T118" s="286">
        <v>3.7499999999999999E-2</v>
      </c>
    </row>
    <row r="119" spans="1:21" x14ac:dyDescent="0.25">
      <c r="A119" s="329"/>
      <c r="B119" s="338" t="s">
        <v>185</v>
      </c>
      <c r="C119" s="100"/>
      <c r="D119" s="210"/>
      <c r="E119" s="210"/>
      <c r="F119" s="329"/>
      <c r="G119" s="386">
        <f>+G118-G117</f>
        <v>0</v>
      </c>
      <c r="H119" s="386">
        <f t="shared" ref="H119:J119" si="62">+H118-H117</f>
        <v>0</v>
      </c>
      <c r="I119" s="490">
        <f t="shared" si="62"/>
        <v>-0.22120000000001028</v>
      </c>
      <c r="J119" s="490">
        <f t="shared" si="62"/>
        <v>-0.22119999999999607</v>
      </c>
      <c r="K119" s="389">
        <f t="shared" ref="K119:Q119" si="63">K118-K117</f>
        <v>0</v>
      </c>
      <c r="L119" s="389">
        <f t="shared" si="63"/>
        <v>0</v>
      </c>
      <c r="M119" s="389">
        <f t="shared" si="63"/>
        <v>0</v>
      </c>
      <c r="N119" s="399">
        <f t="shared" si="63"/>
        <v>0</v>
      </c>
      <c r="O119" s="311">
        <f t="shared" si="63"/>
        <v>-23589.879999999888</v>
      </c>
      <c r="P119" s="461">
        <f t="shared" si="63"/>
        <v>-4423.0999999998603</v>
      </c>
      <c r="Q119" s="311">
        <f t="shared" si="63"/>
        <v>-3538.4799999999814</v>
      </c>
      <c r="R119" s="462"/>
      <c r="S119" s="311">
        <f>+S118-S117</f>
        <v>-884.61999999999534</v>
      </c>
      <c r="T119" s="371"/>
      <c r="U119" s="307" t="s">
        <v>186</v>
      </c>
    </row>
    <row r="120" spans="1:21" x14ac:dyDescent="0.25">
      <c r="G120" s="307"/>
      <c r="H120" s="307"/>
      <c r="I120" s="307"/>
      <c r="J120" s="307"/>
      <c r="K120" s="307"/>
    </row>
    <row r="121" spans="1:21" x14ac:dyDescent="0.25">
      <c r="A121" s="394" t="s">
        <v>203</v>
      </c>
      <c r="B121" s="321" t="s">
        <v>247</v>
      </c>
      <c r="G121" s="307"/>
      <c r="H121" s="307"/>
      <c r="I121" s="307"/>
      <c r="J121" s="307"/>
      <c r="K121" s="307"/>
    </row>
    <row r="122" spans="1:21" x14ac:dyDescent="0.25">
      <c r="A122" s="313" t="s">
        <v>24</v>
      </c>
      <c r="B122" s="308"/>
      <c r="C122" s="322"/>
      <c r="D122" s="319" t="s">
        <v>19</v>
      </c>
      <c r="E122" s="318" t="s">
        <v>59</v>
      </c>
      <c r="F122" s="319" t="s">
        <v>27</v>
      </c>
      <c r="G122" s="320" t="s">
        <v>35</v>
      </c>
      <c r="H122" s="309" t="s">
        <v>36</v>
      </c>
      <c r="I122" s="309" t="s">
        <v>35</v>
      </c>
      <c r="J122" s="320" t="s">
        <v>36</v>
      </c>
      <c r="K122" s="320" t="s">
        <v>39</v>
      </c>
      <c r="L122" s="320" t="s">
        <v>40</v>
      </c>
      <c r="M122" s="320" t="s">
        <v>42</v>
      </c>
      <c r="N122" s="320" t="s">
        <v>2</v>
      </c>
      <c r="O122" s="323" t="s">
        <v>184</v>
      </c>
      <c r="P122" s="323" t="s">
        <v>1</v>
      </c>
      <c r="Q122" s="499" t="s">
        <v>243</v>
      </c>
      <c r="R122" s="310"/>
      <c r="S122" s="499" t="s">
        <v>48</v>
      </c>
      <c r="T122" s="310"/>
    </row>
    <row r="123" spans="1:21" x14ac:dyDescent="0.25">
      <c r="A123" s="324" t="s">
        <v>28</v>
      </c>
      <c r="B123" s="325">
        <v>67</v>
      </c>
      <c r="C123" s="260" t="s">
        <v>31</v>
      </c>
      <c r="D123" s="512" t="s">
        <v>189</v>
      </c>
      <c r="E123" s="512"/>
      <c r="F123" s="513" t="s">
        <v>37</v>
      </c>
      <c r="G123" s="468">
        <v>78837</v>
      </c>
      <c r="H123" s="468">
        <v>61347</v>
      </c>
      <c r="I123" s="475">
        <v>5.3528000000000002</v>
      </c>
      <c r="J123" s="475">
        <v>3.6101999999999999</v>
      </c>
      <c r="K123" s="514"/>
      <c r="L123" s="514"/>
      <c r="M123" s="514"/>
      <c r="N123" s="514"/>
      <c r="O123" s="515">
        <f t="shared" ref="O123:O124" si="64">ROUND(G123*I123,2)+ROUND(H123*J123,2)-K123-L123-M123-N123</f>
        <v>643473.63</v>
      </c>
      <c r="P123" s="516">
        <f t="shared" ref="P123" si="65">ROUND(18.75%*O123,2)</f>
        <v>120651.31</v>
      </c>
      <c r="Q123" s="516">
        <f>ROUND($O123*R123,2)</f>
        <v>96521.04</v>
      </c>
      <c r="R123" s="517">
        <v>0.15</v>
      </c>
      <c r="S123" s="516">
        <f t="shared" ref="S123:S124" si="66">ROUND($O123*T123,2)</f>
        <v>24130.26</v>
      </c>
      <c r="T123" s="518">
        <v>3.7499999999999999E-2</v>
      </c>
    </row>
    <row r="124" spans="1:21" x14ac:dyDescent="0.25">
      <c r="A124" s="326" t="s">
        <v>28</v>
      </c>
      <c r="B124" s="500">
        <f>B123</f>
        <v>67</v>
      </c>
      <c r="C124" s="62" t="s">
        <v>31</v>
      </c>
      <c r="D124" s="519" t="s">
        <v>190</v>
      </c>
      <c r="E124" s="337"/>
      <c r="F124" s="336" t="s">
        <v>37</v>
      </c>
      <c r="G124" s="469">
        <f>G123</f>
        <v>78837</v>
      </c>
      <c r="H124" s="469">
        <f>H123</f>
        <v>61347</v>
      </c>
      <c r="I124" s="476">
        <v>1.7827999999999999</v>
      </c>
      <c r="J124" s="520">
        <v>4.02E-2</v>
      </c>
      <c r="K124" s="470"/>
      <c r="L124" s="470"/>
      <c r="M124" s="470"/>
      <c r="N124" s="470"/>
      <c r="O124" s="464">
        <f t="shared" si="64"/>
        <v>143016.75</v>
      </c>
      <c r="P124" s="465">
        <f>ROUND(18.75%*O124,2)</f>
        <v>26815.64</v>
      </c>
      <c r="Q124" s="465">
        <f>ROUND($O124*R124,2)</f>
        <v>21452.51</v>
      </c>
      <c r="R124" s="50">
        <v>0.15</v>
      </c>
      <c r="S124" s="465">
        <f t="shared" si="66"/>
        <v>5363.13</v>
      </c>
      <c r="T124" s="466">
        <v>3.7499999999999999E-2</v>
      </c>
    </row>
    <row r="125" spans="1:21" x14ac:dyDescent="0.25">
      <c r="A125" s="329"/>
      <c r="B125" s="502" t="s">
        <v>185</v>
      </c>
      <c r="C125" s="100"/>
      <c r="D125" s="210"/>
      <c r="E125" s="210"/>
      <c r="F125" s="329"/>
      <c r="G125" s="503">
        <f t="shared" ref="G125:Q125" si="67">G124-G123</f>
        <v>0</v>
      </c>
      <c r="H125" s="504">
        <f t="shared" si="67"/>
        <v>0</v>
      </c>
      <c r="I125" s="490">
        <f t="shared" si="67"/>
        <v>-3.5700000000000003</v>
      </c>
      <c r="J125" s="490">
        <f t="shared" si="67"/>
        <v>-3.57</v>
      </c>
      <c r="K125" s="505">
        <f t="shared" si="67"/>
        <v>0</v>
      </c>
      <c r="L125" s="505">
        <f t="shared" si="67"/>
        <v>0</v>
      </c>
      <c r="M125" s="505">
        <f t="shared" si="67"/>
        <v>0</v>
      </c>
      <c r="N125" s="505">
        <f t="shared" si="67"/>
        <v>0</v>
      </c>
      <c r="O125" s="330">
        <f t="shared" si="67"/>
        <v>-500456.88</v>
      </c>
      <c r="P125" s="331">
        <f t="shared" si="67"/>
        <v>-93835.67</v>
      </c>
      <c r="Q125" s="330">
        <f t="shared" si="67"/>
        <v>-75068.53</v>
      </c>
      <c r="R125" s="341"/>
      <c r="S125" s="330">
        <f>S124-S123</f>
        <v>-18767.129999999997</v>
      </c>
      <c r="T125" s="341"/>
      <c r="U125" s="307" t="s">
        <v>186</v>
      </c>
    </row>
    <row r="126" spans="1:21" x14ac:dyDescent="0.25">
      <c r="G126" s="307"/>
      <c r="H126" s="307"/>
      <c r="I126" s="307"/>
      <c r="J126" s="307"/>
      <c r="K126" s="307"/>
      <c r="O126" s="346"/>
      <c r="P126" s="346"/>
      <c r="Q126" s="346"/>
      <c r="R126" s="346"/>
      <c r="S126" s="346"/>
      <c r="T126" s="346"/>
    </row>
    <row r="127" spans="1:21" x14ac:dyDescent="0.25">
      <c r="A127" s="452"/>
      <c r="B127" s="321" t="s">
        <v>248</v>
      </c>
      <c r="G127" s="307"/>
      <c r="H127" s="307"/>
      <c r="I127" s="307"/>
      <c r="J127" s="307"/>
      <c r="K127" s="307"/>
    </row>
    <row r="128" spans="1:21" x14ac:dyDescent="0.25">
      <c r="A128" s="313" t="s">
        <v>24</v>
      </c>
      <c r="B128" s="308"/>
      <c r="C128" s="322"/>
      <c r="D128" s="319" t="s">
        <v>19</v>
      </c>
      <c r="E128" s="318" t="s">
        <v>59</v>
      </c>
      <c r="F128" s="319" t="s">
        <v>27</v>
      </c>
      <c r="G128" s="320" t="s">
        <v>35</v>
      </c>
      <c r="H128" s="309" t="s">
        <v>36</v>
      </c>
      <c r="I128" s="309" t="s">
        <v>35</v>
      </c>
      <c r="J128" s="320" t="s">
        <v>36</v>
      </c>
      <c r="K128" s="320" t="s">
        <v>39</v>
      </c>
      <c r="L128" s="320" t="s">
        <v>40</v>
      </c>
      <c r="M128" s="320" t="s">
        <v>42</v>
      </c>
      <c r="N128" s="320" t="s">
        <v>2</v>
      </c>
      <c r="O128" s="323" t="s">
        <v>184</v>
      </c>
      <c r="P128" s="323" t="s">
        <v>1</v>
      </c>
      <c r="Q128" s="499" t="s">
        <v>243</v>
      </c>
      <c r="R128" s="310"/>
      <c r="S128" s="499" t="s">
        <v>48</v>
      </c>
      <c r="T128" s="310"/>
    </row>
    <row r="129" spans="1:21" x14ac:dyDescent="0.25">
      <c r="A129" s="324" t="s">
        <v>28</v>
      </c>
      <c r="B129" s="325">
        <v>67</v>
      </c>
      <c r="C129" s="260" t="s">
        <v>31</v>
      </c>
      <c r="D129" s="334" t="s">
        <v>189</v>
      </c>
      <c r="E129" s="334"/>
      <c r="F129" s="506" t="s">
        <v>37</v>
      </c>
      <c r="G129" s="312">
        <v>53168</v>
      </c>
      <c r="H129" s="312">
        <v>28318</v>
      </c>
      <c r="I129" s="237">
        <v>10.5145</v>
      </c>
      <c r="J129" s="237">
        <v>11.567299999999999</v>
      </c>
      <c r="K129" s="225"/>
      <c r="L129" s="225"/>
      <c r="M129" s="225"/>
      <c r="N129" s="225"/>
      <c r="O129" s="507">
        <f t="shared" ref="O129:O130" si="68">ROUND(G129*I129,2)+ROUND(H129*J129,2)-K129-L129-M129-N129</f>
        <v>886597.74</v>
      </c>
      <c r="P129" s="508">
        <f t="shared" ref="P129:P130" si="69">ROUND(18.75%*O129,2)</f>
        <v>166237.07999999999</v>
      </c>
      <c r="Q129" s="508">
        <f t="shared" ref="Q129:Q130" si="70">ROUND($O129*R129,2)</f>
        <v>132989.66</v>
      </c>
      <c r="R129" s="509">
        <v>0.15</v>
      </c>
      <c r="S129" s="508">
        <f t="shared" ref="S129:S130" si="71">ROUND($O129*T129,2)</f>
        <v>33247.42</v>
      </c>
      <c r="T129" s="510">
        <v>3.7499999999999999E-2</v>
      </c>
    </row>
    <row r="130" spans="1:21" x14ac:dyDescent="0.25">
      <c r="A130" s="326" t="s">
        <v>28</v>
      </c>
      <c r="B130" s="500">
        <f>B129</f>
        <v>67</v>
      </c>
      <c r="C130" s="62" t="s">
        <v>31</v>
      </c>
      <c r="D130" s="337" t="s">
        <v>190</v>
      </c>
      <c r="E130" s="337"/>
      <c r="F130" s="260" t="s">
        <v>37</v>
      </c>
      <c r="G130" s="469">
        <f>G129</f>
        <v>53168</v>
      </c>
      <c r="H130" s="469">
        <f>H129</f>
        <v>28318</v>
      </c>
      <c r="I130" s="476">
        <v>6.9444999999999997</v>
      </c>
      <c r="J130" s="520">
        <v>7.9973000000000001</v>
      </c>
      <c r="K130" s="239"/>
      <c r="L130" s="239"/>
      <c r="M130" s="239"/>
      <c r="N130" s="239"/>
      <c r="O130" s="344">
        <f t="shared" si="68"/>
        <v>595692.72</v>
      </c>
      <c r="P130" s="345">
        <f t="shared" si="69"/>
        <v>111692.39</v>
      </c>
      <c r="Q130" s="345">
        <f t="shared" si="70"/>
        <v>89353.91</v>
      </c>
      <c r="R130" s="252">
        <v>0.15</v>
      </c>
      <c r="S130" s="345">
        <f t="shared" si="71"/>
        <v>22338.48</v>
      </c>
      <c r="T130" s="501">
        <v>3.7499999999999999E-2</v>
      </c>
    </row>
    <row r="131" spans="1:21" x14ac:dyDescent="0.25">
      <c r="A131" s="329"/>
      <c r="B131" s="502" t="s">
        <v>185</v>
      </c>
      <c r="C131" s="100"/>
      <c r="D131" s="210"/>
      <c r="E131" s="210"/>
      <c r="F131" s="329"/>
      <c r="G131" s="503">
        <f t="shared" ref="G131:Q131" si="72">G130-G129</f>
        <v>0</v>
      </c>
      <c r="H131" s="504">
        <f t="shared" si="72"/>
        <v>0</v>
      </c>
      <c r="I131" s="490">
        <f t="shared" si="72"/>
        <v>-3.5700000000000003</v>
      </c>
      <c r="J131" s="490">
        <f t="shared" si="72"/>
        <v>-3.5699999999999994</v>
      </c>
      <c r="K131" s="505">
        <f t="shared" si="72"/>
        <v>0</v>
      </c>
      <c r="L131" s="505">
        <f t="shared" si="72"/>
        <v>0</v>
      </c>
      <c r="M131" s="505">
        <f t="shared" si="72"/>
        <v>0</v>
      </c>
      <c r="N131" s="505">
        <f t="shared" si="72"/>
        <v>0</v>
      </c>
      <c r="O131" s="330">
        <f t="shared" si="72"/>
        <v>-290905.02</v>
      </c>
      <c r="P131" s="331">
        <f t="shared" si="72"/>
        <v>-54544.689999999988</v>
      </c>
      <c r="Q131" s="330">
        <f t="shared" si="72"/>
        <v>-43635.75</v>
      </c>
      <c r="R131" s="341"/>
      <c r="S131" s="330">
        <f>S130-S129</f>
        <v>-10908.939999999999</v>
      </c>
      <c r="T131" s="341"/>
      <c r="U131" s="307" t="s">
        <v>186</v>
      </c>
    </row>
    <row r="132" spans="1:21" x14ac:dyDescent="0.25">
      <c r="G132" s="307"/>
      <c r="H132" s="307"/>
      <c r="I132" s="307"/>
      <c r="J132" s="307"/>
      <c r="K132" s="307"/>
    </row>
    <row r="133" spans="1:21" x14ac:dyDescent="0.25">
      <c r="A133" s="452"/>
      <c r="B133" s="321" t="s">
        <v>249</v>
      </c>
      <c r="G133" s="307"/>
      <c r="H133" s="307"/>
      <c r="I133" s="307"/>
      <c r="J133" s="307"/>
      <c r="K133" s="307"/>
    </row>
    <row r="134" spans="1:21" x14ac:dyDescent="0.25">
      <c r="A134" s="313" t="s">
        <v>24</v>
      </c>
      <c r="B134" s="308"/>
      <c r="C134" s="322"/>
      <c r="D134" s="319" t="s">
        <v>19</v>
      </c>
      <c r="E134" s="318" t="s">
        <v>59</v>
      </c>
      <c r="F134" s="319" t="s">
        <v>27</v>
      </c>
      <c r="G134" s="320" t="s">
        <v>35</v>
      </c>
      <c r="H134" s="309" t="s">
        <v>36</v>
      </c>
      <c r="I134" s="309" t="s">
        <v>35</v>
      </c>
      <c r="J134" s="320" t="s">
        <v>36</v>
      </c>
      <c r="K134" s="320" t="s">
        <v>39</v>
      </c>
      <c r="L134" s="320" t="s">
        <v>40</v>
      </c>
      <c r="M134" s="320" t="s">
        <v>42</v>
      </c>
      <c r="N134" s="320" t="s">
        <v>2</v>
      </c>
      <c r="O134" s="323" t="s">
        <v>184</v>
      </c>
      <c r="P134" s="323" t="s">
        <v>1</v>
      </c>
      <c r="Q134" s="499" t="s">
        <v>243</v>
      </c>
      <c r="R134" s="310"/>
      <c r="S134" s="499" t="s">
        <v>48</v>
      </c>
      <c r="T134" s="310"/>
    </row>
    <row r="135" spans="1:21" x14ac:dyDescent="0.25">
      <c r="A135" s="324" t="s">
        <v>28</v>
      </c>
      <c r="B135" s="325">
        <v>67</v>
      </c>
      <c r="C135" s="260" t="s">
        <v>31</v>
      </c>
      <c r="D135" s="334" t="s">
        <v>189</v>
      </c>
      <c r="E135" s="334"/>
      <c r="F135" s="506" t="s">
        <v>37</v>
      </c>
      <c r="G135" s="225">
        <v>1385</v>
      </c>
      <c r="H135" s="225">
        <v>22102</v>
      </c>
      <c r="I135" s="223">
        <v>11.0761</v>
      </c>
      <c r="J135" s="223">
        <v>8.3804999999999996</v>
      </c>
      <c r="K135" s="225"/>
      <c r="L135" s="225"/>
      <c r="M135" s="225"/>
      <c r="N135" s="225"/>
      <c r="O135" s="507">
        <f t="shared" ref="O135:O136" si="73">ROUND(G135*I135,2)+ROUND(H135*J135,2)-K135-L135-M135-N135</f>
        <v>200566.21</v>
      </c>
      <c r="P135" s="508">
        <f>ROUND(18.75%*O135,2)</f>
        <v>37606.160000000003</v>
      </c>
      <c r="Q135" s="508">
        <f t="shared" ref="Q135" si="74">P135-S135</f>
        <v>30084.930000000004</v>
      </c>
      <c r="R135" s="509">
        <v>0.15</v>
      </c>
      <c r="S135" s="508">
        <f>ROUND($O135*T135,2)</f>
        <v>7521.23</v>
      </c>
      <c r="T135" s="510">
        <v>3.7499999999999999E-2</v>
      </c>
    </row>
    <row r="136" spans="1:21" x14ac:dyDescent="0.25">
      <c r="A136" s="326" t="s">
        <v>28</v>
      </c>
      <c r="B136" s="500">
        <f>B135</f>
        <v>67</v>
      </c>
      <c r="C136" s="62" t="s">
        <v>31</v>
      </c>
      <c r="D136" s="337" t="s">
        <v>190</v>
      </c>
      <c r="E136" s="337"/>
      <c r="F136" s="260" t="s">
        <v>37</v>
      </c>
      <c r="G136" s="369">
        <f>G135</f>
        <v>1385</v>
      </c>
      <c r="H136" s="369">
        <f>H135</f>
        <v>22102</v>
      </c>
      <c r="I136" s="370">
        <v>7.5061</v>
      </c>
      <c r="J136" s="240">
        <v>4.8105000000000002</v>
      </c>
      <c r="K136" s="239"/>
      <c r="L136" s="239"/>
      <c r="M136" s="239"/>
      <c r="N136" s="239"/>
      <c r="O136" s="458">
        <f t="shared" si="73"/>
        <v>116717.62</v>
      </c>
      <c r="P136" s="460">
        <f>ROUND(18.75%*O136,2)</f>
        <v>21884.55</v>
      </c>
      <c r="Q136" s="460">
        <f>P136-S136</f>
        <v>17507.64</v>
      </c>
      <c r="R136" s="275">
        <v>0.15</v>
      </c>
      <c r="S136" s="460">
        <f>ROUND($O136*T136,2)</f>
        <v>4376.91</v>
      </c>
      <c r="T136" s="463">
        <v>3.7499999999999999E-2</v>
      </c>
    </row>
    <row r="137" spans="1:21" x14ac:dyDescent="0.25">
      <c r="A137" s="329"/>
      <c r="B137" s="502" t="s">
        <v>185</v>
      </c>
      <c r="C137" s="100"/>
      <c r="D137" s="210"/>
      <c r="E137" s="210"/>
      <c r="F137" s="329"/>
      <c r="G137" s="503">
        <f>G136-G135</f>
        <v>0</v>
      </c>
      <c r="H137" s="504">
        <f>H136-H135</f>
        <v>0</v>
      </c>
      <c r="I137" s="490">
        <f>I136-I135</f>
        <v>-3.5700000000000003</v>
      </c>
      <c r="J137" s="490">
        <f>J136-J135</f>
        <v>-3.5699999999999994</v>
      </c>
      <c r="K137" s="505">
        <f t="shared" ref="K137:Q137" si="75">K136-K135</f>
        <v>0</v>
      </c>
      <c r="L137" s="505">
        <f t="shared" si="75"/>
        <v>0</v>
      </c>
      <c r="M137" s="505">
        <f t="shared" si="75"/>
        <v>0</v>
      </c>
      <c r="N137" s="505">
        <f t="shared" si="75"/>
        <v>0</v>
      </c>
      <c r="O137" s="311">
        <f t="shared" si="75"/>
        <v>-83848.59</v>
      </c>
      <c r="P137" s="461">
        <f t="shared" si="75"/>
        <v>-15721.610000000004</v>
      </c>
      <c r="Q137" s="311">
        <f t="shared" si="75"/>
        <v>-12577.290000000005</v>
      </c>
      <c r="R137" s="462"/>
      <c r="S137" s="311">
        <f>S136-S135</f>
        <v>-3144.3199999999997</v>
      </c>
      <c r="T137" s="462"/>
      <c r="U137" s="307" t="s">
        <v>186</v>
      </c>
    </row>
    <row r="138" spans="1:21" x14ac:dyDescent="0.25">
      <c r="G138" s="307"/>
      <c r="H138" s="307"/>
      <c r="I138" s="307"/>
      <c r="J138" s="307"/>
      <c r="K138" s="307"/>
    </row>
    <row r="139" spans="1:21" x14ac:dyDescent="0.25">
      <c r="A139" s="452"/>
      <c r="B139" s="321" t="s">
        <v>250</v>
      </c>
      <c r="G139" s="307"/>
      <c r="H139" s="307"/>
      <c r="I139" s="307"/>
      <c r="J139" s="307"/>
      <c r="K139" s="307"/>
    </row>
    <row r="140" spans="1:21" x14ac:dyDescent="0.25">
      <c r="A140" s="313" t="s">
        <v>24</v>
      </c>
      <c r="B140" s="308"/>
      <c r="C140" s="322"/>
      <c r="D140" s="319" t="s">
        <v>19</v>
      </c>
      <c r="E140" s="318" t="s">
        <v>59</v>
      </c>
      <c r="F140" s="319" t="s">
        <v>27</v>
      </c>
      <c r="G140" s="320" t="s">
        <v>35</v>
      </c>
      <c r="H140" s="309" t="s">
        <v>36</v>
      </c>
      <c r="I140" s="309" t="s">
        <v>35</v>
      </c>
      <c r="J140" s="320" t="s">
        <v>36</v>
      </c>
      <c r="K140" s="320" t="s">
        <v>39</v>
      </c>
      <c r="L140" s="320" t="s">
        <v>40</v>
      </c>
      <c r="M140" s="320" t="s">
        <v>42</v>
      </c>
      <c r="N140" s="320" t="s">
        <v>2</v>
      </c>
      <c r="O140" s="323" t="s">
        <v>184</v>
      </c>
      <c r="P140" s="323" t="s">
        <v>1</v>
      </c>
      <c r="Q140" s="499" t="s">
        <v>243</v>
      </c>
      <c r="R140" s="310"/>
      <c r="S140" s="499" t="s">
        <v>48</v>
      </c>
      <c r="T140" s="310"/>
    </row>
    <row r="141" spans="1:21" x14ac:dyDescent="0.25">
      <c r="A141" s="324" t="s">
        <v>28</v>
      </c>
      <c r="B141" s="325">
        <v>67</v>
      </c>
      <c r="C141" s="260" t="s">
        <v>31</v>
      </c>
      <c r="D141" s="334" t="s">
        <v>189</v>
      </c>
      <c r="E141" s="334"/>
      <c r="F141" s="506" t="s">
        <v>37</v>
      </c>
      <c r="G141" s="225"/>
      <c r="H141" s="225">
        <v>21766</v>
      </c>
      <c r="I141" s="223"/>
      <c r="J141" s="223">
        <v>18.5197</v>
      </c>
      <c r="K141" s="225"/>
      <c r="L141" s="225"/>
      <c r="M141" s="225"/>
      <c r="N141" s="225"/>
      <c r="O141" s="507">
        <f t="shared" ref="O141:O142" si="76">ROUND(G141*I141,2)+ROUND(H141*J141,2)-K141-L141-M141-N141</f>
        <v>403099.79</v>
      </c>
      <c r="P141" s="508">
        <f>ROUND(18.75%*O141,2)</f>
        <v>75581.210000000006</v>
      </c>
      <c r="Q141" s="508">
        <f t="shared" ref="Q141:Q142" si="77">P141-S141</f>
        <v>60464.970000000008</v>
      </c>
      <c r="R141" s="509">
        <v>0.15</v>
      </c>
      <c r="S141" s="508">
        <f>ROUND($O141*T141,2)</f>
        <v>15116.24</v>
      </c>
      <c r="T141" s="510">
        <v>3.7499999999999999E-2</v>
      </c>
    </row>
    <row r="142" spans="1:21" x14ac:dyDescent="0.25">
      <c r="A142" s="326" t="s">
        <v>28</v>
      </c>
      <c r="B142" s="500">
        <f>B141</f>
        <v>67</v>
      </c>
      <c r="C142" s="62" t="s">
        <v>31</v>
      </c>
      <c r="D142" s="337" t="s">
        <v>190</v>
      </c>
      <c r="E142" s="337"/>
      <c r="F142" s="260" t="s">
        <v>37</v>
      </c>
      <c r="G142" s="369"/>
      <c r="H142" s="369">
        <f>H141</f>
        <v>21766</v>
      </c>
      <c r="I142" s="370"/>
      <c r="J142" s="240">
        <v>14.9497</v>
      </c>
      <c r="K142" s="239"/>
      <c r="L142" s="239"/>
      <c r="M142" s="239"/>
      <c r="N142" s="239"/>
      <c r="O142" s="245">
        <f t="shared" si="76"/>
        <v>325395.17</v>
      </c>
      <c r="P142" s="243">
        <f>ROUND(18.75%*O142,2)</f>
        <v>61011.59</v>
      </c>
      <c r="Q142" s="243">
        <f t="shared" si="77"/>
        <v>48809.27</v>
      </c>
      <c r="R142" s="244">
        <v>0.15</v>
      </c>
      <c r="S142" s="243">
        <f>ROUND($O142*T142,2)</f>
        <v>12202.32</v>
      </c>
      <c r="T142" s="286">
        <v>3.7499999999999999E-2</v>
      </c>
    </row>
    <row r="143" spans="1:21" x14ac:dyDescent="0.25">
      <c r="A143" s="329"/>
      <c r="B143" s="502" t="s">
        <v>185</v>
      </c>
      <c r="C143" s="100"/>
      <c r="D143" s="210"/>
      <c r="E143" s="210"/>
      <c r="F143" s="329"/>
      <c r="G143" s="503">
        <f>G142-G141</f>
        <v>0</v>
      </c>
      <c r="H143" s="504">
        <f>H142-H141</f>
        <v>0</v>
      </c>
      <c r="I143" s="490">
        <f>I142-I141</f>
        <v>0</v>
      </c>
      <c r="J143" s="490">
        <f>J142-J141</f>
        <v>-3.5700000000000003</v>
      </c>
      <c r="K143" s="505">
        <f t="shared" ref="K143:Q143" si="78">K142-K141</f>
        <v>0</v>
      </c>
      <c r="L143" s="505">
        <f t="shared" si="78"/>
        <v>0</v>
      </c>
      <c r="M143" s="505">
        <f t="shared" si="78"/>
        <v>0</v>
      </c>
      <c r="N143" s="505">
        <f t="shared" si="78"/>
        <v>0</v>
      </c>
      <c r="O143" s="311">
        <f t="shared" si="78"/>
        <v>-77704.62</v>
      </c>
      <c r="P143" s="461">
        <f t="shared" si="78"/>
        <v>-14569.62000000001</v>
      </c>
      <c r="Q143" s="311">
        <f t="shared" si="78"/>
        <v>-11655.700000000012</v>
      </c>
      <c r="R143" s="462"/>
      <c r="S143" s="311">
        <f>S142-S141</f>
        <v>-2913.92</v>
      </c>
      <c r="T143" s="462"/>
      <c r="U143" s="307" t="s">
        <v>186</v>
      </c>
    </row>
    <row r="144" spans="1:21" x14ac:dyDescent="0.25">
      <c r="G144" s="307"/>
      <c r="H144" s="307"/>
      <c r="I144" s="307"/>
      <c r="J144" s="307"/>
      <c r="K144" s="307"/>
    </row>
    <row r="145" spans="1:21" x14ac:dyDescent="0.25">
      <c r="A145" s="452"/>
      <c r="B145" s="321" t="s">
        <v>251</v>
      </c>
      <c r="G145" s="307"/>
      <c r="H145" s="307"/>
      <c r="I145" s="307"/>
      <c r="J145" s="307"/>
      <c r="K145" s="307"/>
    </row>
    <row r="146" spans="1:21" x14ac:dyDescent="0.25">
      <c r="A146" s="313" t="s">
        <v>24</v>
      </c>
      <c r="B146" s="308"/>
      <c r="C146" s="322"/>
      <c r="D146" s="319" t="s">
        <v>19</v>
      </c>
      <c r="E146" s="318" t="s">
        <v>59</v>
      </c>
      <c r="F146" s="319" t="s">
        <v>27</v>
      </c>
      <c r="G146" s="320" t="s">
        <v>35</v>
      </c>
      <c r="H146" s="309" t="s">
        <v>36</v>
      </c>
      <c r="I146" s="309" t="s">
        <v>35</v>
      </c>
      <c r="J146" s="320" t="s">
        <v>36</v>
      </c>
      <c r="K146" s="320" t="s">
        <v>39</v>
      </c>
      <c r="L146" s="320" t="s">
        <v>40</v>
      </c>
      <c r="M146" s="320" t="s">
        <v>42</v>
      </c>
      <c r="N146" s="320" t="s">
        <v>2</v>
      </c>
      <c r="O146" s="323" t="s">
        <v>184</v>
      </c>
      <c r="P146" s="323" t="s">
        <v>1</v>
      </c>
      <c r="Q146" s="499" t="s">
        <v>243</v>
      </c>
      <c r="R146" s="310"/>
      <c r="S146" s="499" t="s">
        <v>48</v>
      </c>
      <c r="T146" s="310"/>
    </row>
    <row r="147" spans="1:21" x14ac:dyDescent="0.25">
      <c r="A147" s="324" t="s">
        <v>28</v>
      </c>
      <c r="B147" s="325">
        <v>67</v>
      </c>
      <c r="C147" s="260" t="s">
        <v>31</v>
      </c>
      <c r="D147" s="334" t="s">
        <v>189</v>
      </c>
      <c r="E147" s="334"/>
      <c r="F147" s="506" t="s">
        <v>37</v>
      </c>
      <c r="G147" s="225"/>
      <c r="H147" s="225">
        <v>23373</v>
      </c>
      <c r="I147" s="223"/>
      <c r="J147" s="223">
        <v>19.356400000000001</v>
      </c>
      <c r="K147" s="225"/>
      <c r="L147" s="225"/>
      <c r="M147" s="225"/>
      <c r="N147" s="225"/>
      <c r="O147" s="507">
        <f t="shared" ref="O147:O148" si="79">ROUND(G147*I147,2)+ROUND(H147*J147,2)-K147-L147-M147-N147</f>
        <v>452417.14</v>
      </c>
      <c r="P147" s="508">
        <f>ROUND(18.75%*O147,2)</f>
        <v>84828.21</v>
      </c>
      <c r="Q147" s="508">
        <f t="shared" ref="Q147:Q148" si="80">P147-S147</f>
        <v>67862.570000000007</v>
      </c>
      <c r="R147" s="509">
        <v>0.15</v>
      </c>
      <c r="S147" s="508">
        <f>ROUND($O147*T147,2)</f>
        <v>16965.64</v>
      </c>
      <c r="T147" s="510">
        <v>3.7499999999999999E-2</v>
      </c>
    </row>
    <row r="148" spans="1:21" x14ac:dyDescent="0.25">
      <c r="A148" s="326" t="s">
        <v>28</v>
      </c>
      <c r="B148" s="500">
        <f>B147</f>
        <v>67</v>
      </c>
      <c r="C148" s="62" t="s">
        <v>31</v>
      </c>
      <c r="D148" s="337" t="s">
        <v>190</v>
      </c>
      <c r="E148" s="337"/>
      <c r="F148" s="260" t="s">
        <v>37</v>
      </c>
      <c r="G148" s="369"/>
      <c r="H148" s="369">
        <f>H147</f>
        <v>23373</v>
      </c>
      <c r="I148" s="370"/>
      <c r="J148" s="240">
        <v>15.7864</v>
      </c>
      <c r="K148" s="239"/>
      <c r="L148" s="239"/>
      <c r="M148" s="239"/>
      <c r="N148" s="239"/>
      <c r="O148" s="458">
        <f t="shared" si="79"/>
        <v>368975.53</v>
      </c>
      <c r="P148" s="460">
        <f>ROUND(18.75%*O148,2)</f>
        <v>69182.91</v>
      </c>
      <c r="Q148" s="460">
        <f t="shared" si="80"/>
        <v>55346.33</v>
      </c>
      <c r="R148" s="275">
        <v>0.15</v>
      </c>
      <c r="S148" s="460">
        <f>ROUND($O148*T148,2)</f>
        <v>13836.58</v>
      </c>
      <c r="T148" s="463">
        <v>3.7499999999999999E-2</v>
      </c>
    </row>
    <row r="149" spans="1:21" x14ac:dyDescent="0.25">
      <c r="A149" s="329"/>
      <c r="B149" s="502" t="s">
        <v>185</v>
      </c>
      <c r="C149" s="100"/>
      <c r="D149" s="210"/>
      <c r="E149" s="210"/>
      <c r="F149" s="329"/>
      <c r="G149" s="503">
        <f>G148-G147</f>
        <v>0</v>
      </c>
      <c r="H149" s="504">
        <f>H148-H147</f>
        <v>0</v>
      </c>
      <c r="I149" s="490">
        <f>I148-I147</f>
        <v>0</v>
      </c>
      <c r="J149" s="490">
        <f>J148-J147</f>
        <v>-3.5700000000000003</v>
      </c>
      <c r="K149" s="505">
        <f t="shared" ref="K149:Q149" si="81">K148-K147</f>
        <v>0</v>
      </c>
      <c r="L149" s="505">
        <f t="shared" si="81"/>
        <v>0</v>
      </c>
      <c r="M149" s="505">
        <f t="shared" si="81"/>
        <v>0</v>
      </c>
      <c r="N149" s="505">
        <f t="shared" si="81"/>
        <v>0</v>
      </c>
      <c r="O149" s="311">
        <f t="shared" si="81"/>
        <v>-83441.609999999986</v>
      </c>
      <c r="P149" s="461">
        <f t="shared" si="81"/>
        <v>-15645.300000000003</v>
      </c>
      <c r="Q149" s="311">
        <f t="shared" si="81"/>
        <v>-12516.240000000005</v>
      </c>
      <c r="R149" s="462"/>
      <c r="S149" s="311">
        <f>S148-S147</f>
        <v>-3129.0599999999995</v>
      </c>
      <c r="T149" s="462"/>
      <c r="U149" s="307" t="s">
        <v>186</v>
      </c>
    </row>
    <row r="150" spans="1:21" x14ac:dyDescent="0.25">
      <c r="G150" s="307"/>
      <c r="H150" s="307"/>
      <c r="I150" s="307"/>
      <c r="J150" s="307"/>
      <c r="K150" s="307"/>
    </row>
    <row r="151" spans="1:21" x14ac:dyDescent="0.25">
      <c r="A151" s="452"/>
      <c r="B151" s="321" t="s">
        <v>252</v>
      </c>
      <c r="G151" s="307"/>
      <c r="H151" s="307"/>
      <c r="I151" s="307"/>
      <c r="J151" s="307"/>
      <c r="K151" s="307"/>
    </row>
    <row r="152" spans="1:21" x14ac:dyDescent="0.25">
      <c r="A152" s="313" t="s">
        <v>24</v>
      </c>
      <c r="B152" s="308"/>
      <c r="C152" s="322"/>
      <c r="D152" s="319" t="s">
        <v>19</v>
      </c>
      <c r="E152" s="318" t="s">
        <v>59</v>
      </c>
      <c r="F152" s="319" t="s">
        <v>27</v>
      </c>
      <c r="G152" s="320" t="s">
        <v>35</v>
      </c>
      <c r="H152" s="309" t="s">
        <v>36</v>
      </c>
      <c r="I152" s="309" t="s">
        <v>35</v>
      </c>
      <c r="J152" s="320" t="s">
        <v>36</v>
      </c>
      <c r="K152" s="320" t="s">
        <v>39</v>
      </c>
      <c r="L152" s="320" t="s">
        <v>40</v>
      </c>
      <c r="M152" s="320" t="s">
        <v>42</v>
      </c>
      <c r="N152" s="320" t="s">
        <v>2</v>
      </c>
      <c r="O152" s="323" t="s">
        <v>184</v>
      </c>
      <c r="P152" s="323" t="s">
        <v>1</v>
      </c>
      <c r="Q152" s="499" t="s">
        <v>243</v>
      </c>
      <c r="R152" s="310"/>
      <c r="S152" s="499" t="s">
        <v>48</v>
      </c>
      <c r="T152" s="310"/>
    </row>
    <row r="153" spans="1:21" x14ac:dyDescent="0.25">
      <c r="A153" s="324" t="s">
        <v>28</v>
      </c>
      <c r="B153" s="325">
        <v>67</v>
      </c>
      <c r="C153" s="260" t="s">
        <v>31</v>
      </c>
      <c r="D153" s="334" t="s">
        <v>189</v>
      </c>
      <c r="E153" s="334"/>
      <c r="F153" s="506" t="s">
        <v>37</v>
      </c>
      <c r="G153" s="225"/>
      <c r="H153" s="225">
        <v>28691</v>
      </c>
      <c r="I153" s="223">
        <v>0</v>
      </c>
      <c r="J153" s="223">
        <v>18.232199999999999</v>
      </c>
      <c r="K153" s="225"/>
      <c r="L153" s="225"/>
      <c r="M153" s="225"/>
      <c r="N153" s="225"/>
      <c r="O153" s="507">
        <f t="shared" ref="O153:O154" si="82">ROUND(G153*I153,2)+ROUND(H153*J153,2)-K153-L153-M153-N153</f>
        <v>523100.05</v>
      </c>
      <c r="P153" s="508">
        <f>ROUND(18.75%*O153,2)</f>
        <v>98081.26</v>
      </c>
      <c r="Q153" s="508">
        <f t="shared" ref="Q153:Q154" si="83">P153-S153</f>
        <v>78465.009999999995</v>
      </c>
      <c r="R153" s="509">
        <v>0.15</v>
      </c>
      <c r="S153" s="508">
        <f>ROUND($O153*T153,2)</f>
        <v>19616.25</v>
      </c>
      <c r="T153" s="510">
        <v>3.7499999999999999E-2</v>
      </c>
    </row>
    <row r="154" spans="1:21" x14ac:dyDescent="0.25">
      <c r="A154" s="326" t="s">
        <v>28</v>
      </c>
      <c r="B154" s="500">
        <f>B153</f>
        <v>67</v>
      </c>
      <c r="C154" s="62" t="s">
        <v>31</v>
      </c>
      <c r="D154" s="337" t="s">
        <v>190</v>
      </c>
      <c r="E154" s="337"/>
      <c r="F154" s="260" t="s">
        <v>37</v>
      </c>
      <c r="G154" s="369"/>
      <c r="H154" s="369">
        <f>H153</f>
        <v>28691</v>
      </c>
      <c r="I154" s="370"/>
      <c r="J154" s="240">
        <v>14.6622</v>
      </c>
      <c r="K154" s="239"/>
      <c r="L154" s="239"/>
      <c r="M154" s="239"/>
      <c r="N154" s="239"/>
      <c r="O154" s="245">
        <f t="shared" si="82"/>
        <v>420673.18</v>
      </c>
      <c r="P154" s="243">
        <f>ROUND(18.75%*O154,2)</f>
        <v>78876.22</v>
      </c>
      <c r="Q154" s="243">
        <f t="shared" si="83"/>
        <v>63100.98</v>
      </c>
      <c r="R154" s="244">
        <v>0.15</v>
      </c>
      <c r="S154" s="243">
        <f>ROUND($O154*T154,2)</f>
        <v>15775.24</v>
      </c>
      <c r="T154" s="286">
        <v>3.7499999999999999E-2</v>
      </c>
    </row>
    <row r="155" spans="1:21" x14ac:dyDescent="0.25">
      <c r="A155" s="329"/>
      <c r="B155" s="502" t="s">
        <v>185</v>
      </c>
      <c r="C155" s="100"/>
      <c r="D155" s="210"/>
      <c r="E155" s="210"/>
      <c r="F155" s="329"/>
      <c r="G155" s="503">
        <f>G154-G153</f>
        <v>0</v>
      </c>
      <c r="H155" s="504">
        <f>H154-H153</f>
        <v>0</v>
      </c>
      <c r="I155" s="490">
        <f>I154-I153</f>
        <v>0</v>
      </c>
      <c r="J155" s="490">
        <f>J154-J153</f>
        <v>-3.5699999999999985</v>
      </c>
      <c r="K155" s="505">
        <f t="shared" ref="K155:Q155" si="84">K154-K153</f>
        <v>0</v>
      </c>
      <c r="L155" s="505">
        <f t="shared" si="84"/>
        <v>0</v>
      </c>
      <c r="M155" s="505">
        <f t="shared" si="84"/>
        <v>0</v>
      </c>
      <c r="N155" s="505">
        <f t="shared" si="84"/>
        <v>0</v>
      </c>
      <c r="O155" s="311">
        <f t="shared" si="84"/>
        <v>-102426.87</v>
      </c>
      <c r="P155" s="461">
        <f t="shared" si="84"/>
        <v>-19205.039999999994</v>
      </c>
      <c r="Q155" s="311">
        <f t="shared" si="84"/>
        <v>-15364.029999999992</v>
      </c>
      <c r="R155" s="462"/>
      <c r="S155" s="311">
        <f>S154-S153</f>
        <v>-3841.01</v>
      </c>
      <c r="T155" s="462"/>
      <c r="U155" s="307" t="s">
        <v>186</v>
      </c>
    </row>
    <row r="156" spans="1:21" x14ac:dyDescent="0.25">
      <c r="G156" s="307"/>
      <c r="H156" s="307"/>
      <c r="I156" s="307"/>
      <c r="J156" s="307"/>
      <c r="K156" s="307"/>
    </row>
    <row r="157" spans="1:21" x14ac:dyDescent="0.25">
      <c r="A157" s="452"/>
      <c r="B157" s="321" t="s">
        <v>253</v>
      </c>
      <c r="G157" s="307"/>
      <c r="H157" s="307"/>
      <c r="I157" s="307"/>
      <c r="J157" s="307"/>
      <c r="K157" s="307"/>
    </row>
    <row r="158" spans="1:21" x14ac:dyDescent="0.25">
      <c r="A158" s="313" t="s">
        <v>24</v>
      </c>
      <c r="B158" s="308"/>
      <c r="C158" s="322"/>
      <c r="D158" s="319" t="s">
        <v>19</v>
      </c>
      <c r="E158" s="318" t="s">
        <v>59</v>
      </c>
      <c r="F158" s="319" t="s">
        <v>27</v>
      </c>
      <c r="G158" s="320" t="s">
        <v>35</v>
      </c>
      <c r="H158" s="309" t="s">
        <v>36</v>
      </c>
      <c r="I158" s="309" t="s">
        <v>35</v>
      </c>
      <c r="J158" s="320" t="s">
        <v>36</v>
      </c>
      <c r="K158" s="320" t="s">
        <v>39</v>
      </c>
      <c r="L158" s="320" t="s">
        <v>40</v>
      </c>
      <c r="M158" s="320" t="s">
        <v>42</v>
      </c>
      <c r="N158" s="320" t="s">
        <v>2</v>
      </c>
      <c r="O158" s="323" t="s">
        <v>184</v>
      </c>
      <c r="P158" s="323" t="s">
        <v>1</v>
      </c>
      <c r="Q158" s="499" t="s">
        <v>243</v>
      </c>
      <c r="R158" s="310"/>
      <c r="S158" s="499" t="s">
        <v>48</v>
      </c>
      <c r="T158" s="310"/>
    </row>
    <row r="159" spans="1:21" x14ac:dyDescent="0.25">
      <c r="A159" s="324" t="s">
        <v>28</v>
      </c>
      <c r="B159" s="325">
        <v>67</v>
      </c>
      <c r="C159" s="260" t="s">
        <v>31</v>
      </c>
      <c r="D159" s="334" t="s">
        <v>189</v>
      </c>
      <c r="E159" s="334"/>
      <c r="F159" s="506" t="s">
        <v>37</v>
      </c>
      <c r="G159" s="225"/>
      <c r="H159" s="225">
        <v>18324</v>
      </c>
      <c r="I159" s="223"/>
      <c r="J159" s="223">
        <v>9.0861999999999998</v>
      </c>
      <c r="K159" s="225"/>
      <c r="L159" s="225"/>
      <c r="M159" s="225"/>
      <c r="N159" s="225"/>
      <c r="O159" s="507">
        <f t="shared" ref="O159:O160" si="85">ROUND(G159*I159,2)+ROUND(H159*J159,2)-K159-L159-M159-N159</f>
        <v>166495.53</v>
      </c>
      <c r="P159" s="508">
        <f>ROUND(18.75%*O159,2)</f>
        <v>31217.91</v>
      </c>
      <c r="Q159" s="508">
        <f t="shared" ref="Q159:Q160" si="86">P159-S159</f>
        <v>24974.33</v>
      </c>
      <c r="R159" s="509">
        <v>0.15</v>
      </c>
      <c r="S159" s="508">
        <f>ROUND($O159*T159,2)</f>
        <v>6243.58</v>
      </c>
      <c r="T159" s="510">
        <v>3.7499999999999999E-2</v>
      </c>
    </row>
    <row r="160" spans="1:21" x14ac:dyDescent="0.25">
      <c r="A160" s="326" t="s">
        <v>28</v>
      </c>
      <c r="B160" s="500">
        <f>B159</f>
        <v>67</v>
      </c>
      <c r="C160" s="62" t="s">
        <v>31</v>
      </c>
      <c r="D160" s="337" t="s">
        <v>190</v>
      </c>
      <c r="E160" s="337"/>
      <c r="F160" s="260" t="s">
        <v>37</v>
      </c>
      <c r="G160" s="369"/>
      <c r="H160" s="369">
        <f>H159</f>
        <v>18324</v>
      </c>
      <c r="I160" s="370"/>
      <c r="J160" s="240">
        <v>5.5162000000000004</v>
      </c>
      <c r="K160" s="239"/>
      <c r="L160" s="239"/>
      <c r="M160" s="239"/>
      <c r="N160" s="239"/>
      <c r="O160" s="245">
        <f t="shared" si="85"/>
        <v>101078.85</v>
      </c>
      <c r="P160" s="243">
        <f>ROUND(18.75%*O160,2)</f>
        <v>18952.28</v>
      </c>
      <c r="Q160" s="243">
        <f t="shared" si="86"/>
        <v>15161.82</v>
      </c>
      <c r="R160" s="244">
        <v>0.15</v>
      </c>
      <c r="S160" s="243">
        <f>ROUND($O160*T160,2)</f>
        <v>3790.46</v>
      </c>
      <c r="T160" s="286">
        <v>3.7499999999999999E-2</v>
      </c>
    </row>
    <row r="161" spans="1:21" x14ac:dyDescent="0.25">
      <c r="A161" s="329"/>
      <c r="B161" s="502" t="s">
        <v>185</v>
      </c>
      <c r="C161" s="100"/>
      <c r="D161" s="210"/>
      <c r="E161" s="210"/>
      <c r="F161" s="329"/>
      <c r="G161" s="503">
        <f>G160-G159</f>
        <v>0</v>
      </c>
      <c r="H161" s="504">
        <f>H160-H159</f>
        <v>0</v>
      </c>
      <c r="I161" s="490">
        <f>I160-I159</f>
        <v>0</v>
      </c>
      <c r="J161" s="490">
        <f>J160-J159</f>
        <v>-3.5699999999999994</v>
      </c>
      <c r="K161" s="505">
        <f t="shared" ref="K161:Q161" si="87">K160-K159</f>
        <v>0</v>
      </c>
      <c r="L161" s="505">
        <f t="shared" si="87"/>
        <v>0</v>
      </c>
      <c r="M161" s="505">
        <f t="shared" si="87"/>
        <v>0</v>
      </c>
      <c r="N161" s="505">
        <f t="shared" si="87"/>
        <v>0</v>
      </c>
      <c r="O161" s="311">
        <f t="shared" si="87"/>
        <v>-65416.679999999993</v>
      </c>
      <c r="P161" s="461">
        <f t="shared" si="87"/>
        <v>-12265.630000000001</v>
      </c>
      <c r="Q161" s="311">
        <f t="shared" si="87"/>
        <v>-9812.510000000002</v>
      </c>
      <c r="R161" s="462"/>
      <c r="S161" s="311">
        <f>S160-S159</f>
        <v>-2453.12</v>
      </c>
      <c r="T161" s="462"/>
      <c r="U161" s="307" t="s">
        <v>186</v>
      </c>
    </row>
    <row r="162" spans="1:21" x14ac:dyDescent="0.25">
      <c r="G162" s="307"/>
      <c r="H162" s="307"/>
      <c r="I162" s="307"/>
      <c r="J162" s="307"/>
      <c r="K162" s="307"/>
    </row>
    <row r="163" spans="1:21" x14ac:dyDescent="0.25">
      <c r="A163" s="452"/>
      <c r="B163" s="321" t="s">
        <v>254</v>
      </c>
      <c r="G163" s="307"/>
      <c r="H163" s="307"/>
      <c r="I163" s="307"/>
      <c r="J163" s="307"/>
      <c r="K163" s="307"/>
    </row>
    <row r="164" spans="1:21" x14ac:dyDescent="0.25">
      <c r="A164" s="313" t="s">
        <v>24</v>
      </c>
      <c r="B164" s="308"/>
      <c r="C164" s="322"/>
      <c r="D164" s="319" t="s">
        <v>19</v>
      </c>
      <c r="E164" s="318" t="s">
        <v>59</v>
      </c>
      <c r="F164" s="319" t="s">
        <v>27</v>
      </c>
      <c r="G164" s="320" t="s">
        <v>35</v>
      </c>
      <c r="H164" s="309" t="s">
        <v>36</v>
      </c>
      <c r="I164" s="309" t="s">
        <v>35</v>
      </c>
      <c r="J164" s="320" t="s">
        <v>36</v>
      </c>
      <c r="K164" s="320" t="s">
        <v>39</v>
      </c>
      <c r="L164" s="320" t="s">
        <v>40</v>
      </c>
      <c r="M164" s="320" t="s">
        <v>42</v>
      </c>
      <c r="N164" s="320" t="s">
        <v>2</v>
      </c>
      <c r="O164" s="323" t="s">
        <v>184</v>
      </c>
      <c r="P164" s="323" t="s">
        <v>1</v>
      </c>
      <c r="Q164" s="499" t="s">
        <v>243</v>
      </c>
      <c r="R164" s="310"/>
      <c r="S164" s="499" t="s">
        <v>48</v>
      </c>
      <c r="T164" s="310"/>
    </row>
    <row r="165" spans="1:21" x14ac:dyDescent="0.25">
      <c r="A165" s="324" t="s">
        <v>28</v>
      </c>
      <c r="B165" s="325">
        <v>67</v>
      </c>
      <c r="C165" s="260" t="s">
        <v>31</v>
      </c>
      <c r="D165" s="334" t="s">
        <v>189</v>
      </c>
      <c r="E165" s="334"/>
      <c r="F165" s="506" t="s">
        <v>37</v>
      </c>
      <c r="G165" s="225"/>
      <c r="H165" s="225">
        <v>23381</v>
      </c>
      <c r="I165" s="223"/>
      <c r="J165" s="223">
        <v>1.9792000000000001</v>
      </c>
      <c r="K165" s="225"/>
      <c r="L165" s="225"/>
      <c r="M165" s="225"/>
      <c r="N165" s="225"/>
      <c r="O165" s="507">
        <f t="shared" ref="O165:O166" si="88">ROUND(G165*I165,2)+ROUND(H165*J165,2)-K165-L165-M165-N165</f>
        <v>46275.68</v>
      </c>
      <c r="P165" s="508">
        <f>ROUND(18.75%*O165,2)</f>
        <v>8676.69</v>
      </c>
      <c r="Q165" s="508">
        <f t="shared" ref="Q165:Q166" si="89">P165-S165</f>
        <v>6941.35</v>
      </c>
      <c r="R165" s="509">
        <v>0.15</v>
      </c>
      <c r="S165" s="508">
        <f>ROUND($O165*T165,2)</f>
        <v>1735.34</v>
      </c>
      <c r="T165" s="510">
        <v>3.7499999999999999E-2</v>
      </c>
    </row>
    <row r="166" spans="1:21" x14ac:dyDescent="0.25">
      <c r="A166" s="326" t="s">
        <v>28</v>
      </c>
      <c r="B166" s="500">
        <f>B165</f>
        <v>67</v>
      </c>
      <c r="C166" s="62" t="s">
        <v>31</v>
      </c>
      <c r="D166" s="337" t="s">
        <v>190</v>
      </c>
      <c r="E166" s="337"/>
      <c r="F166" s="260" t="s">
        <v>37</v>
      </c>
      <c r="G166" s="369"/>
      <c r="H166" s="369">
        <f>H165</f>
        <v>23381</v>
      </c>
      <c r="I166" s="370"/>
      <c r="J166" s="240">
        <v>0</v>
      </c>
      <c r="K166" s="239"/>
      <c r="L166" s="239"/>
      <c r="M166" s="239"/>
      <c r="N166" s="239"/>
      <c r="O166" s="245">
        <f t="shared" si="88"/>
        <v>0</v>
      </c>
      <c r="P166" s="243">
        <f>ROUND(18.75%*O166,2)</f>
        <v>0</v>
      </c>
      <c r="Q166" s="243">
        <f t="shared" si="89"/>
        <v>0</v>
      </c>
      <c r="R166" s="244">
        <v>0.15</v>
      </c>
      <c r="S166" s="243">
        <f>ROUND($O166*T166,2)</f>
        <v>0</v>
      </c>
      <c r="T166" s="286">
        <v>3.7499999999999999E-2</v>
      </c>
      <c r="U166" s="307" t="s">
        <v>186</v>
      </c>
    </row>
    <row r="167" spans="1:21" x14ac:dyDescent="0.25">
      <c r="A167" s="329"/>
      <c r="B167" s="502" t="s">
        <v>185</v>
      </c>
      <c r="C167" s="100"/>
      <c r="D167" s="210"/>
      <c r="E167" s="210"/>
      <c r="F167" s="329"/>
      <c r="G167" s="503">
        <f>G166-G165</f>
        <v>0</v>
      </c>
      <c r="H167" s="504">
        <f>H166-H165</f>
        <v>0</v>
      </c>
      <c r="I167" s="490">
        <f>I166-I165</f>
        <v>0</v>
      </c>
      <c r="J167" s="490">
        <f>J166-J165</f>
        <v>-1.9792000000000001</v>
      </c>
      <c r="K167" s="505">
        <f t="shared" ref="K167:Q167" si="90">K166-K165</f>
        <v>0</v>
      </c>
      <c r="L167" s="505">
        <f t="shared" si="90"/>
        <v>0</v>
      </c>
      <c r="M167" s="505">
        <f t="shared" si="90"/>
        <v>0</v>
      </c>
      <c r="N167" s="505">
        <f t="shared" si="90"/>
        <v>0</v>
      </c>
      <c r="O167" s="311">
        <f t="shared" si="90"/>
        <v>-46275.68</v>
      </c>
      <c r="P167" s="461">
        <f t="shared" si="90"/>
        <v>-8676.69</v>
      </c>
      <c r="Q167" s="311">
        <f t="shared" si="90"/>
        <v>-6941.35</v>
      </c>
      <c r="R167" s="462"/>
      <c r="S167" s="311">
        <f>S166-S165</f>
        <v>-1735.34</v>
      </c>
      <c r="T167" s="462"/>
    </row>
    <row r="168" spans="1:21" x14ac:dyDescent="0.25">
      <c r="G168" s="307"/>
      <c r="H168" s="307"/>
      <c r="I168" s="307"/>
      <c r="J168" s="307"/>
      <c r="K168" s="307"/>
    </row>
    <row r="169" spans="1:21" x14ac:dyDescent="0.25">
      <c r="A169" s="452"/>
      <c r="B169" s="321" t="s">
        <v>255</v>
      </c>
      <c r="G169" s="307"/>
      <c r="H169" s="307"/>
      <c r="I169" s="307"/>
      <c r="J169" s="307"/>
      <c r="K169" s="307"/>
    </row>
    <row r="170" spans="1:21" x14ac:dyDescent="0.25">
      <c r="A170" s="313" t="s">
        <v>24</v>
      </c>
      <c r="B170" s="308"/>
      <c r="C170" s="322"/>
      <c r="D170" s="319" t="s">
        <v>19</v>
      </c>
      <c r="E170" s="318" t="s">
        <v>59</v>
      </c>
      <c r="F170" s="319" t="s">
        <v>27</v>
      </c>
      <c r="G170" s="320" t="s">
        <v>35</v>
      </c>
      <c r="H170" s="309" t="s">
        <v>36</v>
      </c>
      <c r="I170" s="309" t="s">
        <v>35</v>
      </c>
      <c r="J170" s="320" t="s">
        <v>36</v>
      </c>
      <c r="K170" s="320" t="s">
        <v>39</v>
      </c>
      <c r="L170" s="320" t="s">
        <v>40</v>
      </c>
      <c r="M170" s="320" t="s">
        <v>42</v>
      </c>
      <c r="N170" s="320" t="s">
        <v>2</v>
      </c>
      <c r="O170" s="323" t="s">
        <v>184</v>
      </c>
      <c r="P170" s="323" t="s">
        <v>1</v>
      </c>
      <c r="Q170" s="499" t="s">
        <v>243</v>
      </c>
      <c r="R170" s="310"/>
      <c r="S170" s="499" t="s">
        <v>48</v>
      </c>
      <c r="T170" s="310"/>
    </row>
    <row r="171" spans="1:21" x14ac:dyDescent="0.25">
      <c r="A171" s="324" t="s">
        <v>28</v>
      </c>
      <c r="B171" s="325">
        <v>67</v>
      </c>
      <c r="C171" s="260" t="s">
        <v>31</v>
      </c>
      <c r="D171" s="334" t="s">
        <v>189</v>
      </c>
      <c r="E171" s="334"/>
      <c r="F171" s="506" t="s">
        <v>37</v>
      </c>
      <c r="G171" s="225">
        <v>21137</v>
      </c>
      <c r="H171" s="225">
        <v>11200</v>
      </c>
      <c r="I171" s="223">
        <v>4.8006000000000002</v>
      </c>
      <c r="J171" s="223">
        <v>2.5703</v>
      </c>
      <c r="K171" s="225"/>
      <c r="L171" s="225"/>
      <c r="M171" s="225"/>
      <c r="N171" s="225"/>
      <c r="O171" s="507">
        <f t="shared" ref="O171:O172" si="91">ROUND(G171*I171,2)+ROUND(H171*J171,2)-K171-L171-M171-N171</f>
        <v>130257.64</v>
      </c>
      <c r="P171" s="508">
        <f>ROUND(18.75%*O171,2)</f>
        <v>24423.31</v>
      </c>
      <c r="Q171" s="508">
        <f t="shared" ref="Q171:Q172" si="92">P171-S171</f>
        <v>19538.650000000001</v>
      </c>
      <c r="R171" s="509">
        <v>0.15</v>
      </c>
      <c r="S171" s="508">
        <f>ROUND($O171*T171,2)</f>
        <v>4884.66</v>
      </c>
      <c r="T171" s="510">
        <v>3.7499999999999999E-2</v>
      </c>
    </row>
    <row r="172" spans="1:21" x14ac:dyDescent="0.25">
      <c r="A172" s="326" t="s">
        <v>28</v>
      </c>
      <c r="B172" s="500">
        <f>B171</f>
        <v>67</v>
      </c>
      <c r="C172" s="62" t="s">
        <v>31</v>
      </c>
      <c r="D172" s="337" t="s">
        <v>190</v>
      </c>
      <c r="E172" s="337"/>
      <c r="F172" s="260" t="s">
        <v>37</v>
      </c>
      <c r="G172" s="369">
        <f>G171</f>
        <v>21137</v>
      </c>
      <c r="H172" s="369">
        <f>H171</f>
        <v>11200</v>
      </c>
      <c r="I172" s="370">
        <v>1.2305999999999999</v>
      </c>
      <c r="J172" s="240">
        <v>0</v>
      </c>
      <c r="K172" s="239"/>
      <c r="L172" s="239"/>
      <c r="M172" s="239"/>
      <c r="N172" s="239"/>
      <c r="O172" s="245">
        <f t="shared" si="91"/>
        <v>26011.19</v>
      </c>
      <c r="P172" s="243">
        <f>ROUND(18.75%*O172,2)</f>
        <v>4877.1000000000004</v>
      </c>
      <c r="Q172" s="243">
        <f t="shared" si="92"/>
        <v>3901.6800000000003</v>
      </c>
      <c r="R172" s="244">
        <v>0.15</v>
      </c>
      <c r="S172" s="243">
        <f>ROUND($O172*T172,2)</f>
        <v>975.42</v>
      </c>
      <c r="T172" s="286">
        <v>3.7499999999999999E-2</v>
      </c>
    </row>
    <row r="173" spans="1:21" x14ac:dyDescent="0.25">
      <c r="A173" s="329"/>
      <c r="B173" s="502" t="s">
        <v>185</v>
      </c>
      <c r="C173" s="100"/>
      <c r="D173" s="210"/>
      <c r="E173" s="210"/>
      <c r="F173" s="329"/>
      <c r="G173" s="503">
        <f>G172-G171</f>
        <v>0</v>
      </c>
      <c r="H173" s="504">
        <f>H172-H171</f>
        <v>0</v>
      </c>
      <c r="I173" s="490">
        <f>I172-I171</f>
        <v>-3.5700000000000003</v>
      </c>
      <c r="J173" s="490">
        <f>J172-J171</f>
        <v>-2.5703</v>
      </c>
      <c r="K173" s="505">
        <f t="shared" ref="K173:Q173" si="93">K172-K171</f>
        <v>0</v>
      </c>
      <c r="L173" s="505">
        <f t="shared" si="93"/>
        <v>0</v>
      </c>
      <c r="M173" s="505">
        <f t="shared" si="93"/>
        <v>0</v>
      </c>
      <c r="N173" s="505">
        <f t="shared" si="93"/>
        <v>0</v>
      </c>
      <c r="O173" s="311">
        <f t="shared" si="93"/>
        <v>-104246.45</v>
      </c>
      <c r="P173" s="461">
        <f t="shared" si="93"/>
        <v>-19546.21</v>
      </c>
      <c r="Q173" s="311">
        <f t="shared" si="93"/>
        <v>-15636.970000000001</v>
      </c>
      <c r="R173" s="462"/>
      <c r="S173" s="311">
        <f>S172-S171</f>
        <v>-3909.24</v>
      </c>
      <c r="T173" s="462"/>
      <c r="U173" s="307" t="s">
        <v>186</v>
      </c>
    </row>
    <row r="174" spans="1:21" x14ac:dyDescent="0.25">
      <c r="G174" s="307"/>
      <c r="H174" s="307"/>
      <c r="I174" s="307"/>
      <c r="J174" s="307"/>
      <c r="K174" s="307"/>
    </row>
    <row r="175" spans="1:21" x14ac:dyDescent="0.25">
      <c r="A175" s="452"/>
      <c r="B175" s="321" t="s">
        <v>256</v>
      </c>
      <c r="G175" s="307"/>
      <c r="H175" s="307"/>
      <c r="I175" s="307"/>
      <c r="J175" s="307"/>
      <c r="K175" s="307"/>
    </row>
    <row r="176" spans="1:21" x14ac:dyDescent="0.25">
      <c r="A176" s="313" t="s">
        <v>24</v>
      </c>
      <c r="B176" s="308"/>
      <c r="C176" s="322"/>
      <c r="D176" s="319" t="s">
        <v>19</v>
      </c>
      <c r="E176" s="318" t="s">
        <v>59</v>
      </c>
      <c r="F176" s="319" t="s">
        <v>27</v>
      </c>
      <c r="G176" s="320" t="s">
        <v>35</v>
      </c>
      <c r="H176" s="309" t="s">
        <v>36</v>
      </c>
      <c r="I176" s="309" t="s">
        <v>35</v>
      </c>
      <c r="J176" s="320" t="s">
        <v>36</v>
      </c>
      <c r="K176" s="320" t="s">
        <v>39</v>
      </c>
      <c r="L176" s="320" t="s">
        <v>40</v>
      </c>
      <c r="M176" s="320" t="s">
        <v>42</v>
      </c>
      <c r="N176" s="320" t="s">
        <v>2</v>
      </c>
      <c r="O176" s="323" t="s">
        <v>184</v>
      </c>
      <c r="P176" s="323" t="s">
        <v>1</v>
      </c>
      <c r="Q176" s="499" t="s">
        <v>243</v>
      </c>
      <c r="R176" s="310"/>
      <c r="S176" s="499" t="s">
        <v>48</v>
      </c>
      <c r="T176" s="310"/>
    </row>
    <row r="177" spans="1:21" x14ac:dyDescent="0.25">
      <c r="A177" s="324" t="s">
        <v>28</v>
      </c>
      <c r="B177" s="325">
        <v>67</v>
      </c>
      <c r="C177" s="260" t="s">
        <v>31</v>
      </c>
      <c r="D177" s="334" t="s">
        <v>189</v>
      </c>
      <c r="E177" s="334"/>
      <c r="F177" s="506" t="s">
        <v>37</v>
      </c>
      <c r="G177" s="225">
        <v>16275</v>
      </c>
      <c r="H177" s="225">
        <v>32129</v>
      </c>
      <c r="I177" s="223">
        <v>3.5798999999999999</v>
      </c>
      <c r="J177" s="223">
        <v>1.0773999999999999</v>
      </c>
      <c r="K177" s="225"/>
      <c r="L177" s="225"/>
      <c r="M177" s="225"/>
      <c r="N177" s="225"/>
      <c r="O177" s="507">
        <f t="shared" ref="O177" si="94">ROUND(G177*I177,2)+ROUND(H177*J177,2)-K177-L177-M177-N177</f>
        <v>92878.65</v>
      </c>
      <c r="P177" s="508">
        <f>ROUND(18.75%*O177,2)</f>
        <v>17414.75</v>
      </c>
      <c r="Q177" s="508">
        <f t="shared" ref="Q177:Q178" si="95">P177-S177</f>
        <v>13931.8</v>
      </c>
      <c r="R177" s="509">
        <v>0.15</v>
      </c>
      <c r="S177" s="508">
        <f>ROUND($O177*T177,2)</f>
        <v>3482.95</v>
      </c>
      <c r="T177" s="510">
        <v>3.7499999999999999E-2</v>
      </c>
    </row>
    <row r="178" spans="1:21" x14ac:dyDescent="0.25">
      <c r="A178" s="326" t="s">
        <v>28</v>
      </c>
      <c r="B178" s="500">
        <f>B177</f>
        <v>67</v>
      </c>
      <c r="C178" s="62" t="s">
        <v>31</v>
      </c>
      <c r="D178" s="337" t="s">
        <v>190</v>
      </c>
      <c r="E178" s="337"/>
      <c r="F178" s="260" t="s">
        <v>37</v>
      </c>
      <c r="G178" s="369">
        <f>G177</f>
        <v>16275</v>
      </c>
      <c r="H178" s="369">
        <f>H177</f>
        <v>32129</v>
      </c>
      <c r="I178" s="370">
        <v>9.9000000000000008E-3</v>
      </c>
      <c r="J178" s="240">
        <v>0</v>
      </c>
      <c r="K178" s="239"/>
      <c r="L178" s="239"/>
      <c r="M178" s="239"/>
      <c r="N178" s="239"/>
      <c r="O178" s="245">
        <f>ROUND(G178*I178,2)+ROUND(H178*J178,2)-K178-L178-M178-N178</f>
        <v>161.12</v>
      </c>
      <c r="P178" s="243">
        <f>ROUND(18.75%*O178,2)</f>
        <v>30.21</v>
      </c>
      <c r="Q178" s="243">
        <f t="shared" si="95"/>
        <v>24.17</v>
      </c>
      <c r="R178" s="244">
        <v>0.15</v>
      </c>
      <c r="S178" s="243">
        <f>ROUND($O178*T178,2)</f>
        <v>6.04</v>
      </c>
      <c r="T178" s="286">
        <v>3.7499999999999999E-2</v>
      </c>
    </row>
    <row r="179" spans="1:21" x14ac:dyDescent="0.25">
      <c r="A179" s="329"/>
      <c r="B179" s="502" t="s">
        <v>185</v>
      </c>
      <c r="C179" s="100"/>
      <c r="D179" s="210"/>
      <c r="E179" s="210"/>
      <c r="F179" s="329"/>
      <c r="G179" s="503">
        <f>G178-G177</f>
        <v>0</v>
      </c>
      <c r="H179" s="504">
        <f>H178-H177</f>
        <v>0</v>
      </c>
      <c r="I179" s="490">
        <f>I178-I177</f>
        <v>-3.57</v>
      </c>
      <c r="J179" s="490">
        <f>J178-J177</f>
        <v>-1.0773999999999999</v>
      </c>
      <c r="K179" s="505">
        <f t="shared" ref="K179:Q179" si="96">K178-K177</f>
        <v>0</v>
      </c>
      <c r="L179" s="505">
        <f t="shared" si="96"/>
        <v>0</v>
      </c>
      <c r="M179" s="505">
        <f t="shared" si="96"/>
        <v>0</v>
      </c>
      <c r="N179" s="505">
        <f t="shared" si="96"/>
        <v>0</v>
      </c>
      <c r="O179" s="311">
        <f t="shared" si="96"/>
        <v>-92717.53</v>
      </c>
      <c r="P179" s="461">
        <f t="shared" si="96"/>
        <v>-17384.54</v>
      </c>
      <c r="Q179" s="311">
        <f t="shared" si="96"/>
        <v>-13907.63</v>
      </c>
      <c r="R179" s="462"/>
      <c r="S179" s="311">
        <f>S178-S177</f>
        <v>-3476.91</v>
      </c>
      <c r="T179" s="462"/>
      <c r="U179" s="307" t="s">
        <v>186</v>
      </c>
    </row>
    <row r="180" spans="1:21" x14ac:dyDescent="0.25">
      <c r="G180" s="307"/>
      <c r="H180" s="307"/>
      <c r="I180" s="307"/>
      <c r="J180" s="307"/>
      <c r="K180" s="307"/>
    </row>
    <row r="181" spans="1:21" x14ac:dyDescent="0.25">
      <c r="A181" s="452"/>
      <c r="B181" s="321" t="s">
        <v>257</v>
      </c>
      <c r="G181" s="307"/>
      <c r="H181" s="307"/>
      <c r="I181" s="307"/>
      <c r="J181" s="307"/>
      <c r="K181" s="307"/>
    </row>
    <row r="182" spans="1:21" x14ac:dyDescent="0.25">
      <c r="A182" s="313" t="s">
        <v>24</v>
      </c>
      <c r="B182" s="308"/>
      <c r="C182" s="322"/>
      <c r="D182" s="319" t="s">
        <v>19</v>
      </c>
      <c r="E182" s="318" t="s">
        <v>59</v>
      </c>
      <c r="F182" s="319" t="s">
        <v>27</v>
      </c>
      <c r="G182" s="320" t="s">
        <v>35</v>
      </c>
      <c r="H182" s="309" t="s">
        <v>36</v>
      </c>
      <c r="I182" s="309" t="s">
        <v>35</v>
      </c>
      <c r="J182" s="320" t="s">
        <v>36</v>
      </c>
      <c r="K182" s="320" t="s">
        <v>39</v>
      </c>
      <c r="L182" s="320" t="s">
        <v>40</v>
      </c>
      <c r="M182" s="320" t="s">
        <v>42</v>
      </c>
      <c r="N182" s="320" t="s">
        <v>2</v>
      </c>
      <c r="O182" s="323" t="s">
        <v>184</v>
      </c>
      <c r="P182" s="323" t="s">
        <v>1</v>
      </c>
      <c r="Q182" s="499" t="s">
        <v>243</v>
      </c>
      <c r="R182" s="310"/>
      <c r="S182" s="499" t="s">
        <v>48</v>
      </c>
      <c r="T182" s="310"/>
    </row>
    <row r="183" spans="1:21" x14ac:dyDescent="0.25">
      <c r="A183" s="324" t="s">
        <v>28</v>
      </c>
      <c r="B183" s="325">
        <v>67</v>
      </c>
      <c r="C183" s="260" t="s">
        <v>31</v>
      </c>
      <c r="D183" s="334" t="s">
        <v>189</v>
      </c>
      <c r="E183" s="334"/>
      <c r="F183" s="506" t="s">
        <v>37</v>
      </c>
      <c r="G183" s="225">
        <v>40458</v>
      </c>
      <c r="H183" s="225"/>
      <c r="I183" s="223">
        <v>0.71750000000000003</v>
      </c>
      <c r="J183" s="223"/>
      <c r="K183" s="225"/>
      <c r="L183" s="225"/>
      <c r="M183" s="225"/>
      <c r="N183" s="225"/>
      <c r="O183" s="507">
        <f t="shared" ref="O183" si="97">ROUND(G183*I183,2)+ROUND(H183*J183,2)-K183-L183-M183-N183</f>
        <v>29028.62</v>
      </c>
      <c r="P183" s="508">
        <f>ROUND(18.75%*O183,2)</f>
        <v>5442.87</v>
      </c>
      <c r="Q183" s="508">
        <f>P183-S183</f>
        <v>4354.3</v>
      </c>
      <c r="R183" s="509">
        <v>0.15</v>
      </c>
      <c r="S183" s="508">
        <f>ROUND($O183*T183,2)</f>
        <v>1088.57</v>
      </c>
      <c r="T183" s="510">
        <v>3.7499999999999999E-2</v>
      </c>
    </row>
    <row r="184" spans="1:21" x14ac:dyDescent="0.25">
      <c r="A184" s="326" t="s">
        <v>28</v>
      </c>
      <c r="B184" s="500">
        <f>B183</f>
        <v>67</v>
      </c>
      <c r="C184" s="62" t="s">
        <v>31</v>
      </c>
      <c r="D184" s="337" t="s">
        <v>190</v>
      </c>
      <c r="E184" s="337"/>
      <c r="F184" s="260" t="s">
        <v>37</v>
      </c>
      <c r="G184" s="369">
        <f>G183</f>
        <v>40458</v>
      </c>
      <c r="H184" s="369"/>
      <c r="I184" s="370">
        <v>0</v>
      </c>
      <c r="J184" s="240"/>
      <c r="K184" s="239"/>
      <c r="L184" s="239"/>
      <c r="M184" s="239"/>
      <c r="N184" s="239"/>
      <c r="O184" s="245">
        <f>ROUND(G184*I184,2)+ROUND(H184*J184,2)-K184-L184-M184-N184</f>
        <v>0</v>
      </c>
      <c r="P184" s="243">
        <f>ROUND(18.75%*O184,2)</f>
        <v>0</v>
      </c>
      <c r="Q184" s="243">
        <f t="shared" ref="Q184" si="98">P184-S184</f>
        <v>0</v>
      </c>
      <c r="R184" s="244">
        <v>0.15</v>
      </c>
      <c r="S184" s="243">
        <f>ROUND($O184*T184,2)</f>
        <v>0</v>
      </c>
      <c r="T184" s="286">
        <v>3.7499999999999999E-2</v>
      </c>
    </row>
    <row r="185" spans="1:21" x14ac:dyDescent="0.25">
      <c r="A185" s="329"/>
      <c r="B185" s="502" t="s">
        <v>185</v>
      </c>
      <c r="C185" s="100"/>
      <c r="D185" s="210"/>
      <c r="E185" s="210"/>
      <c r="F185" s="329"/>
      <c r="G185" s="503">
        <f>G184-G183</f>
        <v>0</v>
      </c>
      <c r="H185" s="504">
        <f>H184-H183</f>
        <v>0</v>
      </c>
      <c r="I185" s="490">
        <f>I184-I183</f>
        <v>-0.71750000000000003</v>
      </c>
      <c r="J185" s="490">
        <f>J184-J183</f>
        <v>0</v>
      </c>
      <c r="K185" s="505">
        <f t="shared" ref="K185:Q185" si="99">K184-K183</f>
        <v>0</v>
      </c>
      <c r="L185" s="505">
        <f t="shared" si="99"/>
        <v>0</v>
      </c>
      <c r="M185" s="505">
        <f t="shared" si="99"/>
        <v>0</v>
      </c>
      <c r="N185" s="505">
        <f t="shared" si="99"/>
        <v>0</v>
      </c>
      <c r="O185" s="311">
        <f t="shared" si="99"/>
        <v>-29028.62</v>
      </c>
      <c r="P185" s="461">
        <f t="shared" si="99"/>
        <v>-5442.87</v>
      </c>
      <c r="Q185" s="311">
        <f t="shared" si="99"/>
        <v>-4354.3</v>
      </c>
      <c r="R185" s="462"/>
      <c r="S185" s="311">
        <f>S184-S183</f>
        <v>-1088.57</v>
      </c>
      <c r="T185" s="462"/>
      <c r="U185" s="307" t="s">
        <v>186</v>
      </c>
    </row>
    <row r="186" spans="1:21" x14ac:dyDescent="0.25">
      <c r="A186" s="125"/>
      <c r="B186" s="7"/>
      <c r="C186" s="125"/>
      <c r="D186" s="125"/>
      <c r="E186" s="125"/>
      <c r="F186" s="125"/>
      <c r="G186" s="190"/>
      <c r="H186" s="190"/>
      <c r="I186" s="523"/>
      <c r="J186" s="523"/>
      <c r="K186" s="523"/>
      <c r="L186" s="523"/>
      <c r="M186" s="523"/>
      <c r="N186" s="523"/>
      <c r="O186" s="483"/>
      <c r="P186" s="486"/>
      <c r="Q186" s="483"/>
      <c r="R186" s="487"/>
      <c r="S186" s="483"/>
      <c r="T186" s="487"/>
    </row>
    <row r="187" spans="1:21" x14ac:dyDescent="0.25">
      <c r="A187" s="125"/>
      <c r="B187" s="7"/>
      <c r="C187" s="125"/>
      <c r="D187" s="125"/>
      <c r="E187" s="125"/>
      <c r="F187" s="125"/>
      <c r="G187" s="190"/>
      <c r="H187" s="190"/>
      <c r="I187" s="523"/>
      <c r="J187" s="523"/>
      <c r="K187" s="523"/>
      <c r="L187" s="523"/>
      <c r="M187" s="523"/>
      <c r="N187" s="523"/>
      <c r="O187" s="483"/>
      <c r="P187" s="486"/>
      <c r="Q187" s="483"/>
      <c r="R187" s="487"/>
      <c r="S187" s="483"/>
      <c r="T187" s="487"/>
    </row>
    <row r="188" spans="1:21" x14ac:dyDescent="0.25">
      <c r="A188" s="394" t="s">
        <v>235</v>
      </c>
      <c r="B188" s="321" t="s">
        <v>245</v>
      </c>
      <c r="G188" s="307"/>
      <c r="H188" s="307"/>
      <c r="I188" s="307"/>
      <c r="J188" s="307"/>
      <c r="K188" s="307"/>
    </row>
    <row r="189" spans="1:21" x14ac:dyDescent="0.25">
      <c r="A189" s="313" t="s">
        <v>236</v>
      </c>
      <c r="B189" s="308"/>
      <c r="C189" s="322"/>
      <c r="D189" s="319" t="s">
        <v>19</v>
      </c>
      <c r="E189" s="318" t="s">
        <v>59</v>
      </c>
      <c r="F189" s="319" t="s">
        <v>27</v>
      </c>
      <c r="G189" s="320" t="s">
        <v>35</v>
      </c>
      <c r="H189" s="309" t="s">
        <v>36</v>
      </c>
      <c r="I189" s="309" t="s">
        <v>35</v>
      </c>
      <c r="J189" s="320" t="s">
        <v>36</v>
      </c>
      <c r="K189" s="320" t="s">
        <v>39</v>
      </c>
      <c r="L189" s="320" t="s">
        <v>40</v>
      </c>
      <c r="M189" s="320" t="s">
        <v>42</v>
      </c>
      <c r="N189" s="397" t="s">
        <v>2</v>
      </c>
      <c r="O189" s="323" t="s">
        <v>184</v>
      </c>
      <c r="P189" s="332" t="s">
        <v>166</v>
      </c>
      <c r="Q189" s="332" t="s">
        <v>47</v>
      </c>
      <c r="R189" s="310"/>
      <c r="S189" s="332" t="s">
        <v>48</v>
      </c>
      <c r="T189" s="310"/>
    </row>
    <row r="190" spans="1:21" x14ac:dyDescent="0.25">
      <c r="A190" s="324" t="s">
        <v>28</v>
      </c>
      <c r="B190" s="325" t="s">
        <v>167</v>
      </c>
      <c r="C190" s="62" t="s">
        <v>31</v>
      </c>
      <c r="D190" s="62" t="s">
        <v>21</v>
      </c>
      <c r="E190" s="62" t="s">
        <v>101</v>
      </c>
      <c r="F190" s="260" t="s">
        <v>37</v>
      </c>
      <c r="G190" s="236"/>
      <c r="H190" s="236">
        <v>0</v>
      </c>
      <c r="I190" s="238"/>
      <c r="J190" s="237">
        <v>0</v>
      </c>
      <c r="K190" s="312"/>
      <c r="L190" s="312"/>
      <c r="M190" s="312"/>
      <c r="N190" s="236">
        <v>0</v>
      </c>
      <c r="O190" s="245">
        <f>ROUND(G190*I190,2)+ROUND(H190*J190,2)-K190-L190-M190-N190</f>
        <v>0</v>
      </c>
      <c r="P190" s="243">
        <f>ROUND(18.75%*O190,2)</f>
        <v>0</v>
      </c>
      <c r="Q190" s="243">
        <f>ROUND($O190*R190,2)</f>
        <v>0</v>
      </c>
      <c r="R190" s="244">
        <v>0.15</v>
      </c>
      <c r="S190" s="243">
        <f>ROUND($O190*T190,2)</f>
        <v>0</v>
      </c>
      <c r="T190" s="286">
        <v>3.7499999999999999E-2</v>
      </c>
    </row>
    <row r="191" spans="1:21" x14ac:dyDescent="0.25">
      <c r="A191" s="326" t="s">
        <v>28</v>
      </c>
      <c r="B191" s="335" t="str">
        <f>+B190</f>
        <v>31-E</v>
      </c>
      <c r="C191" s="62" t="s">
        <v>31</v>
      </c>
      <c r="D191" s="62" t="s">
        <v>190</v>
      </c>
      <c r="E191" s="62"/>
      <c r="F191" s="342" t="str">
        <f>F190</f>
        <v>Bls</v>
      </c>
      <c r="G191" s="327"/>
      <c r="H191" s="327">
        <v>0</v>
      </c>
      <c r="I191" s="476"/>
      <c r="J191" s="240">
        <v>0</v>
      </c>
      <c r="K191" s="328"/>
      <c r="L191" s="328"/>
      <c r="M191" s="328"/>
      <c r="N191" s="493">
        <v>-513.71</v>
      </c>
      <c r="O191" s="492">
        <v>0</v>
      </c>
      <c r="P191" s="465">
        <f>ROUND(18.75%*N191,2)</f>
        <v>-96.32</v>
      </c>
      <c r="Q191" s="465">
        <f>ROUND($N191*R191,2)</f>
        <v>-77.06</v>
      </c>
      <c r="R191" s="50">
        <v>0.15</v>
      </c>
      <c r="S191" s="465">
        <f>ROUND($N191*T191,2)</f>
        <v>-19.260000000000002</v>
      </c>
      <c r="T191" s="466">
        <v>3.7499999999999999E-2</v>
      </c>
    </row>
    <row r="192" spans="1:21" x14ac:dyDescent="0.25">
      <c r="A192" s="329"/>
      <c r="B192" s="338"/>
      <c r="C192" s="100"/>
      <c r="D192" s="210"/>
      <c r="E192" s="210"/>
      <c r="F192" s="329"/>
      <c r="G192" s="386">
        <f>+G191-G190</f>
        <v>0</v>
      </c>
      <c r="H192" s="386">
        <f>+H191-H190</f>
        <v>0</v>
      </c>
      <c r="I192" s="330">
        <f>+I191-I190</f>
        <v>0</v>
      </c>
      <c r="J192" s="490">
        <f>+J191-J190</f>
        <v>0</v>
      </c>
      <c r="K192" s="389"/>
      <c r="L192" s="389"/>
      <c r="M192" s="389"/>
      <c r="N192" s="399">
        <f>SUM(N190:N191)</f>
        <v>-513.71</v>
      </c>
      <c r="O192" s="330">
        <f>+O191-O190</f>
        <v>0</v>
      </c>
      <c r="P192" s="331">
        <f>+P191-P190</f>
        <v>-96.32</v>
      </c>
      <c r="Q192" s="330">
        <f>+Q191-Q190</f>
        <v>-77.06</v>
      </c>
      <c r="R192" s="341"/>
      <c r="S192" s="382">
        <f>+S191-S190</f>
        <v>-19.260000000000002</v>
      </c>
      <c r="T192" s="371"/>
    </row>
    <row r="193" spans="1:21" x14ac:dyDescent="0.25">
      <c r="A193" s="125"/>
      <c r="B193" s="7"/>
      <c r="C193" s="125"/>
      <c r="D193" s="125"/>
      <c r="E193" s="125"/>
      <c r="F193" s="125"/>
      <c r="G193" s="483"/>
      <c r="H193" s="483"/>
      <c r="I193" s="483"/>
      <c r="J193" s="483"/>
      <c r="K193" s="484"/>
      <c r="L193" s="484"/>
      <c r="M193" s="484"/>
      <c r="N193" s="485"/>
      <c r="O193" s="483"/>
      <c r="P193" s="486"/>
      <c r="Q193" s="483"/>
      <c r="R193" s="150"/>
      <c r="S193" s="488"/>
      <c r="T193" s="6"/>
    </row>
    <row r="194" spans="1:21" x14ac:dyDescent="0.25">
      <c r="A194" s="394"/>
      <c r="B194" s="321" t="s">
        <v>245</v>
      </c>
      <c r="G194" s="307"/>
      <c r="H194" s="307"/>
      <c r="I194" s="307"/>
      <c r="J194" s="307"/>
      <c r="K194" s="307"/>
      <c r="Q194" s="346"/>
    </row>
    <row r="195" spans="1:21" x14ac:dyDescent="0.25">
      <c r="A195" s="313" t="s">
        <v>24</v>
      </c>
      <c r="B195" s="308"/>
      <c r="C195" s="322"/>
      <c r="D195" s="319" t="s">
        <v>19</v>
      </c>
      <c r="E195" s="318" t="s">
        <v>59</v>
      </c>
      <c r="F195" s="319" t="s">
        <v>27</v>
      </c>
      <c r="G195" s="320" t="s">
        <v>35</v>
      </c>
      <c r="H195" s="309" t="s">
        <v>36</v>
      </c>
      <c r="I195" s="309" t="s">
        <v>35</v>
      </c>
      <c r="J195" s="320" t="s">
        <v>36</v>
      </c>
      <c r="K195" s="320" t="s">
        <v>39</v>
      </c>
      <c r="L195" s="320" t="s">
        <v>40</v>
      </c>
      <c r="M195" s="320" t="s">
        <v>42</v>
      </c>
      <c r="N195" s="397" t="s">
        <v>2</v>
      </c>
      <c r="O195" s="323" t="s">
        <v>184</v>
      </c>
      <c r="P195" s="332" t="s">
        <v>166</v>
      </c>
      <c r="Q195" s="332" t="s">
        <v>47</v>
      </c>
      <c r="R195" s="310"/>
      <c r="S195" s="332" t="s">
        <v>48</v>
      </c>
      <c r="T195" s="310"/>
    </row>
    <row r="196" spans="1:21" x14ac:dyDescent="0.25">
      <c r="A196" s="324" t="s">
        <v>28</v>
      </c>
      <c r="B196" s="325" t="s">
        <v>10</v>
      </c>
      <c r="C196" s="62" t="s">
        <v>31</v>
      </c>
      <c r="D196" s="62" t="s">
        <v>21</v>
      </c>
      <c r="E196" s="62" t="s">
        <v>101</v>
      </c>
      <c r="F196" s="260" t="s">
        <v>37</v>
      </c>
      <c r="G196" s="236"/>
      <c r="H196" s="236">
        <v>0</v>
      </c>
      <c r="I196" s="236"/>
      <c r="J196" s="236">
        <v>0</v>
      </c>
      <c r="K196" s="312"/>
      <c r="L196" s="312"/>
      <c r="M196" s="312"/>
      <c r="N196" s="236"/>
      <c r="O196" s="245">
        <f t="shared" ref="O196" si="100">ROUND(G196*I196,2)+ROUND(H196*J196,2)-K196-L196-M196-N196</f>
        <v>0</v>
      </c>
      <c r="P196" s="243">
        <f>ROUND(18.75%*O196,2)</f>
        <v>0</v>
      </c>
      <c r="Q196" s="243">
        <f>ROUND($O196*R196,2)</f>
        <v>0</v>
      </c>
      <c r="R196" s="244">
        <v>0.15</v>
      </c>
      <c r="S196" s="243">
        <f>ROUND($O196*T196,2)</f>
        <v>0</v>
      </c>
      <c r="T196" s="286">
        <v>3.7499999999999999E-2</v>
      </c>
    </row>
    <row r="197" spans="1:21" x14ac:dyDescent="0.25">
      <c r="A197" s="326" t="s">
        <v>28</v>
      </c>
      <c r="B197" s="335" t="str">
        <f>+B196</f>
        <v>31-B</v>
      </c>
      <c r="C197" s="62" t="s">
        <v>31</v>
      </c>
      <c r="D197" s="62" t="s">
        <v>190</v>
      </c>
      <c r="E197" s="62" t="str">
        <f>+E196</f>
        <v>F2</v>
      </c>
      <c r="F197" s="342" t="str">
        <f>F196</f>
        <v>Bls</v>
      </c>
      <c r="G197" s="369"/>
      <c r="H197" s="369">
        <f>+H196</f>
        <v>0</v>
      </c>
      <c r="I197" s="369"/>
      <c r="J197" s="369">
        <f>+J196</f>
        <v>0</v>
      </c>
      <c r="K197" s="328"/>
      <c r="L197" s="328"/>
      <c r="M197" s="328"/>
      <c r="N197" s="455">
        <v>-657.07</v>
      </c>
      <c r="O197" s="492">
        <v>0</v>
      </c>
      <c r="P197" s="465">
        <f>ROUND(18.75%*N197,2)</f>
        <v>-123.2</v>
      </c>
      <c r="Q197" s="465">
        <f>ROUND($N197*R197,2)</f>
        <v>-98.56</v>
      </c>
      <c r="R197" s="50">
        <v>0.15</v>
      </c>
      <c r="S197" s="465">
        <f>ROUND($N197*T197,2)</f>
        <v>-24.64</v>
      </c>
      <c r="T197" s="466">
        <v>3.7499999999999999E-2</v>
      </c>
    </row>
    <row r="198" spans="1:21" x14ac:dyDescent="0.25">
      <c r="A198" s="329"/>
      <c r="B198" s="338"/>
      <c r="C198" s="100"/>
      <c r="D198" s="210"/>
      <c r="E198" s="210"/>
      <c r="F198" s="329"/>
      <c r="G198" s="330">
        <f>+G197-G196</f>
        <v>0</v>
      </c>
      <c r="H198" s="330">
        <f>+H197-H196</f>
        <v>0</v>
      </c>
      <c r="I198" s="330">
        <f>+I197-I196</f>
        <v>0</v>
      </c>
      <c r="J198" s="490">
        <f>+J197-J196</f>
        <v>0</v>
      </c>
      <c r="K198" s="489"/>
      <c r="L198" s="389"/>
      <c r="M198" s="389"/>
      <c r="N198" s="399">
        <f>SUM(N196:N197)</f>
        <v>-657.07</v>
      </c>
      <c r="O198" s="330">
        <f>+O197-O196</f>
        <v>0</v>
      </c>
      <c r="P198" s="331">
        <f>+P197-P196</f>
        <v>-123.2</v>
      </c>
      <c r="Q198" s="330">
        <f>+Q197-Q196</f>
        <v>-98.56</v>
      </c>
      <c r="R198" s="341"/>
      <c r="S198" s="382">
        <f>+S197-S196</f>
        <v>-24.64</v>
      </c>
      <c r="T198" s="371"/>
    </row>
    <row r="199" spans="1:21" x14ac:dyDescent="0.25">
      <c r="A199" s="125"/>
      <c r="B199" s="7"/>
      <c r="C199" s="125"/>
      <c r="D199" s="125"/>
      <c r="E199" s="125"/>
      <c r="F199" s="125"/>
      <c r="G199" s="483"/>
      <c r="H199" s="483"/>
      <c r="I199" s="483"/>
      <c r="J199" s="483"/>
      <c r="K199" s="484"/>
      <c r="L199" s="484"/>
      <c r="M199" s="484"/>
      <c r="N199" s="485"/>
      <c r="O199" s="483"/>
      <c r="P199" s="483"/>
      <c r="Q199" s="483"/>
      <c r="R199" s="150"/>
      <c r="S199" s="483"/>
      <c r="T199" s="6"/>
    </row>
    <row r="200" spans="1:21" x14ac:dyDescent="0.25">
      <c r="A200" s="394"/>
      <c r="B200" s="321" t="s">
        <v>245</v>
      </c>
      <c r="G200" s="307"/>
      <c r="H200" s="307"/>
      <c r="I200" s="307"/>
      <c r="J200" s="307"/>
      <c r="K200" s="307"/>
    </row>
    <row r="201" spans="1:21" x14ac:dyDescent="0.25">
      <c r="A201" s="313" t="s">
        <v>195</v>
      </c>
      <c r="B201" s="308"/>
      <c r="C201" s="322"/>
      <c r="D201" s="319" t="s">
        <v>19</v>
      </c>
      <c r="E201" s="318" t="s">
        <v>59</v>
      </c>
      <c r="F201" s="319" t="s">
        <v>27</v>
      </c>
      <c r="G201" s="320" t="s">
        <v>35</v>
      </c>
      <c r="H201" s="309" t="s">
        <v>36</v>
      </c>
      <c r="I201" s="309" t="s">
        <v>35</v>
      </c>
      <c r="J201" s="320" t="s">
        <v>36</v>
      </c>
      <c r="K201" s="320" t="s">
        <v>39</v>
      </c>
      <c r="L201" s="320" t="s">
        <v>40</v>
      </c>
      <c r="M201" s="320" t="s">
        <v>42</v>
      </c>
      <c r="N201" s="397" t="s">
        <v>2</v>
      </c>
      <c r="O201" s="323" t="s">
        <v>184</v>
      </c>
      <c r="P201" s="332" t="s">
        <v>166</v>
      </c>
      <c r="Q201" s="332" t="s">
        <v>239</v>
      </c>
      <c r="R201" s="310"/>
      <c r="S201" s="346"/>
    </row>
    <row r="202" spans="1:21" x14ac:dyDescent="0.25">
      <c r="A202" s="324" t="s">
        <v>28</v>
      </c>
      <c r="B202" s="325" t="s">
        <v>11</v>
      </c>
      <c r="C202" s="62" t="s">
        <v>31</v>
      </c>
      <c r="D202" s="62" t="s">
        <v>21</v>
      </c>
      <c r="E202" s="62" t="s">
        <v>101</v>
      </c>
      <c r="F202" s="260" t="s">
        <v>37</v>
      </c>
      <c r="G202" s="236"/>
      <c r="H202" s="236">
        <v>0</v>
      </c>
      <c r="I202" s="236"/>
      <c r="J202" s="236">
        <v>0</v>
      </c>
      <c r="K202" s="312"/>
      <c r="L202" s="312"/>
      <c r="M202" s="312"/>
      <c r="N202" s="236"/>
      <c r="O202" s="245">
        <f>ROUND(G202*I202,2)+ROUND(H202*J202,2)-K202-L202-M202-N202</f>
        <v>0</v>
      </c>
      <c r="P202" s="243">
        <f>ROUND(15%*O202,2)</f>
        <v>0</v>
      </c>
      <c r="Q202" s="243">
        <f>ROUND($O202*R202,2)</f>
        <v>0</v>
      </c>
      <c r="R202" s="244">
        <v>0.15</v>
      </c>
    </row>
    <row r="203" spans="1:21" x14ac:dyDescent="0.25">
      <c r="A203" s="326" t="s">
        <v>28</v>
      </c>
      <c r="B203" s="335" t="str">
        <f>+B202</f>
        <v>31-D</v>
      </c>
      <c r="C203" s="62" t="s">
        <v>31</v>
      </c>
      <c r="D203" s="62" t="s">
        <v>190</v>
      </c>
      <c r="E203" s="62" t="str">
        <f>+E202</f>
        <v>F2</v>
      </c>
      <c r="F203" s="342" t="str">
        <f>F202</f>
        <v>Bls</v>
      </c>
      <c r="G203" s="369"/>
      <c r="H203" s="369">
        <f>+H202</f>
        <v>0</v>
      </c>
      <c r="I203" s="369"/>
      <c r="J203" s="369">
        <f>+J202</f>
        <v>0</v>
      </c>
      <c r="K203" s="328"/>
      <c r="L203" s="328"/>
      <c r="M203" s="328"/>
      <c r="N203" s="455">
        <v>-1112.44</v>
      </c>
      <c r="O203" s="492">
        <v>0</v>
      </c>
      <c r="P203" s="465">
        <f>ROUND(15%*N203,2)</f>
        <v>-166.87</v>
      </c>
      <c r="Q203" s="465">
        <f>ROUND($N203*R203,2)</f>
        <v>-166.87</v>
      </c>
      <c r="R203" s="50">
        <v>0.15</v>
      </c>
    </row>
    <row r="204" spans="1:21" x14ac:dyDescent="0.25">
      <c r="A204" s="329"/>
      <c r="B204" s="338"/>
      <c r="C204" s="100"/>
      <c r="D204" s="210"/>
      <c r="E204" s="210"/>
      <c r="F204" s="329"/>
      <c r="G204" s="330">
        <f>+G203-G202</f>
        <v>0</v>
      </c>
      <c r="H204" s="330">
        <f>+H203-H202</f>
        <v>0</v>
      </c>
      <c r="I204" s="330">
        <f>+I203-I202</f>
        <v>0</v>
      </c>
      <c r="J204" s="490">
        <f>+J203-J202</f>
        <v>0</v>
      </c>
      <c r="K204" s="489"/>
      <c r="L204" s="389"/>
      <c r="M204" s="389"/>
      <c r="N204" s="399">
        <f>SUM(N202:N203)</f>
        <v>-1112.44</v>
      </c>
      <c r="O204" s="330">
        <f>+O203-O202</f>
        <v>0</v>
      </c>
      <c r="P204" s="331">
        <f>+P203-P202</f>
        <v>-166.87</v>
      </c>
      <c r="Q204" s="330">
        <f>+Q203-Q202</f>
        <v>-166.87</v>
      </c>
      <c r="R204" s="341"/>
    </row>
    <row r="205" spans="1:21" x14ac:dyDescent="0.25">
      <c r="A205" s="125"/>
      <c r="B205" s="7"/>
      <c r="C205" s="125"/>
      <c r="D205" s="125"/>
      <c r="E205" s="125"/>
      <c r="F205" s="125"/>
      <c r="G205" s="190"/>
      <c r="H205" s="190"/>
      <c r="I205" s="523"/>
      <c r="J205" s="523"/>
      <c r="K205" s="523"/>
      <c r="L205" s="523"/>
      <c r="M205" s="523"/>
      <c r="N205" s="523">
        <f>+N204+N198+N192</f>
        <v>-2283.2200000000003</v>
      </c>
      <c r="O205" s="483"/>
      <c r="P205" s="486"/>
      <c r="Q205" s="483"/>
      <c r="R205" s="487"/>
      <c r="S205" s="483"/>
      <c r="T205" s="487"/>
    </row>
    <row r="206" spans="1:21" x14ac:dyDescent="0.25">
      <c r="A206" s="125"/>
      <c r="B206" s="7"/>
      <c r="C206" s="125"/>
      <c r="D206" s="125"/>
      <c r="E206" s="125"/>
      <c r="F206" s="125"/>
      <c r="G206" s="190"/>
      <c r="H206" s="190"/>
      <c r="I206" s="523"/>
      <c r="J206" s="523"/>
      <c r="K206" s="523"/>
      <c r="L206" s="523"/>
      <c r="M206" s="523"/>
      <c r="N206" s="523"/>
      <c r="O206" s="483"/>
      <c r="P206" s="486"/>
      <c r="Q206" s="483"/>
      <c r="R206" s="487"/>
      <c r="S206" s="483"/>
      <c r="T206" s="487"/>
    </row>
    <row r="208" spans="1:21" x14ac:dyDescent="0.25">
      <c r="N208" s="395" t="s">
        <v>1</v>
      </c>
      <c r="O208" s="496">
        <f>+O89+O95+O101+O107+O113+O119+O125+O131+O137+O143+O149+O155+O161+O167+O173+O179+O185+O192+O198+O204</f>
        <v>-1799068.4498839974</v>
      </c>
      <c r="P208" s="496">
        <f>+P89+P95+P101+P107+P113+P119+P125+P131+P137+P143+P149+P155+P161+P167+P173+P179+P185+P192+P198+P204</f>
        <v>320445.31307200185</v>
      </c>
      <c r="Q208" s="496">
        <f>+Q89+Q95+Q101+Q107+Q113+Q119+Q125+Q131+Q137+Q143+Q149+Q155+Q161+Q167+Q173+Q179+Q185+Q192+Q198+Q204</f>
        <v>75695.059999999896</v>
      </c>
      <c r="R208" s="496"/>
      <c r="S208" s="496">
        <f>+S119+S125+S131+S137+S143+S149+S155+S161+S167+S173+S179+S185+S192+S198</f>
        <v>-56296.079999999987</v>
      </c>
      <c r="T208" s="74"/>
      <c r="U208" s="74"/>
    </row>
    <row r="209" spans="7:21" x14ac:dyDescent="0.25">
      <c r="N209" s="395"/>
      <c r="O209" s="72"/>
      <c r="P209" s="72"/>
      <c r="Q209" s="72"/>
      <c r="R209" s="72"/>
      <c r="S209" s="72"/>
      <c r="T209" s="74"/>
      <c r="U209" s="74"/>
    </row>
    <row r="210" spans="7:21" x14ac:dyDescent="0.25">
      <c r="N210" s="395"/>
      <c r="O210" s="72"/>
      <c r="P210" s="74"/>
      <c r="Q210" s="74"/>
      <c r="R210" s="74"/>
      <c r="S210" s="74"/>
      <c r="T210" s="74"/>
      <c r="U210" s="74"/>
    </row>
    <row r="211" spans="7:21" x14ac:dyDescent="0.25">
      <c r="L211" s="521"/>
      <c r="M211" s="521" t="s">
        <v>205</v>
      </c>
      <c r="N211" s="395" t="s">
        <v>206</v>
      </c>
      <c r="O211" s="497">
        <f>+O119</f>
        <v>-23589.879999999888</v>
      </c>
      <c r="P211" s="497">
        <f>+P119</f>
        <v>-4423.0999999998603</v>
      </c>
      <c r="Q211" s="497">
        <f>+Q119</f>
        <v>-3538.4799999999814</v>
      </c>
      <c r="R211" s="497"/>
      <c r="S211" s="497">
        <f>+S119</f>
        <v>-884.61999999999534</v>
      </c>
      <c r="T211" s="74"/>
      <c r="U211" s="74"/>
    </row>
    <row r="212" spans="7:21" x14ac:dyDescent="0.25">
      <c r="N212" s="395"/>
      <c r="O212" s="498">
        <f>+O211</f>
        <v>-23589.879999999888</v>
      </c>
      <c r="P212" s="498">
        <f t="shared" ref="P212:Q212" si="101">+P211</f>
        <v>-4423.0999999998603</v>
      </c>
      <c r="Q212" s="498">
        <f t="shared" si="101"/>
        <v>-3538.4799999999814</v>
      </c>
      <c r="R212" s="498"/>
      <c r="S212" s="498">
        <f t="shared" ref="S212" si="102">+S211</f>
        <v>-884.61999999999534</v>
      </c>
      <c r="T212" s="74"/>
      <c r="U212" s="74"/>
    </row>
    <row r="213" spans="7:21" x14ac:dyDescent="0.25">
      <c r="N213" s="395"/>
      <c r="O213" s="498"/>
      <c r="P213" s="498"/>
      <c r="Q213" s="498"/>
      <c r="R213" s="498"/>
      <c r="S213" s="498"/>
      <c r="T213" s="74"/>
      <c r="U213" s="74"/>
    </row>
    <row r="214" spans="7:21" x14ac:dyDescent="0.25">
      <c r="N214" s="395" t="s">
        <v>238</v>
      </c>
      <c r="O214" s="528">
        <f>+O204</f>
        <v>0</v>
      </c>
      <c r="P214" s="528">
        <f t="shared" ref="P214:Q214" si="103">+P204</f>
        <v>-166.87</v>
      </c>
      <c r="Q214" s="528">
        <f t="shared" si="103"/>
        <v>-166.87</v>
      </c>
      <c r="R214" s="528"/>
      <c r="S214" s="528"/>
      <c r="T214" s="74"/>
      <c r="U214" s="74"/>
    </row>
    <row r="215" spans="7:21" x14ac:dyDescent="0.25">
      <c r="N215" s="395"/>
      <c r="O215" s="498">
        <f t="shared" ref="O215:Q215" si="104">SUM(O214)</f>
        <v>0</v>
      </c>
      <c r="P215" s="498">
        <f t="shared" si="104"/>
        <v>-166.87</v>
      </c>
      <c r="Q215" s="498">
        <f t="shared" si="104"/>
        <v>-166.87</v>
      </c>
      <c r="R215" s="498"/>
      <c r="S215" s="498"/>
      <c r="T215" s="74"/>
      <c r="U215" s="74"/>
    </row>
    <row r="216" spans="7:21" x14ac:dyDescent="0.25">
      <c r="N216" s="395"/>
      <c r="O216" s="498"/>
      <c r="P216" s="498"/>
      <c r="Q216" s="498"/>
      <c r="R216" s="498"/>
      <c r="S216" s="498"/>
      <c r="T216" s="74"/>
      <c r="U216" s="74"/>
    </row>
    <row r="217" spans="7:21" x14ac:dyDescent="0.25">
      <c r="N217" s="395" t="s">
        <v>230</v>
      </c>
      <c r="O217" s="529">
        <f>+O192</f>
        <v>0</v>
      </c>
      <c r="P217" s="529">
        <f>+P192</f>
        <v>-96.32</v>
      </c>
      <c r="Q217" s="529">
        <f>+Q192</f>
        <v>-77.06</v>
      </c>
      <c r="R217" s="529"/>
      <c r="S217" s="529">
        <f>+S192</f>
        <v>-19.260000000000002</v>
      </c>
      <c r="T217" s="74"/>
      <c r="U217" s="74"/>
    </row>
    <row r="218" spans="7:21" x14ac:dyDescent="0.25">
      <c r="N218" s="395" t="s">
        <v>237</v>
      </c>
      <c r="O218" s="529">
        <f>+O198</f>
        <v>0</v>
      </c>
      <c r="P218" s="529">
        <f>+P198</f>
        <v>-123.2</v>
      </c>
      <c r="Q218" s="529">
        <f>+Q198</f>
        <v>-98.56</v>
      </c>
      <c r="R218" s="529"/>
      <c r="S218" s="529">
        <f>+S198</f>
        <v>-24.64</v>
      </c>
      <c r="T218" s="74"/>
      <c r="U218" s="74"/>
    </row>
    <row r="219" spans="7:21" x14ac:dyDescent="0.25">
      <c r="L219" s="521"/>
      <c r="M219" s="521" t="s">
        <v>203</v>
      </c>
      <c r="N219" s="395" t="s">
        <v>244</v>
      </c>
      <c r="O219" s="497">
        <f>+O125+O131+O137+O143+O149+O155+O161+O167+O173+O179+O185</f>
        <v>-1476468.5499999998</v>
      </c>
      <c r="P219" s="497">
        <f>+P125+P131+P137+P143+P149+P155+P161+P167+P173+P179+P185</f>
        <v>-276837.87</v>
      </c>
      <c r="Q219" s="497">
        <f>+Q125+Q131+Q137+Q143+Q149+Q155+Q161+Q167+Q173+Q179+Q185</f>
        <v>-221470.30000000002</v>
      </c>
      <c r="R219" s="497"/>
      <c r="S219" s="497">
        <f>+S125+S131+S137+S143+S149+S155+S161+S167+S173+S179+S185</f>
        <v>-55367.55999999999</v>
      </c>
      <c r="T219" s="74"/>
      <c r="U219" s="74"/>
    </row>
    <row r="220" spans="7:21" x14ac:dyDescent="0.25">
      <c r="N220" s="395"/>
      <c r="O220" s="498">
        <f>SUM(O217:O219)</f>
        <v>-1476468.5499999998</v>
      </c>
      <c r="P220" s="498">
        <f>SUM(P217:P219)</f>
        <v>-277057.39</v>
      </c>
      <c r="Q220" s="498">
        <f>SUM(Q217:Q219)</f>
        <v>-221645.92</v>
      </c>
      <c r="R220" s="498"/>
      <c r="S220" s="498">
        <f>SUM(S217:S219)</f>
        <v>-55411.459999999992</v>
      </c>
      <c r="T220" s="74"/>
      <c r="U220" s="74"/>
    </row>
    <row r="221" spans="7:21" x14ac:dyDescent="0.25">
      <c r="N221" s="395"/>
      <c r="O221" s="498"/>
      <c r="P221" s="498"/>
      <c r="Q221" s="498"/>
      <c r="R221" s="498"/>
      <c r="S221" s="498"/>
      <c r="T221" s="74"/>
      <c r="U221" s="74"/>
    </row>
    <row r="222" spans="7:21" x14ac:dyDescent="0.25">
      <c r="G222" s="307"/>
      <c r="H222" s="307"/>
      <c r="I222" s="307"/>
      <c r="J222" s="307"/>
      <c r="K222" s="307"/>
      <c r="L222" s="521"/>
      <c r="M222" s="521" t="s">
        <v>187</v>
      </c>
      <c r="N222" s="395" t="s">
        <v>207</v>
      </c>
      <c r="O222" s="74">
        <f>+O89</f>
        <v>425.94722099986393</v>
      </c>
      <c r="P222" s="74">
        <f>+P89</f>
        <v>158.63000000000466</v>
      </c>
      <c r="Q222" s="74">
        <f>+Q89</f>
        <v>79.309999999997672</v>
      </c>
      <c r="R222" s="74"/>
      <c r="S222" s="74"/>
      <c r="T222" s="74"/>
      <c r="U222" s="74"/>
    </row>
    <row r="223" spans="7:21" x14ac:dyDescent="0.25">
      <c r="G223" s="307"/>
      <c r="H223" s="307"/>
      <c r="I223" s="307"/>
      <c r="J223" s="307"/>
      <c r="K223" s="307"/>
      <c r="N223" s="395" t="s">
        <v>192</v>
      </c>
      <c r="O223" s="496">
        <f>+O95</f>
        <v>-2432487.0966299996</v>
      </c>
      <c r="P223" s="496">
        <f>+P95</f>
        <v>-235913.52155799977</v>
      </c>
      <c r="Q223" s="496">
        <f>+Q95</f>
        <v>-117956.75999999989</v>
      </c>
      <c r="R223" s="74"/>
      <c r="S223" s="74"/>
      <c r="T223" s="74"/>
      <c r="U223" s="74"/>
    </row>
    <row r="224" spans="7:21" x14ac:dyDescent="0.25">
      <c r="G224" s="307"/>
      <c r="H224" s="307"/>
      <c r="I224" s="307"/>
      <c r="J224" s="307"/>
      <c r="K224" s="307"/>
      <c r="N224" s="395" t="s">
        <v>204</v>
      </c>
      <c r="O224" s="496">
        <f>+O113</f>
        <v>-140768.73799999803</v>
      </c>
      <c r="P224" s="496">
        <f>+P113</f>
        <v>-8922.9553699999815</v>
      </c>
      <c r="Q224" s="496">
        <f>+Q113</f>
        <v>-4461.4799999999814</v>
      </c>
      <c r="R224" s="74"/>
      <c r="S224" s="74"/>
      <c r="T224" s="74"/>
      <c r="U224" s="74"/>
    </row>
    <row r="225" spans="7:21" x14ac:dyDescent="0.25">
      <c r="G225" s="307"/>
      <c r="H225" s="307"/>
      <c r="I225" s="307"/>
      <c r="J225" s="307"/>
      <c r="K225" s="307"/>
      <c r="N225" s="395" t="s">
        <v>202</v>
      </c>
      <c r="O225" s="496">
        <f>+O101+O107</f>
        <v>2273819.8675250001</v>
      </c>
      <c r="P225" s="496">
        <f>+P101+P107</f>
        <v>846770.52000000142</v>
      </c>
      <c r="Q225" s="496">
        <f>+Q101+Q107</f>
        <v>423385.25999999978</v>
      </c>
      <c r="R225" s="74"/>
      <c r="S225" s="74"/>
      <c r="T225" s="74"/>
      <c r="U225" s="74"/>
    </row>
    <row r="226" spans="7:21" x14ac:dyDescent="0.25">
      <c r="G226" s="307"/>
      <c r="H226" s="307"/>
      <c r="I226" s="307"/>
      <c r="J226" s="307"/>
      <c r="K226" s="307"/>
      <c r="N226" s="395"/>
      <c r="O226" s="522">
        <f>SUM(O222:O225)</f>
        <v>-299010.01988399774</v>
      </c>
      <c r="P226" s="522">
        <f t="shared" ref="P226:Q226" si="105">SUM(P222:P225)</f>
        <v>602092.67307200166</v>
      </c>
      <c r="Q226" s="522">
        <f t="shared" si="105"/>
        <v>301046.3299999999</v>
      </c>
      <c r="R226" s="74"/>
      <c r="S226" s="74"/>
      <c r="T226" s="74"/>
      <c r="U226" s="74"/>
    </row>
    <row r="227" spans="7:21" x14ac:dyDescent="0.25">
      <c r="G227" s="307"/>
      <c r="H227" s="307"/>
      <c r="I227" s="307"/>
      <c r="J227" s="307"/>
      <c r="K227" s="307"/>
      <c r="N227" s="395"/>
      <c r="O227" s="74"/>
      <c r="P227" s="74"/>
      <c r="Q227" s="74"/>
      <c r="R227" s="74"/>
      <c r="S227" s="74"/>
      <c r="T227" s="74"/>
      <c r="U227" s="74"/>
    </row>
    <row r="228" spans="7:21" x14ac:dyDescent="0.25">
      <c r="G228" s="307"/>
      <c r="H228" s="307"/>
      <c r="I228" s="307"/>
      <c r="J228" s="307"/>
      <c r="K228" s="307"/>
      <c r="N228" s="395" t="s">
        <v>1</v>
      </c>
      <c r="O228" s="496">
        <f>+O212+O220+O226+O215</f>
        <v>-1799068.4498839974</v>
      </c>
      <c r="P228" s="496">
        <f>+P212+P220+P226+P215</f>
        <v>320445.31307200179</v>
      </c>
      <c r="Q228" s="496">
        <f>+Q212+Q220+Q226+Q215</f>
        <v>75695.05999999991</v>
      </c>
      <c r="R228" s="496"/>
      <c r="S228" s="496">
        <f>+S212+S220+S226</f>
        <v>-56296.079999999987</v>
      </c>
      <c r="T228" s="74"/>
      <c r="U228" s="74"/>
    </row>
    <row r="229" spans="7:21" x14ac:dyDescent="0.25">
      <c r="G229" s="307"/>
      <c r="H229" s="307"/>
      <c r="I229" s="307"/>
      <c r="J229" s="307"/>
      <c r="K229" s="307"/>
      <c r="N229" s="395"/>
      <c r="O229" s="74"/>
      <c r="P229" s="74"/>
      <c r="Q229" s="74"/>
      <c r="R229" s="74"/>
      <c r="S229" s="74"/>
      <c r="T229" s="74"/>
      <c r="U229" s="74"/>
    </row>
    <row r="230" spans="7:21" x14ac:dyDescent="0.25">
      <c r="G230" s="307"/>
      <c r="H230" s="307"/>
      <c r="I230" s="307"/>
      <c r="J230" s="307"/>
      <c r="K230" s="307"/>
      <c r="N230" s="395" t="s">
        <v>209</v>
      </c>
      <c r="O230" s="74">
        <f>+O228-O208</f>
        <v>0</v>
      </c>
      <c r="P230" s="74">
        <f>+P228-P208</f>
        <v>0</v>
      </c>
      <c r="Q230" s="74">
        <f>+Q228-Q208</f>
        <v>0</v>
      </c>
      <c r="R230" s="74"/>
      <c r="S230" s="74">
        <f>+S228-S208</f>
        <v>0</v>
      </c>
      <c r="T230" s="74"/>
      <c r="U230" s="74"/>
    </row>
  </sheetData>
  <mergeCells count="2">
    <mergeCell ref="C7:C8"/>
    <mergeCell ref="O7:O8"/>
  </mergeCells>
  <printOptions horizontalCentered="1" verticalCentered="1"/>
  <pageMargins left="0.25" right="0.25" top="0.5" bottom="0.5" header="0" footer="0"/>
  <pageSetup paperSize="9" scale="51" orientation="landscape"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465"/>
  <sheetViews>
    <sheetView view="pageBreakPreview" zoomScale="115" zoomScaleNormal="100" zoomScaleSheetLayoutView="115" workbookViewId="0">
      <pane xSplit="2" ySplit="9" topLeftCell="G403" activePane="bottomRight" state="frozen"/>
      <selection pane="topRight" activeCell="C1" sqref="C1"/>
      <selection pane="bottomLeft" activeCell="A10" sqref="A10"/>
      <selection pane="bottomRight" activeCell="P442" sqref="P442"/>
    </sheetView>
  </sheetViews>
  <sheetFormatPr baseColWidth="10" defaultColWidth="8.90625" defaultRowHeight="13.2" x14ac:dyDescent="0.25"/>
  <cols>
    <col min="1" max="1" width="3" style="307" customWidth="1"/>
    <col min="2" max="2" width="9.54296875" style="307" customWidth="1"/>
    <col min="3" max="4" width="7.1796875" style="307" customWidth="1"/>
    <col min="5" max="5" width="7.453125" style="307" customWidth="1"/>
    <col min="6" max="6" width="9.81640625" style="307" customWidth="1"/>
    <col min="7" max="8" width="10.453125" style="307" customWidth="1"/>
    <col min="9" max="9" width="10" style="307" customWidth="1"/>
    <col min="10" max="10" width="10.36328125" style="307" customWidth="1"/>
    <col min="11" max="12" width="11.54296875" style="307" hidden="1" customWidth="1"/>
    <col min="13" max="14" width="11.5429687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21" width="8.90625" style="307"/>
    <col min="22" max="22" width="9.81640625" style="307" customWidth="1"/>
    <col min="23" max="23" width="9.90625" style="307" bestFit="1" customWidth="1"/>
    <col min="24" max="24" width="10.453125" style="307" customWidth="1"/>
    <col min="25" max="25" width="8.90625" style="307"/>
    <col min="26" max="26" width="12" style="307" customWidth="1"/>
    <col min="27" max="16384" width="8.90625" style="307"/>
  </cols>
  <sheetData>
    <row r="1" spans="1:33" x14ac:dyDescent="0.25">
      <c r="A1" s="4" t="s">
        <v>51</v>
      </c>
      <c r="C1" s="3"/>
      <c r="D1" s="3"/>
      <c r="E1" s="9">
        <v>43191</v>
      </c>
      <c r="F1" s="180"/>
      <c r="U1" s="75" t="s">
        <v>60</v>
      </c>
      <c r="V1" s="75"/>
      <c r="W1" s="76">
        <f>DATE(YEAR(E1),MONTH(E1)+1,1)-DATE(YEAR(E1),MONTH(E1),1)</f>
        <v>30</v>
      </c>
    </row>
    <row r="2" spans="1:33" x14ac:dyDescent="0.25">
      <c r="A2" s="3" t="s">
        <v>0</v>
      </c>
    </row>
    <row r="3" spans="1:33" x14ac:dyDescent="0.25">
      <c r="A3" s="144" t="s">
        <v>109</v>
      </c>
      <c r="B3" s="144"/>
      <c r="C3" s="144"/>
      <c r="D3" s="144"/>
      <c r="E3" s="144"/>
      <c r="F3" s="144"/>
      <c r="G3" s="144"/>
      <c r="H3" s="144"/>
      <c r="I3" s="144"/>
      <c r="J3" s="144"/>
      <c r="K3" s="144"/>
      <c r="L3" s="144"/>
      <c r="M3" s="144"/>
      <c r="N3" s="144"/>
      <c r="O3" s="144"/>
      <c r="P3" s="144"/>
      <c r="Q3" s="144"/>
      <c r="R3" s="144"/>
      <c r="S3" s="144"/>
      <c r="T3" s="144"/>
      <c r="V3" s="144"/>
      <c r="W3" s="144"/>
      <c r="X3" s="144"/>
      <c r="Y3" s="144"/>
      <c r="Z3" s="144"/>
      <c r="AA3" s="144"/>
      <c r="AB3" s="144"/>
      <c r="AC3" s="144"/>
      <c r="AD3" s="144"/>
      <c r="AE3" s="144"/>
      <c r="AF3" s="144"/>
    </row>
    <row r="4" spans="1:33" x14ac:dyDescent="0.25">
      <c r="A4" s="143" t="str">
        <f>"Correspondiente a  "&amp;TEXT(E1,"MMMMMMM YYYY")</f>
        <v>Correspondiente a  abril 2018</v>
      </c>
      <c r="B4" s="143"/>
      <c r="C4" s="143"/>
      <c r="D4" s="143"/>
      <c r="E4" s="143"/>
      <c r="F4" s="143"/>
      <c r="G4" s="143"/>
      <c r="H4" s="143"/>
      <c r="I4" s="143"/>
      <c r="J4" s="143"/>
      <c r="K4" s="143"/>
      <c r="L4" s="143"/>
      <c r="M4" s="143"/>
      <c r="N4" s="143"/>
      <c r="O4" s="143"/>
      <c r="P4" s="143"/>
      <c r="Q4" s="143"/>
      <c r="R4" s="143"/>
      <c r="S4" s="143"/>
      <c r="T4" s="143"/>
      <c r="V4" s="143"/>
      <c r="W4" s="143"/>
      <c r="X4" s="143"/>
      <c r="Y4" s="143"/>
      <c r="Z4" s="143"/>
      <c r="AA4" s="143"/>
      <c r="AB4" s="143"/>
      <c r="AC4" s="143"/>
      <c r="AD4" s="143"/>
      <c r="AE4" s="143"/>
      <c r="AF4" s="143"/>
    </row>
    <row r="5" spans="1:33" x14ac:dyDescent="0.25">
      <c r="A5" s="143" t="str">
        <f>"Tipo de Cambio= "&amp;TEXT(F1,"0.000")</f>
        <v>Tipo de Cambio= 0.000</v>
      </c>
      <c r="B5" s="143"/>
      <c r="C5" s="143"/>
      <c r="D5" s="143"/>
      <c r="E5" s="143"/>
      <c r="F5" s="143"/>
      <c r="G5" s="143"/>
      <c r="H5" s="143"/>
      <c r="I5" s="143"/>
      <c r="J5" s="143"/>
      <c r="K5" s="143"/>
      <c r="L5" s="143"/>
      <c r="M5" s="143"/>
      <c r="N5" s="143"/>
      <c r="O5" s="143"/>
      <c r="P5" s="143"/>
      <c r="Q5" s="143"/>
      <c r="R5" s="143"/>
      <c r="S5" s="143"/>
      <c r="T5" s="143"/>
      <c r="V5" s="143"/>
      <c r="W5" s="143"/>
      <c r="X5" s="143"/>
      <c r="Y5" s="143"/>
      <c r="Z5" s="143"/>
      <c r="AA5" s="143"/>
      <c r="AB5" s="143"/>
      <c r="AC5" s="143"/>
      <c r="AD5" s="143"/>
      <c r="AE5" s="143"/>
      <c r="AF5" s="143"/>
    </row>
    <row r="6" spans="1:33" x14ac:dyDescent="0.25">
      <c r="A6" s="143"/>
      <c r="B6" s="143"/>
      <c r="C6" s="143"/>
      <c r="D6" s="143"/>
      <c r="E6" s="143"/>
      <c r="F6" s="143"/>
      <c r="G6" s="143"/>
      <c r="H6" s="143"/>
      <c r="I6" s="143"/>
      <c r="J6" s="74"/>
      <c r="N6" s="74"/>
      <c r="O6" s="74"/>
      <c r="P6" s="74"/>
    </row>
    <row r="7" spans="1:33"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c r="U7" s="145" t="s">
        <v>61</v>
      </c>
      <c r="V7" s="146"/>
      <c r="W7" s="146"/>
      <c r="X7" s="146"/>
      <c r="Y7" s="146"/>
      <c r="Z7" s="147"/>
      <c r="AA7" s="189" t="s">
        <v>62</v>
      </c>
      <c r="AB7" s="189"/>
      <c r="AC7" s="189"/>
      <c r="AD7" s="189"/>
      <c r="AE7" s="189"/>
      <c r="AF7" s="145"/>
      <c r="AG7" s="42" t="s">
        <v>63</v>
      </c>
    </row>
    <row r="8" spans="1:33"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c r="U8" s="145" t="s">
        <v>64</v>
      </c>
      <c r="V8" s="146"/>
      <c r="W8" s="147"/>
      <c r="X8" s="77" t="s">
        <v>65</v>
      </c>
      <c r="Y8" s="145" t="s">
        <v>66</v>
      </c>
      <c r="Z8" s="147"/>
      <c r="AA8" s="145" t="s">
        <v>64</v>
      </c>
      <c r="AB8" s="146"/>
      <c r="AC8" s="147"/>
      <c r="AD8" s="320" t="s">
        <v>65</v>
      </c>
      <c r="AE8" s="189" t="s">
        <v>66</v>
      </c>
      <c r="AF8" s="145"/>
      <c r="AG8" s="78" t="s">
        <v>1</v>
      </c>
    </row>
    <row r="9" spans="1:33" x14ac:dyDescent="0.25">
      <c r="A9" s="313" t="s">
        <v>23</v>
      </c>
      <c r="B9" s="19"/>
      <c r="C9" s="64"/>
      <c r="D9" s="24"/>
      <c r="E9" s="24"/>
      <c r="F9" s="313"/>
      <c r="G9" s="205"/>
      <c r="H9" s="208"/>
      <c r="I9" s="204"/>
      <c r="J9" s="205"/>
      <c r="K9" s="205"/>
      <c r="L9" s="205"/>
      <c r="M9" s="205"/>
      <c r="N9" s="205"/>
      <c r="O9" s="212"/>
      <c r="P9" s="205"/>
      <c r="Q9" s="203" t="s">
        <v>43</v>
      </c>
      <c r="R9" s="182"/>
      <c r="S9" s="203" t="s">
        <v>44</v>
      </c>
      <c r="T9" s="182"/>
      <c r="U9" s="79" t="s">
        <v>67</v>
      </c>
      <c r="V9" s="79" t="s">
        <v>97</v>
      </c>
      <c r="W9" s="79" t="s">
        <v>68</v>
      </c>
      <c r="X9" s="79" t="s">
        <v>69</v>
      </c>
      <c r="Y9" s="79" t="s">
        <v>69</v>
      </c>
      <c r="Z9" s="79" t="s">
        <v>70</v>
      </c>
      <c r="AA9" s="79" t="s">
        <v>71</v>
      </c>
      <c r="AB9" s="79" t="s">
        <v>97</v>
      </c>
      <c r="AC9" s="79" t="s">
        <v>72</v>
      </c>
      <c r="AD9" s="79" t="s">
        <v>73</v>
      </c>
      <c r="AE9" s="79" t="s">
        <v>73</v>
      </c>
      <c r="AF9" s="80" t="s">
        <v>70</v>
      </c>
      <c r="AG9" s="81" t="s">
        <v>74</v>
      </c>
    </row>
    <row r="10" spans="1:33" x14ac:dyDescent="0.25">
      <c r="A10" s="26" t="s">
        <v>28</v>
      </c>
      <c r="B10" s="27" t="s">
        <v>13</v>
      </c>
      <c r="C10" s="62" t="s">
        <v>29</v>
      </c>
      <c r="D10" s="28" t="s">
        <v>21</v>
      </c>
      <c r="E10" s="62" t="s">
        <v>98</v>
      </c>
      <c r="F10" s="260" t="s">
        <v>37</v>
      </c>
      <c r="G10" s="312"/>
      <c r="H10" s="236">
        <v>21812</v>
      </c>
      <c r="I10" s="237"/>
      <c r="J10" s="238">
        <v>69.037400000000005</v>
      </c>
      <c r="K10" s="312"/>
      <c r="L10" s="312"/>
      <c r="M10" s="312"/>
      <c r="N10" s="236">
        <v>675.6</v>
      </c>
      <c r="O10" s="236">
        <f t="shared" ref="O10:O29" si="0">ROUND(G10*I10,2)+ROUND(H10*J10,2)-K10-L10-M10-N10</f>
        <v>1505168.17</v>
      </c>
      <c r="P10" s="531">
        <f>ROUND(18.75%*O10,2)</f>
        <v>282219.03000000003</v>
      </c>
      <c r="Q10" s="243">
        <f>ROUND($O10*R10,2)</f>
        <v>225775.23</v>
      </c>
      <c r="R10" s="244">
        <v>0.15</v>
      </c>
      <c r="S10" s="243">
        <f t="shared" ref="S10:S34" si="1">ROUND($O10*T10,2)</f>
        <v>56443.81</v>
      </c>
      <c r="T10" s="286">
        <v>3.7499999999999999E-2</v>
      </c>
      <c r="U10" s="73">
        <f t="shared" ref="U10:U29" si="2">IF($F10&amp;"/Día"=W$9,SUM($G10:$H10),"")</f>
        <v>21812</v>
      </c>
      <c r="V10" s="73">
        <f>IF(U10&lt;&gt;"",$O10,"")</f>
        <v>1505168.17</v>
      </c>
      <c r="W10" s="82">
        <f>IF($F10&amp;"/Día"=W$9,ROUND(U10/$W$1,1),"")</f>
        <v>727.1</v>
      </c>
      <c r="X10" s="83">
        <f t="shared" ref="X10:X29" si="3">IF(U10=0,0,IF($F10&amp;"/Día"=W$9,ROUND(V10/U10,4),""))</f>
        <v>69.006399999999999</v>
      </c>
      <c r="Y10" s="83">
        <f t="shared" ref="Y10:Y29" si="4">IF(U10=0,0,IF($F10&amp;"/Día"=W$9,ROUND(Z10/U10,4),""))</f>
        <v>12.938700000000001</v>
      </c>
      <c r="Z10" s="73">
        <f t="shared" ref="Z10:Z29" si="5">IF(U10&lt;&gt;"",$P10,"")</f>
        <v>282219.03000000003</v>
      </c>
      <c r="AA10" s="73" t="str">
        <f t="shared" ref="AA10:AA29" si="6">IF($F10&amp;"/Día"=AC$9,SUM($G10:$H10),"")</f>
        <v/>
      </c>
      <c r="AB10" s="73" t="str">
        <f>IF(AA10&lt;&gt;"",$O10,"")</f>
        <v/>
      </c>
      <c r="AC10" s="82" t="str">
        <f>IF($F10&amp;"/Día"=AC$9,ROUND(AA10/$W$1,1),"")</f>
        <v/>
      </c>
      <c r="AD10" s="83" t="str">
        <f t="shared" ref="AD10:AD29" si="7">IF(AA10=0,0,IF($F10&amp;"/Día"=AC$9,ROUND(AB10/AA10,4),""))</f>
        <v/>
      </c>
      <c r="AE10" s="83" t="str">
        <f t="shared" ref="AE10:AE29" si="8">IF(AA10=0,0,IF($F10&amp;"/Día"=AC$9,ROUND(AF10/AA10,4),""))</f>
        <v/>
      </c>
      <c r="AF10" s="73" t="str">
        <f t="shared" ref="AF10:AF29" si="9">IF(AA10&lt;&gt;"",$P10,"")</f>
        <v/>
      </c>
      <c r="AG10" s="54"/>
    </row>
    <row r="11" spans="1:33" x14ac:dyDescent="0.25">
      <c r="A11" s="26" t="s">
        <v>28</v>
      </c>
      <c r="B11" s="27" t="s">
        <v>14</v>
      </c>
      <c r="C11" s="62" t="s">
        <v>29</v>
      </c>
      <c r="D11" s="28" t="s">
        <v>21</v>
      </c>
      <c r="E11" s="62" t="s">
        <v>98</v>
      </c>
      <c r="F11" s="260" t="s">
        <v>56</v>
      </c>
      <c r="G11" s="312"/>
      <c r="H11" s="236">
        <v>207427.64</v>
      </c>
      <c r="I11" s="237"/>
      <c r="J11" s="238">
        <v>2.9340000000000002</v>
      </c>
      <c r="K11" s="312"/>
      <c r="L11" s="312"/>
      <c r="M11" s="312"/>
      <c r="N11" s="236">
        <v>1891.7</v>
      </c>
      <c r="O11" s="236">
        <f t="shared" si="0"/>
        <v>606701</v>
      </c>
      <c r="P11" s="531">
        <f t="shared" ref="P11:P34" si="10">ROUND(18.75%*O11,2)</f>
        <v>113756.44</v>
      </c>
      <c r="Q11" s="243">
        <f t="shared" ref="Q11:Q29" si="11">ROUND($O11*R11,2)</f>
        <v>91005.15</v>
      </c>
      <c r="R11" s="244">
        <v>0.15</v>
      </c>
      <c r="S11" s="243">
        <f t="shared" si="1"/>
        <v>22751.29</v>
      </c>
      <c r="T11" s="286">
        <v>3.7499999999999999E-2</v>
      </c>
      <c r="U11" s="45" t="str">
        <f t="shared" si="2"/>
        <v/>
      </c>
      <c r="V11" s="45" t="str">
        <f t="shared" ref="V11:V35" si="12">IF(U11&lt;&gt;"",$O11,"")</f>
        <v/>
      </c>
      <c r="W11" s="84" t="str">
        <f t="shared" ref="W11:W41" si="13">IF($F11&amp;"/Día"=W$9,ROUND(U11/$W$1,1),"")</f>
        <v/>
      </c>
      <c r="X11" s="85" t="str">
        <f t="shared" si="3"/>
        <v/>
      </c>
      <c r="Y11" s="85" t="str">
        <f t="shared" si="4"/>
        <v/>
      </c>
      <c r="Z11" s="45" t="str">
        <f t="shared" si="5"/>
        <v/>
      </c>
      <c r="AA11" s="45">
        <f t="shared" si="6"/>
        <v>207427.64</v>
      </c>
      <c r="AB11" s="45">
        <f t="shared" ref="AB11:AB35" si="14">IF(AA11&lt;&gt;"",$O11,"")</f>
        <v>606701</v>
      </c>
      <c r="AC11" s="84">
        <f t="shared" ref="AC11:AC41" si="15">IF($F11&amp;"/Día"=AC$9,ROUND(AA11/$W$1,1),"")</f>
        <v>6914.3</v>
      </c>
      <c r="AD11" s="85">
        <f t="shared" si="7"/>
        <v>2.9249000000000001</v>
      </c>
      <c r="AE11" s="85">
        <f t="shared" si="8"/>
        <v>0.5484</v>
      </c>
      <c r="AF11" s="45">
        <f t="shared" si="9"/>
        <v>113756.44</v>
      </c>
      <c r="AG11" s="55"/>
    </row>
    <row r="12" spans="1:33" x14ac:dyDescent="0.25">
      <c r="A12" s="26" t="s">
        <v>28</v>
      </c>
      <c r="B12" s="27" t="s">
        <v>3</v>
      </c>
      <c r="C12" s="62" t="s">
        <v>31</v>
      </c>
      <c r="D12" s="28" t="s">
        <v>30</v>
      </c>
      <c r="E12" s="62" t="s">
        <v>101</v>
      </c>
      <c r="F12" s="260" t="s">
        <v>37</v>
      </c>
      <c r="G12" s="236">
        <v>4240</v>
      </c>
      <c r="H12" s="236">
        <v>4760</v>
      </c>
      <c r="I12" s="238">
        <v>65.105199999999996</v>
      </c>
      <c r="J12" s="238">
        <v>68.418800000000005</v>
      </c>
      <c r="K12" s="312"/>
      <c r="L12" s="312"/>
      <c r="M12" s="312"/>
      <c r="N12" s="236">
        <v>1744.22</v>
      </c>
      <c r="O12" s="236">
        <f t="shared" si="0"/>
        <v>599975.32000000007</v>
      </c>
      <c r="P12" s="531">
        <f t="shared" si="10"/>
        <v>112495.37</v>
      </c>
      <c r="Q12" s="243">
        <f>ROUND($O12*R12,2)</f>
        <v>89996.3</v>
      </c>
      <c r="R12" s="244">
        <v>0.15</v>
      </c>
      <c r="S12" s="243">
        <f t="shared" si="1"/>
        <v>22499.07</v>
      </c>
      <c r="T12" s="286">
        <v>3.7499999999999999E-2</v>
      </c>
      <c r="U12" s="45">
        <f t="shared" si="2"/>
        <v>9000</v>
      </c>
      <c r="V12" s="45">
        <f t="shared" si="12"/>
        <v>599975.32000000007</v>
      </c>
      <c r="W12" s="84">
        <f t="shared" si="13"/>
        <v>300</v>
      </c>
      <c r="X12" s="85">
        <f t="shared" si="3"/>
        <v>66.663899999999998</v>
      </c>
      <c r="Y12" s="85">
        <f t="shared" si="4"/>
        <v>12.499499999999999</v>
      </c>
      <c r="Z12" s="45">
        <f t="shared" si="5"/>
        <v>112495.37</v>
      </c>
      <c r="AA12" s="45" t="str">
        <f t="shared" si="6"/>
        <v/>
      </c>
      <c r="AB12" s="45" t="str">
        <f t="shared" si="14"/>
        <v/>
      </c>
      <c r="AC12" s="84" t="str">
        <f t="shared" si="15"/>
        <v/>
      </c>
      <c r="AD12" s="85" t="str">
        <f t="shared" si="7"/>
        <v/>
      </c>
      <c r="AE12" s="85" t="str">
        <f t="shared" si="8"/>
        <v/>
      </c>
      <c r="AF12" s="45" t="str">
        <f t="shared" si="9"/>
        <v/>
      </c>
      <c r="AG12" s="55"/>
    </row>
    <row r="13" spans="1:33" x14ac:dyDescent="0.25">
      <c r="A13" s="267" t="s">
        <v>28</v>
      </c>
      <c r="B13" s="271" t="s">
        <v>176</v>
      </c>
      <c r="C13" s="260" t="s">
        <v>29</v>
      </c>
      <c r="D13" s="268" t="s">
        <v>21</v>
      </c>
      <c r="E13" s="260" t="s">
        <v>98</v>
      </c>
      <c r="F13" s="260" t="s">
        <v>56</v>
      </c>
      <c r="G13" s="236">
        <v>38460.027300000002</v>
      </c>
      <c r="H13" s="236">
        <v>37277.293899999997</v>
      </c>
      <c r="I13" s="238">
        <v>2.1591</v>
      </c>
      <c r="J13" s="238">
        <v>2.1608999999999998</v>
      </c>
      <c r="K13" s="312"/>
      <c r="L13" s="312"/>
      <c r="M13" s="312"/>
      <c r="N13" s="236">
        <v>1862.53</v>
      </c>
      <c r="O13" s="236">
        <f>ROUND(G13*I13,2)+ROUND(H13*J13,2)-K13-L13-M13-N13</f>
        <v>161729.00999999998</v>
      </c>
      <c r="P13" s="531">
        <f t="shared" si="10"/>
        <v>30324.19</v>
      </c>
      <c r="Q13" s="243">
        <f>ROUND($P13*R13/(R13+T13),2)</f>
        <v>24259.35</v>
      </c>
      <c r="R13" s="244">
        <v>0.15</v>
      </c>
      <c r="S13" s="243">
        <f>P13-Q13</f>
        <v>6064.84</v>
      </c>
      <c r="T13" s="286">
        <v>3.7499999999999999E-2</v>
      </c>
      <c r="U13" s="45" t="str">
        <f t="shared" si="2"/>
        <v/>
      </c>
      <c r="V13" s="45" t="str">
        <f t="shared" si="12"/>
        <v/>
      </c>
      <c r="W13" s="84" t="str">
        <f t="shared" si="13"/>
        <v/>
      </c>
      <c r="X13" s="85" t="str">
        <f t="shared" si="3"/>
        <v/>
      </c>
      <c r="Y13" s="85" t="str">
        <f t="shared" si="4"/>
        <v/>
      </c>
      <c r="Z13" s="45" t="str">
        <f t="shared" si="5"/>
        <v/>
      </c>
      <c r="AA13" s="45">
        <f t="shared" si="6"/>
        <v>75737.321200000006</v>
      </c>
      <c r="AB13" s="45">
        <f t="shared" si="14"/>
        <v>161729.00999999998</v>
      </c>
      <c r="AC13" s="84">
        <f t="shared" si="15"/>
        <v>2524.6</v>
      </c>
      <c r="AD13" s="85">
        <f t="shared" si="7"/>
        <v>2.1354000000000002</v>
      </c>
      <c r="AE13" s="85">
        <f t="shared" si="8"/>
        <v>0.40039999999999998</v>
      </c>
      <c r="AF13" s="45">
        <f t="shared" si="9"/>
        <v>30324.19</v>
      </c>
      <c r="AG13" s="55"/>
    </row>
    <row r="14" spans="1:33" x14ac:dyDescent="0.25">
      <c r="A14" s="26" t="s">
        <v>28</v>
      </c>
      <c r="B14" s="27" t="s">
        <v>4</v>
      </c>
      <c r="C14" s="62" t="s">
        <v>31</v>
      </c>
      <c r="D14" s="28" t="s">
        <v>30</v>
      </c>
      <c r="E14" s="62" t="s">
        <v>101</v>
      </c>
      <c r="F14" s="260" t="s">
        <v>37</v>
      </c>
      <c r="G14" s="236">
        <v>11055</v>
      </c>
      <c r="H14" s="236">
        <v>11288</v>
      </c>
      <c r="I14" s="238">
        <v>66.881100000000004</v>
      </c>
      <c r="J14" s="238">
        <v>70.801500000000004</v>
      </c>
      <c r="K14" s="312"/>
      <c r="L14" s="312"/>
      <c r="M14" s="312"/>
      <c r="N14" s="236">
        <v>1242.6300000000001</v>
      </c>
      <c r="O14" s="236">
        <f t="shared" si="0"/>
        <v>1537335.2600000002</v>
      </c>
      <c r="P14" s="531">
        <f t="shared" si="10"/>
        <v>288250.36</v>
      </c>
      <c r="Q14" s="243">
        <f t="shared" si="11"/>
        <v>230600.29</v>
      </c>
      <c r="R14" s="244">
        <v>0.15</v>
      </c>
      <c r="S14" s="243">
        <f t="shared" si="1"/>
        <v>57650.07</v>
      </c>
      <c r="T14" s="286">
        <v>3.7499999999999999E-2</v>
      </c>
      <c r="U14" s="45">
        <f t="shared" si="2"/>
        <v>22343</v>
      </c>
      <c r="V14" s="45">
        <f t="shared" si="12"/>
        <v>1537335.2600000002</v>
      </c>
      <c r="W14" s="84">
        <f t="shared" si="13"/>
        <v>744.8</v>
      </c>
      <c r="X14" s="85">
        <f t="shared" si="3"/>
        <v>68.806100000000001</v>
      </c>
      <c r="Y14" s="85">
        <f t="shared" si="4"/>
        <v>12.9011</v>
      </c>
      <c r="Z14" s="45">
        <f t="shared" si="5"/>
        <v>288250.36</v>
      </c>
      <c r="AA14" s="45" t="str">
        <f t="shared" si="6"/>
        <v/>
      </c>
      <c r="AB14" s="45" t="str">
        <f t="shared" si="14"/>
        <v/>
      </c>
      <c r="AC14" s="84" t="str">
        <f t="shared" si="15"/>
        <v/>
      </c>
      <c r="AD14" s="85" t="str">
        <f t="shared" si="7"/>
        <v/>
      </c>
      <c r="AE14" s="85" t="str">
        <f t="shared" si="8"/>
        <v/>
      </c>
      <c r="AF14" s="45" t="str">
        <f t="shared" si="9"/>
        <v/>
      </c>
      <c r="AG14" s="55"/>
    </row>
    <row r="15" spans="1:33" x14ac:dyDescent="0.25">
      <c r="A15" s="26" t="s">
        <v>28</v>
      </c>
      <c r="B15" s="27" t="s">
        <v>5</v>
      </c>
      <c r="C15" s="62" t="s">
        <v>31</v>
      </c>
      <c r="D15" s="28" t="s">
        <v>30</v>
      </c>
      <c r="E15" s="62" t="s">
        <v>101</v>
      </c>
      <c r="F15" s="260" t="s">
        <v>37</v>
      </c>
      <c r="G15" s="236">
        <v>30621</v>
      </c>
      <c r="H15" s="236">
        <v>31021</v>
      </c>
      <c r="I15" s="238">
        <v>66.881100000000004</v>
      </c>
      <c r="J15" s="238">
        <v>70.801500000000004</v>
      </c>
      <c r="K15" s="312"/>
      <c r="L15" s="312"/>
      <c r="M15" s="312"/>
      <c r="N15" s="236">
        <v>3209.33</v>
      </c>
      <c r="O15" s="236">
        <f t="shared" si="0"/>
        <v>4241090.16</v>
      </c>
      <c r="P15" s="531">
        <f t="shared" si="10"/>
        <v>795204.41</v>
      </c>
      <c r="Q15" s="243">
        <f t="shared" si="11"/>
        <v>636163.52</v>
      </c>
      <c r="R15" s="244">
        <v>0.15</v>
      </c>
      <c r="S15" s="243">
        <f t="shared" si="1"/>
        <v>159040.88</v>
      </c>
      <c r="T15" s="286">
        <v>3.7499999999999999E-2</v>
      </c>
      <c r="U15" s="45">
        <f t="shared" si="2"/>
        <v>61642</v>
      </c>
      <c r="V15" s="45">
        <f t="shared" si="12"/>
        <v>4241090.16</v>
      </c>
      <c r="W15" s="84">
        <f t="shared" si="13"/>
        <v>2054.6999999999998</v>
      </c>
      <c r="X15" s="85">
        <f t="shared" si="3"/>
        <v>68.802000000000007</v>
      </c>
      <c r="Y15" s="85">
        <f t="shared" si="4"/>
        <v>12.900399999999999</v>
      </c>
      <c r="Z15" s="45">
        <f t="shared" si="5"/>
        <v>795204.41</v>
      </c>
      <c r="AA15" s="45" t="str">
        <f t="shared" si="6"/>
        <v/>
      </c>
      <c r="AB15" s="45" t="str">
        <f t="shared" si="14"/>
        <v/>
      </c>
      <c r="AC15" s="84" t="str">
        <f t="shared" si="15"/>
        <v/>
      </c>
      <c r="AD15" s="85" t="str">
        <f t="shared" si="7"/>
        <v/>
      </c>
      <c r="AE15" s="85" t="str">
        <f t="shared" si="8"/>
        <v/>
      </c>
      <c r="AF15" s="45" t="str">
        <f t="shared" si="9"/>
        <v/>
      </c>
      <c r="AG15" s="55"/>
    </row>
    <row r="16" spans="1:33" x14ac:dyDescent="0.25">
      <c r="A16" s="26" t="s">
        <v>28</v>
      </c>
      <c r="B16" s="27" t="s">
        <v>17</v>
      </c>
      <c r="C16" s="62" t="s">
        <v>29</v>
      </c>
      <c r="D16" s="28" t="s">
        <v>21</v>
      </c>
      <c r="E16" s="62" t="s">
        <v>98</v>
      </c>
      <c r="F16" s="260" t="s">
        <v>37</v>
      </c>
      <c r="G16" s="312"/>
      <c r="H16" s="236">
        <v>4328</v>
      </c>
      <c r="I16" s="237"/>
      <c r="J16" s="238">
        <v>69.037400000000005</v>
      </c>
      <c r="K16" s="312"/>
      <c r="L16" s="312"/>
      <c r="M16" s="312"/>
      <c r="N16" s="236">
        <v>1470.21</v>
      </c>
      <c r="O16" s="245">
        <f t="shared" si="0"/>
        <v>297323.65999999997</v>
      </c>
      <c r="P16" s="531">
        <f t="shared" si="10"/>
        <v>55748.19</v>
      </c>
      <c r="Q16" s="243">
        <f t="shared" si="11"/>
        <v>44598.55</v>
      </c>
      <c r="R16" s="244">
        <v>0.15</v>
      </c>
      <c r="S16" s="243">
        <f t="shared" si="1"/>
        <v>11149.64</v>
      </c>
      <c r="T16" s="286">
        <v>3.7499999999999999E-2</v>
      </c>
      <c r="U16" s="45">
        <f t="shared" si="2"/>
        <v>4328</v>
      </c>
      <c r="V16" s="45">
        <f t="shared" si="12"/>
        <v>297323.65999999997</v>
      </c>
      <c r="W16" s="84">
        <f t="shared" si="13"/>
        <v>144.30000000000001</v>
      </c>
      <c r="X16" s="85">
        <f t="shared" si="3"/>
        <v>68.697699999999998</v>
      </c>
      <c r="Y16" s="85">
        <f t="shared" si="4"/>
        <v>12.880800000000001</v>
      </c>
      <c r="Z16" s="45">
        <f t="shared" si="5"/>
        <v>55748.19</v>
      </c>
      <c r="AA16" s="45" t="str">
        <f t="shared" si="6"/>
        <v/>
      </c>
      <c r="AB16" s="45" t="str">
        <f t="shared" si="14"/>
        <v/>
      </c>
      <c r="AC16" s="84" t="str">
        <f t="shared" si="15"/>
        <v/>
      </c>
      <c r="AD16" s="85" t="str">
        <f t="shared" si="7"/>
        <v/>
      </c>
      <c r="AE16" s="85" t="str">
        <f t="shared" si="8"/>
        <v/>
      </c>
      <c r="AF16" s="45" t="str">
        <f t="shared" si="9"/>
        <v/>
      </c>
      <c r="AG16" s="55"/>
    </row>
    <row r="17" spans="1:33" x14ac:dyDescent="0.25">
      <c r="A17" s="26" t="s">
        <v>28</v>
      </c>
      <c r="B17" s="27" t="s">
        <v>6</v>
      </c>
      <c r="C17" s="62" t="s">
        <v>31</v>
      </c>
      <c r="D17" s="28" t="s">
        <v>30</v>
      </c>
      <c r="E17" s="62" t="s">
        <v>101</v>
      </c>
      <c r="F17" s="260" t="s">
        <v>37</v>
      </c>
      <c r="G17" s="236">
        <v>53887</v>
      </c>
      <c r="H17" s="236">
        <v>57472</v>
      </c>
      <c r="I17" s="238">
        <v>66.331100000000006</v>
      </c>
      <c r="J17" s="237">
        <v>70.251499999999993</v>
      </c>
      <c r="K17" s="312"/>
      <c r="L17" s="312"/>
      <c r="M17" s="312"/>
      <c r="N17" s="236">
        <v>2195.94</v>
      </c>
      <c r="O17" s="245">
        <f t="shared" si="0"/>
        <v>7609682.2599999998</v>
      </c>
      <c r="P17" s="531">
        <f t="shared" si="10"/>
        <v>1426815.42</v>
      </c>
      <c r="Q17" s="243">
        <f t="shared" si="11"/>
        <v>1141452.3400000001</v>
      </c>
      <c r="R17" s="244">
        <v>0.15</v>
      </c>
      <c r="S17" s="243">
        <f t="shared" si="1"/>
        <v>285363.08</v>
      </c>
      <c r="T17" s="286">
        <v>3.7499999999999999E-2</v>
      </c>
      <c r="U17" s="45">
        <f t="shared" si="2"/>
        <v>111359</v>
      </c>
      <c r="V17" s="45">
        <f t="shared" si="12"/>
        <v>7609682.2599999998</v>
      </c>
      <c r="W17" s="84">
        <f t="shared" si="13"/>
        <v>3712</v>
      </c>
      <c r="X17" s="85">
        <f t="shared" si="3"/>
        <v>68.334699999999998</v>
      </c>
      <c r="Y17" s="85">
        <f t="shared" si="4"/>
        <v>12.812799999999999</v>
      </c>
      <c r="Z17" s="45">
        <f t="shared" si="5"/>
        <v>1426815.42</v>
      </c>
      <c r="AA17" s="45" t="str">
        <f t="shared" si="6"/>
        <v/>
      </c>
      <c r="AB17" s="45" t="str">
        <f t="shared" si="14"/>
        <v/>
      </c>
      <c r="AC17" s="84" t="str">
        <f t="shared" si="15"/>
        <v/>
      </c>
      <c r="AD17" s="85" t="str">
        <f t="shared" si="7"/>
        <v/>
      </c>
      <c r="AE17" s="85" t="str">
        <f t="shared" si="8"/>
        <v/>
      </c>
      <c r="AF17" s="45" t="str">
        <f t="shared" si="9"/>
        <v/>
      </c>
      <c r="AG17" s="55"/>
    </row>
    <row r="18" spans="1:33" x14ac:dyDescent="0.25">
      <c r="A18" s="26" t="s">
        <v>28</v>
      </c>
      <c r="B18" s="29" t="s">
        <v>158</v>
      </c>
      <c r="C18" s="62" t="s">
        <v>29</v>
      </c>
      <c r="D18" s="28" t="s">
        <v>21</v>
      </c>
      <c r="E18" s="62" t="s">
        <v>98</v>
      </c>
      <c r="F18" s="260" t="s">
        <v>37</v>
      </c>
      <c r="G18" s="312"/>
      <c r="H18" s="312"/>
      <c r="I18" s="237"/>
      <c r="J18" s="237"/>
      <c r="K18" s="312"/>
      <c r="L18" s="312"/>
      <c r="M18" s="312"/>
      <c r="N18" s="312"/>
      <c r="O18" s="245">
        <f t="shared" si="0"/>
        <v>0</v>
      </c>
      <c r="P18" s="243">
        <f t="shared" si="10"/>
        <v>0</v>
      </c>
      <c r="Q18" s="243">
        <f t="shared" si="11"/>
        <v>0</v>
      </c>
      <c r="R18" s="244">
        <v>0.15</v>
      </c>
      <c r="S18" s="243">
        <f t="shared" si="1"/>
        <v>0</v>
      </c>
      <c r="T18" s="286">
        <v>3.7499999999999999E-2</v>
      </c>
      <c r="U18" s="45">
        <f t="shared" si="2"/>
        <v>0</v>
      </c>
      <c r="V18" s="45">
        <f t="shared" si="12"/>
        <v>0</v>
      </c>
      <c r="W18" s="84">
        <f t="shared" si="13"/>
        <v>0</v>
      </c>
      <c r="X18" s="85">
        <f t="shared" si="3"/>
        <v>0</v>
      </c>
      <c r="Y18" s="85">
        <f t="shared" si="4"/>
        <v>0</v>
      </c>
      <c r="Z18" s="45">
        <f t="shared" si="5"/>
        <v>0</v>
      </c>
      <c r="AA18" s="45" t="str">
        <f t="shared" si="6"/>
        <v/>
      </c>
      <c r="AB18" s="45" t="str">
        <f t="shared" si="14"/>
        <v/>
      </c>
      <c r="AC18" s="84" t="str">
        <f t="shared" si="15"/>
        <v/>
      </c>
      <c r="AD18" s="85" t="str">
        <f t="shared" si="7"/>
        <v/>
      </c>
      <c r="AE18" s="85" t="str">
        <f t="shared" si="8"/>
        <v/>
      </c>
      <c r="AF18" s="45" t="str">
        <f t="shared" si="9"/>
        <v/>
      </c>
      <c r="AG18" s="55"/>
    </row>
    <row r="19" spans="1:33" x14ac:dyDescent="0.25">
      <c r="A19" s="26" t="s">
        <v>28</v>
      </c>
      <c r="B19" s="27" t="s">
        <v>7</v>
      </c>
      <c r="C19" s="62" t="s">
        <v>31</v>
      </c>
      <c r="D19" s="28" t="s">
        <v>30</v>
      </c>
      <c r="E19" s="62" t="s">
        <v>101</v>
      </c>
      <c r="F19" s="260" t="s">
        <v>56</v>
      </c>
      <c r="G19" s="312">
        <v>57333.39</v>
      </c>
      <c r="H19" s="236">
        <v>47484.57</v>
      </c>
      <c r="I19" s="237">
        <v>0.8</v>
      </c>
      <c r="J19" s="237">
        <v>0.8</v>
      </c>
      <c r="K19" s="312"/>
      <c r="L19" s="312"/>
      <c r="M19" s="312"/>
      <c r="N19" s="312">
        <v>2096.88</v>
      </c>
      <c r="O19" s="245">
        <f t="shared" si="0"/>
        <v>81757.489999999991</v>
      </c>
      <c r="P19" s="531">
        <f t="shared" si="10"/>
        <v>15329.53</v>
      </c>
      <c r="Q19" s="243">
        <f t="shared" si="11"/>
        <v>12263.62</v>
      </c>
      <c r="R19" s="244">
        <v>0.15</v>
      </c>
      <c r="S19" s="243">
        <f t="shared" si="1"/>
        <v>3065.91</v>
      </c>
      <c r="T19" s="286">
        <v>3.7499999999999999E-2</v>
      </c>
      <c r="U19" s="45" t="str">
        <f t="shared" si="2"/>
        <v/>
      </c>
      <c r="V19" s="45" t="str">
        <f t="shared" si="12"/>
        <v/>
      </c>
      <c r="W19" s="84" t="str">
        <f t="shared" si="13"/>
        <v/>
      </c>
      <c r="X19" s="85" t="str">
        <f t="shared" si="3"/>
        <v/>
      </c>
      <c r="Y19" s="85" t="str">
        <f t="shared" si="4"/>
        <v/>
      </c>
      <c r="Z19" s="45" t="str">
        <f t="shared" si="5"/>
        <v/>
      </c>
      <c r="AA19" s="45">
        <f t="shared" si="6"/>
        <v>104817.95999999999</v>
      </c>
      <c r="AB19" s="45">
        <f t="shared" si="14"/>
        <v>81757.489999999991</v>
      </c>
      <c r="AC19" s="84">
        <f t="shared" si="15"/>
        <v>3493.9</v>
      </c>
      <c r="AD19" s="85">
        <f t="shared" si="7"/>
        <v>0.78</v>
      </c>
      <c r="AE19" s="85">
        <f t="shared" si="8"/>
        <v>0.1462</v>
      </c>
      <c r="AF19" s="45">
        <f t="shared" si="9"/>
        <v>15329.53</v>
      </c>
      <c r="AG19" s="55"/>
    </row>
    <row r="20" spans="1:33" x14ac:dyDescent="0.25">
      <c r="A20" s="26" t="s">
        <v>28</v>
      </c>
      <c r="B20" s="27" t="s">
        <v>18</v>
      </c>
      <c r="C20" s="62" t="s">
        <v>31</v>
      </c>
      <c r="D20" s="28" t="s">
        <v>30</v>
      </c>
      <c r="E20" s="62" t="s">
        <v>101</v>
      </c>
      <c r="F20" s="260" t="s">
        <v>37</v>
      </c>
      <c r="G20" s="312">
        <v>2124</v>
      </c>
      <c r="H20" s="312">
        <v>3038</v>
      </c>
      <c r="I20" s="237">
        <v>66.881100000000004</v>
      </c>
      <c r="J20" s="238">
        <v>70.801500000000004</v>
      </c>
      <c r="K20" s="312"/>
      <c r="L20" s="312"/>
      <c r="M20" s="312"/>
      <c r="N20" s="236">
        <v>729.17</v>
      </c>
      <c r="O20" s="245">
        <f t="shared" si="0"/>
        <v>356421.25</v>
      </c>
      <c r="P20" s="531">
        <f t="shared" si="10"/>
        <v>66828.98</v>
      </c>
      <c r="Q20" s="243">
        <f t="shared" si="11"/>
        <v>53463.19</v>
      </c>
      <c r="R20" s="244">
        <v>0.15</v>
      </c>
      <c r="S20" s="243">
        <f t="shared" si="1"/>
        <v>13365.8</v>
      </c>
      <c r="T20" s="286">
        <v>3.7499999999999999E-2</v>
      </c>
      <c r="U20" s="45">
        <f t="shared" si="2"/>
        <v>5162</v>
      </c>
      <c r="V20" s="45">
        <f t="shared" si="12"/>
        <v>356421.25</v>
      </c>
      <c r="W20" s="84">
        <f t="shared" si="13"/>
        <v>172.1</v>
      </c>
      <c r="X20" s="85">
        <f t="shared" si="3"/>
        <v>69.0471</v>
      </c>
      <c r="Y20" s="85">
        <f t="shared" si="4"/>
        <v>12.946300000000001</v>
      </c>
      <c r="Z20" s="45">
        <f t="shared" si="5"/>
        <v>66828.98</v>
      </c>
      <c r="AA20" s="45" t="str">
        <f t="shared" si="6"/>
        <v/>
      </c>
      <c r="AB20" s="45" t="str">
        <f t="shared" si="14"/>
        <v/>
      </c>
      <c r="AC20" s="84" t="str">
        <f t="shared" si="15"/>
        <v/>
      </c>
      <c r="AD20" s="85" t="str">
        <f t="shared" si="7"/>
        <v/>
      </c>
      <c r="AE20" s="85" t="str">
        <f t="shared" si="8"/>
        <v/>
      </c>
      <c r="AF20" s="45" t="str">
        <f t="shared" si="9"/>
        <v/>
      </c>
      <c r="AG20" s="55"/>
    </row>
    <row r="21" spans="1:33" x14ac:dyDescent="0.25">
      <c r="A21" s="26" t="s">
        <v>28</v>
      </c>
      <c r="B21" s="29" t="s">
        <v>20</v>
      </c>
      <c r="C21" s="62" t="s">
        <v>31</v>
      </c>
      <c r="D21" s="28" t="s">
        <v>30</v>
      </c>
      <c r="E21" s="62" t="s">
        <v>101</v>
      </c>
      <c r="F21" s="260" t="s">
        <v>37</v>
      </c>
      <c r="G21" s="312">
        <v>192441</v>
      </c>
      <c r="H21" s="236">
        <v>192657</v>
      </c>
      <c r="I21" s="238">
        <v>66.881100000000004</v>
      </c>
      <c r="J21" s="238">
        <v>70.801500000000004</v>
      </c>
      <c r="K21" s="312"/>
      <c r="L21" s="312"/>
      <c r="M21" s="312"/>
      <c r="N21" s="236">
        <v>4283.58</v>
      </c>
      <c r="O21" s="245">
        <f t="shared" si="0"/>
        <v>26506786.780000001</v>
      </c>
      <c r="P21" s="531">
        <f t="shared" si="10"/>
        <v>4970022.5199999996</v>
      </c>
      <c r="Q21" s="243">
        <f t="shared" si="11"/>
        <v>3976018.02</v>
      </c>
      <c r="R21" s="244">
        <v>0.15</v>
      </c>
      <c r="S21" s="243">
        <f t="shared" si="1"/>
        <v>994004.5</v>
      </c>
      <c r="T21" s="286">
        <v>3.7499999999999999E-2</v>
      </c>
      <c r="U21" s="45">
        <f t="shared" si="2"/>
        <v>385098</v>
      </c>
      <c r="V21" s="45">
        <f t="shared" si="12"/>
        <v>26506786.780000001</v>
      </c>
      <c r="W21" s="84">
        <f t="shared" si="13"/>
        <v>12836.6</v>
      </c>
      <c r="X21" s="85">
        <f t="shared" si="3"/>
        <v>68.831299999999999</v>
      </c>
      <c r="Y21" s="85">
        <f t="shared" si="4"/>
        <v>12.905900000000001</v>
      </c>
      <c r="Z21" s="45">
        <f t="shared" si="5"/>
        <v>4970022.5199999996</v>
      </c>
      <c r="AA21" s="45" t="str">
        <f t="shared" si="6"/>
        <v/>
      </c>
      <c r="AB21" s="45" t="str">
        <f t="shared" si="14"/>
        <v/>
      </c>
      <c r="AC21" s="84" t="str">
        <f t="shared" si="15"/>
        <v/>
      </c>
      <c r="AD21" s="85" t="str">
        <f t="shared" si="7"/>
        <v/>
      </c>
      <c r="AE21" s="85" t="str">
        <f t="shared" si="8"/>
        <v/>
      </c>
      <c r="AF21" s="45" t="str">
        <f t="shared" si="9"/>
        <v/>
      </c>
      <c r="AG21" s="55"/>
    </row>
    <row r="22" spans="1:33" x14ac:dyDescent="0.25">
      <c r="A22" s="26" t="s">
        <v>28</v>
      </c>
      <c r="B22" s="27" t="s">
        <v>8</v>
      </c>
      <c r="C22" s="62" t="s">
        <v>31</v>
      </c>
      <c r="D22" s="28" t="s">
        <v>21</v>
      </c>
      <c r="E22" s="62" t="s">
        <v>101</v>
      </c>
      <c r="F22" s="260" t="s">
        <v>56</v>
      </c>
      <c r="G22" s="312">
        <v>245652.84</v>
      </c>
      <c r="H22" s="236">
        <v>253188.98</v>
      </c>
      <c r="I22" s="363">
        <v>1.7112000000000001</v>
      </c>
      <c r="J22" s="238">
        <v>1.7112000000000001</v>
      </c>
      <c r="K22" s="312"/>
      <c r="L22" s="312"/>
      <c r="M22" s="312"/>
      <c r="N22" s="236">
        <v>2209.0700000000002</v>
      </c>
      <c r="O22" s="245">
        <f t="shared" si="0"/>
        <v>851409.05</v>
      </c>
      <c r="P22" s="243">
        <f t="shared" si="10"/>
        <v>159639.20000000001</v>
      </c>
      <c r="Q22" s="243">
        <f t="shared" si="11"/>
        <v>127711.36</v>
      </c>
      <c r="R22" s="244">
        <v>0.15</v>
      </c>
      <c r="S22" s="243">
        <f t="shared" si="1"/>
        <v>31927.84</v>
      </c>
      <c r="T22" s="286">
        <v>3.7499999999999999E-2</v>
      </c>
      <c r="U22" s="45" t="str">
        <f t="shared" si="2"/>
        <v/>
      </c>
      <c r="V22" s="45" t="str">
        <f t="shared" si="12"/>
        <v/>
      </c>
      <c r="W22" s="84" t="str">
        <f t="shared" si="13"/>
        <v/>
      </c>
      <c r="X22" s="85" t="str">
        <f t="shared" si="3"/>
        <v/>
      </c>
      <c r="Y22" s="85" t="str">
        <f t="shared" si="4"/>
        <v/>
      </c>
      <c r="Z22" s="45" t="str">
        <f t="shared" si="5"/>
        <v/>
      </c>
      <c r="AA22" s="45">
        <f t="shared" si="6"/>
        <v>498841.82</v>
      </c>
      <c r="AB22" s="45">
        <f t="shared" si="14"/>
        <v>851409.05</v>
      </c>
      <c r="AC22" s="84">
        <f t="shared" si="15"/>
        <v>16628.099999999999</v>
      </c>
      <c r="AD22" s="85">
        <f t="shared" si="7"/>
        <v>1.7068000000000001</v>
      </c>
      <c r="AE22" s="85">
        <f t="shared" si="8"/>
        <v>0.32</v>
      </c>
      <c r="AF22" s="45">
        <f t="shared" si="9"/>
        <v>159639.20000000001</v>
      </c>
      <c r="AG22" s="55"/>
    </row>
    <row r="23" spans="1:33" x14ac:dyDescent="0.25">
      <c r="A23" s="26" t="s">
        <v>28</v>
      </c>
      <c r="B23" s="29" t="s">
        <v>57</v>
      </c>
      <c r="C23" s="62" t="s">
        <v>31</v>
      </c>
      <c r="D23" s="28" t="s">
        <v>21</v>
      </c>
      <c r="E23" s="62" t="s">
        <v>101</v>
      </c>
      <c r="F23" s="260" t="s">
        <v>37</v>
      </c>
      <c r="G23" s="312"/>
      <c r="H23" s="312"/>
      <c r="I23" s="237"/>
      <c r="J23" s="237"/>
      <c r="K23" s="312"/>
      <c r="L23" s="312"/>
      <c r="M23" s="312"/>
      <c r="N23" s="312"/>
      <c r="O23" s="245">
        <f t="shared" si="0"/>
        <v>0</v>
      </c>
      <c r="P23" s="243">
        <f t="shared" si="10"/>
        <v>0</v>
      </c>
      <c r="Q23" s="243">
        <f t="shared" si="11"/>
        <v>0</v>
      </c>
      <c r="R23" s="244">
        <v>0.15</v>
      </c>
      <c r="S23" s="243">
        <f t="shared" si="1"/>
        <v>0</v>
      </c>
      <c r="T23" s="286">
        <v>3.7499999999999999E-2</v>
      </c>
      <c r="U23" s="45">
        <f t="shared" si="2"/>
        <v>0</v>
      </c>
      <c r="V23" s="45">
        <f t="shared" si="12"/>
        <v>0</v>
      </c>
      <c r="W23" s="84">
        <f t="shared" si="13"/>
        <v>0</v>
      </c>
      <c r="X23" s="85">
        <f t="shared" si="3"/>
        <v>0</v>
      </c>
      <c r="Y23" s="85">
        <f t="shared" si="4"/>
        <v>0</v>
      </c>
      <c r="Z23" s="45">
        <f t="shared" si="5"/>
        <v>0</v>
      </c>
      <c r="AA23" s="45" t="str">
        <f t="shared" si="6"/>
        <v/>
      </c>
      <c r="AB23" s="45" t="str">
        <f t="shared" si="14"/>
        <v/>
      </c>
      <c r="AC23" s="84" t="str">
        <f t="shared" si="15"/>
        <v/>
      </c>
      <c r="AD23" s="85" t="str">
        <f t="shared" si="7"/>
        <v/>
      </c>
      <c r="AE23" s="85" t="str">
        <f t="shared" si="8"/>
        <v/>
      </c>
      <c r="AF23" s="45" t="str">
        <f t="shared" si="9"/>
        <v/>
      </c>
      <c r="AG23" s="55"/>
    </row>
    <row r="24" spans="1:33" x14ac:dyDescent="0.25">
      <c r="A24" s="26" t="s">
        <v>28</v>
      </c>
      <c r="B24" s="27" t="s">
        <v>9</v>
      </c>
      <c r="C24" s="62" t="s">
        <v>31</v>
      </c>
      <c r="D24" s="28" t="s">
        <v>30</v>
      </c>
      <c r="E24" s="62" t="s">
        <v>101</v>
      </c>
      <c r="F24" s="260" t="s">
        <v>37</v>
      </c>
      <c r="G24" s="312">
        <v>557</v>
      </c>
      <c r="H24" s="312">
        <v>544</v>
      </c>
      <c r="I24" s="237">
        <v>67.693700000000007</v>
      </c>
      <c r="J24" s="238">
        <v>70.860900000000001</v>
      </c>
      <c r="K24" s="312"/>
      <c r="L24" s="312"/>
      <c r="M24" s="312"/>
      <c r="N24" s="312">
        <v>792.9</v>
      </c>
      <c r="O24" s="245">
        <f t="shared" si="0"/>
        <v>75460.820000000007</v>
      </c>
      <c r="P24" s="531">
        <f t="shared" si="10"/>
        <v>14148.9</v>
      </c>
      <c r="Q24" s="243">
        <f t="shared" si="11"/>
        <v>11319.12</v>
      </c>
      <c r="R24" s="244">
        <v>0.15</v>
      </c>
      <c r="S24" s="243">
        <f t="shared" si="1"/>
        <v>2829.78</v>
      </c>
      <c r="T24" s="286">
        <v>3.7499999999999999E-2</v>
      </c>
      <c r="U24" s="45">
        <f t="shared" si="2"/>
        <v>1101</v>
      </c>
      <c r="V24" s="45">
        <f t="shared" si="12"/>
        <v>75460.820000000007</v>
      </c>
      <c r="W24" s="84">
        <f t="shared" si="13"/>
        <v>36.700000000000003</v>
      </c>
      <c r="X24" s="85">
        <f t="shared" si="3"/>
        <v>68.538399999999996</v>
      </c>
      <c r="Y24" s="85">
        <f t="shared" si="4"/>
        <v>12.851000000000001</v>
      </c>
      <c r="Z24" s="45">
        <f t="shared" si="5"/>
        <v>14148.9</v>
      </c>
      <c r="AA24" s="45" t="str">
        <f t="shared" si="6"/>
        <v/>
      </c>
      <c r="AB24" s="45" t="str">
        <f t="shared" si="14"/>
        <v/>
      </c>
      <c r="AC24" s="84" t="str">
        <f t="shared" si="15"/>
        <v/>
      </c>
      <c r="AD24" s="85" t="str">
        <f t="shared" si="7"/>
        <v/>
      </c>
      <c r="AE24" s="85" t="str">
        <f t="shared" si="8"/>
        <v/>
      </c>
      <c r="AF24" s="45" t="str">
        <f t="shared" si="9"/>
        <v/>
      </c>
      <c r="AG24" s="55"/>
    </row>
    <row r="25" spans="1:33" x14ac:dyDescent="0.25">
      <c r="A25" s="26" t="s">
        <v>28</v>
      </c>
      <c r="B25" s="29" t="s">
        <v>168</v>
      </c>
      <c r="C25" s="62" t="s">
        <v>31</v>
      </c>
      <c r="D25" s="28" t="s">
        <v>30</v>
      </c>
      <c r="E25" s="62" t="s">
        <v>101</v>
      </c>
      <c r="F25" s="260" t="s">
        <v>37</v>
      </c>
      <c r="G25" s="236">
        <v>25730</v>
      </c>
      <c r="H25" s="236">
        <v>31508</v>
      </c>
      <c r="I25" s="238">
        <v>66.881100000000004</v>
      </c>
      <c r="J25" s="238">
        <v>70.801500000000004</v>
      </c>
      <c r="K25" s="312"/>
      <c r="L25" s="312"/>
      <c r="M25" s="312"/>
      <c r="N25" s="236">
        <v>1512.61</v>
      </c>
      <c r="O25" s="245">
        <f>ROUND(G25*I25,2)+ROUND(H25*J25,2)-K25-L25-M25-N25</f>
        <v>3950151.7500000005</v>
      </c>
      <c r="P25" s="531">
        <f t="shared" si="10"/>
        <v>740653.45</v>
      </c>
      <c r="Q25" s="243">
        <f>ROUND($O25*R25,2)</f>
        <v>592522.76</v>
      </c>
      <c r="R25" s="244">
        <v>0.15</v>
      </c>
      <c r="S25" s="243">
        <f>ROUND($O25*T25,2)</f>
        <v>148130.69</v>
      </c>
      <c r="T25" s="286">
        <v>3.7499999999999999E-2</v>
      </c>
      <c r="U25" s="45">
        <f>IF($F25&amp;"/Día"=W$9,SUM($G25:$H25),"")</f>
        <v>57238</v>
      </c>
      <c r="V25" s="45">
        <f t="shared" si="12"/>
        <v>3950151.7500000005</v>
      </c>
      <c r="W25" s="84">
        <f>IF($F25&amp;"/Día"=W$9,ROUND(U25/$W$1,1),"")</f>
        <v>1907.9</v>
      </c>
      <c r="X25" s="85">
        <f>IF(U25=0,0,IF($F25&amp;"/Día"=W$9,ROUND(V25/U25,4),""))</f>
        <v>69.012699999999995</v>
      </c>
      <c r="Y25" s="85">
        <f>IF(U25=0,0,IF($F25&amp;"/Día"=W$9,ROUND(Z25/U25,4),""))</f>
        <v>12.9399</v>
      </c>
      <c r="Z25" s="45">
        <f>IF(U25&lt;&gt;"",$P25,"")</f>
        <v>740653.45</v>
      </c>
      <c r="AA25" s="45" t="str">
        <f>IF($F25&amp;"/Día"=AC$9,SUM($G25:$H25),"")</f>
        <v/>
      </c>
      <c r="AB25" s="45" t="str">
        <f t="shared" si="14"/>
        <v/>
      </c>
      <c r="AC25" s="84" t="str">
        <f>IF($F25&amp;"/Día"=AC$9,ROUND(AA25/$W$1,1),"")</f>
        <v/>
      </c>
      <c r="AD25" s="85" t="str">
        <f>IF(AA25=0,0,IF($F25&amp;"/Día"=AC$9,ROUND(AB25/AA25,4),""))</f>
        <v/>
      </c>
      <c r="AE25" s="85" t="str">
        <f>IF(AA25=0,0,IF($F25&amp;"/Día"=AC$9,ROUND(AF25/AA25,4),""))</f>
        <v/>
      </c>
      <c r="AF25" s="45" t="str">
        <f>IF(AA25&lt;&gt;"",$P25,"")</f>
        <v/>
      </c>
      <c r="AG25" s="55"/>
    </row>
    <row r="26" spans="1:33" x14ac:dyDescent="0.25">
      <c r="A26" s="26" t="s">
        <v>28</v>
      </c>
      <c r="B26" s="29" t="s">
        <v>191</v>
      </c>
      <c r="C26" s="62" t="s">
        <v>31</v>
      </c>
      <c r="D26" s="28" t="s">
        <v>30</v>
      </c>
      <c r="E26" s="62" t="s">
        <v>101</v>
      </c>
      <c r="F26" s="260" t="s">
        <v>37</v>
      </c>
      <c r="G26" s="236"/>
      <c r="H26" s="312"/>
      <c r="I26" s="237"/>
      <c r="J26" s="237"/>
      <c r="K26" s="312"/>
      <c r="L26" s="312"/>
      <c r="M26" s="312"/>
      <c r="N26" s="236"/>
      <c r="O26" s="245">
        <f>ROUND(G26*I26,2)+ROUND(H26*J26,2)-K26-L26-M26-N26</f>
        <v>0</v>
      </c>
      <c r="P26" s="243">
        <f t="shared" si="10"/>
        <v>0</v>
      </c>
      <c r="Q26" s="243">
        <f>ROUND($O26*R26,2)</f>
        <v>0</v>
      </c>
      <c r="R26" s="244">
        <v>0.15</v>
      </c>
      <c r="S26" s="243">
        <f>ROUND($O26*T26,2)</f>
        <v>0</v>
      </c>
      <c r="T26" s="286">
        <v>3.7499999999999999E-2</v>
      </c>
      <c r="U26" s="45">
        <f>IF($F26&amp;"/Día"=W$9,SUM($G26:$H26),"")</f>
        <v>0</v>
      </c>
      <c r="V26" s="45">
        <f>IF(U26&lt;&gt;"",$O26,"")</f>
        <v>0</v>
      </c>
      <c r="W26" s="84">
        <f>IF($F26&amp;"/Día"=W$9,ROUND(U26/$W$1,1),"")</f>
        <v>0</v>
      </c>
      <c r="X26" s="85">
        <f>IF(U26=0,0,IF($F26&amp;"/Día"=W$9,ROUND(V26/U26,4),""))</f>
        <v>0</v>
      </c>
      <c r="Y26" s="85">
        <f>IF(U26=0,0,IF($F26&amp;"/Día"=W$9,ROUND(Z26/U26,4),""))</f>
        <v>0</v>
      </c>
      <c r="Z26" s="45">
        <f>IF(U26&lt;&gt;"",$P26,"")</f>
        <v>0</v>
      </c>
      <c r="AA26" s="45" t="str">
        <f>IF($F26&amp;"/Día"=AC$9,SUM($G26:$H26),"")</f>
        <v/>
      </c>
      <c r="AB26" s="45" t="str">
        <f>IF(AA26&lt;&gt;"",$O26,"")</f>
        <v/>
      </c>
      <c r="AC26" s="84" t="str">
        <f>IF($F26&amp;"/Día"=AC$9,ROUND(AA26/$W$1,1),"")</f>
        <v/>
      </c>
      <c r="AD26" s="85" t="str">
        <f>IF(AA26=0,0,IF($F26&amp;"/Día"=AC$9,ROUND(AB26/AA26,4),""))</f>
        <v/>
      </c>
      <c r="AE26" s="85" t="str">
        <f>IF(AA26=0,0,IF($F26&amp;"/Día"=AC$9,ROUND(AF26/AA26,4),""))</f>
        <v/>
      </c>
      <c r="AF26" s="45" t="str">
        <f>IF(AA26&lt;&gt;"",$P26,"")</f>
        <v/>
      </c>
      <c r="AG26" s="55"/>
    </row>
    <row r="27" spans="1:33" x14ac:dyDescent="0.25">
      <c r="A27" s="26" t="s">
        <v>28</v>
      </c>
      <c r="B27" s="29" t="s">
        <v>160</v>
      </c>
      <c r="C27" s="62" t="s">
        <v>31</v>
      </c>
      <c r="D27" s="28" t="s">
        <v>30</v>
      </c>
      <c r="E27" s="62" t="s">
        <v>101</v>
      </c>
      <c r="F27" s="260" t="s">
        <v>56</v>
      </c>
      <c r="G27" s="236">
        <f>104778.0799+72373.8704</f>
        <v>177151.9503</v>
      </c>
      <c r="H27" s="312">
        <f>107745.4041+80578.4653</f>
        <v>188323.8694</v>
      </c>
      <c r="I27" s="237">
        <v>2.5397373793406102</v>
      </c>
      <c r="J27" s="237">
        <v>2.5926133609911903</v>
      </c>
      <c r="K27" s="312"/>
      <c r="L27" s="312"/>
      <c r="M27" s="312"/>
      <c r="N27" s="236">
        <v>3126.36</v>
      </c>
      <c r="O27" s="245">
        <f t="shared" si="0"/>
        <v>935044.04999999993</v>
      </c>
      <c r="P27" s="531">
        <f t="shared" si="10"/>
        <v>175320.76</v>
      </c>
      <c r="Q27" s="243">
        <f t="shared" si="11"/>
        <v>140256.60999999999</v>
      </c>
      <c r="R27" s="244">
        <v>0.15</v>
      </c>
      <c r="S27" s="243">
        <f t="shared" si="1"/>
        <v>35064.15</v>
      </c>
      <c r="T27" s="286">
        <v>3.7499999999999999E-2</v>
      </c>
      <c r="U27" s="45" t="str">
        <f t="shared" si="2"/>
        <v/>
      </c>
      <c r="V27" s="45" t="str">
        <f t="shared" si="12"/>
        <v/>
      </c>
      <c r="W27" s="84" t="str">
        <f t="shared" si="13"/>
        <v/>
      </c>
      <c r="X27" s="85" t="str">
        <f t="shared" si="3"/>
        <v/>
      </c>
      <c r="Y27" s="85" t="str">
        <f t="shared" si="4"/>
        <v/>
      </c>
      <c r="Z27" s="45" t="str">
        <f t="shared" si="5"/>
        <v/>
      </c>
      <c r="AA27" s="45">
        <f t="shared" si="6"/>
        <v>365475.81969999999</v>
      </c>
      <c r="AB27" s="45">
        <f t="shared" si="14"/>
        <v>935044.04999999993</v>
      </c>
      <c r="AC27" s="84">
        <f t="shared" si="15"/>
        <v>12182.5</v>
      </c>
      <c r="AD27" s="85">
        <f t="shared" si="7"/>
        <v>2.5583999999999998</v>
      </c>
      <c r="AE27" s="85">
        <f t="shared" si="8"/>
        <v>0.47970000000000002</v>
      </c>
      <c r="AF27" s="45">
        <f t="shared" si="9"/>
        <v>175320.76</v>
      </c>
      <c r="AG27" s="55"/>
    </row>
    <row r="28" spans="1:33" x14ac:dyDescent="0.25">
      <c r="A28" s="26" t="s">
        <v>28</v>
      </c>
      <c r="B28" s="27" t="s">
        <v>15</v>
      </c>
      <c r="C28" s="62" t="s">
        <v>29</v>
      </c>
      <c r="D28" s="28" t="s">
        <v>21</v>
      </c>
      <c r="E28" s="62" t="s">
        <v>98</v>
      </c>
      <c r="F28" s="260" t="s">
        <v>37</v>
      </c>
      <c r="G28" s="312">
        <f>41580+38551+37557+37373+40740+39453+34290</f>
        <v>269544</v>
      </c>
      <c r="H28" s="236">
        <f>38140+200235</f>
        <v>238375</v>
      </c>
      <c r="I28" s="539">
        <v>3.04059433710266</v>
      </c>
      <c r="J28" s="238">
        <v>66.808616004195073</v>
      </c>
      <c r="K28" s="312"/>
      <c r="L28" s="312"/>
      <c r="M28" s="312"/>
      <c r="N28" s="236">
        <v>2417.19</v>
      </c>
      <c r="O28" s="245">
        <f t="shared" si="0"/>
        <v>16742660.610000001</v>
      </c>
      <c r="P28" s="531">
        <f t="shared" si="10"/>
        <v>3139248.86</v>
      </c>
      <c r="Q28" s="243">
        <f t="shared" si="11"/>
        <v>2511399.09</v>
      </c>
      <c r="R28" s="244">
        <v>0.15</v>
      </c>
      <c r="S28" s="243">
        <f t="shared" si="1"/>
        <v>627849.77</v>
      </c>
      <c r="T28" s="286">
        <v>3.7499999999999999E-2</v>
      </c>
      <c r="U28" s="45">
        <f t="shared" si="2"/>
        <v>507919</v>
      </c>
      <c r="V28" s="45">
        <f t="shared" si="12"/>
        <v>16742660.610000001</v>
      </c>
      <c r="W28" s="84">
        <f t="shared" si="13"/>
        <v>16930.599999999999</v>
      </c>
      <c r="X28" s="85">
        <f t="shared" si="3"/>
        <v>32.963200000000001</v>
      </c>
      <c r="Y28" s="85">
        <f t="shared" si="4"/>
        <v>6.1806000000000001</v>
      </c>
      <c r="Z28" s="45">
        <f t="shared" si="5"/>
        <v>3139248.86</v>
      </c>
      <c r="AA28" s="45" t="str">
        <f t="shared" si="6"/>
        <v/>
      </c>
      <c r="AB28" s="45" t="str">
        <f t="shared" si="14"/>
        <v/>
      </c>
      <c r="AC28" s="84" t="str">
        <f t="shared" si="15"/>
        <v/>
      </c>
      <c r="AD28" s="85" t="str">
        <f t="shared" si="7"/>
        <v/>
      </c>
      <c r="AE28" s="85" t="str">
        <f t="shared" si="8"/>
        <v/>
      </c>
      <c r="AF28" s="45" t="str">
        <f t="shared" si="9"/>
        <v/>
      </c>
      <c r="AG28" s="55"/>
    </row>
    <row r="29" spans="1:33" x14ac:dyDescent="0.25">
      <c r="A29" s="26" t="s">
        <v>28</v>
      </c>
      <c r="B29" s="27" t="s">
        <v>16</v>
      </c>
      <c r="C29" s="62" t="s">
        <v>29</v>
      </c>
      <c r="D29" s="28" t="s">
        <v>21</v>
      </c>
      <c r="E29" s="62" t="s">
        <v>98</v>
      </c>
      <c r="F29" s="260" t="s">
        <v>56</v>
      </c>
      <c r="G29" s="312"/>
      <c r="H29" s="236">
        <f>1153.36+20956.56+116077.1</f>
        <v>138187.02000000002</v>
      </c>
      <c r="I29" s="237"/>
      <c r="J29" s="221">
        <v>5.5796026283800018</v>
      </c>
      <c r="K29" s="312"/>
      <c r="L29" s="312"/>
      <c r="M29" s="312"/>
      <c r="N29" s="236">
        <v>2131.5700000000002</v>
      </c>
      <c r="O29" s="245">
        <f t="shared" si="0"/>
        <v>768897.09000000008</v>
      </c>
      <c r="P29" s="531">
        <f t="shared" si="10"/>
        <v>144168.20000000001</v>
      </c>
      <c r="Q29" s="243">
        <f t="shared" si="11"/>
        <v>115334.56</v>
      </c>
      <c r="R29" s="244">
        <v>0.15</v>
      </c>
      <c r="S29" s="243">
        <f t="shared" si="1"/>
        <v>28833.64</v>
      </c>
      <c r="T29" s="286">
        <v>3.7499999999999999E-2</v>
      </c>
      <c r="U29" s="45" t="str">
        <f t="shared" si="2"/>
        <v/>
      </c>
      <c r="V29" s="45" t="str">
        <f t="shared" si="12"/>
        <v/>
      </c>
      <c r="W29" s="84" t="str">
        <f t="shared" si="13"/>
        <v/>
      </c>
      <c r="X29" s="85" t="str">
        <f t="shared" si="3"/>
        <v/>
      </c>
      <c r="Y29" s="85" t="str">
        <f t="shared" si="4"/>
        <v/>
      </c>
      <c r="Z29" s="45" t="str">
        <f t="shared" si="5"/>
        <v/>
      </c>
      <c r="AA29" s="45">
        <f t="shared" si="6"/>
        <v>138187.02000000002</v>
      </c>
      <c r="AB29" s="45">
        <f t="shared" si="14"/>
        <v>768897.09000000008</v>
      </c>
      <c r="AC29" s="84">
        <f t="shared" si="15"/>
        <v>4606.2</v>
      </c>
      <c r="AD29" s="85">
        <f t="shared" si="7"/>
        <v>5.5641999999999996</v>
      </c>
      <c r="AE29" s="85">
        <f t="shared" si="8"/>
        <v>1.0432999999999999</v>
      </c>
      <c r="AF29" s="45">
        <f t="shared" si="9"/>
        <v>144168.20000000001</v>
      </c>
      <c r="AG29" s="55"/>
    </row>
    <row r="30" spans="1:33" x14ac:dyDescent="0.25">
      <c r="A30" s="26" t="s">
        <v>28</v>
      </c>
      <c r="B30" s="27" t="s">
        <v>173</v>
      </c>
      <c r="C30" s="62" t="s">
        <v>31</v>
      </c>
      <c r="D30" s="28" t="s">
        <v>30</v>
      </c>
      <c r="E30" s="62" t="s">
        <v>101</v>
      </c>
      <c r="F30" s="260" t="s">
        <v>37</v>
      </c>
      <c r="G30" s="312">
        <v>329</v>
      </c>
      <c r="H30" s="236">
        <v>329</v>
      </c>
      <c r="I30" s="238">
        <v>66.881100000000004</v>
      </c>
      <c r="J30" s="238">
        <v>70.801500000000004</v>
      </c>
      <c r="K30" s="312"/>
      <c r="L30" s="312"/>
      <c r="M30" s="312"/>
      <c r="N30" s="236">
        <v>465.7</v>
      </c>
      <c r="O30" s="245">
        <f>ROUND(G30*I30,2)+ROUND(H30*J30,2)-K30-L30-M30-N30</f>
        <v>44831.87</v>
      </c>
      <c r="P30" s="531">
        <f t="shared" si="10"/>
        <v>8405.98</v>
      </c>
      <c r="Q30" s="243">
        <f>ROUND($O30*R30,2)</f>
        <v>1681.2</v>
      </c>
      <c r="R30" s="286">
        <v>3.7499999999999999E-2</v>
      </c>
      <c r="S30" s="243">
        <f t="shared" si="1"/>
        <v>6724.78</v>
      </c>
      <c r="T30" s="244">
        <v>0.15</v>
      </c>
      <c r="U30" s="45">
        <f>IF($F30&amp;"/Día"=W$9,SUM($G30:$H30),"")</f>
        <v>658</v>
      </c>
      <c r="V30" s="45">
        <f t="shared" si="12"/>
        <v>44831.87</v>
      </c>
      <c r="W30" s="84">
        <f>IF($F30&amp;"/Día"=W$9,ROUND(U30/$W$1,1),"")</f>
        <v>21.9</v>
      </c>
      <c r="X30" s="85">
        <f>IF(U30=0,0,IF($F30&amp;"/Día"=W$9,ROUND(V30/U30,4),""))</f>
        <v>68.133499999999998</v>
      </c>
      <c r="Y30" s="85">
        <f>IF(U30=0,0,IF($F30&amp;"/Día"=W$9,ROUND(Z30/U30,4),""))</f>
        <v>12.775</v>
      </c>
      <c r="Z30" s="45">
        <f>IF(U30&lt;&gt;"",$P30,"")</f>
        <v>8405.98</v>
      </c>
      <c r="AA30" s="45" t="str">
        <f>IF($F30&amp;"/Día"=AC$9,SUM($G30:$H30),"")</f>
        <v/>
      </c>
      <c r="AB30" s="45" t="str">
        <f t="shared" si="14"/>
        <v/>
      </c>
      <c r="AC30" s="84" t="str">
        <f>IF($F30&amp;"/Día"=AC$9,ROUND(AA30/$W$1,1),"")</f>
        <v/>
      </c>
      <c r="AD30" s="85" t="str">
        <f>IF(AA30=0,0,IF($F30&amp;"/Día"=AC$9,ROUND(AB30/AA30,4),""))</f>
        <v/>
      </c>
      <c r="AE30" s="85" t="str">
        <f>IF(AA30=0,0,IF($F30&amp;"/Día"=AC$9,ROUND(AF30/AA30,4),""))</f>
        <v/>
      </c>
      <c r="AF30" s="45" t="str">
        <f>IF(AA30&lt;&gt;"",$P30,"")</f>
        <v/>
      </c>
      <c r="AG30" s="55"/>
    </row>
    <row r="31" spans="1:33" x14ac:dyDescent="0.25">
      <c r="A31" s="26" t="s">
        <v>28</v>
      </c>
      <c r="B31" s="216" t="s">
        <v>169</v>
      </c>
      <c r="C31" s="62" t="s">
        <v>31</v>
      </c>
      <c r="D31" s="28" t="s">
        <v>30</v>
      </c>
      <c r="E31" s="62" t="s">
        <v>101</v>
      </c>
      <c r="F31" s="260" t="s">
        <v>37</v>
      </c>
      <c r="G31" s="236"/>
      <c r="H31" s="236"/>
      <c r="I31" s="238"/>
      <c r="J31" s="238"/>
      <c r="K31" s="236"/>
      <c r="L31" s="312"/>
      <c r="M31" s="312"/>
      <c r="N31" s="236">
        <v>1434.04</v>
      </c>
      <c r="O31" s="245">
        <f>ROUND(G31*I31,2)+ROUND(H31*J31,2)-K31-L31-M31-N31</f>
        <v>-1434.04</v>
      </c>
      <c r="P31" s="243">
        <f t="shared" si="10"/>
        <v>-268.88</v>
      </c>
      <c r="Q31" s="243">
        <f>ROUND($O31*R31,2)</f>
        <v>-53.78</v>
      </c>
      <c r="R31" s="286">
        <v>3.7499999999999999E-2</v>
      </c>
      <c r="S31" s="243">
        <f t="shared" si="1"/>
        <v>-215.11</v>
      </c>
      <c r="T31" s="244">
        <v>0.15</v>
      </c>
      <c r="U31" s="45">
        <f>IF($F31&amp;"/Día"=W$9,SUM($G31:$H31),"")</f>
        <v>0</v>
      </c>
      <c r="V31" s="45">
        <f t="shared" si="12"/>
        <v>-1434.04</v>
      </c>
      <c r="W31" s="84">
        <f>IF($F31&amp;"/Día"=W$9,ROUND(U31/$W$1,1),"")</f>
        <v>0</v>
      </c>
      <c r="X31" s="85">
        <f>IF(U31=0,0,IF($F31&amp;"/Día"=W$9,ROUND(V31/U31,4),""))</f>
        <v>0</v>
      </c>
      <c r="Y31" s="85">
        <f>IF(U31=0,0,IF($F31&amp;"/Día"=W$9,ROUND(Z31/U31,4),""))</f>
        <v>0</v>
      </c>
      <c r="Z31" s="45">
        <f>IF(U31&lt;&gt;"",$P31,"")</f>
        <v>-268.88</v>
      </c>
      <c r="AA31" s="45" t="str">
        <f>IF($F31&amp;"/Día"=AC$9,SUM($G31:$H31),"")</f>
        <v/>
      </c>
      <c r="AB31" s="45" t="str">
        <f t="shared" si="14"/>
        <v/>
      </c>
      <c r="AC31" s="84" t="str">
        <f>IF($F31&amp;"/Día"=AC$9,ROUND(AA31/$W$1,1),"")</f>
        <v/>
      </c>
      <c r="AD31" s="85" t="str">
        <f>IF(AA31=0,0,IF($F31&amp;"/Día"=AC$9,ROUND(AB31/AA31,4),""))</f>
        <v/>
      </c>
      <c r="AE31" s="85" t="str">
        <f>IF(AA31=0,0,IF($F31&amp;"/Día"=AC$9,ROUND(AF31/AA31,4),""))</f>
        <v/>
      </c>
      <c r="AF31" s="45" t="str">
        <f>IF(AA31&lt;&gt;"",$P31,"")</f>
        <v/>
      </c>
      <c r="AG31" s="55"/>
    </row>
    <row r="32" spans="1:33" x14ac:dyDescent="0.25">
      <c r="A32" s="26" t="s">
        <v>28</v>
      </c>
      <c r="B32" s="216" t="s">
        <v>170</v>
      </c>
      <c r="C32" s="62" t="s">
        <v>31</v>
      </c>
      <c r="D32" s="28" t="s">
        <v>30</v>
      </c>
      <c r="E32" s="62" t="s">
        <v>101</v>
      </c>
      <c r="F32" s="260" t="s">
        <v>56</v>
      </c>
      <c r="G32" s="236"/>
      <c r="H32" s="236"/>
      <c r="I32" s="238"/>
      <c r="J32" s="238"/>
      <c r="K32" s="236"/>
      <c r="L32" s="312"/>
      <c r="M32" s="312"/>
      <c r="N32" s="236"/>
      <c r="O32" s="245">
        <f>ROUND(G32*I32,2)+ROUND(H32*J32,2)-K32-L32-M32-N32</f>
        <v>0</v>
      </c>
      <c r="P32" s="243">
        <f t="shared" si="10"/>
        <v>0</v>
      </c>
      <c r="Q32" s="243">
        <f>ROUND($O32*R32,2)</f>
        <v>0</v>
      </c>
      <c r="R32" s="286">
        <v>3.7499999999999999E-2</v>
      </c>
      <c r="S32" s="243">
        <f t="shared" si="1"/>
        <v>0</v>
      </c>
      <c r="T32" s="244">
        <v>0.15</v>
      </c>
      <c r="U32" s="45" t="str">
        <f>IF($F32&amp;"/Día"=W$9,SUM($G32:$H32),"")</f>
        <v/>
      </c>
      <c r="V32" s="45" t="str">
        <f t="shared" si="12"/>
        <v/>
      </c>
      <c r="W32" s="84" t="str">
        <f>IF($F32&amp;"/Día"=W$9,ROUND(U32/$W$1,1),"")</f>
        <v/>
      </c>
      <c r="X32" s="85" t="str">
        <f>IF(U32=0,0,IF($F32&amp;"/Día"=W$9,ROUND(V32/U32,4),""))</f>
        <v/>
      </c>
      <c r="Y32" s="85" t="str">
        <f>IF(U32=0,0,IF($F32&amp;"/Día"=W$9,ROUND(Z32/U32,4),""))</f>
        <v/>
      </c>
      <c r="Z32" s="45" t="str">
        <f>IF(U32&lt;&gt;"",$P32,"")</f>
        <v/>
      </c>
      <c r="AA32" s="45">
        <f>IF($F32&amp;"/Día"=AC$9,SUM($G32:$H32),"")</f>
        <v>0</v>
      </c>
      <c r="AB32" s="45">
        <f t="shared" si="14"/>
        <v>0</v>
      </c>
      <c r="AC32" s="84">
        <f>IF($F32&amp;"/Día"=AC$9,ROUND(AA32/$W$1,1),"")</f>
        <v>0</v>
      </c>
      <c r="AD32" s="85">
        <f>IF(AA32=0,0,IF($F32&amp;"/Día"=AC$9,ROUND(AB32/AA32,4),""))</f>
        <v>0</v>
      </c>
      <c r="AE32" s="85">
        <f>IF(AA32=0,0,IF($F32&amp;"/Día"=AC$9,ROUND(AF32/AA32,4),""))</f>
        <v>0</v>
      </c>
      <c r="AF32" s="45">
        <f>IF(AA32&lt;&gt;"",$P32,"")</f>
        <v>0</v>
      </c>
      <c r="AG32" s="55"/>
    </row>
    <row r="33" spans="1:33" x14ac:dyDescent="0.25">
      <c r="A33" s="30" t="s">
        <v>28</v>
      </c>
      <c r="B33" s="271" t="s">
        <v>174</v>
      </c>
      <c r="C33" s="260" t="s">
        <v>29</v>
      </c>
      <c r="D33" s="268" t="s">
        <v>21</v>
      </c>
      <c r="E33" s="260" t="s">
        <v>98</v>
      </c>
      <c r="F33" s="260" t="s">
        <v>37</v>
      </c>
      <c r="G33" s="236"/>
      <c r="H33" s="236">
        <f>27634+5264</f>
        <v>32898</v>
      </c>
      <c r="I33" s="238"/>
      <c r="J33" s="238">
        <v>54.943300000000001</v>
      </c>
      <c r="K33" s="236"/>
      <c r="L33" s="312"/>
      <c r="M33" s="312"/>
      <c r="N33" s="236">
        <v>2321.9</v>
      </c>
      <c r="O33" s="245">
        <f>ROUND(G33*I33,2)+ROUND(H33*J33,2)-K33-L33-M33-N33</f>
        <v>1805202.78</v>
      </c>
      <c r="P33" s="531">
        <f t="shared" si="10"/>
        <v>338475.52000000002</v>
      </c>
      <c r="Q33" s="243">
        <f>ROUND($O33*R33,2)</f>
        <v>270780.42</v>
      </c>
      <c r="R33" s="247">
        <v>0.15</v>
      </c>
      <c r="S33" s="243">
        <f t="shared" si="1"/>
        <v>67695.100000000006</v>
      </c>
      <c r="T33" s="286">
        <v>3.7499999999999999E-2</v>
      </c>
      <c r="U33" s="45">
        <f>IF($F33&amp;"/Día"=W$9,SUM($G33:$H33),"")</f>
        <v>32898</v>
      </c>
      <c r="V33" s="45">
        <f t="shared" si="12"/>
        <v>1805202.78</v>
      </c>
      <c r="W33" s="84">
        <f>IF($F33&amp;"/Día"=W$9,ROUND(U33/$W$1,1),"")</f>
        <v>1096.5999999999999</v>
      </c>
      <c r="X33" s="85">
        <f>IF(U33=0,0,IF($F33&amp;"/Día"=W$9,ROUND(V33/U33,4),""))</f>
        <v>54.872700000000002</v>
      </c>
      <c r="Y33" s="85">
        <f>IF(U33=0,0,IF($F33&amp;"/Día"=W$9,ROUND(Z33/U33,4),""))</f>
        <v>10.288600000000001</v>
      </c>
      <c r="Z33" s="45">
        <f>IF(U33&lt;&gt;"",$P33,"")</f>
        <v>338475.52000000002</v>
      </c>
      <c r="AA33" s="45" t="str">
        <f>IF($F33&amp;"/Día"=AC$9,SUM($G33:$H33),"")</f>
        <v/>
      </c>
      <c r="AB33" s="45" t="str">
        <f t="shared" si="14"/>
        <v/>
      </c>
      <c r="AC33" s="84" t="str">
        <f>IF($F33&amp;"/Día"=AC$9,ROUND(AA33/$W$1,1),"")</f>
        <v/>
      </c>
      <c r="AD33" s="85" t="str">
        <f>IF(AA33=0,0,IF($F33&amp;"/Día"=AC$9,ROUND(AB33/AA33,4),""))</f>
        <v/>
      </c>
      <c r="AE33" s="85" t="str">
        <f>IF(AA33=0,0,IF($F33&amp;"/Día"=AC$9,ROUND(AF33/AA33,4),""))</f>
        <v/>
      </c>
      <c r="AF33" s="45" t="str">
        <f>IF(AA33&lt;&gt;"",$P33,"")</f>
        <v/>
      </c>
      <c r="AG33" s="55"/>
    </row>
    <row r="34" spans="1:33" x14ac:dyDescent="0.25">
      <c r="A34" s="30" t="s">
        <v>28</v>
      </c>
      <c r="B34" s="216" t="s">
        <v>178</v>
      </c>
      <c r="C34" s="62" t="s">
        <v>31</v>
      </c>
      <c r="D34" s="28" t="s">
        <v>30</v>
      </c>
      <c r="E34" s="62" t="s">
        <v>101</v>
      </c>
      <c r="F34" s="260" t="s">
        <v>56</v>
      </c>
      <c r="G34" s="236"/>
      <c r="H34" s="236"/>
      <c r="I34" s="238"/>
      <c r="J34" s="238"/>
      <c r="K34" s="236"/>
      <c r="L34" s="312"/>
      <c r="M34" s="312"/>
      <c r="N34" s="236"/>
      <c r="O34" s="245">
        <f>ROUND(G34*I34,2)+ROUND(H34*J34,2)-K34-L34-M34-N34</f>
        <v>0</v>
      </c>
      <c r="P34" s="243">
        <f t="shared" si="10"/>
        <v>0</v>
      </c>
      <c r="Q34" s="243">
        <f>ROUND($O34*R34,2)</f>
        <v>0</v>
      </c>
      <c r="R34" s="275">
        <v>0.15</v>
      </c>
      <c r="S34" s="243">
        <f t="shared" si="1"/>
        <v>0</v>
      </c>
      <c r="T34" s="286">
        <v>3.7499999999999999E-2</v>
      </c>
      <c r="U34" s="45"/>
      <c r="V34" s="45"/>
      <c r="W34" s="84"/>
      <c r="X34" s="85"/>
      <c r="Y34" s="85"/>
      <c r="Z34" s="45"/>
      <c r="AA34" s="45"/>
      <c r="AB34" s="45"/>
      <c r="AC34" s="84"/>
      <c r="AD34" s="85"/>
      <c r="AE34" s="85"/>
      <c r="AF34" s="45"/>
      <c r="AG34" s="55"/>
    </row>
    <row r="35" spans="1:33" x14ac:dyDescent="0.25">
      <c r="A35" s="30" t="s">
        <v>28</v>
      </c>
      <c r="B35" s="33" t="s">
        <v>52</v>
      </c>
      <c r="C35" s="61"/>
      <c r="D35" s="61"/>
      <c r="E35" s="31"/>
      <c r="F35" s="269"/>
      <c r="G35" s="312"/>
      <c r="H35" s="312"/>
      <c r="I35" s="237"/>
      <c r="J35" s="383"/>
      <c r="K35" s="312"/>
      <c r="L35" s="312"/>
      <c r="M35" s="312"/>
      <c r="N35" s="312"/>
      <c r="O35" s="245">
        <f>O440</f>
        <v>-23593.120000000112</v>
      </c>
      <c r="P35" s="245">
        <f>P440</f>
        <v>-4423.7099999999627</v>
      </c>
      <c r="Q35" s="245">
        <f>Q440</f>
        <v>-3538.9699999999721</v>
      </c>
      <c r="R35" s="275"/>
      <c r="S35" s="245">
        <f>S440</f>
        <v>-884.73999999999069</v>
      </c>
      <c r="T35" s="244"/>
      <c r="U35" s="45" t="str">
        <f>IF($F35&amp;"/Día"=W$9,SUM($G35:$H35),"")</f>
        <v/>
      </c>
      <c r="V35" s="45" t="str">
        <f t="shared" si="12"/>
        <v/>
      </c>
      <c r="W35" s="84" t="str">
        <f>IF($F35&amp;"/Día"=W$9,ROUND(U35/$W$1,1),"")</f>
        <v/>
      </c>
      <c r="X35" s="85" t="str">
        <f>IF(U35=0,0,IF($F35&amp;"/Día"=W$9,ROUND(V35/U35,4),""))</f>
        <v/>
      </c>
      <c r="Y35" s="85" t="str">
        <f>IF(U35=0,0,IF($F35&amp;"/Día"=W$9,ROUND(Z35/U35,4),""))</f>
        <v/>
      </c>
      <c r="Z35" s="45" t="str">
        <f>IF(U35&lt;&gt;"",$P35,"")</f>
        <v/>
      </c>
      <c r="AA35" s="45" t="str">
        <f>IF($F35&amp;"/Día"=AC$9,SUM($G35:$H35),"")</f>
        <v/>
      </c>
      <c r="AB35" s="45" t="str">
        <f t="shared" si="14"/>
        <v/>
      </c>
      <c r="AC35" s="84" t="str">
        <f>IF($F35&amp;"/Día"=AC$9,ROUND(AA35/$W$1,1),"")</f>
        <v/>
      </c>
      <c r="AD35" s="85" t="str">
        <f>IF(AA35=0,0,IF($F35&amp;"/Día"=AC$9,ROUND(AB35/AA35,4),""))</f>
        <v/>
      </c>
      <c r="AE35" s="85" t="str">
        <f>IF(AA35=0,0,IF($F35&amp;"/Día"=AC$9,ROUND(AF35/AA35,4),""))</f>
        <v/>
      </c>
      <c r="AF35" s="45" t="str">
        <f>IF(AA35&lt;&gt;"",$P35,"")</f>
        <v/>
      </c>
      <c r="AG35" s="55"/>
    </row>
    <row r="36" spans="1:33" x14ac:dyDescent="0.25">
      <c r="A36" s="34"/>
      <c r="B36" s="165" t="s">
        <v>108</v>
      </c>
      <c r="C36" s="35" t="str">
        <f>TEXT(A$9,)&amp;" US$"</f>
        <v>Piura / Tumbes US$</v>
      </c>
      <c r="D36" s="43"/>
      <c r="E36" s="44"/>
      <c r="F36" s="270"/>
      <c r="G36" s="239"/>
      <c r="H36" s="239"/>
      <c r="I36" s="370"/>
      <c r="J36" s="240"/>
      <c r="K36" s="239"/>
      <c r="L36" s="239"/>
      <c r="M36" s="239"/>
      <c r="N36" s="239"/>
      <c r="O36" s="250">
        <f>SUM(O10:O35)</f>
        <v>68652601.219999984</v>
      </c>
      <c r="P36" s="250">
        <f>SUM(P10:P35)</f>
        <v>12872362.719999999</v>
      </c>
      <c r="Q36" s="251">
        <f>SUM(Q10:Q35)</f>
        <v>10293007.93</v>
      </c>
      <c r="R36" s="252"/>
      <c r="S36" s="253">
        <f>SUM(S10:S35)</f>
        <v>2579354.79</v>
      </c>
      <c r="T36" s="252"/>
      <c r="U36" s="86">
        <f>SUM(U10:U35)</f>
        <v>1220558</v>
      </c>
      <c r="V36" s="86">
        <f>SUM(V10:V35)</f>
        <v>65270656.649999999</v>
      </c>
      <c r="W36" s="87">
        <f>SUM(W10:W35)</f>
        <v>40685.300000000003</v>
      </c>
      <c r="X36" s="88">
        <f>ROUND(V36/U36,4)</f>
        <v>53.476100000000002</v>
      </c>
      <c r="Y36" s="88">
        <f>ROUND(Z36/U36,4)</f>
        <v>10.0268</v>
      </c>
      <c r="Z36" s="86">
        <f>SUM(Z10:Z35)</f>
        <v>12238248.109999998</v>
      </c>
      <c r="AA36" s="86">
        <f>SUM(AA10:AA35)</f>
        <v>1390487.5808999999</v>
      </c>
      <c r="AB36" s="86">
        <f>SUM(AB10:AB35)</f>
        <v>3405537.6900000004</v>
      </c>
      <c r="AC36" s="87">
        <f>SUM(AC10:AC35)</f>
        <v>46349.599999999991</v>
      </c>
      <c r="AD36" s="88">
        <f>ROUND(AB36/AA36,4)</f>
        <v>2.4491999999999998</v>
      </c>
      <c r="AE36" s="88">
        <f>ROUND(AF36/AA36,4)</f>
        <v>0.4592</v>
      </c>
      <c r="AF36" s="86">
        <f>SUM(AF10:AF35)</f>
        <v>638538.32000000007</v>
      </c>
      <c r="AG36" s="48">
        <f>P36-Z36-AF36</f>
        <v>-4423.7099999987986</v>
      </c>
    </row>
    <row r="37" spans="1:33" x14ac:dyDescent="0.25">
      <c r="A37" s="136"/>
      <c r="B37" s="137"/>
      <c r="C37" s="35" t="str">
        <f>TEXT(A$9,)&amp;" S/."</f>
        <v>Piura / Tumbes S/.</v>
      </c>
      <c r="D37" s="148"/>
      <c r="E37" s="148"/>
      <c r="F37" s="149"/>
      <c r="G37" s="299"/>
      <c r="H37" s="299"/>
      <c r="I37" s="367"/>
      <c r="J37" s="221"/>
      <c r="K37" s="299"/>
      <c r="L37" s="299"/>
      <c r="M37" s="299"/>
      <c r="N37" s="299"/>
      <c r="O37" s="228"/>
      <c r="P37" s="229">
        <f>ROUND($F$1*P36,2)</f>
        <v>0</v>
      </c>
      <c r="Q37" s="229">
        <f>ROUND($F$1*Q36,2)</f>
        <v>0</v>
      </c>
      <c r="R37" s="151"/>
      <c r="S37" s="231">
        <f>ROUND($F$1*S36,2)</f>
        <v>0</v>
      </c>
      <c r="T37" s="172"/>
      <c r="U37" s="152"/>
      <c r="V37" s="152"/>
      <c r="W37" s="153"/>
      <c r="X37" s="154"/>
      <c r="Y37" s="154"/>
      <c r="Z37" s="152"/>
      <c r="AA37" s="152"/>
      <c r="AB37" s="152"/>
      <c r="AC37" s="153"/>
      <c r="AD37" s="154"/>
      <c r="AE37" s="154"/>
      <c r="AF37" s="152"/>
      <c r="AG37" s="152"/>
    </row>
    <row r="38" spans="1:33" x14ac:dyDescent="0.25">
      <c r="A38" s="313" t="s">
        <v>22</v>
      </c>
      <c r="B38" s="19"/>
      <c r="C38" s="63"/>
      <c r="D38" s="63"/>
      <c r="E38" s="20"/>
      <c r="F38" s="39"/>
      <c r="G38" s="241"/>
      <c r="H38" s="241"/>
      <c r="I38" s="242"/>
      <c r="J38" s="242"/>
      <c r="K38" s="241"/>
      <c r="L38" s="241"/>
      <c r="M38" s="241"/>
      <c r="N38" s="241"/>
      <c r="O38" s="254"/>
      <c r="P38" s="255"/>
      <c r="Q38" s="256" t="s">
        <v>49</v>
      </c>
      <c r="R38" s="234"/>
      <c r="S38" s="316"/>
      <c r="T38" s="317"/>
      <c r="U38" s="54"/>
      <c r="V38" s="54"/>
      <c r="W38" s="89"/>
      <c r="X38" s="90"/>
      <c r="Y38" s="90"/>
      <c r="Z38" s="90"/>
      <c r="AA38" s="54"/>
      <c r="AB38" s="54"/>
      <c r="AC38" s="89"/>
      <c r="AD38" s="90"/>
      <c r="AE38" s="90"/>
      <c r="AF38" s="90"/>
      <c r="AG38" s="51"/>
    </row>
    <row r="39" spans="1:33" x14ac:dyDescent="0.25">
      <c r="A39" s="30" t="s">
        <v>28</v>
      </c>
      <c r="B39" s="27" t="s">
        <v>11</v>
      </c>
      <c r="C39" s="62" t="s">
        <v>31</v>
      </c>
      <c r="D39" s="28" t="s">
        <v>30</v>
      </c>
      <c r="E39" s="62" t="s">
        <v>101</v>
      </c>
      <c r="F39" s="40" t="s">
        <v>37</v>
      </c>
      <c r="G39" s="236"/>
      <c r="H39" s="236"/>
      <c r="I39" s="238"/>
      <c r="J39" s="238"/>
      <c r="K39" s="312"/>
      <c r="L39" s="312"/>
      <c r="M39" s="312"/>
      <c r="N39" s="236">
        <v>1099.45</v>
      </c>
      <c r="O39" s="245">
        <f>ROUND(G39*I39,2)+ROUND(H39*J39,2)-K39-L39-M39-N39</f>
        <v>-1099.45</v>
      </c>
      <c r="P39" s="243">
        <f>ROUND(15%*O39,2)</f>
        <v>-164.92</v>
      </c>
      <c r="Q39" s="243">
        <f>ROUND($O39*R39,2)</f>
        <v>-164.92</v>
      </c>
      <c r="R39" s="244">
        <v>0.15</v>
      </c>
      <c r="S39" s="248"/>
      <c r="T39" s="247"/>
      <c r="U39" s="45">
        <f>IF($F39&amp;"/Día"=W$9,SUM($G39:$H39),"")</f>
        <v>0</v>
      </c>
      <c r="V39" s="45">
        <f>IF(U39&lt;&gt;"",$O39,"")</f>
        <v>-1099.45</v>
      </c>
      <c r="W39" s="84">
        <f t="shared" si="13"/>
        <v>0</v>
      </c>
      <c r="X39" s="85">
        <f>IF(U39=0,0,IF($F39&amp;"/Día"=W$9,ROUND(V39/U39,4),""))</f>
        <v>0</v>
      </c>
      <c r="Y39" s="85">
        <f>IF(U39=0,0,IF($F39&amp;"/Día"=W$9,ROUND(Z39/U39,4),""))</f>
        <v>0</v>
      </c>
      <c r="Z39" s="45">
        <f>IF(U39&lt;&gt;"",$P39,"")</f>
        <v>-164.92</v>
      </c>
      <c r="AA39" s="45" t="str">
        <f>IF($F39&amp;"/Día"=AC$9,SUM($G39:$H39),"")</f>
        <v/>
      </c>
      <c r="AB39" s="45" t="str">
        <f>IF(AA39&lt;&gt;"",$O39,"")</f>
        <v/>
      </c>
      <c r="AC39" s="84" t="str">
        <f t="shared" si="15"/>
        <v/>
      </c>
      <c r="AD39" s="85" t="str">
        <f>IF(AA39=0,0,IF($F39&amp;"/Día"=AC$9,ROUND(AB39/AA39,4),""))</f>
        <v/>
      </c>
      <c r="AE39" s="85" t="str">
        <f>IF(AA39=0,0,IF($F39&amp;"/Día"=AC$9,ROUND(AF39/AA39,4),""))</f>
        <v/>
      </c>
      <c r="AF39" s="45" t="str">
        <f>IF(AA39&lt;&gt;"",$P39,"")</f>
        <v/>
      </c>
      <c r="AG39" s="55"/>
    </row>
    <row r="40" spans="1:33" x14ac:dyDescent="0.25">
      <c r="A40" s="30" t="s">
        <v>28</v>
      </c>
      <c r="B40" s="315">
        <v>131</v>
      </c>
      <c r="C40" s="62" t="s">
        <v>31</v>
      </c>
      <c r="D40" s="28" t="s">
        <v>30</v>
      </c>
      <c r="E40" s="62" t="s">
        <v>101</v>
      </c>
      <c r="F40" s="40" t="s">
        <v>37</v>
      </c>
      <c r="G40" s="236">
        <v>44053</v>
      </c>
      <c r="H40" s="236">
        <v>44299</v>
      </c>
      <c r="I40" s="238">
        <v>65.105800000000002</v>
      </c>
      <c r="J40" s="238">
        <v>68.729900000000001</v>
      </c>
      <c r="K40" s="312"/>
      <c r="L40" s="312"/>
      <c r="M40" s="312"/>
      <c r="N40" s="236">
        <v>9334.6200000000008</v>
      </c>
      <c r="O40" s="245">
        <f>ROUND(G40*I40,2)+ROUND(H40*J40,2)-K40-L40-M40-N40</f>
        <v>5903437.0300000003</v>
      </c>
      <c r="P40" s="243">
        <f>ROUND(15%*O40,2)</f>
        <v>885515.55</v>
      </c>
      <c r="Q40" s="243">
        <f>ROUND($O40*R40,2)</f>
        <v>885515.55</v>
      </c>
      <c r="R40" s="244">
        <v>0.15</v>
      </c>
      <c r="S40" s="248"/>
      <c r="T40" s="247"/>
      <c r="U40" s="45">
        <f>IF($F40&amp;"/Día"=W$9,SUM($G40:$H40),"")</f>
        <v>88352</v>
      </c>
      <c r="V40" s="45">
        <f>IF(U40&lt;&gt;"",$O40,"")</f>
        <v>5903437.0300000003</v>
      </c>
      <c r="W40" s="84">
        <f t="shared" si="13"/>
        <v>2945.1</v>
      </c>
      <c r="X40" s="85">
        <f>IF(U40=0,0,IF($F40&amp;"/Día"=W$9,ROUND(V40/U40,4),""))</f>
        <v>66.8172</v>
      </c>
      <c r="Y40" s="85">
        <f>IF(U40=0,0,IF($F40&amp;"/Día"=W$9,ROUND(Z40/U40,4),""))</f>
        <v>10.022600000000001</v>
      </c>
      <c r="Z40" s="45">
        <f>IF(U40&lt;&gt;"",$P40,"")</f>
        <v>885515.55</v>
      </c>
      <c r="AA40" s="45" t="str">
        <f>IF($F40&amp;"/Día"=AC$9,SUM($G40:$H40),"")</f>
        <v/>
      </c>
      <c r="AB40" s="45" t="str">
        <f>IF(AA40&lt;&gt;"",$O40,"")</f>
        <v/>
      </c>
      <c r="AC40" s="84" t="str">
        <f t="shared" si="15"/>
        <v/>
      </c>
      <c r="AD40" s="85" t="str">
        <f>IF(AA40=0,0,IF($F40&amp;"/Día"=AC$9,ROUND(AB40/AA40,4),""))</f>
        <v/>
      </c>
      <c r="AE40" s="85" t="str">
        <f>IF(AA40=0,0,IF($F40&amp;"/Día"=AC$9,ROUND(AF40/AA40,4),""))</f>
        <v/>
      </c>
      <c r="AF40" s="45" t="str">
        <f>IF(AA40&lt;&gt;"",$P40,"")</f>
        <v/>
      </c>
      <c r="AG40" s="55"/>
    </row>
    <row r="41" spans="1:33" x14ac:dyDescent="0.25">
      <c r="A41" s="30" t="s">
        <v>28</v>
      </c>
      <c r="B41" s="33" t="s">
        <v>53</v>
      </c>
      <c r="C41" s="61"/>
      <c r="D41" s="61"/>
      <c r="E41" s="8"/>
      <c r="F41" s="235"/>
      <c r="G41" s="312"/>
      <c r="H41" s="312"/>
      <c r="I41" s="237"/>
      <c r="J41" s="237"/>
      <c r="K41" s="312"/>
      <c r="L41" s="312"/>
      <c r="M41" s="312"/>
      <c r="N41" s="312"/>
      <c r="O41" s="312">
        <f>O442</f>
        <v>147042.22</v>
      </c>
      <c r="P41" s="312">
        <f>P442</f>
        <v>22056.33</v>
      </c>
      <c r="Q41" s="312">
        <f>Q442</f>
        <v>22056.33</v>
      </c>
      <c r="R41" s="247"/>
      <c r="S41" s="248"/>
      <c r="T41" s="247"/>
      <c r="U41" s="45" t="str">
        <f>IF($F41&amp;"/Día"=W$9,SUM($G41:$H41),"")</f>
        <v/>
      </c>
      <c r="V41" s="45" t="str">
        <f>IF(U41&lt;&gt;"",$O41,"")</f>
        <v/>
      </c>
      <c r="W41" s="84" t="str">
        <f t="shared" si="13"/>
        <v/>
      </c>
      <c r="X41" s="85" t="str">
        <f>IF(U41=0,0,IF($F41&amp;"/Día"=W$9,ROUND(V41/U41,4),""))</f>
        <v/>
      </c>
      <c r="Y41" s="85" t="str">
        <f>IF(U41=0,0,IF($F41&amp;"/Día"=W$9,ROUND(Z41/U41,4),""))</f>
        <v/>
      </c>
      <c r="Z41" s="45" t="str">
        <f>IF(U41&lt;&gt;"",$P41,"")</f>
        <v/>
      </c>
      <c r="AA41" s="45" t="str">
        <f>IF($F41&amp;"/Día"=AC$9,SUM($G41:$H41),"")</f>
        <v/>
      </c>
      <c r="AB41" s="45" t="str">
        <f>IF(AA41&lt;&gt;"",$O41,"")</f>
        <v/>
      </c>
      <c r="AC41" s="84" t="str">
        <f t="shared" si="15"/>
        <v/>
      </c>
      <c r="AD41" s="85" t="str">
        <f>IF(AA41=0,0,IF($F41&amp;"/Día"=AC$9,ROUND(AB41/AA41,4),""))</f>
        <v/>
      </c>
      <c r="AE41" s="85" t="str">
        <f>IF(AA41=0,0,IF($F41&amp;"/Día"=AC$9,ROUND(AF41/AA41,4),""))</f>
        <v/>
      </c>
      <c r="AF41" s="45" t="str">
        <f>IF(AA41&lt;&gt;"",$P41,"")</f>
        <v/>
      </c>
      <c r="AG41" s="55"/>
    </row>
    <row r="42" spans="1:33" x14ac:dyDescent="0.25">
      <c r="A42" s="34"/>
      <c r="B42" s="165" t="s">
        <v>108</v>
      </c>
      <c r="C42" s="35" t="str">
        <f>TEXT(A$38,)&amp;" US$"</f>
        <v>Provincia Puerto Inca Huanuco US$</v>
      </c>
      <c r="D42" s="43"/>
      <c r="E42" s="44"/>
      <c r="F42" s="43"/>
      <c r="G42" s="239"/>
      <c r="H42" s="239"/>
      <c r="I42" s="240"/>
      <c r="J42" s="240"/>
      <c r="K42" s="239"/>
      <c r="L42" s="239"/>
      <c r="M42" s="239"/>
      <c r="N42" s="239"/>
      <c r="O42" s="249">
        <f>SUM(O39:O41)</f>
        <v>6049379.7999999998</v>
      </c>
      <c r="P42" s="250">
        <f>SUM(P39:P41)</f>
        <v>907406.96</v>
      </c>
      <c r="Q42" s="250">
        <f>SUM(Q39:Q41)</f>
        <v>907406.96</v>
      </c>
      <c r="R42" s="252"/>
      <c r="S42" s="250">
        <f>SUM(S39:S41)</f>
        <v>0</v>
      </c>
      <c r="T42" s="252"/>
      <c r="U42" s="48">
        <f>SUM(U39:U41)</f>
        <v>88352</v>
      </c>
      <c r="V42" s="48">
        <f>SUM(V39:V41)</f>
        <v>5902337.5800000001</v>
      </c>
      <c r="W42" s="91">
        <f>SUM(W39:W41)</f>
        <v>2945.1</v>
      </c>
      <c r="X42" s="92">
        <f>ROUND(V42/U42,4)</f>
        <v>66.8048</v>
      </c>
      <c r="Y42" s="92">
        <f>ROUND(Z42/U42,4)</f>
        <v>10.0207</v>
      </c>
      <c r="Z42" s="48">
        <f>SUM(Z39:Z41)</f>
        <v>885350.63</v>
      </c>
      <c r="AA42" s="48">
        <f>SUM(AA39:AA41)</f>
        <v>0</v>
      </c>
      <c r="AB42" s="48">
        <f>SUM(AB39:AB41)</f>
        <v>0</v>
      </c>
      <c r="AC42" s="91">
        <f>SUM(AC39:AC41)</f>
        <v>0</v>
      </c>
      <c r="AD42" s="92">
        <f>IF(AA42=0,0,ROUND(AB42/AA42,4))</f>
        <v>0</v>
      </c>
      <c r="AE42" s="92">
        <f>IF(AA42=0,0,ROUND(AF42/AA42,4))</f>
        <v>0</v>
      </c>
      <c r="AF42" s="48">
        <f>SUM(AF39:AF41)</f>
        <v>0</v>
      </c>
      <c r="AG42" s="86">
        <f>P42-Z42-AF42</f>
        <v>22056.329999999958</v>
      </c>
    </row>
    <row r="43" spans="1:33" x14ac:dyDescent="0.25">
      <c r="A43" s="136"/>
      <c r="B43" s="137"/>
      <c r="C43" s="35" t="str">
        <f>TEXT(A$38,)&amp;" S/."</f>
        <v>Provincia Puerto Inca Huanuco S/.</v>
      </c>
      <c r="D43" s="148"/>
      <c r="E43" s="148"/>
      <c r="F43" s="149"/>
      <c r="G43" s="299"/>
      <c r="H43" s="299"/>
      <c r="I43" s="221"/>
      <c r="J43" s="221"/>
      <c r="K43" s="299"/>
      <c r="L43" s="299"/>
      <c r="M43" s="299"/>
      <c r="N43" s="299"/>
      <c r="O43" s="228"/>
      <c r="P43" s="229">
        <f>ROUND($F$1*P42,2)</f>
        <v>0</v>
      </c>
      <c r="Q43" s="229">
        <f>ROUND($F$1*Q42,2)</f>
        <v>0</v>
      </c>
      <c r="R43" s="151"/>
      <c r="S43" s="229">
        <f>ROUND($F$1*S42,2)</f>
        <v>0</v>
      </c>
      <c r="T43" s="151"/>
      <c r="U43" s="152"/>
      <c r="V43" s="152"/>
      <c r="W43" s="153"/>
      <c r="X43" s="154"/>
      <c r="Y43" s="154"/>
      <c r="Z43" s="152"/>
      <c r="AA43" s="152"/>
      <c r="AB43" s="152"/>
      <c r="AC43" s="153"/>
      <c r="AD43" s="154"/>
      <c r="AE43" s="154"/>
      <c r="AF43" s="152"/>
      <c r="AG43" s="152"/>
    </row>
    <row r="44" spans="1:33" x14ac:dyDescent="0.25">
      <c r="A44" s="313" t="s">
        <v>24</v>
      </c>
      <c r="B44" s="19"/>
      <c r="C44" s="63"/>
      <c r="D44" s="63"/>
      <c r="E44" s="20"/>
      <c r="F44" s="258"/>
      <c r="G44" s="241"/>
      <c r="H44" s="241"/>
      <c r="I44" s="242"/>
      <c r="J44" s="242"/>
      <c r="K44" s="241"/>
      <c r="L44" s="241"/>
      <c r="M44" s="241"/>
      <c r="N44" s="241"/>
      <c r="O44" s="254"/>
      <c r="P44" s="255"/>
      <c r="Q44" s="256" t="s">
        <v>47</v>
      </c>
      <c r="R44" s="234"/>
      <c r="S44" s="259" t="s">
        <v>48</v>
      </c>
      <c r="T44" s="234"/>
      <c r="U44" s="51"/>
      <c r="V44" s="51"/>
      <c r="W44" s="82"/>
      <c r="X44" s="83"/>
      <c r="Y44" s="83"/>
      <c r="Z44" s="83"/>
      <c r="AA44" s="51"/>
      <c r="AB44" s="51"/>
      <c r="AC44" s="82"/>
      <c r="AD44" s="83"/>
      <c r="AE44" s="83"/>
      <c r="AF44" s="83"/>
      <c r="AG44" s="51"/>
    </row>
    <row r="45" spans="1:33" x14ac:dyDescent="0.25">
      <c r="A45" s="26" t="s">
        <v>28</v>
      </c>
      <c r="B45" s="29" t="s">
        <v>167</v>
      </c>
      <c r="C45" s="62" t="s">
        <v>31</v>
      </c>
      <c r="D45" s="62" t="s">
        <v>21</v>
      </c>
      <c r="E45" s="134" t="s">
        <v>101</v>
      </c>
      <c r="F45" s="261" t="s">
        <v>37</v>
      </c>
      <c r="G45" s="236"/>
      <c r="H45" s="236"/>
      <c r="I45" s="238"/>
      <c r="J45" s="238"/>
      <c r="K45" s="236"/>
      <c r="L45" s="312"/>
      <c r="M45" s="312"/>
      <c r="N45" s="236">
        <v>3.72</v>
      </c>
      <c r="O45" s="245">
        <f t="shared" ref="O45:O51" si="16">ROUND(G45*I45,2)+ROUND(H45*J45,2)-K45-L45-M45-N45</f>
        <v>-3.72</v>
      </c>
      <c r="P45" s="243">
        <f>ROUND(18.75%*O45,2)</f>
        <v>-0.7</v>
      </c>
      <c r="Q45" s="243">
        <f t="shared" ref="Q45:Q51" si="17">ROUND($O45*R45,2)</f>
        <v>-0.56000000000000005</v>
      </c>
      <c r="R45" s="244">
        <v>0.15</v>
      </c>
      <c r="S45" s="243">
        <f t="shared" ref="S45:S51" si="18">ROUND($O45*T45,2)</f>
        <v>-0.14000000000000001</v>
      </c>
      <c r="T45" s="286">
        <v>3.7499999999999999E-2</v>
      </c>
      <c r="U45" s="45">
        <f t="shared" ref="U45:U55" si="19">IF($F45&amp;"/Día"=W$9,SUM($G45:$H45),"")</f>
        <v>0</v>
      </c>
      <c r="V45" s="45">
        <f t="shared" ref="V45:V55" si="20">IF(U45&lt;&gt;"",$O45,"")</f>
        <v>-3.72</v>
      </c>
      <c r="W45" s="84">
        <f t="shared" ref="W45:W55" si="21">IF($F45&amp;"/Día"=W$9,ROUND(U45/$W$1,1),"")</f>
        <v>0</v>
      </c>
      <c r="X45" s="85">
        <f t="shared" ref="X45:X55" si="22">IF(U45=0,0,IF($F45&amp;"/Día"=W$9,ROUND(V45/U45,4),""))</f>
        <v>0</v>
      </c>
      <c r="Y45" s="85">
        <f t="shared" ref="Y45:Y55" si="23">IF(U45=0,0,IF($F45&amp;"/Día"=W$9,ROUND(Z45/U45,4),""))</f>
        <v>0</v>
      </c>
      <c r="Z45" s="45">
        <f t="shared" ref="Z45:Z55" si="24">IF(U45&lt;&gt;"",$P45,"")</f>
        <v>-0.7</v>
      </c>
      <c r="AA45" s="45" t="str">
        <f t="shared" ref="AA45:AA55" si="25">IF($F45&amp;"/Día"=AC$9,SUM($G45:$H45),"")</f>
        <v/>
      </c>
      <c r="AB45" s="45" t="str">
        <f t="shared" ref="AB45:AB55" si="26">IF(AA45&lt;&gt;"",$O45,"")</f>
        <v/>
      </c>
      <c r="AC45" s="84" t="str">
        <f t="shared" ref="AC45:AC55" si="27">IF($F45&amp;"/Día"=AC$9,ROUND(AA45/$W$1,1),"")</f>
        <v/>
      </c>
      <c r="AD45" s="85" t="str">
        <f t="shared" ref="AD45:AD55" si="28">IF(AA45=0,0,IF($F45&amp;"/Día"=AC$9,ROUND(AB45/AA45,4),""))</f>
        <v/>
      </c>
      <c r="AE45" s="85" t="str">
        <f t="shared" ref="AE45:AE55" si="29">IF(AA45=0,0,IF($F45&amp;"/Día"=AC$9,ROUND(AF45/AA45,4),""))</f>
        <v/>
      </c>
      <c r="AF45" s="45" t="str">
        <f t="shared" ref="AF45:AF55" si="30">IF(AA45&lt;&gt;"",$P45,"")</f>
        <v/>
      </c>
      <c r="AG45" s="55"/>
    </row>
    <row r="46" spans="1:33" x14ac:dyDescent="0.25">
      <c r="A46" s="26" t="s">
        <v>28</v>
      </c>
      <c r="B46" s="272">
        <v>192</v>
      </c>
      <c r="C46" s="62" t="s">
        <v>29</v>
      </c>
      <c r="D46" s="62" t="s">
        <v>21</v>
      </c>
      <c r="E46" s="62" t="s">
        <v>98</v>
      </c>
      <c r="F46" s="261" t="s">
        <v>37</v>
      </c>
      <c r="G46" s="236"/>
      <c r="H46" s="236">
        <v>258757</v>
      </c>
      <c r="I46" s="238"/>
      <c r="J46" s="238">
        <v>56.384900000000002</v>
      </c>
      <c r="K46" s="236"/>
      <c r="L46" s="312"/>
      <c r="M46" s="312">
        <v>11586.45</v>
      </c>
      <c r="N46" s="312">
        <v>10503.2</v>
      </c>
      <c r="O46" s="245">
        <f t="shared" si="16"/>
        <v>14567897.920000002</v>
      </c>
      <c r="P46" s="243">
        <f t="shared" ref="P46:P51" si="31">ROUND(18.75%*O46,2)</f>
        <v>2731480.86</v>
      </c>
      <c r="Q46" s="243">
        <f t="shared" si="17"/>
        <v>2185184.69</v>
      </c>
      <c r="R46" s="244">
        <v>0.15</v>
      </c>
      <c r="S46" s="243">
        <f t="shared" si="18"/>
        <v>546296.17000000004</v>
      </c>
      <c r="T46" s="286">
        <v>3.7499999999999999E-2</v>
      </c>
      <c r="U46" s="45">
        <f t="shared" si="19"/>
        <v>258757</v>
      </c>
      <c r="V46" s="45">
        <f t="shared" si="20"/>
        <v>14567897.920000002</v>
      </c>
      <c r="W46" s="84">
        <f t="shared" si="21"/>
        <v>8625.2000000000007</v>
      </c>
      <c r="X46" s="85">
        <f t="shared" si="22"/>
        <v>56.299500000000002</v>
      </c>
      <c r="Y46" s="85">
        <f t="shared" si="23"/>
        <v>10.5562</v>
      </c>
      <c r="Z46" s="45">
        <f t="shared" si="24"/>
        <v>2731480.86</v>
      </c>
      <c r="AA46" s="45" t="str">
        <f t="shared" si="25"/>
        <v/>
      </c>
      <c r="AB46" s="45" t="str">
        <f t="shared" si="26"/>
        <v/>
      </c>
      <c r="AC46" s="84" t="str">
        <f t="shared" si="27"/>
        <v/>
      </c>
      <c r="AD46" s="85" t="str">
        <f t="shared" si="28"/>
        <v/>
      </c>
      <c r="AE46" s="85" t="str">
        <f t="shared" si="29"/>
        <v/>
      </c>
      <c r="AF46" s="45" t="str">
        <f t="shared" si="30"/>
        <v/>
      </c>
      <c r="AG46" s="55"/>
    </row>
    <row r="47" spans="1:33" x14ac:dyDescent="0.25">
      <c r="A47" s="26" t="s">
        <v>28</v>
      </c>
      <c r="B47" s="32">
        <v>8</v>
      </c>
      <c r="C47" s="62" t="s">
        <v>31</v>
      </c>
      <c r="D47" s="62" t="s">
        <v>30</v>
      </c>
      <c r="E47" s="62" t="s">
        <v>101</v>
      </c>
      <c r="F47" s="261" t="s">
        <v>37</v>
      </c>
      <c r="G47" s="312">
        <v>87029</v>
      </c>
      <c r="H47" s="236">
        <v>95302</v>
      </c>
      <c r="I47" s="237">
        <v>51.5364</v>
      </c>
      <c r="J47" s="238">
        <v>55.158299999999997</v>
      </c>
      <c r="K47" s="312"/>
      <c r="L47" s="312"/>
      <c r="M47" s="312"/>
      <c r="N47" s="312">
        <v>12506.51</v>
      </c>
      <c r="O47" s="245">
        <f t="shared" si="16"/>
        <v>9729351.1600000001</v>
      </c>
      <c r="P47" s="243">
        <f t="shared" si="31"/>
        <v>1824253.34</v>
      </c>
      <c r="Q47" s="243">
        <f t="shared" si="17"/>
        <v>1459402.67</v>
      </c>
      <c r="R47" s="244">
        <v>0.15</v>
      </c>
      <c r="S47" s="243">
        <f t="shared" si="18"/>
        <v>364850.67</v>
      </c>
      <c r="T47" s="286">
        <v>3.7499999999999999E-2</v>
      </c>
      <c r="U47" s="45">
        <f t="shared" si="19"/>
        <v>182331</v>
      </c>
      <c r="V47" s="45">
        <f t="shared" si="20"/>
        <v>9729351.1600000001</v>
      </c>
      <c r="W47" s="84">
        <f t="shared" si="21"/>
        <v>6077.7</v>
      </c>
      <c r="X47" s="85">
        <f t="shared" si="22"/>
        <v>53.360900000000001</v>
      </c>
      <c r="Y47" s="85">
        <f t="shared" si="23"/>
        <v>10.0052</v>
      </c>
      <c r="Z47" s="45">
        <f t="shared" si="24"/>
        <v>1824253.34</v>
      </c>
      <c r="AA47" s="45" t="str">
        <f t="shared" si="25"/>
        <v/>
      </c>
      <c r="AB47" s="45" t="str">
        <f t="shared" si="26"/>
        <v/>
      </c>
      <c r="AC47" s="84" t="str">
        <f t="shared" si="27"/>
        <v/>
      </c>
      <c r="AD47" s="85" t="str">
        <f t="shared" si="28"/>
        <v/>
      </c>
      <c r="AE47" s="85" t="str">
        <f t="shared" si="29"/>
        <v/>
      </c>
      <c r="AF47" s="45" t="str">
        <f t="shared" si="30"/>
        <v/>
      </c>
      <c r="AG47" s="55"/>
    </row>
    <row r="48" spans="1:33" x14ac:dyDescent="0.25">
      <c r="A48" s="26" t="s">
        <v>28</v>
      </c>
      <c r="B48" s="27" t="s">
        <v>10</v>
      </c>
      <c r="C48" s="62" t="s">
        <v>31</v>
      </c>
      <c r="D48" s="62" t="s">
        <v>30</v>
      </c>
      <c r="E48" s="62" t="s">
        <v>101</v>
      </c>
      <c r="F48" s="261" t="s">
        <v>37</v>
      </c>
      <c r="G48" s="236"/>
      <c r="H48" s="236"/>
      <c r="I48" s="238"/>
      <c r="J48" s="238"/>
      <c r="K48" s="312"/>
      <c r="L48" s="312"/>
      <c r="M48" s="312"/>
      <c r="N48" s="236">
        <v>4.76</v>
      </c>
      <c r="O48" s="245">
        <f t="shared" si="16"/>
        <v>-4.76</v>
      </c>
      <c r="P48" s="243">
        <f t="shared" si="31"/>
        <v>-0.89</v>
      </c>
      <c r="Q48" s="243">
        <f>ROUND($O48*R48,2)</f>
        <v>-0.71</v>
      </c>
      <c r="R48" s="244">
        <v>0.15</v>
      </c>
      <c r="S48" s="243">
        <f t="shared" si="18"/>
        <v>-0.18</v>
      </c>
      <c r="T48" s="286">
        <v>3.7499999999999999E-2</v>
      </c>
      <c r="U48" s="45">
        <f t="shared" si="19"/>
        <v>0</v>
      </c>
      <c r="V48" s="45">
        <f t="shared" si="20"/>
        <v>-4.76</v>
      </c>
      <c r="W48" s="84">
        <f t="shared" si="21"/>
        <v>0</v>
      </c>
      <c r="X48" s="85">
        <f t="shared" si="22"/>
        <v>0</v>
      </c>
      <c r="Y48" s="85">
        <f t="shared" si="23"/>
        <v>0</v>
      </c>
      <c r="Z48" s="45">
        <f t="shared" si="24"/>
        <v>-0.89</v>
      </c>
      <c r="AA48" s="45" t="str">
        <f t="shared" si="25"/>
        <v/>
      </c>
      <c r="AB48" s="45" t="str">
        <f t="shared" si="26"/>
        <v/>
      </c>
      <c r="AC48" s="84" t="str">
        <f t="shared" si="27"/>
        <v/>
      </c>
      <c r="AD48" s="85" t="str">
        <f t="shared" si="28"/>
        <v/>
      </c>
      <c r="AE48" s="85" t="str">
        <f t="shared" si="29"/>
        <v/>
      </c>
      <c r="AF48" s="45" t="str">
        <f t="shared" si="30"/>
        <v/>
      </c>
      <c r="AG48" s="55"/>
    </row>
    <row r="49" spans="1:33" x14ac:dyDescent="0.25">
      <c r="A49" s="26" t="s">
        <v>28</v>
      </c>
      <c r="B49" s="27" t="s">
        <v>12</v>
      </c>
      <c r="C49" s="62" t="s">
        <v>31</v>
      </c>
      <c r="D49" s="62" t="s">
        <v>30</v>
      </c>
      <c r="E49" s="62" t="s">
        <v>101</v>
      </c>
      <c r="F49" s="262" t="s">
        <v>56</v>
      </c>
      <c r="G49" s="236">
        <v>11653.6795</v>
      </c>
      <c r="H49" s="236">
        <v>45676.720300000001</v>
      </c>
      <c r="I49" s="238">
        <v>3.7418</v>
      </c>
      <c r="J49" s="238">
        <v>3.742</v>
      </c>
      <c r="K49" s="312"/>
      <c r="L49" s="312"/>
      <c r="M49" s="312"/>
      <c r="N49" s="236">
        <v>1170.43</v>
      </c>
      <c r="O49" s="245">
        <f t="shared" si="16"/>
        <v>213357.6</v>
      </c>
      <c r="P49" s="243">
        <f t="shared" si="31"/>
        <v>40004.550000000003</v>
      </c>
      <c r="Q49" s="243">
        <f t="shared" si="17"/>
        <v>8000.91</v>
      </c>
      <c r="R49" s="286">
        <v>3.7499999999999999E-2</v>
      </c>
      <c r="S49" s="243">
        <f t="shared" si="18"/>
        <v>32003.64</v>
      </c>
      <c r="T49" s="244">
        <v>0.15</v>
      </c>
      <c r="U49" s="45" t="str">
        <f t="shared" si="19"/>
        <v/>
      </c>
      <c r="V49" s="45" t="str">
        <f t="shared" si="20"/>
        <v/>
      </c>
      <c r="W49" s="84" t="str">
        <f t="shared" si="21"/>
        <v/>
      </c>
      <c r="X49" s="85" t="str">
        <f t="shared" si="22"/>
        <v/>
      </c>
      <c r="Y49" s="85" t="str">
        <f t="shared" si="23"/>
        <v/>
      </c>
      <c r="Z49" s="45" t="str">
        <f t="shared" si="24"/>
        <v/>
      </c>
      <c r="AA49" s="45">
        <f t="shared" si="25"/>
        <v>57330.399799999999</v>
      </c>
      <c r="AB49" s="45">
        <f t="shared" si="26"/>
        <v>213357.6</v>
      </c>
      <c r="AC49" s="84">
        <f t="shared" si="27"/>
        <v>1911</v>
      </c>
      <c r="AD49" s="85">
        <f t="shared" si="28"/>
        <v>3.7214999999999998</v>
      </c>
      <c r="AE49" s="85">
        <f t="shared" si="29"/>
        <v>0.69779999999999998</v>
      </c>
      <c r="AF49" s="45">
        <f t="shared" si="30"/>
        <v>40004.550000000003</v>
      </c>
      <c r="AG49" s="55"/>
    </row>
    <row r="50" spans="1:33" x14ac:dyDescent="0.25">
      <c r="A50" s="26" t="s">
        <v>28</v>
      </c>
      <c r="B50" s="29" t="s">
        <v>75</v>
      </c>
      <c r="C50" s="62" t="s">
        <v>31</v>
      </c>
      <c r="D50" s="62" t="s">
        <v>30</v>
      </c>
      <c r="E50" s="62" t="s">
        <v>103</v>
      </c>
      <c r="F50" s="261" t="s">
        <v>37</v>
      </c>
      <c r="G50" s="236">
        <v>18290</v>
      </c>
      <c r="H50" s="236">
        <v>18612</v>
      </c>
      <c r="I50" s="238">
        <v>54.8279</v>
      </c>
      <c r="J50" s="238">
        <v>56.978900000000003</v>
      </c>
      <c r="K50" s="312"/>
      <c r="L50" s="312"/>
      <c r="M50" s="312"/>
      <c r="N50" s="312">
        <v>5297.01</v>
      </c>
      <c r="O50" s="245">
        <f t="shared" si="16"/>
        <v>2057996.57</v>
      </c>
      <c r="P50" s="243">
        <f t="shared" si="31"/>
        <v>385874.36</v>
      </c>
      <c r="Q50" s="243">
        <f t="shared" si="17"/>
        <v>77174.87</v>
      </c>
      <c r="R50" s="286">
        <v>3.7499999999999999E-2</v>
      </c>
      <c r="S50" s="243">
        <f t="shared" si="18"/>
        <v>308699.49</v>
      </c>
      <c r="T50" s="244">
        <v>0.15</v>
      </c>
      <c r="U50" s="45">
        <f t="shared" si="19"/>
        <v>36902</v>
      </c>
      <c r="V50" s="45">
        <f t="shared" si="20"/>
        <v>2057996.57</v>
      </c>
      <c r="W50" s="84">
        <f t="shared" si="21"/>
        <v>1230.0999999999999</v>
      </c>
      <c r="X50" s="85">
        <f t="shared" si="22"/>
        <v>55.769199999999998</v>
      </c>
      <c r="Y50" s="85">
        <f t="shared" si="23"/>
        <v>10.4567</v>
      </c>
      <c r="Z50" s="45">
        <f t="shared" si="24"/>
        <v>385874.36</v>
      </c>
      <c r="AA50" s="45" t="str">
        <f t="shared" si="25"/>
        <v/>
      </c>
      <c r="AB50" s="45" t="str">
        <f t="shared" si="26"/>
        <v/>
      </c>
      <c r="AC50" s="84" t="str">
        <f t="shared" si="27"/>
        <v/>
      </c>
      <c r="AD50" s="85" t="str">
        <f t="shared" si="28"/>
        <v/>
      </c>
      <c r="AE50" s="85" t="str">
        <f t="shared" si="29"/>
        <v/>
      </c>
      <c r="AF50" s="45" t="str">
        <f t="shared" si="30"/>
        <v/>
      </c>
      <c r="AG50" s="55"/>
    </row>
    <row r="51" spans="1:33" x14ac:dyDescent="0.25">
      <c r="A51" s="26" t="s">
        <v>28</v>
      </c>
      <c r="B51" s="29" t="s">
        <v>32</v>
      </c>
      <c r="C51" s="62" t="s">
        <v>31</v>
      </c>
      <c r="D51" s="62" t="s">
        <v>30</v>
      </c>
      <c r="E51" s="62" t="s">
        <v>101</v>
      </c>
      <c r="F51" s="261" t="s">
        <v>37</v>
      </c>
      <c r="G51" s="312"/>
      <c r="H51" s="312"/>
      <c r="I51" s="238"/>
      <c r="J51" s="238"/>
      <c r="K51" s="312"/>
      <c r="L51" s="312"/>
      <c r="M51" s="312"/>
      <c r="N51" s="312"/>
      <c r="O51" s="245">
        <f t="shared" si="16"/>
        <v>0</v>
      </c>
      <c r="P51" s="243">
        <f t="shared" si="31"/>
        <v>0</v>
      </c>
      <c r="Q51" s="243">
        <f t="shared" si="17"/>
        <v>0</v>
      </c>
      <c r="R51" s="286">
        <v>3.7499999999999999E-2</v>
      </c>
      <c r="S51" s="243">
        <f t="shared" si="18"/>
        <v>0</v>
      </c>
      <c r="T51" s="244">
        <v>0.15</v>
      </c>
      <c r="U51" s="45">
        <f t="shared" si="19"/>
        <v>0</v>
      </c>
      <c r="V51" s="45">
        <f t="shared" si="20"/>
        <v>0</v>
      </c>
      <c r="W51" s="84">
        <f t="shared" si="21"/>
        <v>0</v>
      </c>
      <c r="X51" s="85">
        <f t="shared" si="22"/>
        <v>0</v>
      </c>
      <c r="Y51" s="85">
        <f t="shared" si="23"/>
        <v>0</v>
      </c>
      <c r="Z51" s="45">
        <f t="shared" si="24"/>
        <v>0</v>
      </c>
      <c r="AA51" s="45" t="str">
        <f t="shared" si="25"/>
        <v/>
      </c>
      <c r="AB51" s="45" t="str">
        <f t="shared" si="26"/>
        <v/>
      </c>
      <c r="AC51" s="84" t="str">
        <f t="shared" si="27"/>
        <v/>
      </c>
      <c r="AD51" s="85" t="str">
        <f t="shared" si="28"/>
        <v/>
      </c>
      <c r="AE51" s="85" t="str">
        <f t="shared" si="29"/>
        <v/>
      </c>
      <c r="AF51" s="45" t="str">
        <f t="shared" si="30"/>
        <v/>
      </c>
      <c r="AG51" s="55"/>
    </row>
    <row r="52" spans="1:33" x14ac:dyDescent="0.25">
      <c r="A52" s="26" t="s">
        <v>28</v>
      </c>
      <c r="B52" s="32">
        <v>102</v>
      </c>
      <c r="C52" s="62" t="s">
        <v>31</v>
      </c>
      <c r="D52" s="62" t="s">
        <v>30</v>
      </c>
      <c r="E52" s="62" t="s">
        <v>101</v>
      </c>
      <c r="F52" s="261" t="s">
        <v>37</v>
      </c>
      <c r="G52" s="236"/>
      <c r="H52" s="236"/>
      <c r="I52" s="238"/>
      <c r="J52" s="238"/>
      <c r="K52" s="236"/>
      <c r="L52" s="312"/>
      <c r="M52" s="312"/>
      <c r="N52" s="236"/>
      <c r="O52" s="245">
        <f>ROUND(G52*I52,2)+ROUND(H52*J52,2)-K52-L52-M52-N52</f>
        <v>0</v>
      </c>
      <c r="P52" s="243">
        <f>ROUND(18.75%*O52,2)</f>
        <v>0</v>
      </c>
      <c r="Q52" s="243">
        <f>P52-S52</f>
        <v>0</v>
      </c>
      <c r="R52" s="244">
        <v>0.15</v>
      </c>
      <c r="S52" s="243">
        <f>ROUND($O52*T52,2)</f>
        <v>0</v>
      </c>
      <c r="T52" s="286">
        <v>3.7499999999999999E-2</v>
      </c>
      <c r="U52" s="45">
        <f>IF($F52&amp;"/Día"=W$9,SUM($G52:$H52),"")</f>
        <v>0</v>
      </c>
      <c r="V52" s="45">
        <f>IF(U52&lt;&gt;"",$O52,"")</f>
        <v>0</v>
      </c>
      <c r="W52" s="84">
        <f>IF($F52&amp;"/Día"=W$9,ROUND(U52/$W$1,1),"")</f>
        <v>0</v>
      </c>
      <c r="X52" s="85">
        <f>IF(U52=0,0,IF($F52&amp;"/Día"=W$9,ROUND(V52/U52,4),""))</f>
        <v>0</v>
      </c>
      <c r="Y52" s="85">
        <f>IF(U52=0,0,IF($F52&amp;"/Día"=W$9,ROUND(Z52/U52,4),""))</f>
        <v>0</v>
      </c>
      <c r="Z52" s="45">
        <f>IF(U52&lt;&gt;"",$P52,"")</f>
        <v>0</v>
      </c>
      <c r="AA52" s="45" t="str">
        <f>IF($F52&amp;"/Día"=AC$9,SUM($G52:$H52),"")</f>
        <v/>
      </c>
      <c r="AB52" s="45" t="str">
        <f>IF(AA52&lt;&gt;"",$O52,"")</f>
        <v/>
      </c>
      <c r="AC52" s="84" t="str">
        <f>IF($F52&amp;"/Día"=AC$9,ROUND(AA52/$W$1,1),"")</f>
        <v/>
      </c>
      <c r="AD52" s="85" t="str">
        <f>IF(AA52=0,0,IF($F52&amp;"/Día"=AC$9,ROUND(AB52/AA52,4),""))</f>
        <v/>
      </c>
      <c r="AE52" s="85" t="str">
        <f>IF(AA52=0,0,IF($F52&amp;"/Día"=AC$9,ROUND(AF52/AA52,4),""))</f>
        <v/>
      </c>
      <c r="AF52" s="45" t="str">
        <f>IF(AA52&lt;&gt;"",$P52,"")</f>
        <v/>
      </c>
      <c r="AG52" s="55"/>
    </row>
    <row r="53" spans="1:33" x14ac:dyDescent="0.25">
      <c r="A53" s="26" t="s">
        <v>28</v>
      </c>
      <c r="B53" s="32">
        <v>95</v>
      </c>
      <c r="C53" s="62" t="s">
        <v>31</v>
      </c>
      <c r="D53" s="62" t="s">
        <v>30</v>
      </c>
      <c r="E53" s="62" t="s">
        <v>101</v>
      </c>
      <c r="F53" s="261" t="s">
        <v>37</v>
      </c>
      <c r="G53" s="236"/>
      <c r="H53" s="236"/>
      <c r="I53" s="238"/>
      <c r="J53" s="238"/>
      <c r="K53" s="236"/>
      <c r="L53" s="312"/>
      <c r="M53" s="312"/>
      <c r="N53" s="236"/>
      <c r="O53" s="245">
        <f>ROUND(G53*I53,2)+ROUND(H53*J53,2)-K53-L53-M53-N53</f>
        <v>0</v>
      </c>
      <c r="P53" s="243">
        <f>ROUND(18.75%*O53,2)</f>
        <v>0</v>
      </c>
      <c r="Q53" s="243">
        <f>P53-S53</f>
        <v>0</v>
      </c>
      <c r="R53" s="244">
        <v>0.15</v>
      </c>
      <c r="S53" s="243">
        <f>ROUND($O53*T53,2)</f>
        <v>0</v>
      </c>
      <c r="T53" s="286">
        <v>3.7499999999999999E-2</v>
      </c>
      <c r="U53" s="45">
        <f>IF($F53&amp;"/Día"=W$9,SUM($G53:$H53),"")</f>
        <v>0</v>
      </c>
      <c r="V53" s="45">
        <f>IF(U53&lt;&gt;"",$O53,"")</f>
        <v>0</v>
      </c>
      <c r="W53" s="84">
        <f>IF($F53&amp;"/Día"=W$9,ROUND(U53/$W$1,1),"")</f>
        <v>0</v>
      </c>
      <c r="X53" s="85">
        <f>IF(U53=0,0,IF($F53&amp;"/Día"=W$9,ROUND(V53/U53,4),""))</f>
        <v>0</v>
      </c>
      <c r="Y53" s="85">
        <f>IF(U53=0,0,IF($F53&amp;"/Día"=W$9,ROUND(Z53/U53,4),""))</f>
        <v>0</v>
      </c>
      <c r="Z53" s="45">
        <f>IF(U53&lt;&gt;"",$P53,"")</f>
        <v>0</v>
      </c>
      <c r="AA53" s="45" t="str">
        <f>IF($F53&amp;"/Día"=AC$9,SUM($G53:$H53),"")</f>
        <v/>
      </c>
      <c r="AB53" s="45" t="str">
        <f>IF(AA53&lt;&gt;"",$O53,"")</f>
        <v/>
      </c>
      <c r="AC53" s="84" t="str">
        <f>IF($F53&amp;"/Día"=AC$9,ROUND(AA53/$W$1,1),"")</f>
        <v/>
      </c>
      <c r="AD53" s="85" t="str">
        <f>IF(AA53=0,0,IF($F53&amp;"/Día"=AC$9,ROUND(AB53/AA53,4),""))</f>
        <v/>
      </c>
      <c r="AE53" s="85" t="str">
        <f>IF(AA53=0,0,IF($F53&amp;"/Día"=AC$9,ROUND(AF53/AA53,4),""))</f>
        <v/>
      </c>
      <c r="AF53" s="45" t="str">
        <f>IF(AA53&lt;&gt;"",$P53,"")</f>
        <v/>
      </c>
      <c r="AG53" s="55"/>
    </row>
    <row r="54" spans="1:33" x14ac:dyDescent="0.25">
      <c r="A54" s="26" t="s">
        <v>28</v>
      </c>
      <c r="B54" s="302">
        <v>67</v>
      </c>
      <c r="C54" s="62" t="s">
        <v>31</v>
      </c>
      <c r="D54" s="62" t="s">
        <v>30</v>
      </c>
      <c r="E54" s="62" t="s">
        <v>101</v>
      </c>
      <c r="F54" s="261" t="s">
        <v>37</v>
      </c>
      <c r="G54" s="236"/>
      <c r="H54" s="236"/>
      <c r="I54" s="238"/>
      <c r="J54" s="238"/>
      <c r="K54" s="236"/>
      <c r="L54" s="312"/>
      <c r="M54" s="312"/>
      <c r="N54" s="236"/>
      <c r="O54" s="245">
        <f>ROUND(G54*I54,2)+ROUND(H54*J54,2)-K54-L54-M54-N54</f>
        <v>0</v>
      </c>
      <c r="P54" s="243">
        <f>ROUND(18.75%*O54,2)</f>
        <v>0</v>
      </c>
      <c r="Q54" s="243">
        <f>P54-S54</f>
        <v>0</v>
      </c>
      <c r="R54" s="244">
        <v>0.15</v>
      </c>
      <c r="S54" s="243">
        <f>ROUND($O54*T54,2)</f>
        <v>0</v>
      </c>
      <c r="T54" s="286">
        <v>3.7499999999999999E-2</v>
      </c>
      <c r="U54" s="45">
        <f>IF($F54&amp;"/Día"=W$9,SUM($G54:$H54),"")</f>
        <v>0</v>
      </c>
      <c r="V54" s="45">
        <f>IF(U54&lt;&gt;"",$O54,"")</f>
        <v>0</v>
      </c>
      <c r="W54" s="84">
        <f>IF($F54&amp;"/Día"=W$9,ROUND(U54/$W$1,1),"")</f>
        <v>0</v>
      </c>
      <c r="X54" s="85">
        <f>IF(U54=0,0,IF($F54&amp;"/Día"=W$9,ROUND(V54/U54,4),""))</f>
        <v>0</v>
      </c>
      <c r="Y54" s="85">
        <f>IF(U54=0,0,IF($F54&amp;"/Día"=W$9,ROUND(Z54/U54,4),""))</f>
        <v>0</v>
      </c>
      <c r="Z54" s="45">
        <f>IF(U54&lt;&gt;"",$P54,"")</f>
        <v>0</v>
      </c>
      <c r="AA54" s="45" t="str">
        <f>IF($F54&amp;"/Día"=AC$9,SUM($G54:$H54),"")</f>
        <v/>
      </c>
      <c r="AB54" s="45" t="str">
        <f>IF(AA54&lt;&gt;"",$O54,"")</f>
        <v/>
      </c>
      <c r="AC54" s="84" t="str">
        <f>IF($F54&amp;"/Día"=AC$9,ROUND(AA54/$W$1,1),"")</f>
        <v/>
      </c>
      <c r="AD54" s="85" t="str">
        <f>IF(AA54=0,0,IF($F54&amp;"/Día"=AC$9,ROUND(AB54/AA54,4),""))</f>
        <v/>
      </c>
      <c r="AE54" s="85" t="str">
        <f>IF(AA54=0,0,IF($F54&amp;"/Día"=AC$9,ROUND(AF54/AA54,4),""))</f>
        <v/>
      </c>
      <c r="AF54" s="45" t="str">
        <f>IF(AA54&lt;&gt;"",$P54,"")</f>
        <v/>
      </c>
      <c r="AG54" s="55"/>
    </row>
    <row r="55" spans="1:33" x14ac:dyDescent="0.25">
      <c r="A55" s="21" t="s">
        <v>28</v>
      </c>
      <c r="B55" s="33" t="s">
        <v>54</v>
      </c>
      <c r="C55" s="61"/>
      <c r="D55" s="31"/>
      <c r="E55" s="31"/>
      <c r="F55" s="263"/>
      <c r="G55" s="312"/>
      <c r="H55" s="312"/>
      <c r="I55" s="237"/>
      <c r="J55" s="237"/>
      <c r="K55" s="312"/>
      <c r="L55" s="312"/>
      <c r="M55" s="312"/>
      <c r="N55" s="312"/>
      <c r="O55" s="312">
        <f>O447</f>
        <v>172254.86</v>
      </c>
      <c r="P55" s="312">
        <f>P447</f>
        <v>32297.79</v>
      </c>
      <c r="Q55" s="312">
        <f>Q447</f>
        <v>25838.23</v>
      </c>
      <c r="R55" s="244"/>
      <c r="S55" s="312">
        <f>S447</f>
        <v>6459.5599999999995</v>
      </c>
      <c r="T55" s="244"/>
      <c r="U55" s="45" t="str">
        <f t="shared" si="19"/>
        <v/>
      </c>
      <c r="V55" s="45" t="str">
        <f t="shared" si="20"/>
        <v/>
      </c>
      <c r="W55" s="84" t="str">
        <f t="shared" si="21"/>
        <v/>
      </c>
      <c r="X55" s="85" t="str">
        <f t="shared" si="22"/>
        <v/>
      </c>
      <c r="Y55" s="85" t="str">
        <f t="shared" si="23"/>
        <v/>
      </c>
      <c r="Z55" s="45" t="str">
        <f t="shared" si="24"/>
        <v/>
      </c>
      <c r="AA55" s="45" t="str">
        <f t="shared" si="25"/>
        <v/>
      </c>
      <c r="AB55" s="45" t="str">
        <f t="shared" si="26"/>
        <v/>
      </c>
      <c r="AC55" s="84" t="str">
        <f t="shared" si="27"/>
        <v/>
      </c>
      <c r="AD55" s="85" t="str">
        <f t="shared" si="28"/>
        <v/>
      </c>
      <c r="AE55" s="85" t="str">
        <f t="shared" si="29"/>
        <v/>
      </c>
      <c r="AF55" s="45" t="str">
        <f t="shared" si="30"/>
        <v/>
      </c>
      <c r="AG55" s="55"/>
    </row>
    <row r="56" spans="1:33" x14ac:dyDescent="0.25">
      <c r="A56" s="34"/>
      <c r="B56" s="165" t="s">
        <v>108</v>
      </c>
      <c r="C56" s="35" t="str">
        <f>TEXT(A$44,)&amp;" US$"</f>
        <v>Loreto / Ucayali US$</v>
      </c>
      <c r="D56" s="22"/>
      <c r="E56" s="22"/>
      <c r="F56" s="279"/>
      <c r="G56" s="277"/>
      <c r="H56" s="277"/>
      <c r="I56" s="278"/>
      <c r="J56" s="265"/>
      <c r="K56" s="264"/>
      <c r="L56" s="264"/>
      <c r="M56" s="264"/>
      <c r="N56" s="249"/>
      <c r="O56" s="249">
        <f>SUM(O45:O55)</f>
        <v>26740849.629999999</v>
      </c>
      <c r="P56" s="250">
        <f>SUM(P45:P55)</f>
        <v>5013909.3100000005</v>
      </c>
      <c r="Q56" s="250">
        <f>SUM(Q45:Q55)</f>
        <v>3755600.1</v>
      </c>
      <c r="R56" s="266"/>
      <c r="S56" s="250">
        <f>SUM(S45:S55)</f>
        <v>1258309.21</v>
      </c>
      <c r="T56" s="252"/>
      <c r="U56" s="86">
        <f>SUM(U45:U55)</f>
        <v>477990</v>
      </c>
      <c r="V56" s="86">
        <f>SUM(V45:V55)</f>
        <v>26355237.169999998</v>
      </c>
      <c r="W56" s="87">
        <f>SUM(W45:W55)</f>
        <v>15933.000000000002</v>
      </c>
      <c r="X56" s="88">
        <f>ROUND(V56/U56,4)</f>
        <v>55.137599999999999</v>
      </c>
      <c r="Y56" s="88">
        <f>ROUND(Z56/U56,4)</f>
        <v>10.3383</v>
      </c>
      <c r="Z56" s="86">
        <f>SUM(Z45:Z55)</f>
        <v>4941606.9700000007</v>
      </c>
      <c r="AA56" s="86">
        <f>SUM(AA45:AA55)</f>
        <v>57330.399799999999</v>
      </c>
      <c r="AB56" s="86">
        <f>SUM(AB45:AB55)</f>
        <v>213357.6</v>
      </c>
      <c r="AC56" s="87">
        <f>SUM(AC45:AC55)</f>
        <v>1911</v>
      </c>
      <c r="AD56" s="88">
        <f>ROUND(AB56/AA56,4)</f>
        <v>3.7214999999999998</v>
      </c>
      <c r="AE56" s="88">
        <f>ROUND(AF56/AA56,4)</f>
        <v>0.69779999999999998</v>
      </c>
      <c r="AF56" s="86">
        <f>SUM(AF45:AF55)</f>
        <v>40004.550000000003</v>
      </c>
      <c r="AG56" s="86">
        <f>P56-Z56-AF56</f>
        <v>32297.789999999848</v>
      </c>
    </row>
    <row r="57" spans="1:33" x14ac:dyDescent="0.25">
      <c r="A57" s="157"/>
      <c r="B57" s="158"/>
      <c r="C57" s="35" t="str">
        <f>TEXT(A$44,)&amp;" S/."</f>
        <v>Loreto / Ucayali S/.</v>
      </c>
      <c r="D57" s="114"/>
      <c r="E57" s="114"/>
      <c r="F57" s="157"/>
      <c r="G57" s="227"/>
      <c r="H57" s="227"/>
      <c r="I57" s="224"/>
      <c r="J57" s="224"/>
      <c r="K57" s="227"/>
      <c r="L57" s="227"/>
      <c r="M57" s="227"/>
      <c r="N57" s="227"/>
      <c r="O57" s="230"/>
      <c r="P57" s="231">
        <f>ROUND($F$1*P56,2)</f>
        <v>0</v>
      </c>
      <c r="Q57" s="231">
        <f>ROUND($F$1*Q56,2)</f>
        <v>0</v>
      </c>
      <c r="R57" s="172"/>
      <c r="S57" s="231">
        <f>ROUND($F$1*S56,2)</f>
        <v>0</v>
      </c>
      <c r="T57" s="160"/>
      <c r="U57" s="161"/>
      <c r="V57" s="161"/>
      <c r="W57" s="162"/>
      <c r="X57" s="163"/>
      <c r="Y57" s="163"/>
      <c r="Z57" s="161"/>
      <c r="AA57" s="161"/>
      <c r="AB57" s="161"/>
      <c r="AC57" s="162"/>
      <c r="AD57" s="163"/>
      <c r="AE57" s="163"/>
      <c r="AF57" s="161"/>
      <c r="AG57" s="161"/>
    </row>
    <row r="58" spans="1:33" x14ac:dyDescent="0.25">
      <c r="A58" s="313" t="s">
        <v>164</v>
      </c>
      <c r="B58" s="19"/>
      <c r="C58" s="19"/>
      <c r="D58" s="19"/>
      <c r="E58" s="24"/>
      <c r="F58" s="313"/>
      <c r="G58" s="225"/>
      <c r="H58" s="226"/>
      <c r="I58" s="222"/>
      <c r="J58" s="223"/>
      <c r="K58" s="225"/>
      <c r="L58" s="225"/>
      <c r="M58" s="225"/>
      <c r="N58" s="225"/>
      <c r="O58" s="225"/>
      <c r="P58" s="233" t="s">
        <v>166</v>
      </c>
      <c r="Q58" s="233" t="s">
        <v>164</v>
      </c>
      <c r="R58" s="182"/>
      <c r="S58" s="232"/>
      <c r="T58" s="193"/>
      <c r="U58" s="161"/>
      <c r="V58" s="161"/>
      <c r="W58" s="162"/>
      <c r="X58" s="163"/>
      <c r="Y58" s="163"/>
      <c r="Z58" s="161"/>
      <c r="AA58" s="161"/>
      <c r="AB58" s="161"/>
      <c r="AC58" s="162"/>
      <c r="AD58" s="163"/>
      <c r="AE58" s="163"/>
      <c r="AF58" s="161"/>
      <c r="AG58" s="161"/>
    </row>
    <row r="59" spans="1:33" x14ac:dyDescent="0.25">
      <c r="A59" s="26" t="s">
        <v>28</v>
      </c>
      <c r="B59" s="27" t="s">
        <v>163</v>
      </c>
      <c r="C59" s="62" t="s">
        <v>31</v>
      </c>
      <c r="D59" s="62" t="s">
        <v>30</v>
      </c>
      <c r="E59" s="62" t="s">
        <v>161</v>
      </c>
      <c r="F59" s="261" t="s">
        <v>37</v>
      </c>
      <c r="G59" s="312">
        <v>704947</v>
      </c>
      <c r="H59" s="312">
        <v>757358</v>
      </c>
      <c r="I59" s="237">
        <v>40.642099999999999</v>
      </c>
      <c r="J59" s="237">
        <v>44.033299999999997</v>
      </c>
      <c r="K59" s="312"/>
      <c r="L59" s="312"/>
      <c r="M59" s="312"/>
      <c r="N59" s="312"/>
      <c r="O59" s="245">
        <f>G59*I59+H59*J59</f>
        <v>61999498.490099996</v>
      </c>
      <c r="P59" s="243">
        <f>ROUND(37.24%*(G59*I59+H59*J59),2)</f>
        <v>23088613.239999998</v>
      </c>
      <c r="Q59" s="243">
        <f t="shared" ref="Q59:Q67" si="32">ROUND(R59*P59,2)</f>
        <v>11544306.619999999</v>
      </c>
      <c r="R59" s="244">
        <v>0.5</v>
      </c>
      <c r="S59" s="243"/>
      <c r="T59" s="286"/>
      <c r="U59" s="45">
        <f t="shared" ref="U59:U68" si="33">IF($F59&amp;"/Día"=W$9,SUM($G59:$H59),"")</f>
        <v>1462305</v>
      </c>
      <c r="V59" s="45">
        <f t="shared" ref="V59:V68" si="34">IF(U59&lt;&gt;"",$O59,"")</f>
        <v>61999498.490099996</v>
      </c>
      <c r="W59" s="84">
        <f t="shared" ref="W59:W68" si="35">IF($F59&amp;"/Día"=W$9,ROUND(U59/$W$1,1),"")</f>
        <v>48743.5</v>
      </c>
      <c r="X59" s="85">
        <f t="shared" ref="X59:X68" si="36">IF(U59=0,0,IF($F59&amp;"/Día"=W$9,ROUND(V59/U59,4),""))</f>
        <v>42.398499999999999</v>
      </c>
      <c r="Y59" s="85">
        <f t="shared" ref="Y59:Y68" si="37">IF(U59=0,0,IF($F59&amp;"/Día"=W$9,ROUND(Z59/U59,4),""))</f>
        <v>7.8945999999999996</v>
      </c>
      <c r="Z59" s="45">
        <f t="shared" ref="Z59:Z68" si="38">IF(U59&lt;&gt;"",$Q59,"")</f>
        <v>11544306.619999999</v>
      </c>
      <c r="AA59" s="45" t="str">
        <f t="shared" ref="AA59:AA68" si="39">IF($F59&amp;"/Día"=AC$9,SUM($G59:$H59),"")</f>
        <v/>
      </c>
      <c r="AB59" s="45" t="str">
        <f t="shared" ref="AB59:AB68" si="40">IF(AA59&lt;&gt;"",$O59,"")</f>
        <v/>
      </c>
      <c r="AC59" s="84" t="str">
        <f t="shared" ref="AC59:AC68" si="41">IF($F59&amp;"/Día"=AC$9,ROUND(AA59/$W$1,1),"")</f>
        <v/>
      </c>
      <c r="AD59" s="85" t="str">
        <f t="shared" ref="AD59:AD68" si="42">IF(AA59=0,0,IF($F59&amp;"/Día"=AC$9,ROUND(AB59/AA59,4),""))</f>
        <v/>
      </c>
      <c r="AE59" s="85" t="str">
        <f t="shared" ref="AE59:AE68" si="43">IF(AA59=0,0,IF($F59&amp;"/Día"=AC$9,ROUND(AF59/AA59,4),""))</f>
        <v/>
      </c>
      <c r="AF59" s="45" t="str">
        <f t="shared" ref="AF59:AF68" si="44">IF(AA59&lt;&gt;"",$Q59,"")</f>
        <v/>
      </c>
      <c r="AG59" s="161"/>
    </row>
    <row r="60" spans="1:33" x14ac:dyDescent="0.25">
      <c r="A60" s="26" t="s">
        <v>28</v>
      </c>
      <c r="B60" s="27" t="s">
        <v>162</v>
      </c>
      <c r="C60" s="62" t="s">
        <v>31</v>
      </c>
      <c r="D60" s="62" t="s">
        <v>30</v>
      </c>
      <c r="E60" s="62" t="s">
        <v>161</v>
      </c>
      <c r="F60" s="262" t="s">
        <v>56</v>
      </c>
      <c r="G60" s="312">
        <v>7520606.9585999995</v>
      </c>
      <c r="H60" s="312">
        <v>8539048.6511000004</v>
      </c>
      <c r="I60" s="237">
        <v>2.0621</v>
      </c>
      <c r="J60" s="237">
        <v>2.0621</v>
      </c>
      <c r="K60" s="312"/>
      <c r="L60" s="312"/>
      <c r="M60" s="312"/>
      <c r="N60" s="312"/>
      <c r="O60" s="245">
        <f>G60*I60+H60*J60</f>
        <v>33116615.832762372</v>
      </c>
      <c r="P60" s="243">
        <f>ROUND(37.24%*(G60*I60+H60*J60),2)</f>
        <v>12332627.74</v>
      </c>
      <c r="Q60" s="243">
        <f t="shared" si="32"/>
        <v>6166313.8700000001</v>
      </c>
      <c r="R60" s="244">
        <v>0.5</v>
      </c>
      <c r="S60" s="243"/>
      <c r="T60" s="244"/>
      <c r="U60" s="45" t="str">
        <f t="shared" si="33"/>
        <v/>
      </c>
      <c r="V60" s="45" t="str">
        <f t="shared" si="34"/>
        <v/>
      </c>
      <c r="W60" s="84" t="str">
        <f t="shared" si="35"/>
        <v/>
      </c>
      <c r="X60" s="85" t="str">
        <f t="shared" si="36"/>
        <v/>
      </c>
      <c r="Y60" s="85" t="str">
        <f t="shared" si="37"/>
        <v/>
      </c>
      <c r="Z60" s="45" t="str">
        <f t="shared" si="38"/>
        <v/>
      </c>
      <c r="AA60" s="45">
        <f t="shared" si="39"/>
        <v>16059655.6097</v>
      </c>
      <c r="AB60" s="45">
        <f t="shared" si="40"/>
        <v>33116615.832762372</v>
      </c>
      <c r="AC60" s="84">
        <f t="shared" si="41"/>
        <v>535321.9</v>
      </c>
      <c r="AD60" s="85">
        <f t="shared" si="42"/>
        <v>2.0621</v>
      </c>
      <c r="AE60" s="85">
        <f t="shared" si="43"/>
        <v>0.38400000000000001</v>
      </c>
      <c r="AF60" s="45">
        <f t="shared" si="44"/>
        <v>6166313.8700000001</v>
      </c>
      <c r="AG60" s="161"/>
    </row>
    <row r="61" spans="1:33" x14ac:dyDescent="0.25">
      <c r="A61" s="26" t="s">
        <v>28</v>
      </c>
      <c r="B61" s="27" t="s">
        <v>181</v>
      </c>
      <c r="C61" s="62" t="s">
        <v>31</v>
      </c>
      <c r="D61" s="62" t="s">
        <v>30</v>
      </c>
      <c r="E61" s="62" t="s">
        <v>161</v>
      </c>
      <c r="F61" s="262" t="s">
        <v>56</v>
      </c>
      <c r="G61" s="312">
        <v>30736.4781</v>
      </c>
      <c r="H61" s="312">
        <v>31362.119299999998</v>
      </c>
      <c r="I61" s="237">
        <v>2.8683999999999998</v>
      </c>
      <c r="J61" s="237">
        <v>2.8683999999999998</v>
      </c>
      <c r="K61" s="312"/>
      <c r="L61" s="312"/>
      <c r="M61" s="312"/>
      <c r="N61" s="312"/>
      <c r="O61" s="245">
        <f t="shared" ref="O61:O67" si="45">G61*I61+H61*J61</f>
        <v>178123.61678215998</v>
      </c>
      <c r="P61" s="243">
        <f>ROUND(37.24%*O61,2)</f>
        <v>66333.23</v>
      </c>
      <c r="Q61" s="243">
        <f t="shared" si="32"/>
        <v>33166.620000000003</v>
      </c>
      <c r="R61" s="244">
        <v>0.5</v>
      </c>
      <c r="S61" s="243"/>
      <c r="T61" s="244"/>
      <c r="U61" s="45" t="str">
        <f>IF($F61&amp;"/Día"=W$9,SUM($G61:$H61),"")</f>
        <v/>
      </c>
      <c r="V61" s="45" t="str">
        <f>IF(U61&lt;&gt;"",$O61,"")</f>
        <v/>
      </c>
      <c r="W61" s="84" t="str">
        <f>IF($F61&amp;"/Día"=W$9,ROUND(U61/$W$1,1),"")</f>
        <v/>
      </c>
      <c r="X61" s="85" t="str">
        <f>IF(U61=0,0,IF($F61&amp;"/Día"=W$9,ROUND(V61/U61,4),""))</f>
        <v/>
      </c>
      <c r="Y61" s="85" t="str">
        <f>IF(U61=0,0,IF($F61&amp;"/Día"=W$9,ROUND(Z61/U61,4),""))</f>
        <v/>
      </c>
      <c r="Z61" s="45" t="str">
        <f>IF(U61&lt;&gt;"",$Q61,"")</f>
        <v/>
      </c>
      <c r="AA61" s="45">
        <f t="shared" si="39"/>
        <v>62098.597399999999</v>
      </c>
      <c r="AB61" s="45">
        <f>IF(AA61&lt;&gt;"",$O61,"")</f>
        <v>178123.61678215998</v>
      </c>
      <c r="AC61" s="84">
        <f t="shared" si="41"/>
        <v>2070</v>
      </c>
      <c r="AD61" s="85">
        <f>IF(AA61=0,0,IF($F61&amp;"/Día"=AC$9,ROUND(AB61/AA61,4),""))</f>
        <v>2.8683999999999998</v>
      </c>
      <c r="AE61" s="85">
        <f t="shared" si="43"/>
        <v>0.53410000000000002</v>
      </c>
      <c r="AF61" s="45">
        <f t="shared" si="44"/>
        <v>33166.620000000003</v>
      </c>
      <c r="AG61" s="161"/>
    </row>
    <row r="62" spans="1:33" ht="12" customHeight="1" x14ac:dyDescent="0.25">
      <c r="A62" s="535" t="s">
        <v>28</v>
      </c>
      <c r="B62" s="534" t="s">
        <v>182</v>
      </c>
      <c r="C62" s="62" t="s">
        <v>31</v>
      </c>
      <c r="D62" s="62" t="s">
        <v>30</v>
      </c>
      <c r="E62" s="62" t="s">
        <v>161</v>
      </c>
      <c r="F62" s="262" t="s">
        <v>56</v>
      </c>
      <c r="G62" s="312">
        <v>878493.53659999999</v>
      </c>
      <c r="H62" s="312">
        <v>926493.38199999998</v>
      </c>
      <c r="I62" s="237">
        <v>1.821</v>
      </c>
      <c r="J62" s="237">
        <v>2.218</v>
      </c>
      <c r="K62" s="312"/>
      <c r="L62" s="312"/>
      <c r="M62" s="312"/>
      <c r="N62" s="312"/>
      <c r="O62" s="245">
        <f t="shared" si="45"/>
        <v>3654699.0514246002</v>
      </c>
      <c r="P62" s="243">
        <f>ROUND(38%*G62*I62,2)+ROUND(38%*H62*J62,2)</f>
        <v>1388785.6400000001</v>
      </c>
      <c r="Q62" s="243">
        <f t="shared" si="32"/>
        <v>694392.82</v>
      </c>
      <c r="R62" s="314">
        <v>0.5</v>
      </c>
      <c r="S62" s="243"/>
      <c r="T62" s="244"/>
      <c r="U62" s="45" t="str">
        <f>IF($F62&amp;"/Día"=W$9,SUM($G62:$H62),"")</f>
        <v/>
      </c>
      <c r="V62" s="45" t="str">
        <f>IF(U62&lt;&gt;"",$O62,"")</f>
        <v/>
      </c>
      <c r="W62" s="84" t="str">
        <f>IF($F62&amp;"/Día"=W$9,ROUND(U62/$W$1,1),"")</f>
        <v/>
      </c>
      <c r="X62" s="85" t="str">
        <f>IF(U62=0,0,IF($F62&amp;"/Día"=W$9,ROUND(V62/U62,4),""))</f>
        <v/>
      </c>
      <c r="Y62" s="85" t="str">
        <f>IF(U62=0,0,IF($F62&amp;"/Día"=W$9,ROUND(Z62/U62,4),""))</f>
        <v/>
      </c>
      <c r="Z62" s="45" t="str">
        <f>IF(U62&lt;&gt;"",$Q62,"")</f>
        <v/>
      </c>
      <c r="AA62" s="45">
        <f t="shared" si="39"/>
        <v>1804986.9186</v>
      </c>
      <c r="AB62" s="45">
        <f>IF(AA62&lt;&gt;"",$O62,"")</f>
        <v>3654699.0514246002</v>
      </c>
      <c r="AC62" s="84">
        <f t="shared" si="41"/>
        <v>60166.2</v>
      </c>
      <c r="AD62" s="85">
        <f>IF(AA62=0,0,IF($F62&amp;"/Día"=AC$9,ROUND(AB62/AA62,4),""))</f>
        <v>2.0247999999999999</v>
      </c>
      <c r="AE62" s="85">
        <f t="shared" si="43"/>
        <v>0.38469999999999999</v>
      </c>
      <c r="AF62" s="45">
        <f t="shared" si="44"/>
        <v>694392.82</v>
      </c>
      <c r="AG62" s="161"/>
    </row>
    <row r="63" spans="1:33" x14ac:dyDescent="0.25">
      <c r="A63" s="26" t="s">
        <v>28</v>
      </c>
      <c r="B63" s="29" t="s">
        <v>171</v>
      </c>
      <c r="C63" s="62" t="s">
        <v>31</v>
      </c>
      <c r="D63" s="62" t="s">
        <v>30</v>
      </c>
      <c r="E63" s="62" t="s">
        <v>161</v>
      </c>
      <c r="F63" s="261" t="s">
        <v>37</v>
      </c>
      <c r="G63" s="312">
        <v>419837</v>
      </c>
      <c r="H63" s="312">
        <v>448419</v>
      </c>
      <c r="I63" s="237">
        <v>40.641500000000001</v>
      </c>
      <c r="J63" s="237">
        <v>44.032699999999998</v>
      </c>
      <c r="K63" s="312"/>
      <c r="L63" s="312"/>
      <c r="M63" s="312"/>
      <c r="N63" s="312"/>
      <c r="O63" s="245">
        <f t="shared" si="45"/>
        <v>36807904.7368</v>
      </c>
      <c r="P63" s="243">
        <f>ROUND(40%*G63*I63,2)+ROUND(40%*H63*J63,2)</f>
        <v>14723161.890000001</v>
      </c>
      <c r="Q63" s="243">
        <f t="shared" si="32"/>
        <v>7361580.9500000002</v>
      </c>
      <c r="R63" s="244">
        <v>0.5</v>
      </c>
      <c r="S63" s="243"/>
      <c r="T63" s="244"/>
      <c r="U63" s="45">
        <f t="shared" si="33"/>
        <v>868256</v>
      </c>
      <c r="V63" s="45">
        <f t="shared" si="34"/>
        <v>36807904.7368</v>
      </c>
      <c r="W63" s="84">
        <f t="shared" si="35"/>
        <v>28941.9</v>
      </c>
      <c r="X63" s="85">
        <f t="shared" si="36"/>
        <v>42.392899999999997</v>
      </c>
      <c r="Y63" s="85">
        <f t="shared" si="37"/>
        <v>8.4786000000000001</v>
      </c>
      <c r="Z63" s="45">
        <f t="shared" si="38"/>
        <v>7361580.9500000002</v>
      </c>
      <c r="AA63" s="45" t="str">
        <f t="shared" si="39"/>
        <v/>
      </c>
      <c r="AB63" s="45" t="str">
        <f t="shared" si="40"/>
        <v/>
      </c>
      <c r="AC63" s="84" t="str">
        <f t="shared" si="41"/>
        <v/>
      </c>
      <c r="AD63" s="85" t="str">
        <f t="shared" si="42"/>
        <v/>
      </c>
      <c r="AE63" s="85" t="str">
        <f t="shared" si="43"/>
        <v/>
      </c>
      <c r="AF63" s="45" t="str">
        <f t="shared" si="44"/>
        <v/>
      </c>
      <c r="AG63" s="161"/>
    </row>
    <row r="64" spans="1:33" x14ac:dyDescent="0.25">
      <c r="A64" s="26" t="s">
        <v>28</v>
      </c>
      <c r="B64" s="534" t="s">
        <v>172</v>
      </c>
      <c r="C64" s="62" t="s">
        <v>31</v>
      </c>
      <c r="D64" s="62" t="s">
        <v>30</v>
      </c>
      <c r="E64" s="62" t="s">
        <v>161</v>
      </c>
      <c r="F64" s="261" t="s">
        <v>56</v>
      </c>
      <c r="G64" s="312">
        <v>6224075.9209000003</v>
      </c>
      <c r="H64" s="312">
        <v>6695796.3998999996</v>
      </c>
      <c r="I64" s="237">
        <v>1.821</v>
      </c>
      <c r="J64" s="237">
        <v>2.218</v>
      </c>
      <c r="K64" s="312"/>
      <c r="L64" s="312"/>
      <c r="M64" s="312"/>
      <c r="N64" s="312"/>
      <c r="O64" s="245">
        <f t="shared" si="45"/>
        <v>26185318.666937098</v>
      </c>
      <c r="P64" s="243">
        <f>ROUND(38%*G64*I64,2)+ROUND(38%*H64*J64,2)</f>
        <v>9950421.0999999996</v>
      </c>
      <c r="Q64" s="243">
        <f t="shared" si="32"/>
        <v>4975210.55</v>
      </c>
      <c r="R64" s="244">
        <v>0.5</v>
      </c>
      <c r="S64" s="243"/>
      <c r="T64" s="244"/>
      <c r="U64" s="45" t="str">
        <f t="shared" si="33"/>
        <v/>
      </c>
      <c r="V64" s="45" t="str">
        <f t="shared" si="34"/>
        <v/>
      </c>
      <c r="W64" s="84" t="str">
        <f t="shared" si="35"/>
        <v/>
      </c>
      <c r="X64" s="85" t="str">
        <f t="shared" si="36"/>
        <v/>
      </c>
      <c r="Y64" s="85" t="str">
        <f t="shared" si="37"/>
        <v/>
      </c>
      <c r="Z64" s="45" t="str">
        <f t="shared" si="38"/>
        <v/>
      </c>
      <c r="AA64" s="45">
        <f t="shared" si="39"/>
        <v>12919872.320799999</v>
      </c>
      <c r="AB64" s="45">
        <f t="shared" si="40"/>
        <v>26185318.666937098</v>
      </c>
      <c r="AC64" s="84">
        <f t="shared" si="41"/>
        <v>430662.40000000002</v>
      </c>
      <c r="AD64" s="85">
        <f t="shared" si="42"/>
        <v>2.0266999999999999</v>
      </c>
      <c r="AE64" s="85">
        <f t="shared" si="43"/>
        <v>0.3851</v>
      </c>
      <c r="AF64" s="45">
        <f t="shared" si="44"/>
        <v>4975210.55</v>
      </c>
      <c r="AG64" s="161"/>
    </row>
    <row r="65" spans="1:33" x14ac:dyDescent="0.25">
      <c r="A65" s="26" t="s">
        <v>28</v>
      </c>
      <c r="B65" s="32" t="s">
        <v>177</v>
      </c>
      <c r="C65" s="62" t="s">
        <v>31</v>
      </c>
      <c r="D65" s="62" t="s">
        <v>30</v>
      </c>
      <c r="E65" s="62" t="s">
        <v>161</v>
      </c>
      <c r="F65" s="261" t="s">
        <v>56</v>
      </c>
      <c r="G65" s="312">
        <v>249670.40599999999</v>
      </c>
      <c r="H65" s="312">
        <v>262965.10499999998</v>
      </c>
      <c r="I65" s="237">
        <v>1.8303</v>
      </c>
      <c r="J65" s="237">
        <v>1.8303</v>
      </c>
      <c r="K65" s="236"/>
      <c r="L65" s="312"/>
      <c r="M65" s="312"/>
      <c r="N65" s="236"/>
      <c r="O65" s="245">
        <f t="shared" si="45"/>
        <v>938276.77578329993</v>
      </c>
      <c r="P65" s="243">
        <f>ROUND(37.24%*(G65*I65+H65*J65),2)</f>
        <v>349414.27</v>
      </c>
      <c r="Q65" s="243">
        <f t="shared" si="32"/>
        <v>174707.14</v>
      </c>
      <c r="R65" s="244">
        <v>0.5</v>
      </c>
      <c r="S65" s="243"/>
      <c r="T65" s="286"/>
      <c r="U65" s="45" t="str">
        <f t="shared" si="33"/>
        <v/>
      </c>
      <c r="V65" s="45" t="str">
        <f t="shared" si="34"/>
        <v/>
      </c>
      <c r="W65" s="84" t="str">
        <f t="shared" si="35"/>
        <v/>
      </c>
      <c r="X65" s="85" t="str">
        <f t="shared" si="36"/>
        <v/>
      </c>
      <c r="Y65" s="85" t="str">
        <f t="shared" si="37"/>
        <v/>
      </c>
      <c r="Z65" s="45" t="str">
        <f t="shared" si="38"/>
        <v/>
      </c>
      <c r="AA65" s="45">
        <f t="shared" si="39"/>
        <v>512635.51099999994</v>
      </c>
      <c r="AB65" s="45">
        <f t="shared" si="40"/>
        <v>938276.77578329993</v>
      </c>
      <c r="AC65" s="84">
        <f t="shared" si="41"/>
        <v>17087.900000000001</v>
      </c>
      <c r="AD65" s="85">
        <f t="shared" si="42"/>
        <v>1.8303</v>
      </c>
      <c r="AE65" s="85">
        <f t="shared" si="43"/>
        <v>0.34079999999999999</v>
      </c>
      <c r="AF65" s="45">
        <f t="shared" si="44"/>
        <v>174707.14</v>
      </c>
      <c r="AG65" s="161"/>
    </row>
    <row r="66" spans="1:33" x14ac:dyDescent="0.25">
      <c r="A66" s="26" t="s">
        <v>28</v>
      </c>
      <c r="B66" s="32" t="s">
        <v>179</v>
      </c>
      <c r="C66" s="62" t="s">
        <v>31</v>
      </c>
      <c r="D66" s="62" t="s">
        <v>30</v>
      </c>
      <c r="E66" s="62" t="s">
        <v>161</v>
      </c>
      <c r="F66" s="261" t="s">
        <v>37</v>
      </c>
      <c r="G66" s="312">
        <v>209845</v>
      </c>
      <c r="H66" s="312">
        <v>225889</v>
      </c>
      <c r="I66" s="237">
        <v>36.552399999999999</v>
      </c>
      <c r="J66" s="237">
        <v>39.945799999999998</v>
      </c>
      <c r="K66" s="236"/>
      <c r="L66" s="312"/>
      <c r="M66" s="312"/>
      <c r="N66" s="236"/>
      <c r="O66" s="245">
        <f t="shared" si="45"/>
        <v>16693655.194199998</v>
      </c>
      <c r="P66" s="281">
        <f>ROUND(G66*I66,2)*6.42%+ROUND(H66*J66,2)*6.59%</f>
        <v>1087072.302434</v>
      </c>
      <c r="Q66" s="243">
        <f t="shared" si="32"/>
        <v>543536.15</v>
      </c>
      <c r="R66" s="244">
        <v>0.5</v>
      </c>
      <c r="S66" s="243"/>
      <c r="T66" s="286"/>
      <c r="U66" s="45">
        <f>IF($F66&amp;"/Día"=W$9,SUM($G66:$H66),"")</f>
        <v>435734</v>
      </c>
      <c r="V66" s="45">
        <f t="shared" si="34"/>
        <v>16693655.194199998</v>
      </c>
      <c r="W66" s="84">
        <f t="shared" si="35"/>
        <v>14524.5</v>
      </c>
      <c r="X66" s="85">
        <f t="shared" si="36"/>
        <v>38.311599999999999</v>
      </c>
      <c r="Y66" s="85">
        <f>IF(U66=0,0,IF($F66&amp;"/Día"=W$9,ROUND(Z66/U66,4),""))</f>
        <v>1.2474000000000001</v>
      </c>
      <c r="Z66" s="45">
        <f>IF(U66&lt;&gt;"",$Q66,"")</f>
        <v>543536.15</v>
      </c>
      <c r="AA66" s="45" t="str">
        <f t="shared" si="39"/>
        <v/>
      </c>
      <c r="AB66" s="45" t="str">
        <f t="shared" si="40"/>
        <v/>
      </c>
      <c r="AC66" s="84" t="str">
        <f t="shared" si="41"/>
        <v/>
      </c>
      <c r="AD66" s="85" t="str">
        <f t="shared" si="42"/>
        <v/>
      </c>
      <c r="AE66" s="85" t="str">
        <f>IF(AA66=0,0,IF($F66&amp;"/Día"=AC$9,ROUND(AF66/AA66,4),""))</f>
        <v/>
      </c>
      <c r="AF66" s="45" t="str">
        <f>IF(AA66&lt;&gt;"",$Q66,"")</f>
        <v/>
      </c>
      <c r="AG66" s="161"/>
    </row>
    <row r="67" spans="1:33" x14ac:dyDescent="0.25">
      <c r="A67" s="26" t="s">
        <v>28</v>
      </c>
      <c r="B67" s="302" t="s">
        <v>180</v>
      </c>
      <c r="C67" s="62" t="s">
        <v>31</v>
      </c>
      <c r="D67" s="62" t="s">
        <v>30</v>
      </c>
      <c r="E67" s="62" t="s">
        <v>161</v>
      </c>
      <c r="F67" s="261" t="s">
        <v>56</v>
      </c>
      <c r="G67" s="312">
        <v>2998626.0688999998</v>
      </c>
      <c r="H67" s="312">
        <v>3222616.0849000001</v>
      </c>
      <c r="I67" s="237">
        <v>2.504</v>
      </c>
      <c r="J67" s="237">
        <v>2.504</v>
      </c>
      <c r="K67" s="236"/>
      <c r="L67" s="312"/>
      <c r="M67" s="312"/>
      <c r="N67" s="236"/>
      <c r="O67" s="245">
        <f t="shared" si="45"/>
        <v>15577990.353115201</v>
      </c>
      <c r="P67" s="281">
        <f>ROUND(G67*I67,2)*9.47%+ROUND(H67*J67,2)*9.86%</f>
        <v>1506706.4667439999</v>
      </c>
      <c r="Q67" s="243">
        <f t="shared" si="32"/>
        <v>753353.23</v>
      </c>
      <c r="R67" s="244">
        <v>0.5</v>
      </c>
      <c r="S67" s="243"/>
      <c r="T67" s="286"/>
      <c r="U67" s="45" t="str">
        <f>IF($F67&amp;"/Día"=W$9,SUM($G67:$H67),"")</f>
        <v/>
      </c>
      <c r="V67" s="45" t="str">
        <f t="shared" si="34"/>
        <v/>
      </c>
      <c r="W67" s="84" t="str">
        <f t="shared" si="35"/>
        <v/>
      </c>
      <c r="X67" s="85" t="str">
        <f t="shared" si="36"/>
        <v/>
      </c>
      <c r="Y67" s="85" t="str">
        <f>IF(U67=0,0,IF($F67&amp;"/Día"=W$9,ROUND(Z67/U67,4),""))</f>
        <v/>
      </c>
      <c r="Z67" s="45" t="str">
        <f>IF(U67&lt;&gt;"",$Q67,"")</f>
        <v/>
      </c>
      <c r="AA67" s="45">
        <f t="shared" si="39"/>
        <v>6221242.1537999995</v>
      </c>
      <c r="AB67" s="45">
        <f t="shared" si="40"/>
        <v>15577990.353115201</v>
      </c>
      <c r="AC67" s="84">
        <f t="shared" si="41"/>
        <v>207374.7</v>
      </c>
      <c r="AD67" s="85">
        <f t="shared" si="42"/>
        <v>2.504</v>
      </c>
      <c r="AE67" s="85">
        <f>IF(AA67=0,0,IF($F67&amp;"/Día"=AC$9,ROUND(AF67/AA67,4),""))</f>
        <v>0.1211</v>
      </c>
      <c r="AF67" s="45">
        <f>IF(AA67&lt;&gt;"",$Q67,"")</f>
        <v>753353.23</v>
      </c>
      <c r="AG67" s="161"/>
    </row>
    <row r="68" spans="1:33" x14ac:dyDescent="0.25">
      <c r="A68" s="194" t="s">
        <v>28</v>
      </c>
      <c r="B68" s="195" t="s">
        <v>165</v>
      </c>
      <c r="C68" s="196"/>
      <c r="D68" s="196"/>
      <c r="E68" s="197"/>
      <c r="F68" s="374"/>
      <c r="G68" s="290"/>
      <c r="H68" s="291"/>
      <c r="I68" s="291"/>
      <c r="J68" s="292"/>
      <c r="K68" s="292"/>
      <c r="L68" s="292"/>
      <c r="M68" s="200"/>
      <c r="N68" s="200"/>
      <c r="O68" s="213">
        <f>O454</f>
        <v>2326688.6083662752</v>
      </c>
      <c r="P68" s="213">
        <f>P454</f>
        <v>-127757.11015799941</v>
      </c>
      <c r="Q68" s="213">
        <f>Q454</f>
        <v>-63878.549999998984</v>
      </c>
      <c r="R68" s="160"/>
      <c r="S68" s="201"/>
      <c r="T68" s="160"/>
      <c r="U68" s="45" t="str">
        <f t="shared" si="33"/>
        <v/>
      </c>
      <c r="V68" s="45" t="str">
        <f t="shared" si="34"/>
        <v/>
      </c>
      <c r="W68" s="84" t="str">
        <f t="shared" si="35"/>
        <v/>
      </c>
      <c r="X68" s="85" t="str">
        <f t="shared" si="36"/>
        <v/>
      </c>
      <c r="Y68" s="85" t="str">
        <f t="shared" si="37"/>
        <v/>
      </c>
      <c r="Z68" s="45" t="str">
        <f t="shared" si="38"/>
        <v/>
      </c>
      <c r="AA68" s="45" t="str">
        <f t="shared" si="39"/>
        <v/>
      </c>
      <c r="AB68" s="45" t="str">
        <f t="shared" si="40"/>
        <v/>
      </c>
      <c r="AC68" s="84" t="str">
        <f t="shared" si="41"/>
        <v/>
      </c>
      <c r="AD68" s="85" t="str">
        <f t="shared" si="42"/>
        <v/>
      </c>
      <c r="AE68" s="85" t="str">
        <f t="shared" si="43"/>
        <v/>
      </c>
      <c r="AF68" s="45" t="str">
        <f t="shared" si="44"/>
        <v/>
      </c>
      <c r="AG68" s="161"/>
    </row>
    <row r="69" spans="1:33" x14ac:dyDescent="0.25">
      <c r="A69" s="34"/>
      <c r="B69" s="165" t="s">
        <v>108</v>
      </c>
      <c r="C69" s="35" t="str">
        <f>TEXT(A$58,)&amp;" US$"</f>
        <v>Cusco US$</v>
      </c>
      <c r="D69" s="22"/>
      <c r="E69" s="22"/>
      <c r="F69" s="297"/>
      <c r="G69" s="282">
        <f>SUM(G64:G65)</f>
        <v>6473746.3269000007</v>
      </c>
      <c r="H69" s="282">
        <f>SUM(H64:H65)</f>
        <v>6958761.5048999991</v>
      </c>
      <c r="I69" s="356"/>
      <c r="J69" s="282"/>
      <c r="K69" s="294"/>
      <c r="L69" s="353"/>
      <c r="M69" s="202"/>
      <c r="N69" s="219"/>
      <c r="O69" s="219">
        <f>SUM(O59:O68)</f>
        <v>197478771.32627106</v>
      </c>
      <c r="P69" s="219">
        <f>SUM(P59:P68)</f>
        <v>64365378.769019999</v>
      </c>
      <c r="Q69" s="219">
        <f>SUM(Q59:Q68)</f>
        <v>32182689.399999999</v>
      </c>
      <c r="R69" s="199"/>
      <c r="S69" s="207"/>
      <c r="T69" s="160"/>
      <c r="U69" s="86">
        <f>SUM(U59:U68)</f>
        <v>2766295</v>
      </c>
      <c r="V69" s="86">
        <f>SUM(V59:V68)</f>
        <v>115501058.42109999</v>
      </c>
      <c r="W69" s="87">
        <f>SUM(W59:W68)</f>
        <v>92209.9</v>
      </c>
      <c r="X69" s="88">
        <f>ROUND(V69/U69,4)</f>
        <v>41.753</v>
      </c>
      <c r="Y69" s="88">
        <f>ROUND(Z69/U69,4)</f>
        <v>7.0308999999999999</v>
      </c>
      <c r="Z69" s="86">
        <f>SUM(Z59:Z68)</f>
        <v>19449423.719999999</v>
      </c>
      <c r="AA69" s="86">
        <f>SUM(AA59:AA68)</f>
        <v>37580491.111299999</v>
      </c>
      <c r="AB69" s="86">
        <f>SUM(AB59:AB68)</f>
        <v>79651024.296804726</v>
      </c>
      <c r="AC69" s="87">
        <f>SUM(AC59:AC68)</f>
        <v>1252683.1000000001</v>
      </c>
      <c r="AD69" s="88">
        <f>ROUND(AB69/AA69,4)</f>
        <v>2.1194999999999999</v>
      </c>
      <c r="AE69" s="88">
        <f>ROUND(AF69/AA69,4)</f>
        <v>0.34050000000000002</v>
      </c>
      <c r="AF69" s="86">
        <f>SUM(AF59:AF68)</f>
        <v>12797144.23</v>
      </c>
      <c r="AG69" s="86">
        <f>Q69-Z69-AF69</f>
        <v>-63878.550000000745</v>
      </c>
    </row>
    <row r="70" spans="1:33" x14ac:dyDescent="0.25">
      <c r="A70" s="157"/>
      <c r="B70" s="158"/>
      <c r="C70" s="35" t="str">
        <f>TEXT(A$58,)&amp;" S/."</f>
        <v>Cusco S/.</v>
      </c>
      <c r="D70" s="114"/>
      <c r="E70" s="114"/>
      <c r="F70" s="297"/>
      <c r="G70" s="283">
        <f>SUMPRODUCT(I64:I65,G64:G65)/SUM(G64:G65)</f>
        <v>1.8213586694100372</v>
      </c>
      <c r="H70" s="283">
        <f>SUMPRODUCT(J64:J65,H64:H65)/SUM(H64:H65)</f>
        <v>2.2033491787099315</v>
      </c>
      <c r="I70" s="357"/>
      <c r="J70" s="282">
        <f>+N70+M70</f>
        <v>0</v>
      </c>
      <c r="K70" s="295"/>
      <c r="L70" s="354"/>
      <c r="M70" s="206"/>
      <c r="N70" s="206"/>
      <c r="O70" s="206"/>
      <c r="P70" s="366"/>
      <c r="Q70" s="209">
        <f>Q69*F1</f>
        <v>0</v>
      </c>
      <c r="R70" s="198"/>
      <c r="S70" s="207"/>
      <c r="T70" s="160"/>
      <c r="U70" s="161"/>
      <c r="V70" s="161"/>
      <c r="W70" s="162"/>
      <c r="X70" s="163"/>
      <c r="Y70" s="163"/>
      <c r="Z70" s="161"/>
      <c r="AA70" s="161"/>
      <c r="AB70" s="161"/>
      <c r="AC70" s="162"/>
      <c r="AD70" s="163"/>
      <c r="AE70" s="163"/>
      <c r="AF70" s="161"/>
      <c r="AG70" s="161"/>
    </row>
    <row r="71" spans="1:33" x14ac:dyDescent="0.25">
      <c r="A71" s="10" t="s">
        <v>55</v>
      </c>
      <c r="B71" s="308"/>
      <c r="C71" s="308"/>
      <c r="D71" s="308"/>
      <c r="E71" s="308"/>
      <c r="F71" s="298"/>
      <c r="G71" s="284">
        <f>G69*G70</f>
        <v>11791013.996060701</v>
      </c>
      <c r="H71" s="284">
        <f>H69*H70</f>
        <v>15332581.446659701</v>
      </c>
      <c r="I71" s="282">
        <f>H71+G71</f>
        <v>27123595.442720402</v>
      </c>
      <c r="J71" s="282">
        <f>O64+O65</f>
        <v>27123595.442720398</v>
      </c>
      <c r="K71" s="358">
        <f>I71-J71</f>
        <v>0</v>
      </c>
      <c r="L71" s="365"/>
      <c r="M71" s="311">
        <f>SUM(M10:M68)</f>
        <v>11586.45</v>
      </c>
      <c r="N71" s="311">
        <f>SUM(N10:N68)</f>
        <v>77732.829999999987</v>
      </c>
      <c r="O71" s="311">
        <f>O36+O42+O56+O69</f>
        <v>298921601.97627103</v>
      </c>
      <c r="P71" s="311">
        <f>Q69+P56+P42+P36</f>
        <v>50976368.390000001</v>
      </c>
      <c r="Q71" s="211">
        <f>Q70+P57+P43+P37</f>
        <v>0</v>
      </c>
      <c r="R71" s="60"/>
      <c r="S71" s="211"/>
      <c r="T71" s="60"/>
      <c r="U71" s="93">
        <f>U36+U42+U56+U69</f>
        <v>4553195</v>
      </c>
      <c r="V71" s="93">
        <f>V36+V42+V56+V69</f>
        <v>213029289.8211</v>
      </c>
      <c r="W71" s="94">
        <f>W36+W42+W56+W69</f>
        <v>151773.29999999999</v>
      </c>
      <c r="X71" s="95">
        <f>ROUND(V71/U71,4)</f>
        <v>46.786799999999999</v>
      </c>
      <c r="Y71" s="95">
        <f>ROUND(Z71/U71,4)</f>
        <v>8.2392000000000003</v>
      </c>
      <c r="Z71" s="93">
        <f>Z36+Z42+Z56+Z69</f>
        <v>37514629.43</v>
      </c>
      <c r="AA71" s="93">
        <f>AA36+AA42+AA56+AA69</f>
        <v>39028309.092</v>
      </c>
      <c r="AB71" s="93">
        <f>AB36+AB42+AB56+AB69</f>
        <v>83269919.586804733</v>
      </c>
      <c r="AC71" s="93">
        <f>AC36+AC42+AC56+AC69</f>
        <v>1300943.7000000002</v>
      </c>
      <c r="AD71" s="95">
        <f>ROUND(AB71/AA71,4)</f>
        <v>2.1335999999999999</v>
      </c>
      <c r="AE71" s="95">
        <f>ROUND(AF71/AA71,4)</f>
        <v>0.3453</v>
      </c>
      <c r="AF71" s="93">
        <f>AF36+AF42+AF56+AF69</f>
        <v>13475687.100000001</v>
      </c>
      <c r="AG71" s="93">
        <f>P71-Z71-AF71</f>
        <v>-13948.140000000596</v>
      </c>
    </row>
    <row r="72" spans="1:33" x14ac:dyDescent="0.25">
      <c r="A72" s="6"/>
      <c r="B72" s="6"/>
      <c r="C72" s="6"/>
      <c r="D72" s="6"/>
      <c r="E72" s="6"/>
      <c r="F72" s="6"/>
      <c r="G72" s="360"/>
      <c r="H72" s="360"/>
      <c r="I72" s="360"/>
      <c r="J72" s="360"/>
      <c r="K72" s="360"/>
      <c r="L72" s="360"/>
      <c r="M72" s="6"/>
      <c r="N72" s="220"/>
      <c r="O72" s="6"/>
      <c r="P72" s="6"/>
      <c r="Q72" s="6"/>
      <c r="R72" s="6"/>
      <c r="S72" s="6"/>
      <c r="T72" s="6"/>
      <c r="U72" s="6"/>
      <c r="V72" s="6"/>
      <c r="W72" s="6"/>
      <c r="X72" s="6"/>
      <c r="Y72" s="6"/>
      <c r="Z72" s="75"/>
      <c r="AA72" s="75"/>
      <c r="AB72" s="75"/>
      <c r="AC72" s="75"/>
      <c r="AD72" s="75"/>
      <c r="AE72" s="75"/>
    </row>
    <row r="73" spans="1:33" x14ac:dyDescent="0.25">
      <c r="A73" s="99" t="s">
        <v>93</v>
      </c>
      <c r="B73" s="7" t="s">
        <v>76</v>
      </c>
      <c r="C73" s="7"/>
      <c r="D73" s="6"/>
      <c r="E73" s="6"/>
      <c r="F73" s="6"/>
      <c r="H73" s="99" t="s">
        <v>77</v>
      </c>
      <c r="J73" s="72"/>
      <c r="K73" s="72"/>
      <c r="L73" s="6"/>
      <c r="M73" s="6"/>
      <c r="N73" s="395"/>
      <c r="O73" s="407">
        <f>120853382.49+139352381.96+36326849.05-6337.84-11586.45-77732.83+2622270.38</f>
        <v>299059226.76000005</v>
      </c>
      <c r="P73" s="74"/>
      <c r="Q73" s="74"/>
      <c r="R73" s="6"/>
      <c r="S73" s="6"/>
      <c r="T73" s="6"/>
      <c r="U73" s="75" t="s">
        <v>193</v>
      </c>
      <c r="V73" s="350">
        <f>6376757.84-V80</f>
        <v>5654249.0199999996</v>
      </c>
      <c r="W73" s="350">
        <f>+P36</f>
        <v>12872362.719999999</v>
      </c>
      <c r="X73" s="350" t="s">
        <v>23</v>
      </c>
      <c r="Y73" s="6"/>
    </row>
    <row r="74" spans="1:33" x14ac:dyDescent="0.25">
      <c r="A74" s="6"/>
      <c r="B74" s="126" t="s">
        <v>78</v>
      </c>
      <c r="C74" s="127" t="s">
        <v>79</v>
      </c>
      <c r="D74" s="128"/>
      <c r="E74" s="129" t="s">
        <v>35</v>
      </c>
      <c r="F74" s="129" t="s">
        <v>80</v>
      </c>
      <c r="H74" s="100" t="s">
        <v>35</v>
      </c>
      <c r="I74" s="308"/>
      <c r="J74" s="308"/>
      <c r="K74" s="308"/>
      <c r="L74" s="101"/>
      <c r="M74" s="6"/>
      <c r="N74" s="395"/>
      <c r="O74" s="496"/>
      <c r="P74" s="496"/>
      <c r="Q74" s="496"/>
      <c r="R74" s="6"/>
      <c r="S74" s="6"/>
      <c r="T74" s="6"/>
      <c r="U74" s="75" t="s">
        <v>194</v>
      </c>
      <c r="V74" s="350">
        <f>6872699.93-V83</f>
        <v>6177558.71</v>
      </c>
      <c r="W74" s="350">
        <f>+P56</f>
        <v>5013909.3100000005</v>
      </c>
      <c r="X74" s="350" t="s">
        <v>24</v>
      </c>
      <c r="Y74" s="6"/>
    </row>
    <row r="75" spans="1:33" x14ac:dyDescent="0.25">
      <c r="A75" s="7"/>
      <c r="B75" s="102" t="s">
        <v>81</v>
      </c>
      <c r="C75" s="103" t="s">
        <v>82</v>
      </c>
      <c r="D75" s="104"/>
      <c r="E75" s="105"/>
      <c r="F75" s="105"/>
      <c r="H75" s="106" t="str">
        <f>"=  ("&amp;TEXT(E75,"0.0000")&amp;" * "&amp;TEXT(E78,"0.00%")&amp;" + ("&amp;TEXT(E76,"0.0000")&amp;" - "&amp;TEXT(E77,"0.0000")&amp;" - "&amp;TEXT(E80,"0.0000")&amp;") * (1 - "&amp;TEXT(E78,"0.00%")&amp;"))"</f>
        <v>=  (0.0000 * 0.00% + (0.0000 - 0.0000 - 0.0000) * (1 - 0.00%))</v>
      </c>
      <c r="I75" s="6"/>
      <c r="J75" s="6"/>
      <c r="K75" s="6"/>
      <c r="L75" s="107"/>
      <c r="M75" s="6"/>
      <c r="N75" s="549"/>
      <c r="O75" s="404">
        <f>+O71-O73</f>
        <v>-137624.78372901678</v>
      </c>
      <c r="P75" s="496"/>
      <c r="Q75" s="496"/>
      <c r="R75" s="6"/>
      <c r="S75" s="6"/>
      <c r="T75" s="6"/>
      <c r="U75" s="75" t="s">
        <v>29</v>
      </c>
      <c r="V75" s="350">
        <v>6805097.1100000003</v>
      </c>
      <c r="W75" s="350">
        <f>+P42</f>
        <v>907406.96</v>
      </c>
      <c r="X75" s="350" t="s">
        <v>195</v>
      </c>
      <c r="Y75" s="6"/>
    </row>
    <row r="76" spans="1:33" x14ac:dyDescent="0.25">
      <c r="A76" s="6"/>
      <c r="B76" s="108" t="s">
        <v>83</v>
      </c>
      <c r="C76" s="109" t="s">
        <v>84</v>
      </c>
      <c r="D76" s="110"/>
      <c r="E76" s="111"/>
      <c r="F76" s="112"/>
      <c r="H76" s="113">
        <f>((85.98%*E75+4.4221)*E78+(E76-E77-E80)*(1-E78))</f>
        <v>0</v>
      </c>
      <c r="I76" s="114"/>
      <c r="J76" s="114"/>
      <c r="K76" s="114"/>
      <c r="L76" s="115"/>
      <c r="M76" s="6"/>
      <c r="N76" s="395"/>
      <c r="O76" s="496"/>
      <c r="P76" s="496"/>
      <c r="Q76" s="496"/>
      <c r="R76" s="6"/>
      <c r="S76" s="6"/>
      <c r="T76" s="6"/>
      <c r="U76" s="307" t="s">
        <v>317</v>
      </c>
      <c r="V76" s="350">
        <f>16534.58+15763.21+22056.33</f>
        <v>54354.12</v>
      </c>
    </row>
    <row r="77" spans="1:33" x14ac:dyDescent="0.25">
      <c r="A77" s="6"/>
      <c r="B77" s="108" t="s">
        <v>85</v>
      </c>
      <c r="C77" s="109" t="s">
        <v>86</v>
      </c>
      <c r="D77" s="110"/>
      <c r="E77" s="111"/>
      <c r="F77" s="111"/>
      <c r="G77" s="6"/>
      <c r="I77" s="116"/>
      <c r="J77" s="6"/>
      <c r="K77" s="6"/>
      <c r="L77" s="6"/>
      <c r="M77" s="6"/>
      <c r="N77" s="395"/>
      <c r="O77" s="496">
        <f>32320129.05+1807524.68+1379621.36+920500.01-100926.05</f>
        <v>36326849.050000004</v>
      </c>
      <c r="P77" s="496"/>
      <c r="Q77" s="496"/>
      <c r="R77" s="6"/>
      <c r="S77" s="6"/>
      <c r="T77" s="6"/>
      <c r="U77" s="75"/>
      <c r="V77" s="351">
        <f>SUM(V73:V76)</f>
        <v>18691258.960000001</v>
      </c>
      <c r="W77" s="351">
        <f>SUM(W73:W75)</f>
        <v>18793678.990000002</v>
      </c>
      <c r="X77" s="350">
        <f>V77-W77</f>
        <v>-102420.03000000119</v>
      </c>
      <c r="Y77" s="6"/>
      <c r="Z77" s="307" t="s">
        <v>311</v>
      </c>
      <c r="AA77" s="307" t="s">
        <v>312</v>
      </c>
    </row>
    <row r="78" spans="1:33" ht="12.75" customHeight="1" x14ac:dyDescent="0.25">
      <c r="A78" s="6"/>
      <c r="B78" s="108" t="s">
        <v>87</v>
      </c>
      <c r="C78" s="109" t="s">
        <v>88</v>
      </c>
      <c r="D78" s="110"/>
      <c r="E78" s="384"/>
      <c r="F78" s="384"/>
      <c r="G78" s="6"/>
      <c r="H78" s="100" t="s">
        <v>80</v>
      </c>
      <c r="I78" s="118"/>
      <c r="J78" s="308"/>
      <c r="K78" s="308"/>
      <c r="L78" s="101"/>
      <c r="M78" s="6"/>
      <c r="N78" s="395"/>
      <c r="O78" s="498">
        <v>2622270.3778975252</v>
      </c>
      <c r="P78" s="498"/>
      <c r="Q78" s="498"/>
      <c r="R78" s="6"/>
      <c r="S78" s="6"/>
      <c r="T78" s="6"/>
      <c r="U78" s="75" t="s">
        <v>196</v>
      </c>
      <c r="V78" s="350">
        <v>5651197.1900000004</v>
      </c>
      <c r="W78" s="350"/>
      <c r="X78" s="350"/>
      <c r="Y78" s="6"/>
      <c r="Z78" s="307" t="s">
        <v>316</v>
      </c>
    </row>
    <row r="79" spans="1:33" ht="26.4" x14ac:dyDescent="0.25">
      <c r="A79" s="6"/>
      <c r="B79" s="108" t="s">
        <v>89</v>
      </c>
      <c r="C79" s="109" t="s">
        <v>90</v>
      </c>
      <c r="D79" s="110"/>
      <c r="E79" s="119"/>
      <c r="F79" s="112"/>
      <c r="G79" s="6"/>
      <c r="H79" s="106" t="str">
        <f>"=  ("&amp;TEXT(F75,"0.0000")&amp;" * "&amp;TEXT(F78,"0.00%")&amp;" + ("&amp;TEXT(F76,"0.0000")&amp;" - "&amp;TEXT(F77,"0.0000")&amp;" - "&amp;TEXT(F80,"0.0000")&amp;") * (1 - "&amp;TEXT(F78,"0.00%")&amp;"))"</f>
        <v>=  (0.0000 * 0.00% + (0.0000 - 0.0000 - 0.0000) * (1 - 0.00%))</v>
      </c>
      <c r="I79" s="116"/>
      <c r="J79" s="6"/>
      <c r="K79" s="6"/>
      <c r="L79" s="107"/>
      <c r="M79" s="6"/>
      <c r="N79" s="6"/>
      <c r="O79" s="542">
        <f>+O78-O75</f>
        <v>2759895.161626542</v>
      </c>
      <c r="P79" s="496"/>
      <c r="Q79" s="496"/>
      <c r="R79" s="6"/>
      <c r="S79" s="6"/>
      <c r="T79" s="6"/>
      <c r="U79" s="75" t="s">
        <v>197</v>
      </c>
      <c r="V79" s="350">
        <v>8360344.2599999998</v>
      </c>
      <c r="W79" s="350"/>
      <c r="X79" s="350"/>
      <c r="Y79" s="6"/>
      <c r="Z79" s="544" t="s">
        <v>313</v>
      </c>
      <c r="AA79" s="544" t="s">
        <v>314</v>
      </c>
      <c r="AB79" s="544" t="s">
        <v>315</v>
      </c>
    </row>
    <row r="80" spans="1:33" x14ac:dyDescent="0.25">
      <c r="A80" s="6"/>
      <c r="B80" s="120" t="s">
        <v>91</v>
      </c>
      <c r="C80" s="121" t="s">
        <v>92</v>
      </c>
      <c r="D80" s="122"/>
      <c r="E80" s="123"/>
      <c r="F80" s="123"/>
      <c r="G80" s="6"/>
      <c r="H80" s="113">
        <f>((85.98%*F75+4.4221)*F78+(F76-F77-F80)*(1-F78))</f>
        <v>0</v>
      </c>
      <c r="I80" s="124"/>
      <c r="J80" s="114"/>
      <c r="K80" s="114"/>
      <c r="L80" s="115"/>
      <c r="M80" s="6"/>
      <c r="N80" s="6"/>
      <c r="O80" s="542"/>
      <c r="P80" s="545"/>
      <c r="Q80" s="6"/>
      <c r="R80" s="6"/>
      <c r="S80" s="6"/>
      <c r="T80" s="6"/>
      <c r="U80" s="75" t="s">
        <v>198</v>
      </c>
      <c r="V80" s="350">
        <v>722508.82</v>
      </c>
      <c r="W80" s="350"/>
      <c r="X80" s="350"/>
      <c r="Y80" s="6"/>
      <c r="Z80" s="543">
        <v>137745.71</v>
      </c>
      <c r="AA80" s="543">
        <v>41323.71</v>
      </c>
      <c r="AB80" s="543">
        <f>+Z80*15%</f>
        <v>20661.856499999998</v>
      </c>
    </row>
    <row r="81" spans="1:28" x14ac:dyDescent="0.25">
      <c r="A81" s="5"/>
      <c r="C81" s="4"/>
      <c r="D81" s="4"/>
      <c r="H81" s="190"/>
      <c r="U81" s="75" t="s">
        <v>199</v>
      </c>
      <c r="V81" s="350">
        <v>6860381.3799999999</v>
      </c>
      <c r="W81" s="350"/>
      <c r="X81" s="350"/>
      <c r="Y81" s="6"/>
    </row>
    <row r="82" spans="1:28" x14ac:dyDescent="0.25">
      <c r="U82" s="75" t="s">
        <v>200</v>
      </c>
      <c r="V82" s="350">
        <v>9893093.75</v>
      </c>
      <c r="W82" s="350"/>
      <c r="X82" s="350"/>
    </row>
    <row r="83" spans="1:28" ht="17.399999999999999" x14ac:dyDescent="0.3">
      <c r="A83" s="301" t="str">
        <f>"AJUSTES PARA "&amp;UPPER(TEXT(E1,"MMMMMMM YYYY"))</f>
        <v>AJUSTES PARA ABRIL 2018</v>
      </c>
      <c r="B83" s="301"/>
      <c r="C83" s="301"/>
      <c r="D83" s="301"/>
      <c r="E83" s="301"/>
      <c r="F83" s="301"/>
      <c r="G83" s="301"/>
      <c r="H83" s="301"/>
      <c r="I83" s="301"/>
      <c r="J83" s="301"/>
      <c r="K83" s="301"/>
      <c r="L83" s="301"/>
      <c r="M83" s="301"/>
      <c r="N83" s="301"/>
      <c r="O83" s="301"/>
      <c r="P83" s="301"/>
      <c r="Q83" s="301"/>
      <c r="R83" s="301"/>
      <c r="S83" s="301"/>
      <c r="T83" s="301"/>
      <c r="U83" s="75" t="s">
        <v>201</v>
      </c>
      <c r="V83" s="350">
        <v>695141.22</v>
      </c>
      <c r="W83" s="350"/>
      <c r="X83" s="350"/>
    </row>
    <row r="84" spans="1:28" ht="17.399999999999999" x14ac:dyDescent="0.3">
      <c r="U84" s="75"/>
      <c r="V84" s="351">
        <f>SUM(V78:V83)</f>
        <v>32182666.619999997</v>
      </c>
      <c r="W84" s="351">
        <f>Q69</f>
        <v>32182689.399999999</v>
      </c>
      <c r="X84" s="350">
        <f>V84-W84</f>
        <v>-22.780000001192093</v>
      </c>
      <c r="Y84" s="301"/>
    </row>
    <row r="85" spans="1:28" x14ac:dyDescent="0.25">
      <c r="A85" s="452" t="s">
        <v>187</v>
      </c>
      <c r="B85" s="321" t="s">
        <v>258</v>
      </c>
      <c r="C85" s="385"/>
      <c r="N85" s="346"/>
      <c r="U85" s="75"/>
      <c r="V85" s="350"/>
      <c r="W85" s="350"/>
      <c r="X85" s="75"/>
    </row>
    <row r="86" spans="1:28" x14ac:dyDescent="0.25">
      <c r="A86" s="313" t="s">
        <v>164</v>
      </c>
      <c r="B86" s="308"/>
      <c r="C86" s="322"/>
      <c r="D86" s="319" t="s">
        <v>19</v>
      </c>
      <c r="E86" s="318" t="s">
        <v>59</v>
      </c>
      <c r="F86" s="319" t="s">
        <v>27</v>
      </c>
      <c r="G86" s="320" t="s">
        <v>35</v>
      </c>
      <c r="H86" s="309" t="s">
        <v>36</v>
      </c>
      <c r="I86" s="309" t="s">
        <v>35</v>
      </c>
      <c r="J86" s="320" t="s">
        <v>36</v>
      </c>
      <c r="K86" s="320" t="s">
        <v>39</v>
      </c>
      <c r="L86" s="320" t="s">
        <v>40</v>
      </c>
      <c r="M86" s="320" t="s">
        <v>42</v>
      </c>
      <c r="N86" s="320" t="s">
        <v>2</v>
      </c>
      <c r="O86" s="323" t="s">
        <v>184</v>
      </c>
      <c r="P86" s="332" t="s">
        <v>166</v>
      </c>
      <c r="Q86" s="332" t="s">
        <v>188</v>
      </c>
      <c r="R86" s="310"/>
      <c r="V86" s="350">
        <f>+V73+V78+V79+V80</f>
        <v>20388299.289999999</v>
      </c>
      <c r="W86" s="75"/>
      <c r="X86" s="350"/>
      <c r="Y86" s="350"/>
      <c r="Z86" s="75"/>
    </row>
    <row r="87" spans="1:28" x14ac:dyDescent="0.25">
      <c r="A87" s="324" t="s">
        <v>28</v>
      </c>
      <c r="B87" s="325" t="s">
        <v>177</v>
      </c>
      <c r="C87" s="333" t="s">
        <v>31</v>
      </c>
      <c r="D87" s="334" t="s">
        <v>189</v>
      </c>
      <c r="E87" s="334"/>
      <c r="F87" s="343" t="s">
        <v>56</v>
      </c>
      <c r="G87" s="312">
        <v>256658.83319999999</v>
      </c>
      <c r="H87" s="312">
        <v>220308.01370000001</v>
      </c>
      <c r="I87" s="237">
        <v>1.8293999999999999</v>
      </c>
      <c r="J87" s="237">
        <v>1.8293999999999999</v>
      </c>
      <c r="K87" s="236"/>
      <c r="L87" s="312"/>
      <c r="M87" s="312"/>
      <c r="N87" s="236"/>
      <c r="O87" s="245">
        <f t="shared" ref="O87:O88" si="46">G87*I87+H87*J87</f>
        <v>872563.14971885993</v>
      </c>
      <c r="P87" s="243">
        <f>ROUND(37.24%*(G87*I87+H87*J87),2)</f>
        <v>324942.52</v>
      </c>
      <c r="Q87" s="243">
        <f t="shared" ref="Q87:Q88" si="47">ROUND(R87*P87,2)</f>
        <v>162471.26</v>
      </c>
      <c r="R87" s="244">
        <v>0.5</v>
      </c>
      <c r="V87" s="350">
        <f>+V74+V81+V82+V83</f>
        <v>23626175.059999999</v>
      </c>
      <c r="W87" s="75"/>
      <c r="X87" s="350"/>
      <c r="Y87" s="351"/>
      <c r="Z87" s="350"/>
    </row>
    <row r="88" spans="1:28" x14ac:dyDescent="0.25">
      <c r="A88" s="326" t="s">
        <v>28</v>
      </c>
      <c r="B88" s="335" t="str">
        <f>B87</f>
        <v>56 GAS-Mlocal</v>
      </c>
      <c r="C88" s="336" t="s">
        <v>31</v>
      </c>
      <c r="D88" s="337" t="s">
        <v>190</v>
      </c>
      <c r="E88" s="337"/>
      <c r="F88" s="342" t="str">
        <f>F87</f>
        <v xml:space="preserve"> MM BTU</v>
      </c>
      <c r="G88" s="387">
        <f>+G87</f>
        <v>256658.83319999999</v>
      </c>
      <c r="H88" s="387">
        <f>+H87</f>
        <v>220308.01370000001</v>
      </c>
      <c r="I88" s="328">
        <v>1.8303</v>
      </c>
      <c r="J88" s="328">
        <v>1.8303</v>
      </c>
      <c r="K88" s="328"/>
      <c r="L88" s="328"/>
      <c r="M88" s="328"/>
      <c r="N88" s="327"/>
      <c r="O88" s="245">
        <f t="shared" si="46"/>
        <v>872992.41988107003</v>
      </c>
      <c r="P88" s="243">
        <f>ROUND(37.24%*(G88*I88+H88*J88),2)</f>
        <v>325102.38</v>
      </c>
      <c r="Q88" s="243">
        <f t="shared" si="47"/>
        <v>162551.19</v>
      </c>
      <c r="R88" s="244">
        <v>0.5</v>
      </c>
      <c r="V88" s="350">
        <f>+V75</f>
        <v>6805097.1100000003</v>
      </c>
      <c r="W88" s="74"/>
      <c r="X88" s="74"/>
      <c r="Y88" s="74"/>
    </row>
    <row r="89" spans="1:28" x14ac:dyDescent="0.25">
      <c r="A89" s="329"/>
      <c r="B89" s="338" t="s">
        <v>185</v>
      </c>
      <c r="C89" s="100"/>
      <c r="D89" s="210"/>
      <c r="E89" s="210"/>
      <c r="F89" s="329"/>
      <c r="G89" s="386">
        <f t="shared" ref="G89:Q89" si="48">G88-G87</f>
        <v>0</v>
      </c>
      <c r="H89" s="388">
        <f t="shared" si="48"/>
        <v>0</v>
      </c>
      <c r="I89" s="339">
        <f t="shared" si="48"/>
        <v>9.0000000000012292E-4</v>
      </c>
      <c r="J89" s="339">
        <f>J88-J87</f>
        <v>9.0000000000012292E-4</v>
      </c>
      <c r="K89" s="339">
        <f t="shared" si="48"/>
        <v>0</v>
      </c>
      <c r="L89" s="339">
        <f t="shared" si="48"/>
        <v>0</v>
      </c>
      <c r="M89" s="339">
        <f t="shared" si="48"/>
        <v>0</v>
      </c>
      <c r="N89" s="340">
        <f t="shared" si="48"/>
        <v>0</v>
      </c>
      <c r="O89" s="330">
        <f>O88-O87</f>
        <v>429.27016221010126</v>
      </c>
      <c r="P89" s="331">
        <f>P88-P87</f>
        <v>159.85999999998603</v>
      </c>
      <c r="Q89" s="330">
        <f t="shared" si="48"/>
        <v>79.929999999993015</v>
      </c>
      <c r="R89" s="341"/>
      <c r="S89" s="307" t="s">
        <v>186</v>
      </c>
      <c r="V89" s="352">
        <f>SUM(V86:V88)</f>
        <v>50819571.459999993</v>
      </c>
      <c r="W89" s="74"/>
      <c r="X89" s="74">
        <f>+V89-P71</f>
        <v>-156796.93000000715</v>
      </c>
      <c r="Y89" s="74"/>
      <c r="Z89" s="74"/>
      <c r="AB89" s="74"/>
    </row>
    <row r="90" spans="1:28" x14ac:dyDescent="0.25">
      <c r="V90" s="192">
        <f>P71</f>
        <v>50976368.390000001</v>
      </c>
    </row>
    <row r="91" spans="1:28" x14ac:dyDescent="0.25">
      <c r="A91" s="394"/>
      <c r="B91" s="321" t="s">
        <v>258</v>
      </c>
      <c r="C91" s="385"/>
      <c r="V91" s="346">
        <f>+V89-V90</f>
        <v>-156796.93000000715</v>
      </c>
    </row>
    <row r="92" spans="1:28" x14ac:dyDescent="0.25">
      <c r="A92" s="313" t="s">
        <v>164</v>
      </c>
      <c r="B92" s="308"/>
      <c r="C92" s="322"/>
      <c r="D92" s="319" t="s">
        <v>19</v>
      </c>
      <c r="E92" s="318" t="s">
        <v>59</v>
      </c>
      <c r="F92" s="319" t="s">
        <v>27</v>
      </c>
      <c r="G92" s="320" t="s">
        <v>35</v>
      </c>
      <c r="H92" s="309" t="s">
        <v>36</v>
      </c>
      <c r="I92" s="309" t="s">
        <v>35</v>
      </c>
      <c r="J92" s="320" t="s">
        <v>36</v>
      </c>
      <c r="K92" s="320" t="s">
        <v>39</v>
      </c>
      <c r="L92" s="320" t="s">
        <v>40</v>
      </c>
      <c r="M92" s="320" t="s">
        <v>42</v>
      </c>
      <c r="N92" s="320" t="s">
        <v>2</v>
      </c>
      <c r="O92" s="323" t="s">
        <v>184</v>
      </c>
      <c r="P92" s="332" t="s">
        <v>166</v>
      </c>
      <c r="Q92" s="332" t="s">
        <v>188</v>
      </c>
      <c r="R92" s="310"/>
      <c r="W92" s="75"/>
      <c r="Y92" s="350"/>
      <c r="Z92" s="75"/>
    </row>
    <row r="93" spans="1:28" x14ac:dyDescent="0.25">
      <c r="A93" s="26" t="s">
        <v>28</v>
      </c>
      <c r="B93" s="302" t="s">
        <v>180</v>
      </c>
      <c r="C93" s="62" t="s">
        <v>31</v>
      </c>
      <c r="D93" s="62" t="s">
        <v>30</v>
      </c>
      <c r="E93" s="62" t="s">
        <v>161</v>
      </c>
      <c r="F93" s="511" t="s">
        <v>56</v>
      </c>
      <c r="G93" s="312">
        <v>3185893.4501999998</v>
      </c>
      <c r="H93" s="312">
        <v>2793721.0328000002</v>
      </c>
      <c r="I93" s="237">
        <v>2.3559999999999999</v>
      </c>
      <c r="J93" s="237">
        <v>2.3559999999999999</v>
      </c>
      <c r="K93" s="467"/>
      <c r="L93" s="468"/>
      <c r="M93" s="468"/>
      <c r="N93" s="467"/>
      <c r="O93" s="245">
        <f t="shared" ref="O93:O94" si="49">G93*I93+H93*J93</f>
        <v>14087971.721947998</v>
      </c>
      <c r="P93" s="281">
        <f>ROUND(G93*I93,2)*9.8%+ROUND(H93*J93,2)*9.46%</f>
        <v>1358242.40561</v>
      </c>
      <c r="Q93" s="243">
        <f t="shared" ref="Q93:Q94" si="50">ROUND(R93*P93,2)</f>
        <v>679121.2</v>
      </c>
      <c r="R93" s="244">
        <v>0.5</v>
      </c>
    </row>
    <row r="94" spans="1:28" x14ac:dyDescent="0.25">
      <c r="A94" s="326" t="s">
        <v>28</v>
      </c>
      <c r="B94" s="335" t="str">
        <f>B93</f>
        <v>57 GAS</v>
      </c>
      <c r="C94" s="336" t="s">
        <v>31</v>
      </c>
      <c r="D94" s="337" t="s">
        <v>190</v>
      </c>
      <c r="E94" s="337"/>
      <c r="F94" s="342" t="str">
        <f>F93</f>
        <v xml:space="preserve"> MM BTU</v>
      </c>
      <c r="G94" s="387">
        <f>+G93</f>
        <v>3185893.4501999998</v>
      </c>
      <c r="H94" s="387">
        <f>+H93</f>
        <v>2793721.0328000002</v>
      </c>
      <c r="I94" s="328">
        <v>2.504</v>
      </c>
      <c r="J94" s="328">
        <v>2.504</v>
      </c>
      <c r="K94" s="469"/>
      <c r="L94" s="470"/>
      <c r="M94" s="470"/>
      <c r="N94" s="469"/>
      <c r="O94" s="245">
        <f t="shared" si="49"/>
        <v>14972954.665431999</v>
      </c>
      <c r="P94" s="281">
        <f>ROUND(G94*I94,2)*9.8%+ROUND(H94*J94,2)*9.46%</f>
        <v>1443564.934262</v>
      </c>
      <c r="Q94" s="243">
        <f t="shared" si="50"/>
        <v>721782.47</v>
      </c>
      <c r="R94" s="244">
        <v>0.5</v>
      </c>
    </row>
    <row r="95" spans="1:28" x14ac:dyDescent="0.25">
      <c r="A95" s="329"/>
      <c r="B95" s="338" t="s">
        <v>185</v>
      </c>
      <c r="C95" s="100"/>
      <c r="D95" s="210"/>
      <c r="E95" s="210"/>
      <c r="F95" s="329"/>
      <c r="G95" s="386">
        <f t="shared" ref="G95:P95" si="51">G94-G93</f>
        <v>0</v>
      </c>
      <c r="H95" s="388">
        <f t="shared" si="51"/>
        <v>0</v>
      </c>
      <c r="I95" s="339">
        <f t="shared" si="51"/>
        <v>0.14800000000000013</v>
      </c>
      <c r="J95" s="339">
        <f t="shared" si="51"/>
        <v>0.14800000000000013</v>
      </c>
      <c r="K95" s="339">
        <f t="shared" si="51"/>
        <v>0</v>
      </c>
      <c r="L95" s="339">
        <f t="shared" si="51"/>
        <v>0</v>
      </c>
      <c r="M95" s="339">
        <f t="shared" si="51"/>
        <v>0</v>
      </c>
      <c r="N95" s="340">
        <f t="shared" si="51"/>
        <v>0</v>
      </c>
      <c r="O95" s="311">
        <f t="shared" si="51"/>
        <v>884982.94348400086</v>
      </c>
      <c r="P95" s="461">
        <f t="shared" si="51"/>
        <v>85322.528652000008</v>
      </c>
      <c r="Q95" s="311">
        <f>Q94-Q93</f>
        <v>42661.270000000019</v>
      </c>
      <c r="R95" s="462"/>
      <c r="S95" s="307" t="s">
        <v>186</v>
      </c>
    </row>
    <row r="97" spans="1:26" x14ac:dyDescent="0.25">
      <c r="A97" s="394"/>
      <c r="B97" s="321" t="s">
        <v>259</v>
      </c>
      <c r="C97" s="385"/>
      <c r="W97" s="75"/>
      <c r="Y97" s="350"/>
      <c r="Z97" s="75"/>
    </row>
    <row r="98" spans="1:26" x14ac:dyDescent="0.25">
      <c r="A98" s="313" t="s">
        <v>164</v>
      </c>
      <c r="B98" s="308"/>
      <c r="C98" s="322"/>
      <c r="D98" s="319" t="s">
        <v>19</v>
      </c>
      <c r="E98" s="318" t="s">
        <v>59</v>
      </c>
      <c r="F98" s="319" t="s">
        <v>27</v>
      </c>
      <c r="G98" s="320" t="s">
        <v>35</v>
      </c>
      <c r="H98" s="309" t="s">
        <v>36</v>
      </c>
      <c r="I98" s="309" t="s">
        <v>35</v>
      </c>
      <c r="J98" s="320" t="s">
        <v>36</v>
      </c>
      <c r="K98" s="320" t="s">
        <v>39</v>
      </c>
      <c r="L98" s="320" t="s">
        <v>40</v>
      </c>
      <c r="M98" s="320" t="s">
        <v>42</v>
      </c>
      <c r="N98" s="320" t="s">
        <v>2</v>
      </c>
      <c r="O98" s="323" t="s">
        <v>184</v>
      </c>
      <c r="P98" s="332" t="s">
        <v>166</v>
      </c>
      <c r="Q98" s="332" t="s">
        <v>188</v>
      </c>
      <c r="R98" s="310"/>
      <c r="W98" s="75"/>
      <c r="Y98" s="351"/>
      <c r="Z98" s="350"/>
    </row>
    <row r="99" spans="1:26" x14ac:dyDescent="0.25">
      <c r="A99" s="26" t="s">
        <v>28</v>
      </c>
      <c r="B99" s="27" t="s">
        <v>162</v>
      </c>
      <c r="C99" s="62" t="s">
        <v>31</v>
      </c>
      <c r="D99" s="62" t="s">
        <v>30</v>
      </c>
      <c r="E99" s="62" t="s">
        <v>161</v>
      </c>
      <c r="F99" s="262" t="s">
        <v>56</v>
      </c>
      <c r="G99" s="312">
        <v>6714461.5531000001</v>
      </c>
      <c r="H99" s="312">
        <v>6354405.0686999997</v>
      </c>
      <c r="I99" s="237">
        <v>2.1133000000000002</v>
      </c>
      <c r="J99" s="237">
        <v>2.1133000000000002</v>
      </c>
      <c r="K99" s="312"/>
      <c r="L99" s="312"/>
      <c r="M99" s="312"/>
      <c r="N99" s="312"/>
      <c r="O99" s="245">
        <f>G99*I99+H99*J99</f>
        <v>27618435.83184994</v>
      </c>
      <c r="P99" s="243">
        <f>ROUND(37.24%*(G99*I99+H99*J99),2)</f>
        <v>10285105.5</v>
      </c>
      <c r="Q99" s="243">
        <f t="shared" ref="Q99:Q100" si="52">ROUND(R99*P99,2)</f>
        <v>5142552.75</v>
      </c>
      <c r="R99" s="244">
        <v>0.5</v>
      </c>
      <c r="W99" s="74"/>
      <c r="Y99" s="74"/>
    </row>
    <row r="100" spans="1:26" x14ac:dyDescent="0.25">
      <c r="A100" s="326" t="s">
        <v>28</v>
      </c>
      <c r="B100" s="335" t="str">
        <f>B99</f>
        <v>88 GAS</v>
      </c>
      <c r="C100" s="336" t="s">
        <v>31</v>
      </c>
      <c r="D100" s="337" t="s">
        <v>190</v>
      </c>
      <c r="E100" s="337"/>
      <c r="F100" s="342" t="str">
        <f>F99</f>
        <v xml:space="preserve"> MM BTU</v>
      </c>
      <c r="G100" s="387">
        <f>+G99</f>
        <v>6714461.5531000001</v>
      </c>
      <c r="H100" s="387">
        <f>+H99</f>
        <v>6354405.0686999997</v>
      </c>
      <c r="I100" s="328">
        <v>2.1038000000000001</v>
      </c>
      <c r="J100" s="328">
        <v>2.1038000000000001</v>
      </c>
      <c r="K100" s="328"/>
      <c r="L100" s="328"/>
      <c r="M100" s="328"/>
      <c r="N100" s="327"/>
      <c r="O100" s="245">
        <f>G100*I100+H100*J100</f>
        <v>27494281.598942839</v>
      </c>
      <c r="P100" s="243">
        <f>ROUND(37.24%*(G100*I100+H100*J100),2)</f>
        <v>10238870.470000001</v>
      </c>
      <c r="Q100" s="243">
        <f t="shared" si="52"/>
        <v>5119435.24</v>
      </c>
      <c r="R100" s="244">
        <v>0.5</v>
      </c>
      <c r="W100" s="74"/>
      <c r="Y100" s="74"/>
      <c r="Z100" s="74"/>
    </row>
    <row r="101" spans="1:26" x14ac:dyDescent="0.25">
      <c r="A101" s="329"/>
      <c r="B101" s="338" t="s">
        <v>185</v>
      </c>
      <c r="C101" s="100"/>
      <c r="D101" s="210"/>
      <c r="E101" s="210"/>
      <c r="F101" s="329"/>
      <c r="G101" s="386">
        <f t="shared" ref="G101:Q101" si="53">G100-G99</f>
        <v>0</v>
      </c>
      <c r="H101" s="388">
        <f t="shared" si="53"/>
        <v>0</v>
      </c>
      <c r="I101" s="339">
        <f t="shared" si="53"/>
        <v>-9.5000000000000639E-3</v>
      </c>
      <c r="J101" s="339">
        <f t="shared" si="53"/>
        <v>-9.5000000000000639E-3</v>
      </c>
      <c r="K101" s="339">
        <f t="shared" si="53"/>
        <v>0</v>
      </c>
      <c r="L101" s="339">
        <f t="shared" si="53"/>
        <v>0</v>
      </c>
      <c r="M101" s="339">
        <f t="shared" si="53"/>
        <v>0</v>
      </c>
      <c r="N101" s="340">
        <f t="shared" si="53"/>
        <v>0</v>
      </c>
      <c r="O101" s="311">
        <f t="shared" si="53"/>
        <v>-124154.23290710151</v>
      </c>
      <c r="P101" s="461">
        <f t="shared" si="53"/>
        <v>-46235.029999999329</v>
      </c>
      <c r="Q101" s="311">
        <f t="shared" si="53"/>
        <v>-23117.509999999776</v>
      </c>
      <c r="R101" s="462"/>
      <c r="S101" s="307" t="s">
        <v>186</v>
      </c>
      <c r="X101" s="74"/>
      <c r="Y101" s="74"/>
    </row>
    <row r="103" spans="1:26" x14ac:dyDescent="0.25">
      <c r="A103" s="394"/>
      <c r="B103" s="321" t="s">
        <v>259</v>
      </c>
      <c r="C103" s="385"/>
      <c r="W103" s="75"/>
      <c r="Y103" s="350"/>
      <c r="Z103" s="75"/>
    </row>
    <row r="104" spans="1:26" x14ac:dyDescent="0.25">
      <c r="A104" s="313" t="s">
        <v>164</v>
      </c>
      <c r="B104" s="308"/>
      <c r="C104" s="322"/>
      <c r="D104" s="319" t="s">
        <v>19</v>
      </c>
      <c r="E104" s="318" t="s">
        <v>59</v>
      </c>
      <c r="F104" s="319" t="s">
        <v>27</v>
      </c>
      <c r="G104" s="320" t="s">
        <v>35</v>
      </c>
      <c r="H104" s="309" t="s">
        <v>36</v>
      </c>
      <c r="I104" s="309" t="s">
        <v>35</v>
      </c>
      <c r="J104" s="320" t="s">
        <v>36</v>
      </c>
      <c r="K104" s="320" t="s">
        <v>39</v>
      </c>
      <c r="L104" s="320" t="s">
        <v>40</v>
      </c>
      <c r="M104" s="320" t="s">
        <v>42</v>
      </c>
      <c r="N104" s="320" t="s">
        <v>2</v>
      </c>
      <c r="O104" s="323" t="s">
        <v>184</v>
      </c>
      <c r="P104" s="332" t="s">
        <v>166</v>
      </c>
      <c r="Q104" s="332" t="s">
        <v>188</v>
      </c>
      <c r="R104" s="310"/>
      <c r="W104" s="75"/>
      <c r="Y104" s="351"/>
      <c r="Z104" s="350"/>
    </row>
    <row r="105" spans="1:26" x14ac:dyDescent="0.25">
      <c r="A105" s="26" t="s">
        <v>28</v>
      </c>
      <c r="B105" s="27" t="s">
        <v>162</v>
      </c>
      <c r="C105" s="62" t="s">
        <v>31</v>
      </c>
      <c r="D105" s="62" t="s">
        <v>30</v>
      </c>
      <c r="E105" s="62" t="s">
        <v>161</v>
      </c>
      <c r="F105" s="262" t="s">
        <v>56</v>
      </c>
      <c r="G105" s="312">
        <v>8488416.7822999991</v>
      </c>
      <c r="H105" s="312">
        <v>8215382.3080000002</v>
      </c>
      <c r="I105" s="237">
        <v>2.1133000000000002</v>
      </c>
      <c r="J105" s="237">
        <v>2.1133000000000002</v>
      </c>
      <c r="K105" s="312"/>
      <c r="L105" s="312"/>
      <c r="M105" s="312"/>
      <c r="N105" s="312"/>
      <c r="O105" s="245">
        <f>G105*I105+H105*J105</f>
        <v>35300138.617530987</v>
      </c>
      <c r="P105" s="243">
        <f>ROUND(37.24%*(G105*I105+H105*J105),2)</f>
        <v>13145771.619999999</v>
      </c>
      <c r="Q105" s="243">
        <f t="shared" ref="Q105:Q106" si="54">ROUND(R105*P105,2)</f>
        <v>6572885.8099999996</v>
      </c>
      <c r="R105" s="244">
        <v>0.5</v>
      </c>
      <c r="W105" s="74"/>
      <c r="Y105" s="74"/>
    </row>
    <row r="106" spans="1:26" x14ac:dyDescent="0.25">
      <c r="A106" s="326" t="s">
        <v>28</v>
      </c>
      <c r="B106" s="335" t="str">
        <f>B105</f>
        <v>88 GAS</v>
      </c>
      <c r="C106" s="336" t="s">
        <v>31</v>
      </c>
      <c r="D106" s="337" t="s">
        <v>190</v>
      </c>
      <c r="E106" s="337"/>
      <c r="F106" s="342" t="str">
        <f>F105</f>
        <v xml:space="preserve"> MM BTU</v>
      </c>
      <c r="G106" s="387">
        <f>+G105</f>
        <v>8488416.7822999991</v>
      </c>
      <c r="H106" s="387">
        <f>+H105</f>
        <v>8215382.3080000002</v>
      </c>
      <c r="I106" s="328">
        <v>2.0621</v>
      </c>
      <c r="J106" s="328">
        <v>2.0621</v>
      </c>
      <c r="K106" s="328"/>
      <c r="L106" s="328"/>
      <c r="M106" s="328"/>
      <c r="N106" s="327"/>
      <c r="O106" s="245">
        <f>G106*I106+H106*J106</f>
        <v>34444904.104107633</v>
      </c>
      <c r="P106" s="243">
        <f>ROUND(37.24%*(G106*I106+H106*J106),2)</f>
        <v>12827282.289999999</v>
      </c>
      <c r="Q106" s="243">
        <f t="shared" si="54"/>
        <v>6413641.1500000004</v>
      </c>
      <c r="R106" s="244">
        <v>0.5</v>
      </c>
      <c r="W106" s="74"/>
      <c r="Y106" s="74"/>
      <c r="Z106" s="74"/>
    </row>
    <row r="107" spans="1:26" x14ac:dyDescent="0.25">
      <c r="A107" s="329"/>
      <c r="B107" s="338" t="s">
        <v>185</v>
      </c>
      <c r="C107" s="100"/>
      <c r="D107" s="210"/>
      <c r="E107" s="210"/>
      <c r="F107" s="329"/>
      <c r="G107" s="386">
        <f t="shared" ref="G107:Q107" si="55">G106-G105</f>
        <v>0</v>
      </c>
      <c r="H107" s="388">
        <f t="shared" si="55"/>
        <v>0</v>
      </c>
      <c r="I107" s="339">
        <f t="shared" si="55"/>
        <v>-5.1200000000000134E-2</v>
      </c>
      <c r="J107" s="339">
        <f t="shared" si="55"/>
        <v>-5.1200000000000134E-2</v>
      </c>
      <c r="K107" s="339">
        <f t="shared" si="55"/>
        <v>0</v>
      </c>
      <c r="L107" s="339">
        <f t="shared" si="55"/>
        <v>0</v>
      </c>
      <c r="M107" s="339">
        <f t="shared" si="55"/>
        <v>0</v>
      </c>
      <c r="N107" s="340">
        <f t="shared" si="55"/>
        <v>0</v>
      </c>
      <c r="O107" s="311">
        <f t="shared" si="55"/>
        <v>-855234.51342335343</v>
      </c>
      <c r="P107" s="461">
        <f t="shared" si="55"/>
        <v>-318489.33000000007</v>
      </c>
      <c r="Q107" s="311">
        <f t="shared" si="55"/>
        <v>-159244.65999999922</v>
      </c>
      <c r="R107" s="462"/>
      <c r="S107" s="307" t="s">
        <v>186</v>
      </c>
      <c r="X107" s="74"/>
      <c r="Y107" s="74"/>
    </row>
    <row r="109" spans="1:26" x14ac:dyDescent="0.25">
      <c r="A109" s="394"/>
      <c r="B109" s="321" t="s">
        <v>259</v>
      </c>
      <c r="C109" s="385"/>
      <c r="W109" s="75"/>
      <c r="Y109" s="350"/>
      <c r="Z109" s="75"/>
    </row>
    <row r="110" spans="1:26" x14ac:dyDescent="0.25">
      <c r="A110" s="313" t="s">
        <v>164</v>
      </c>
      <c r="B110" s="308"/>
      <c r="C110" s="322"/>
      <c r="D110" s="319" t="s">
        <v>19</v>
      </c>
      <c r="E110" s="318" t="s">
        <v>59</v>
      </c>
      <c r="F110" s="319" t="s">
        <v>27</v>
      </c>
      <c r="G110" s="320" t="s">
        <v>35</v>
      </c>
      <c r="H110" s="309" t="s">
        <v>36</v>
      </c>
      <c r="I110" s="309" t="s">
        <v>35</v>
      </c>
      <c r="J110" s="320" t="s">
        <v>36</v>
      </c>
      <c r="K110" s="320" t="s">
        <v>39</v>
      </c>
      <c r="L110" s="320" t="s">
        <v>40</v>
      </c>
      <c r="M110" s="320" t="s">
        <v>42</v>
      </c>
      <c r="N110" s="320" t="s">
        <v>2</v>
      </c>
      <c r="O110" s="323" t="s">
        <v>184</v>
      </c>
      <c r="P110" s="332" t="s">
        <v>166</v>
      </c>
      <c r="Q110" s="332" t="s">
        <v>188</v>
      </c>
      <c r="R110" s="310"/>
      <c r="W110" s="75"/>
      <c r="Y110" s="351"/>
      <c r="Z110" s="350"/>
    </row>
    <row r="111" spans="1:26" x14ac:dyDescent="0.25">
      <c r="A111" s="26" t="s">
        <v>28</v>
      </c>
      <c r="B111" s="27" t="s">
        <v>261</v>
      </c>
      <c r="C111" s="62" t="s">
        <v>31</v>
      </c>
      <c r="D111" s="62" t="s">
        <v>30</v>
      </c>
      <c r="E111" s="62" t="s">
        <v>161</v>
      </c>
      <c r="F111" s="262" t="s">
        <v>56</v>
      </c>
      <c r="G111" s="312">
        <v>29215.3698</v>
      </c>
      <c r="H111" s="312">
        <v>28970.5677</v>
      </c>
      <c r="I111" s="237">
        <v>2.8704999999999998</v>
      </c>
      <c r="J111" s="237">
        <v>2.8704999999999998</v>
      </c>
      <c r="K111" s="312"/>
      <c r="L111" s="312"/>
      <c r="M111" s="312"/>
      <c r="N111" s="312"/>
      <c r="O111" s="245">
        <f t="shared" ref="O111:O112" si="56">G111*I111+H111*J111</f>
        <v>167022.73359374999</v>
      </c>
      <c r="P111" s="243">
        <f>ROUND(37.24%*O111,2)</f>
        <v>62199.27</v>
      </c>
      <c r="Q111" s="243">
        <f t="shared" ref="Q111:Q112" si="57">ROUND(R111*P111,2)</f>
        <v>31099.64</v>
      </c>
      <c r="R111" s="244">
        <v>0.5</v>
      </c>
      <c r="W111" s="74"/>
      <c r="Y111" s="74"/>
    </row>
    <row r="112" spans="1:26" x14ac:dyDescent="0.25">
      <c r="A112" s="326" t="s">
        <v>28</v>
      </c>
      <c r="B112" s="335" t="str">
        <f>B111</f>
        <v>88 GAS -Pisco</v>
      </c>
      <c r="C112" s="336" t="s">
        <v>31</v>
      </c>
      <c r="D112" s="337" t="s">
        <v>190</v>
      </c>
      <c r="E112" s="337"/>
      <c r="F112" s="342" t="str">
        <f>F111</f>
        <v xml:space="preserve"> MM BTU</v>
      </c>
      <c r="G112" s="387">
        <f>+G111</f>
        <v>29215.3698</v>
      </c>
      <c r="H112" s="387">
        <f>+H111</f>
        <v>28970.5677</v>
      </c>
      <c r="I112" s="328">
        <v>2.8683999999999998</v>
      </c>
      <c r="J112" s="328">
        <v>2.8683999999999998</v>
      </c>
      <c r="K112" s="328"/>
      <c r="L112" s="328"/>
      <c r="M112" s="328"/>
      <c r="N112" s="327"/>
      <c r="O112" s="245">
        <f t="shared" si="56"/>
        <v>166900.54312499997</v>
      </c>
      <c r="P112" s="243">
        <f>ROUND(37.24%*O112,2)</f>
        <v>62153.760000000002</v>
      </c>
      <c r="Q112" s="243">
        <f t="shared" si="57"/>
        <v>31076.880000000001</v>
      </c>
      <c r="R112" s="244">
        <v>0.5</v>
      </c>
      <c r="W112" s="74"/>
      <c r="Y112" s="74"/>
      <c r="Z112" s="74"/>
    </row>
    <row r="113" spans="1:26" x14ac:dyDescent="0.25">
      <c r="A113" s="329"/>
      <c r="B113" s="338" t="s">
        <v>185</v>
      </c>
      <c r="C113" s="100"/>
      <c r="D113" s="210"/>
      <c r="E113" s="210"/>
      <c r="F113" s="329"/>
      <c r="G113" s="386">
        <f t="shared" ref="G113:Q113" si="58">G112-G111</f>
        <v>0</v>
      </c>
      <c r="H113" s="388">
        <f t="shared" si="58"/>
        <v>0</v>
      </c>
      <c r="I113" s="339">
        <f t="shared" si="58"/>
        <v>-2.0999999999999908E-3</v>
      </c>
      <c r="J113" s="339">
        <f t="shared" si="58"/>
        <v>-2.0999999999999908E-3</v>
      </c>
      <c r="K113" s="339">
        <f t="shared" si="58"/>
        <v>0</v>
      </c>
      <c r="L113" s="339">
        <f t="shared" si="58"/>
        <v>0</v>
      </c>
      <c r="M113" s="339">
        <f t="shared" si="58"/>
        <v>0</v>
      </c>
      <c r="N113" s="340">
        <f t="shared" si="58"/>
        <v>0</v>
      </c>
      <c r="O113" s="311">
        <f t="shared" si="58"/>
        <v>-122.19046875002095</v>
      </c>
      <c r="P113" s="461">
        <f t="shared" si="58"/>
        <v>-45.509999999994761</v>
      </c>
      <c r="Q113" s="311">
        <f t="shared" si="58"/>
        <v>-22.759999999998399</v>
      </c>
      <c r="R113" s="462"/>
      <c r="S113" s="307" t="s">
        <v>186</v>
      </c>
      <c r="X113" s="74"/>
      <c r="Y113" s="74"/>
    </row>
    <row r="115" spans="1:26" x14ac:dyDescent="0.25">
      <c r="A115" s="394"/>
      <c r="B115" s="321" t="s">
        <v>260</v>
      </c>
      <c r="C115" s="385"/>
    </row>
    <row r="116" spans="1:26" x14ac:dyDescent="0.25">
      <c r="A116" s="313" t="s">
        <v>164</v>
      </c>
      <c r="B116" s="308"/>
      <c r="C116" s="322"/>
      <c r="D116" s="319" t="s">
        <v>19</v>
      </c>
      <c r="E116" s="318" t="s">
        <v>59</v>
      </c>
      <c r="F116" s="319" t="s">
        <v>27</v>
      </c>
      <c r="G116" s="320" t="s">
        <v>35</v>
      </c>
      <c r="H116" s="309" t="s">
        <v>36</v>
      </c>
      <c r="I116" s="309" t="s">
        <v>35</v>
      </c>
      <c r="J116" s="320" t="s">
        <v>36</v>
      </c>
      <c r="K116" s="320" t="s">
        <v>39</v>
      </c>
      <c r="L116" s="320" t="s">
        <v>40</v>
      </c>
      <c r="M116" s="320" t="s">
        <v>42</v>
      </c>
      <c r="N116" s="320" t="s">
        <v>2</v>
      </c>
      <c r="O116" s="323" t="s">
        <v>184</v>
      </c>
      <c r="P116" s="332" t="s">
        <v>166</v>
      </c>
      <c r="Q116" s="332" t="s">
        <v>188</v>
      </c>
      <c r="R116" s="310"/>
    </row>
    <row r="117" spans="1:26" x14ac:dyDescent="0.25">
      <c r="A117" s="26" t="s">
        <v>28</v>
      </c>
      <c r="B117" s="32" t="s">
        <v>179</v>
      </c>
      <c r="C117" s="62" t="s">
        <v>31</v>
      </c>
      <c r="D117" s="62" t="s">
        <v>30</v>
      </c>
      <c r="E117" s="62" t="s">
        <v>161</v>
      </c>
      <c r="F117" s="262" t="s">
        <v>37</v>
      </c>
      <c r="G117" s="312">
        <v>215937</v>
      </c>
      <c r="H117" s="312">
        <v>189989</v>
      </c>
      <c r="I117" s="237">
        <v>30.211600000000001</v>
      </c>
      <c r="J117" s="237">
        <v>31.529299999999999</v>
      </c>
      <c r="K117" s="467"/>
      <c r="L117" s="468"/>
      <c r="M117" s="468"/>
      <c r="N117" s="467"/>
      <c r="O117" s="245">
        <f t="shared" ref="O117:O118" si="59">G117*I117+H117*J117</f>
        <v>12514022.446899999</v>
      </c>
      <c r="P117" s="281">
        <f>ROUND(G117*I117,2)*6.48%+ROUND(H117*J117,2)*6.35%</f>
        <v>803121.36852600006</v>
      </c>
      <c r="Q117" s="243">
        <f t="shared" ref="Q117:Q118" si="60">ROUND(R117*P117,2)</f>
        <v>401560.68</v>
      </c>
      <c r="R117" s="244">
        <v>0.5</v>
      </c>
    </row>
    <row r="118" spans="1:26" x14ac:dyDescent="0.25">
      <c r="A118" s="326" t="s">
        <v>28</v>
      </c>
      <c r="B118" s="335" t="str">
        <f>B117</f>
        <v>57 LGN</v>
      </c>
      <c r="C118" s="336" t="s">
        <v>31</v>
      </c>
      <c r="D118" s="337" t="s">
        <v>190</v>
      </c>
      <c r="E118" s="337"/>
      <c r="F118" s="342" t="str">
        <f>F117</f>
        <v>Bls</v>
      </c>
      <c r="G118" s="387">
        <f>+G117</f>
        <v>215937</v>
      </c>
      <c r="H118" s="387">
        <f>+H117</f>
        <v>189989</v>
      </c>
      <c r="I118" s="328">
        <v>36.206099999999999</v>
      </c>
      <c r="J118" s="328">
        <v>37.523800000000001</v>
      </c>
      <c r="K118" s="328"/>
      <c r="L118" s="328"/>
      <c r="M118" s="328"/>
      <c r="N118" s="327"/>
      <c r="O118" s="245">
        <f t="shared" si="59"/>
        <v>14947345.8539</v>
      </c>
      <c r="P118" s="281">
        <f>ROUND(G118*I118,2)*6.48%+ROUND(H118*J118,2)*6.35%</f>
        <v>959320.16971600009</v>
      </c>
      <c r="Q118" s="243">
        <f t="shared" si="60"/>
        <v>479660.08</v>
      </c>
      <c r="R118" s="244">
        <v>0.5</v>
      </c>
    </row>
    <row r="119" spans="1:26" x14ac:dyDescent="0.25">
      <c r="A119" s="329"/>
      <c r="B119" s="338" t="s">
        <v>185</v>
      </c>
      <c r="C119" s="100"/>
      <c r="D119" s="210"/>
      <c r="E119" s="210"/>
      <c r="F119" s="329"/>
      <c r="G119" s="386">
        <f t="shared" ref="G119:P119" si="61">G118-G117</f>
        <v>0</v>
      </c>
      <c r="H119" s="388">
        <f t="shared" si="61"/>
        <v>0</v>
      </c>
      <c r="I119" s="339">
        <f t="shared" si="61"/>
        <v>5.9944999999999986</v>
      </c>
      <c r="J119" s="339">
        <f t="shared" si="61"/>
        <v>5.9945000000000022</v>
      </c>
      <c r="K119" s="339">
        <f t="shared" si="61"/>
        <v>0</v>
      </c>
      <c r="L119" s="339">
        <f t="shared" si="61"/>
        <v>0</v>
      </c>
      <c r="M119" s="339">
        <f t="shared" si="61"/>
        <v>0</v>
      </c>
      <c r="N119" s="340">
        <f t="shared" si="61"/>
        <v>0</v>
      </c>
      <c r="O119" s="311">
        <f t="shared" si="61"/>
        <v>2433323.4070000015</v>
      </c>
      <c r="P119" s="461">
        <f t="shared" si="61"/>
        <v>156198.80119000003</v>
      </c>
      <c r="Q119" s="311">
        <f>Q118-Q117</f>
        <v>78099.400000000023</v>
      </c>
      <c r="R119" s="462"/>
      <c r="S119" s="307" t="s">
        <v>186</v>
      </c>
    </row>
    <row r="121" spans="1:26" x14ac:dyDescent="0.25">
      <c r="A121" s="394"/>
      <c r="B121" s="321" t="s">
        <v>263</v>
      </c>
      <c r="C121" s="385"/>
      <c r="W121" s="75"/>
      <c r="Y121" s="350"/>
      <c r="Z121" s="75"/>
    </row>
    <row r="122" spans="1:26" x14ac:dyDescent="0.25">
      <c r="A122" s="313" t="s">
        <v>164</v>
      </c>
      <c r="B122" s="308"/>
      <c r="C122" s="322"/>
      <c r="D122" s="319" t="s">
        <v>19</v>
      </c>
      <c r="E122" s="318" t="s">
        <v>59</v>
      </c>
      <c r="F122" s="319" t="s">
        <v>27</v>
      </c>
      <c r="G122" s="320" t="s">
        <v>35</v>
      </c>
      <c r="H122" s="309" t="s">
        <v>36</v>
      </c>
      <c r="I122" s="309" t="s">
        <v>35</v>
      </c>
      <c r="J122" s="320" t="s">
        <v>36</v>
      </c>
      <c r="K122" s="320" t="s">
        <v>39</v>
      </c>
      <c r="L122" s="320" t="s">
        <v>40</v>
      </c>
      <c r="M122" s="320" t="s">
        <v>42</v>
      </c>
      <c r="N122" s="320" t="s">
        <v>2</v>
      </c>
      <c r="O122" s="323" t="s">
        <v>184</v>
      </c>
      <c r="P122" s="332" t="s">
        <v>166</v>
      </c>
      <c r="Q122" s="332" t="s">
        <v>188</v>
      </c>
      <c r="R122" s="310"/>
      <c r="W122" s="75"/>
      <c r="Y122" s="351"/>
      <c r="Z122" s="350"/>
    </row>
    <row r="123" spans="1:26" x14ac:dyDescent="0.25">
      <c r="A123" s="26" t="s">
        <v>28</v>
      </c>
      <c r="B123" s="27" t="s">
        <v>261</v>
      </c>
      <c r="C123" s="62" t="s">
        <v>31</v>
      </c>
      <c r="D123" s="62" t="s">
        <v>30</v>
      </c>
      <c r="E123" s="62" t="s">
        <v>161</v>
      </c>
      <c r="F123" s="262" t="s">
        <v>56</v>
      </c>
      <c r="G123" s="312"/>
      <c r="H123" s="312">
        <v>4899.0767845079945</v>
      </c>
      <c r="I123" s="237"/>
      <c r="J123" s="237">
        <v>3.1086999999999998</v>
      </c>
      <c r="K123" s="312"/>
      <c r="L123" s="312"/>
      <c r="M123" s="312"/>
      <c r="N123" s="312"/>
      <c r="O123" s="245">
        <f t="shared" ref="O123:O124" si="62">G123*I123+H123*J123</f>
        <v>15229.760000000002</v>
      </c>
      <c r="P123" s="243">
        <f>ROUND(37.24%*O123,2)</f>
        <v>5671.56</v>
      </c>
      <c r="Q123" s="243">
        <f>ROUND(R123*P123,2)</f>
        <v>2835.78</v>
      </c>
      <c r="R123" s="244">
        <v>0.5</v>
      </c>
      <c r="W123" s="74"/>
      <c r="Y123" s="74"/>
    </row>
    <row r="124" spans="1:26" x14ac:dyDescent="0.25">
      <c r="A124" s="326" t="s">
        <v>28</v>
      </c>
      <c r="B124" s="335" t="str">
        <f>B123</f>
        <v>88 GAS -Pisco</v>
      </c>
      <c r="C124" s="336" t="s">
        <v>31</v>
      </c>
      <c r="D124" s="337" t="s">
        <v>190</v>
      </c>
      <c r="E124" s="337"/>
      <c r="F124" s="342" t="str">
        <f>F123</f>
        <v xml:space="preserve"> MM BTU</v>
      </c>
      <c r="G124" s="387"/>
      <c r="H124" s="387">
        <f>+H123</f>
        <v>4899.0767845079945</v>
      </c>
      <c r="I124" s="328"/>
      <c r="J124" s="328">
        <v>3.1086</v>
      </c>
      <c r="K124" s="328"/>
      <c r="L124" s="328"/>
      <c r="M124" s="328"/>
      <c r="N124" s="327"/>
      <c r="O124" s="245">
        <f t="shared" si="62"/>
        <v>15229.270092321553</v>
      </c>
      <c r="P124" s="243">
        <f>ROUND(37.24%*O124,2)</f>
        <v>5671.38</v>
      </c>
      <c r="Q124" s="243">
        <f>ROUND(R124*P124,2)</f>
        <v>2835.69</v>
      </c>
      <c r="R124" s="244">
        <v>0.5</v>
      </c>
      <c r="W124" s="74"/>
      <c r="Y124" s="74"/>
      <c r="Z124" s="74"/>
    </row>
    <row r="125" spans="1:26" x14ac:dyDescent="0.25">
      <c r="A125" s="329"/>
      <c r="B125" s="338" t="s">
        <v>185</v>
      </c>
      <c r="C125" s="100"/>
      <c r="D125" s="210"/>
      <c r="E125" s="210"/>
      <c r="F125" s="329"/>
      <c r="G125" s="386">
        <f t="shared" ref="G125:Q125" si="63">G124-G123</f>
        <v>0</v>
      </c>
      <c r="H125" s="388">
        <f t="shared" si="63"/>
        <v>0</v>
      </c>
      <c r="I125" s="339">
        <f t="shared" si="63"/>
        <v>0</v>
      </c>
      <c r="J125" s="339">
        <f t="shared" si="63"/>
        <v>-9.9999999999766942E-5</v>
      </c>
      <c r="K125" s="339">
        <f t="shared" si="63"/>
        <v>0</v>
      </c>
      <c r="L125" s="339">
        <f t="shared" si="63"/>
        <v>0</v>
      </c>
      <c r="M125" s="339">
        <f t="shared" si="63"/>
        <v>0</v>
      </c>
      <c r="N125" s="340">
        <f t="shared" si="63"/>
        <v>0</v>
      </c>
      <c r="O125" s="311">
        <f t="shared" si="63"/>
        <v>-0.48990767844952643</v>
      </c>
      <c r="P125" s="461">
        <f t="shared" si="63"/>
        <v>-0.18000000000029104</v>
      </c>
      <c r="Q125" s="311">
        <f t="shared" si="63"/>
        <v>-9.0000000000145519E-2</v>
      </c>
      <c r="R125" s="462"/>
      <c r="S125" s="307" t="s">
        <v>186</v>
      </c>
      <c r="X125" s="74"/>
      <c r="Y125" s="74"/>
    </row>
    <row r="126" spans="1:26" x14ac:dyDescent="0.25">
      <c r="A126" s="125"/>
      <c r="B126" s="7"/>
      <c r="C126" s="125"/>
      <c r="D126" s="125"/>
      <c r="E126" s="125"/>
      <c r="F126" s="125"/>
      <c r="G126" s="483"/>
      <c r="H126" s="483"/>
      <c r="I126" s="536"/>
      <c r="J126" s="536"/>
      <c r="K126" s="484"/>
      <c r="L126" s="484"/>
      <c r="M126" s="484"/>
      <c r="N126" s="485"/>
      <c r="O126" s="483"/>
      <c r="P126" s="486"/>
      <c r="Q126" s="483"/>
      <c r="R126" s="487"/>
      <c r="S126" s="483"/>
      <c r="T126" s="6"/>
      <c r="U126" s="6"/>
      <c r="V126" s="6"/>
    </row>
    <row r="127" spans="1:26" x14ac:dyDescent="0.25">
      <c r="A127" s="394"/>
      <c r="B127" s="321" t="s">
        <v>264</v>
      </c>
      <c r="C127" s="385"/>
      <c r="W127" s="75"/>
      <c r="Y127" s="350"/>
      <c r="Z127" s="75"/>
    </row>
    <row r="128" spans="1:26" x14ac:dyDescent="0.25">
      <c r="A128" s="313" t="s">
        <v>164</v>
      </c>
      <c r="B128" s="308"/>
      <c r="C128" s="322"/>
      <c r="D128" s="319" t="s">
        <v>19</v>
      </c>
      <c r="E128" s="318" t="s">
        <v>59</v>
      </c>
      <c r="F128" s="319" t="s">
        <v>27</v>
      </c>
      <c r="G128" s="320" t="s">
        <v>35</v>
      </c>
      <c r="H128" s="309" t="s">
        <v>36</v>
      </c>
      <c r="I128" s="309" t="s">
        <v>35</v>
      </c>
      <c r="J128" s="320" t="s">
        <v>36</v>
      </c>
      <c r="K128" s="320" t="s">
        <v>39</v>
      </c>
      <c r="L128" s="320" t="s">
        <v>40</v>
      </c>
      <c r="M128" s="320" t="s">
        <v>42</v>
      </c>
      <c r="N128" s="320" t="s">
        <v>2</v>
      </c>
      <c r="O128" s="323" t="s">
        <v>184</v>
      </c>
      <c r="P128" s="332" t="s">
        <v>166</v>
      </c>
      <c r="Q128" s="332" t="s">
        <v>188</v>
      </c>
      <c r="R128" s="310"/>
      <c r="W128" s="75"/>
      <c r="Y128" s="351"/>
      <c r="Z128" s="350"/>
    </row>
    <row r="129" spans="1:26" x14ac:dyDescent="0.25">
      <c r="A129" s="26" t="s">
        <v>28</v>
      </c>
      <c r="B129" s="27" t="s">
        <v>261</v>
      </c>
      <c r="C129" s="62" t="s">
        <v>31</v>
      </c>
      <c r="D129" s="62" t="s">
        <v>30</v>
      </c>
      <c r="E129" s="62" t="s">
        <v>161</v>
      </c>
      <c r="F129" s="262" t="s">
        <v>56</v>
      </c>
      <c r="G129" s="312">
        <v>15702.391542577194</v>
      </c>
      <c r="H129" s="312">
        <v>10186.185779668665</v>
      </c>
      <c r="I129" s="237">
        <v>3.1025999999999998</v>
      </c>
      <c r="J129" s="237">
        <v>3.1025999999999998</v>
      </c>
      <c r="K129" s="312"/>
      <c r="L129" s="312"/>
      <c r="M129" s="312"/>
      <c r="N129" s="312"/>
      <c r="O129" s="245">
        <f t="shared" ref="O129:O130" si="64">G129*I129+H129*J129</f>
        <v>80321.899999999994</v>
      </c>
      <c r="P129" s="243">
        <f>ROUND(37.24%*O129,2)</f>
        <v>29911.88</v>
      </c>
      <c r="Q129" s="243">
        <f t="shared" ref="Q129" si="65">ROUND(R129*P129,2)</f>
        <v>14955.94</v>
      </c>
      <c r="R129" s="244">
        <v>0.5</v>
      </c>
      <c r="W129" s="74"/>
      <c r="Y129" s="74"/>
    </row>
    <row r="130" spans="1:26" x14ac:dyDescent="0.25">
      <c r="A130" s="326" t="s">
        <v>28</v>
      </c>
      <c r="B130" s="335" t="str">
        <f>B129</f>
        <v>88 GAS -Pisco</v>
      </c>
      <c r="C130" s="336" t="s">
        <v>31</v>
      </c>
      <c r="D130" s="337" t="s">
        <v>190</v>
      </c>
      <c r="E130" s="337"/>
      <c r="F130" s="342" t="str">
        <f>F129</f>
        <v xml:space="preserve"> MM BTU</v>
      </c>
      <c r="G130" s="312">
        <f>+G129</f>
        <v>15702.391542577194</v>
      </c>
      <c r="H130" s="387">
        <f>+H129</f>
        <v>10186.185779668665</v>
      </c>
      <c r="I130" s="328">
        <v>3.0657999999999999</v>
      </c>
      <c r="J130" s="328">
        <v>3.0657999999999999</v>
      </c>
      <c r="K130" s="328"/>
      <c r="L130" s="328"/>
      <c r="M130" s="328"/>
      <c r="N130" s="327"/>
      <c r="O130" s="245">
        <f t="shared" si="64"/>
        <v>79369.200354541361</v>
      </c>
      <c r="P130" s="243">
        <f>ROUND(37.24%*O130,2)</f>
        <v>29557.09</v>
      </c>
      <c r="Q130" s="243">
        <f>ROUND(R130*P130,2)</f>
        <v>14778.55</v>
      </c>
      <c r="R130" s="244">
        <v>0.5</v>
      </c>
      <c r="W130" s="74"/>
      <c r="Y130" s="74"/>
      <c r="Z130" s="74"/>
    </row>
    <row r="131" spans="1:26" x14ac:dyDescent="0.25">
      <c r="A131" s="329"/>
      <c r="B131" s="338" t="s">
        <v>185</v>
      </c>
      <c r="C131" s="100"/>
      <c r="D131" s="210"/>
      <c r="E131" s="210"/>
      <c r="F131" s="329"/>
      <c r="G131" s="386">
        <f t="shared" ref="G131:Q131" si="66">G130-G129</f>
        <v>0</v>
      </c>
      <c r="H131" s="388">
        <f t="shared" si="66"/>
        <v>0</v>
      </c>
      <c r="I131" s="339">
        <f t="shared" si="66"/>
        <v>-3.6799999999999944E-2</v>
      </c>
      <c r="J131" s="339">
        <f t="shared" si="66"/>
        <v>-3.6799999999999944E-2</v>
      </c>
      <c r="K131" s="339">
        <f t="shared" si="66"/>
        <v>0</v>
      </c>
      <c r="L131" s="339">
        <f t="shared" si="66"/>
        <v>0</v>
      </c>
      <c r="M131" s="339">
        <f t="shared" si="66"/>
        <v>0</v>
      </c>
      <c r="N131" s="340">
        <f t="shared" si="66"/>
        <v>0</v>
      </c>
      <c r="O131" s="311">
        <f t="shared" si="66"/>
        <v>-952.69964545863331</v>
      </c>
      <c r="P131" s="461">
        <f t="shared" si="66"/>
        <v>-354.79000000000087</v>
      </c>
      <c r="Q131" s="311">
        <f t="shared" si="66"/>
        <v>-177.39000000000124</v>
      </c>
      <c r="R131" s="462"/>
      <c r="S131" s="307" t="s">
        <v>186</v>
      </c>
      <c r="X131" s="74"/>
      <c r="Y131" s="74"/>
    </row>
    <row r="132" spans="1:26" x14ac:dyDescent="0.25">
      <c r="A132" s="125"/>
      <c r="B132" s="7"/>
      <c r="C132" s="125"/>
      <c r="D132" s="125"/>
      <c r="E132" s="125"/>
      <c r="F132" s="125"/>
      <c r="G132" s="483"/>
      <c r="H132" s="483"/>
      <c r="I132" s="536"/>
      <c r="J132" s="536"/>
      <c r="K132" s="484"/>
      <c r="L132" s="484"/>
      <c r="M132" s="484"/>
      <c r="N132" s="485"/>
      <c r="O132" s="483"/>
      <c r="P132" s="486"/>
      <c r="Q132" s="483"/>
      <c r="R132" s="487"/>
      <c r="S132" s="483"/>
      <c r="T132" s="6"/>
      <c r="U132" s="6"/>
      <c r="V132" s="6"/>
    </row>
    <row r="133" spans="1:26" x14ac:dyDescent="0.25">
      <c r="A133" s="394"/>
      <c r="B133" s="321" t="s">
        <v>265</v>
      </c>
      <c r="C133" s="385"/>
      <c r="W133" s="75"/>
      <c r="Y133" s="350"/>
      <c r="Z133" s="75"/>
    </row>
    <row r="134" spans="1:26" x14ac:dyDescent="0.25">
      <c r="A134" s="313" t="s">
        <v>164</v>
      </c>
      <c r="B134" s="308"/>
      <c r="C134" s="322"/>
      <c r="D134" s="319" t="s">
        <v>19</v>
      </c>
      <c r="E134" s="318" t="s">
        <v>59</v>
      </c>
      <c r="F134" s="319" t="s">
        <v>27</v>
      </c>
      <c r="G134" s="320" t="s">
        <v>35</v>
      </c>
      <c r="H134" s="309" t="s">
        <v>36</v>
      </c>
      <c r="I134" s="309" t="s">
        <v>35</v>
      </c>
      <c r="J134" s="320" t="s">
        <v>36</v>
      </c>
      <c r="K134" s="320" t="s">
        <v>39</v>
      </c>
      <c r="L134" s="320" t="s">
        <v>40</v>
      </c>
      <c r="M134" s="320" t="s">
        <v>42</v>
      </c>
      <c r="N134" s="320" t="s">
        <v>2</v>
      </c>
      <c r="O134" s="323" t="s">
        <v>184</v>
      </c>
      <c r="P134" s="332" t="s">
        <v>166</v>
      </c>
      <c r="Q134" s="332" t="s">
        <v>188</v>
      </c>
      <c r="R134" s="310"/>
      <c r="W134" s="75"/>
      <c r="Y134" s="351"/>
      <c r="Z134" s="350"/>
    </row>
    <row r="135" spans="1:26" x14ac:dyDescent="0.25">
      <c r="A135" s="26" t="s">
        <v>28</v>
      </c>
      <c r="B135" s="27" t="s">
        <v>261</v>
      </c>
      <c r="C135" s="62" t="s">
        <v>31</v>
      </c>
      <c r="D135" s="62" t="s">
        <v>30</v>
      </c>
      <c r="E135" s="62" t="s">
        <v>161</v>
      </c>
      <c r="F135" s="262" t="s">
        <v>56</v>
      </c>
      <c r="G135" s="312">
        <v>6111.2430487405954</v>
      </c>
      <c r="H135" s="312">
        <v>18064.985279685967</v>
      </c>
      <c r="I135" s="237">
        <v>3.0569999999999999</v>
      </c>
      <c r="J135" s="237">
        <v>3.0569999999999999</v>
      </c>
      <c r="K135" s="312"/>
      <c r="L135" s="312"/>
      <c r="M135" s="312"/>
      <c r="N135" s="312"/>
      <c r="O135" s="245">
        <f t="shared" ref="O135:O136" si="67">G135*I135+H135*J135</f>
        <v>73906.73</v>
      </c>
      <c r="P135" s="243">
        <f>ROUND(37.24%*O135,2)</f>
        <v>27522.87</v>
      </c>
      <c r="Q135" s="243">
        <f t="shared" ref="Q135:Q136" si="68">ROUND(R135*P135,2)</f>
        <v>13761.44</v>
      </c>
      <c r="R135" s="244">
        <v>0.5</v>
      </c>
      <c r="W135" s="74"/>
      <c r="Y135" s="74"/>
    </row>
    <row r="136" spans="1:26" x14ac:dyDescent="0.25">
      <c r="A136" s="326" t="s">
        <v>28</v>
      </c>
      <c r="B136" s="335" t="str">
        <f>B135</f>
        <v>88 GAS -Pisco</v>
      </c>
      <c r="C136" s="336" t="s">
        <v>31</v>
      </c>
      <c r="D136" s="337" t="s">
        <v>190</v>
      </c>
      <c r="E136" s="337"/>
      <c r="F136" s="342" t="str">
        <f>F135</f>
        <v xml:space="preserve"> MM BTU</v>
      </c>
      <c r="G136" s="312">
        <f>+G135</f>
        <v>6111.2430487405954</v>
      </c>
      <c r="H136" s="387">
        <f>+H135</f>
        <v>18064.985279685967</v>
      </c>
      <c r="I136" s="328">
        <v>2.9792999999999998</v>
      </c>
      <c r="J136" s="328">
        <v>2.9792999999999998</v>
      </c>
      <c r="K136" s="328"/>
      <c r="L136" s="328"/>
      <c r="M136" s="328"/>
      <c r="N136" s="327"/>
      <c r="O136" s="245">
        <f t="shared" si="67"/>
        <v>72028.237058881263</v>
      </c>
      <c r="P136" s="243">
        <f>ROUND(37.24%*O136,2)</f>
        <v>26823.32</v>
      </c>
      <c r="Q136" s="243">
        <f t="shared" si="68"/>
        <v>13411.66</v>
      </c>
      <c r="R136" s="244">
        <v>0.5</v>
      </c>
      <c r="W136" s="74"/>
      <c r="Y136" s="74"/>
      <c r="Z136" s="74"/>
    </row>
    <row r="137" spans="1:26" x14ac:dyDescent="0.25">
      <c r="A137" s="329"/>
      <c r="B137" s="338" t="s">
        <v>185</v>
      </c>
      <c r="C137" s="100"/>
      <c r="D137" s="210"/>
      <c r="E137" s="210"/>
      <c r="F137" s="329"/>
      <c r="G137" s="386">
        <f t="shared" ref="G137:Q137" si="69">G136-G135</f>
        <v>0</v>
      </c>
      <c r="H137" s="388">
        <f t="shared" si="69"/>
        <v>0</v>
      </c>
      <c r="I137" s="339">
        <f t="shared" si="69"/>
        <v>-7.7700000000000102E-2</v>
      </c>
      <c r="J137" s="339">
        <f t="shared" si="69"/>
        <v>-7.7700000000000102E-2</v>
      </c>
      <c r="K137" s="339">
        <f t="shared" si="69"/>
        <v>0</v>
      </c>
      <c r="L137" s="339">
        <f t="shared" si="69"/>
        <v>0</v>
      </c>
      <c r="M137" s="339">
        <f t="shared" si="69"/>
        <v>0</v>
      </c>
      <c r="N137" s="340">
        <f t="shared" si="69"/>
        <v>0</v>
      </c>
      <c r="O137" s="311">
        <f t="shared" si="69"/>
        <v>-1878.4929411187331</v>
      </c>
      <c r="P137" s="461">
        <f t="shared" si="69"/>
        <v>-699.54999999999927</v>
      </c>
      <c r="Q137" s="311">
        <f t="shared" si="69"/>
        <v>-349.78000000000065</v>
      </c>
      <c r="R137" s="462"/>
      <c r="S137" s="307" t="s">
        <v>186</v>
      </c>
      <c r="X137" s="74"/>
      <c r="Y137" s="74"/>
    </row>
    <row r="138" spans="1:26" x14ac:dyDescent="0.25">
      <c r="A138" s="125"/>
      <c r="B138" s="7"/>
      <c r="C138" s="125"/>
      <c r="D138" s="125"/>
      <c r="E138" s="125"/>
      <c r="F138" s="125"/>
      <c r="G138" s="483"/>
      <c r="H138" s="483"/>
      <c r="I138" s="536"/>
      <c r="J138" s="536"/>
      <c r="K138" s="484"/>
      <c r="L138" s="484"/>
      <c r="M138" s="484"/>
      <c r="N138" s="485"/>
      <c r="O138" s="483"/>
      <c r="P138" s="486"/>
      <c r="Q138" s="483"/>
      <c r="R138" s="487"/>
      <c r="S138" s="483"/>
      <c r="T138" s="6"/>
      <c r="U138" s="6"/>
      <c r="V138" s="6"/>
    </row>
    <row r="139" spans="1:26" x14ac:dyDescent="0.25">
      <c r="A139" s="394"/>
      <c r="B139" s="321" t="s">
        <v>266</v>
      </c>
      <c r="C139" s="385"/>
      <c r="W139" s="75"/>
      <c r="Y139" s="350"/>
      <c r="Z139" s="75"/>
    </row>
    <row r="140" spans="1:26" x14ac:dyDescent="0.25">
      <c r="A140" s="313" t="s">
        <v>164</v>
      </c>
      <c r="B140" s="308"/>
      <c r="C140" s="322"/>
      <c r="D140" s="319" t="s">
        <v>19</v>
      </c>
      <c r="E140" s="318" t="s">
        <v>59</v>
      </c>
      <c r="F140" s="319" t="s">
        <v>27</v>
      </c>
      <c r="G140" s="320" t="s">
        <v>35</v>
      </c>
      <c r="H140" s="309" t="s">
        <v>36</v>
      </c>
      <c r="I140" s="309" t="s">
        <v>35</v>
      </c>
      <c r="J140" s="320" t="s">
        <v>36</v>
      </c>
      <c r="K140" s="320" t="s">
        <v>39</v>
      </c>
      <c r="L140" s="320" t="s">
        <v>40</v>
      </c>
      <c r="M140" s="320" t="s">
        <v>42</v>
      </c>
      <c r="N140" s="320" t="s">
        <v>2</v>
      </c>
      <c r="O140" s="323" t="s">
        <v>184</v>
      </c>
      <c r="P140" s="332" t="s">
        <v>166</v>
      </c>
      <c r="Q140" s="332" t="s">
        <v>188</v>
      </c>
      <c r="R140" s="310"/>
      <c r="W140" s="75"/>
      <c r="Y140" s="351"/>
      <c r="Z140" s="350"/>
    </row>
    <row r="141" spans="1:26" x14ac:dyDescent="0.25">
      <c r="A141" s="26" t="s">
        <v>28</v>
      </c>
      <c r="B141" s="27" t="s">
        <v>261</v>
      </c>
      <c r="C141" s="62" t="s">
        <v>31</v>
      </c>
      <c r="D141" s="62" t="s">
        <v>30</v>
      </c>
      <c r="E141" s="62" t="s">
        <v>161</v>
      </c>
      <c r="F141" s="262" t="s">
        <v>56</v>
      </c>
      <c r="G141" s="312">
        <v>10519.8019</v>
      </c>
      <c r="H141" s="312">
        <v>4710.1400000000003</v>
      </c>
      <c r="I141" s="237">
        <v>2.9792999999999998</v>
      </c>
      <c r="J141" s="237">
        <v>2.9792999999999998</v>
      </c>
      <c r="K141" s="312"/>
      <c r="L141" s="312"/>
      <c r="M141" s="312"/>
      <c r="N141" s="312"/>
      <c r="O141" s="245">
        <f t="shared" ref="O141:O142" si="70">G141*I141+H141*J141</f>
        <v>45374.565902670001</v>
      </c>
      <c r="P141" s="243">
        <f>ROUND(37.24%*O141,2)</f>
        <v>16897.490000000002</v>
      </c>
      <c r="Q141" s="243">
        <f t="shared" ref="Q141:Q142" si="71">ROUND(R141*P141,2)</f>
        <v>8448.75</v>
      </c>
      <c r="R141" s="244">
        <v>0.5</v>
      </c>
      <c r="W141" s="74"/>
      <c r="Y141" s="74"/>
    </row>
    <row r="142" spans="1:26" x14ac:dyDescent="0.25">
      <c r="A142" s="326" t="s">
        <v>28</v>
      </c>
      <c r="B142" s="335" t="str">
        <f>B141</f>
        <v>88 GAS -Pisco</v>
      </c>
      <c r="C142" s="336" t="s">
        <v>31</v>
      </c>
      <c r="D142" s="337" t="s">
        <v>190</v>
      </c>
      <c r="E142" s="337"/>
      <c r="F142" s="342" t="str">
        <f>F141</f>
        <v xml:space="preserve"> MM BTU</v>
      </c>
      <c r="G142" s="312">
        <f>+G141</f>
        <v>10519.8019</v>
      </c>
      <c r="H142" s="387">
        <f>+H141</f>
        <v>4710.1400000000003</v>
      </c>
      <c r="I142" s="328">
        <v>3.0731999999999999</v>
      </c>
      <c r="J142" s="328">
        <v>3.0731999999999999</v>
      </c>
      <c r="K142" s="328"/>
      <c r="L142" s="328"/>
      <c r="M142" s="328"/>
      <c r="N142" s="327"/>
      <c r="O142" s="245">
        <f t="shared" si="70"/>
        <v>46804.657447079997</v>
      </c>
      <c r="P142" s="243">
        <f>ROUND(37.24%*O142,2)</f>
        <v>17430.05</v>
      </c>
      <c r="Q142" s="243">
        <f t="shared" si="71"/>
        <v>8715.0300000000007</v>
      </c>
      <c r="R142" s="244">
        <v>0.5</v>
      </c>
      <c r="W142" s="74"/>
      <c r="Y142" s="74"/>
      <c r="Z142" s="74"/>
    </row>
    <row r="143" spans="1:26" x14ac:dyDescent="0.25">
      <c r="A143" s="329"/>
      <c r="B143" s="338" t="s">
        <v>185</v>
      </c>
      <c r="C143" s="100"/>
      <c r="D143" s="210"/>
      <c r="E143" s="210"/>
      <c r="F143" s="329"/>
      <c r="G143" s="386">
        <f t="shared" ref="G143:Q143" si="72">G142-G141</f>
        <v>0</v>
      </c>
      <c r="H143" s="388">
        <f t="shared" si="72"/>
        <v>0</v>
      </c>
      <c r="I143" s="339">
        <f t="shared" si="72"/>
        <v>9.3900000000000095E-2</v>
      </c>
      <c r="J143" s="339">
        <f t="shared" si="72"/>
        <v>9.3900000000000095E-2</v>
      </c>
      <c r="K143" s="339">
        <f t="shared" si="72"/>
        <v>0</v>
      </c>
      <c r="L143" s="339">
        <f t="shared" si="72"/>
        <v>0</v>
      </c>
      <c r="M143" s="339">
        <f t="shared" si="72"/>
        <v>0</v>
      </c>
      <c r="N143" s="340">
        <f t="shared" si="72"/>
        <v>0</v>
      </c>
      <c r="O143" s="311">
        <f t="shared" si="72"/>
        <v>1430.0915444099955</v>
      </c>
      <c r="P143" s="461">
        <f t="shared" si="72"/>
        <v>532.55999999999767</v>
      </c>
      <c r="Q143" s="311">
        <f t="shared" si="72"/>
        <v>266.28000000000065</v>
      </c>
      <c r="R143" s="462"/>
      <c r="S143" s="307" t="s">
        <v>186</v>
      </c>
      <c r="X143" s="74"/>
      <c r="Y143" s="74"/>
    </row>
    <row r="144" spans="1:26" x14ac:dyDescent="0.25">
      <c r="A144" s="125"/>
      <c r="B144" s="7"/>
      <c r="C144" s="125"/>
      <c r="D144" s="125"/>
      <c r="E144" s="125"/>
      <c r="F144" s="125"/>
      <c r="G144" s="483"/>
      <c r="H144" s="483"/>
      <c r="I144" s="536"/>
      <c r="J144" s="536"/>
      <c r="K144" s="484"/>
      <c r="L144" s="484"/>
      <c r="M144" s="484"/>
      <c r="N144" s="485"/>
      <c r="O144" s="483"/>
      <c r="P144" s="486"/>
      <c r="Q144" s="483"/>
      <c r="R144" s="487"/>
      <c r="S144" s="483"/>
      <c r="T144" s="6"/>
      <c r="U144" s="6"/>
      <c r="V144" s="6"/>
    </row>
    <row r="145" spans="1:26" x14ac:dyDescent="0.25">
      <c r="A145" s="394"/>
      <c r="B145" s="321" t="s">
        <v>267</v>
      </c>
      <c r="C145" s="385"/>
      <c r="W145" s="75"/>
      <c r="Y145" s="350"/>
      <c r="Z145" s="75"/>
    </row>
    <row r="146" spans="1:26" x14ac:dyDescent="0.25">
      <c r="A146" s="313" t="s">
        <v>164</v>
      </c>
      <c r="B146" s="308"/>
      <c r="C146" s="322"/>
      <c r="D146" s="319" t="s">
        <v>19</v>
      </c>
      <c r="E146" s="318" t="s">
        <v>59</v>
      </c>
      <c r="F146" s="319" t="s">
        <v>27</v>
      </c>
      <c r="G146" s="320" t="s">
        <v>35</v>
      </c>
      <c r="H146" s="309" t="s">
        <v>36</v>
      </c>
      <c r="I146" s="309" t="s">
        <v>35</v>
      </c>
      <c r="J146" s="320" t="s">
        <v>36</v>
      </c>
      <c r="K146" s="320" t="s">
        <v>39</v>
      </c>
      <c r="L146" s="320" t="s">
        <v>40</v>
      </c>
      <c r="M146" s="320" t="s">
        <v>42</v>
      </c>
      <c r="N146" s="320" t="s">
        <v>2</v>
      </c>
      <c r="O146" s="323" t="s">
        <v>184</v>
      </c>
      <c r="P146" s="332" t="s">
        <v>166</v>
      </c>
      <c r="Q146" s="332" t="s">
        <v>188</v>
      </c>
      <c r="R146" s="310"/>
      <c r="W146" s="75"/>
      <c r="Y146" s="351"/>
      <c r="Z146" s="350"/>
    </row>
    <row r="147" spans="1:26" x14ac:dyDescent="0.25">
      <c r="A147" s="26" t="s">
        <v>28</v>
      </c>
      <c r="B147" s="27" t="s">
        <v>261</v>
      </c>
      <c r="C147" s="62" t="s">
        <v>31</v>
      </c>
      <c r="D147" s="62" t="s">
        <v>30</v>
      </c>
      <c r="E147" s="62" t="s">
        <v>161</v>
      </c>
      <c r="F147" s="262" t="s">
        <v>56</v>
      </c>
      <c r="G147" s="312">
        <v>15353.64</v>
      </c>
      <c r="H147" s="312">
        <v>17626.93</v>
      </c>
      <c r="I147" s="237">
        <v>3.1214</v>
      </c>
      <c r="J147" s="237">
        <v>3.1214</v>
      </c>
      <c r="K147" s="312"/>
      <c r="L147" s="312"/>
      <c r="M147" s="312"/>
      <c r="N147" s="312"/>
      <c r="O147" s="245">
        <f t="shared" ref="O147:O148" si="73">G147*I147+H147*J147</f>
        <v>102945.551198</v>
      </c>
      <c r="P147" s="243">
        <f>ROUND(37.24%*O147,2)</f>
        <v>38336.92</v>
      </c>
      <c r="Q147" s="243">
        <f t="shared" ref="Q147:Q148" si="74">ROUND(R147*P147,2)</f>
        <v>19168.46</v>
      </c>
      <c r="R147" s="244">
        <v>0.5</v>
      </c>
      <c r="W147" s="74"/>
      <c r="Y147" s="74"/>
    </row>
    <row r="148" spans="1:26" x14ac:dyDescent="0.25">
      <c r="A148" s="326" t="s">
        <v>28</v>
      </c>
      <c r="B148" s="335" t="str">
        <f>B147</f>
        <v>88 GAS -Pisco</v>
      </c>
      <c r="C148" s="336" t="s">
        <v>31</v>
      </c>
      <c r="D148" s="337" t="s">
        <v>190</v>
      </c>
      <c r="E148" s="337"/>
      <c r="F148" s="342" t="str">
        <f>F147</f>
        <v xml:space="preserve"> MM BTU</v>
      </c>
      <c r="G148" s="312">
        <f>+G147</f>
        <v>15353.64</v>
      </c>
      <c r="H148" s="387">
        <f>+H147</f>
        <v>17626.93</v>
      </c>
      <c r="I148" s="328">
        <v>3.1196000000000002</v>
      </c>
      <c r="J148" s="328">
        <v>3.1196000000000002</v>
      </c>
      <c r="K148" s="328"/>
      <c r="L148" s="328"/>
      <c r="M148" s="328"/>
      <c r="N148" s="327"/>
      <c r="O148" s="245">
        <f t="shared" si="73"/>
        <v>102886.18617200002</v>
      </c>
      <c r="P148" s="243">
        <f>ROUND(37.24%*O148,2)</f>
        <v>38314.82</v>
      </c>
      <c r="Q148" s="243">
        <f t="shared" si="74"/>
        <v>19157.41</v>
      </c>
      <c r="R148" s="244">
        <v>0.5</v>
      </c>
      <c r="W148" s="74"/>
      <c r="Y148" s="74"/>
      <c r="Z148" s="74"/>
    </row>
    <row r="149" spans="1:26" x14ac:dyDescent="0.25">
      <c r="A149" s="329"/>
      <c r="B149" s="338" t="s">
        <v>185</v>
      </c>
      <c r="C149" s="100"/>
      <c r="D149" s="210"/>
      <c r="E149" s="210"/>
      <c r="F149" s="329"/>
      <c r="G149" s="386">
        <f t="shared" ref="G149:Q149" si="75">G148-G147</f>
        <v>0</v>
      </c>
      <c r="H149" s="388">
        <f t="shared" si="75"/>
        <v>0</v>
      </c>
      <c r="I149" s="339">
        <f t="shared" si="75"/>
        <v>-1.7999999999998018E-3</v>
      </c>
      <c r="J149" s="339">
        <f t="shared" si="75"/>
        <v>-1.7999999999998018E-3</v>
      </c>
      <c r="K149" s="339">
        <f t="shared" si="75"/>
        <v>0</v>
      </c>
      <c r="L149" s="339">
        <f t="shared" si="75"/>
        <v>0</v>
      </c>
      <c r="M149" s="339">
        <f t="shared" si="75"/>
        <v>0</v>
      </c>
      <c r="N149" s="340">
        <f t="shared" si="75"/>
        <v>0</v>
      </c>
      <c r="O149" s="311">
        <f t="shared" si="75"/>
        <v>-59.365025999984937</v>
      </c>
      <c r="P149" s="461">
        <f t="shared" si="75"/>
        <v>-22.099999999998545</v>
      </c>
      <c r="Q149" s="311">
        <f t="shared" si="75"/>
        <v>-11.049999999999272</v>
      </c>
      <c r="R149" s="462"/>
      <c r="S149" s="307" t="s">
        <v>186</v>
      </c>
      <c r="X149" s="74"/>
      <c r="Y149" s="74"/>
    </row>
    <row r="150" spans="1:26" x14ac:dyDescent="0.25">
      <c r="A150" s="125"/>
      <c r="B150" s="7"/>
      <c r="C150" s="125"/>
      <c r="D150" s="125"/>
      <c r="E150" s="125"/>
      <c r="F150" s="125"/>
      <c r="G150" s="483"/>
      <c r="H150" s="483"/>
      <c r="I150" s="536"/>
      <c r="J150" s="536"/>
      <c r="K150" s="484"/>
      <c r="L150" s="484"/>
      <c r="M150" s="484"/>
      <c r="N150" s="485"/>
      <c r="O150" s="483"/>
      <c r="P150" s="486"/>
      <c r="Q150" s="483"/>
      <c r="R150" s="487"/>
      <c r="S150" s="483"/>
      <c r="T150" s="6"/>
      <c r="U150" s="6"/>
      <c r="V150" s="6"/>
    </row>
    <row r="151" spans="1:26" x14ac:dyDescent="0.25">
      <c r="A151" s="394"/>
      <c r="B151" s="321" t="s">
        <v>268</v>
      </c>
      <c r="C151" s="385"/>
      <c r="W151" s="75"/>
      <c r="Y151" s="350"/>
      <c r="Z151" s="75"/>
    </row>
    <row r="152" spans="1:26" x14ac:dyDescent="0.25">
      <c r="A152" s="313" t="s">
        <v>164</v>
      </c>
      <c r="B152" s="308"/>
      <c r="C152" s="322"/>
      <c r="D152" s="319" t="s">
        <v>19</v>
      </c>
      <c r="E152" s="318" t="s">
        <v>59</v>
      </c>
      <c r="F152" s="319" t="s">
        <v>27</v>
      </c>
      <c r="G152" s="320" t="s">
        <v>35</v>
      </c>
      <c r="H152" s="309" t="s">
        <v>36</v>
      </c>
      <c r="I152" s="309" t="s">
        <v>35</v>
      </c>
      <c r="J152" s="320" t="s">
        <v>36</v>
      </c>
      <c r="K152" s="320" t="s">
        <v>39</v>
      </c>
      <c r="L152" s="320" t="s">
        <v>40</v>
      </c>
      <c r="M152" s="320" t="s">
        <v>42</v>
      </c>
      <c r="N152" s="320" t="s">
        <v>2</v>
      </c>
      <c r="O152" s="323" t="s">
        <v>184</v>
      </c>
      <c r="P152" s="332" t="s">
        <v>166</v>
      </c>
      <c r="Q152" s="332" t="s">
        <v>188</v>
      </c>
      <c r="R152" s="310"/>
      <c r="W152" s="75"/>
      <c r="Y152" s="351"/>
      <c r="Z152" s="350"/>
    </row>
    <row r="153" spans="1:26" x14ac:dyDescent="0.25">
      <c r="A153" s="26" t="s">
        <v>28</v>
      </c>
      <c r="B153" s="27" t="s">
        <v>261</v>
      </c>
      <c r="C153" s="62" t="s">
        <v>31</v>
      </c>
      <c r="D153" s="62" t="s">
        <v>30</v>
      </c>
      <c r="E153" s="62" t="s">
        <v>161</v>
      </c>
      <c r="F153" s="262" t="s">
        <v>56</v>
      </c>
      <c r="G153" s="312">
        <v>10857.36</v>
      </c>
      <c r="H153" s="312"/>
      <c r="I153" s="237">
        <v>3.1196999999999999</v>
      </c>
      <c r="J153" s="237"/>
      <c r="K153" s="312"/>
      <c r="L153" s="312"/>
      <c r="M153" s="312"/>
      <c r="N153" s="312"/>
      <c r="O153" s="245">
        <f t="shared" ref="O153:O154" si="76">G153*I153+H153*J153</f>
        <v>33871.705992000003</v>
      </c>
      <c r="P153" s="243">
        <f>ROUND(37.24%*O153,2)</f>
        <v>12613.82</v>
      </c>
      <c r="Q153" s="243">
        <f t="shared" ref="Q153:Q154" si="77">ROUND(R153*P153,2)</f>
        <v>6306.91</v>
      </c>
      <c r="R153" s="244">
        <v>0.5</v>
      </c>
      <c r="W153" s="74"/>
      <c r="Y153" s="74"/>
    </row>
    <row r="154" spans="1:26" x14ac:dyDescent="0.25">
      <c r="A154" s="326" t="s">
        <v>28</v>
      </c>
      <c r="B154" s="335" t="str">
        <f>B153</f>
        <v>88 GAS -Pisco</v>
      </c>
      <c r="C154" s="336" t="s">
        <v>31</v>
      </c>
      <c r="D154" s="337" t="s">
        <v>190</v>
      </c>
      <c r="E154" s="337"/>
      <c r="F154" s="342" t="str">
        <f>F153</f>
        <v xml:space="preserve"> MM BTU</v>
      </c>
      <c r="G154" s="312">
        <f>+G153</f>
        <v>10857.36</v>
      </c>
      <c r="H154" s="387"/>
      <c r="I154" s="328">
        <v>3.2488000000000001</v>
      </c>
      <c r="J154" s="328"/>
      <c r="K154" s="328"/>
      <c r="L154" s="328"/>
      <c r="M154" s="328"/>
      <c r="N154" s="327"/>
      <c r="O154" s="245">
        <f t="shared" si="76"/>
        <v>35273.391168000002</v>
      </c>
      <c r="P154" s="243">
        <f>ROUND(37.24%*O154,2)</f>
        <v>13135.81</v>
      </c>
      <c r="Q154" s="243">
        <f t="shared" si="77"/>
        <v>6567.91</v>
      </c>
      <c r="R154" s="244">
        <v>0.5</v>
      </c>
      <c r="W154" s="74"/>
      <c r="Y154" s="74"/>
      <c r="Z154" s="74"/>
    </row>
    <row r="155" spans="1:26" x14ac:dyDescent="0.25">
      <c r="A155" s="329"/>
      <c r="B155" s="338" t="s">
        <v>185</v>
      </c>
      <c r="C155" s="100"/>
      <c r="D155" s="210"/>
      <c r="E155" s="210"/>
      <c r="F155" s="329"/>
      <c r="G155" s="386">
        <f t="shared" ref="G155:Q155" si="78">G154-G153</f>
        <v>0</v>
      </c>
      <c r="H155" s="388">
        <f t="shared" si="78"/>
        <v>0</v>
      </c>
      <c r="I155" s="339">
        <f t="shared" si="78"/>
        <v>0.12910000000000021</v>
      </c>
      <c r="J155" s="339">
        <f t="shared" si="78"/>
        <v>0</v>
      </c>
      <c r="K155" s="339">
        <f t="shared" si="78"/>
        <v>0</v>
      </c>
      <c r="L155" s="339">
        <f t="shared" si="78"/>
        <v>0</v>
      </c>
      <c r="M155" s="339">
        <f t="shared" si="78"/>
        <v>0</v>
      </c>
      <c r="N155" s="340">
        <f t="shared" si="78"/>
        <v>0</v>
      </c>
      <c r="O155" s="311">
        <f t="shared" si="78"/>
        <v>1401.685175999999</v>
      </c>
      <c r="P155" s="461">
        <f t="shared" si="78"/>
        <v>521.98999999999978</v>
      </c>
      <c r="Q155" s="311">
        <f t="shared" si="78"/>
        <v>261</v>
      </c>
      <c r="R155" s="462"/>
      <c r="S155" s="307" t="s">
        <v>186</v>
      </c>
      <c r="X155" s="74"/>
      <c r="Y155" s="74"/>
    </row>
    <row r="156" spans="1:26" x14ac:dyDescent="0.25">
      <c r="A156" s="125"/>
      <c r="B156" s="7"/>
      <c r="C156" s="125"/>
      <c r="D156" s="125"/>
      <c r="E156" s="125"/>
      <c r="F156" s="125"/>
      <c r="G156" s="483"/>
      <c r="H156" s="483"/>
      <c r="I156" s="536"/>
      <c r="J156" s="536"/>
      <c r="K156" s="484"/>
      <c r="L156" s="484"/>
      <c r="M156" s="484"/>
      <c r="N156" s="485"/>
      <c r="O156" s="483"/>
      <c r="P156" s="486"/>
      <c r="Q156" s="483"/>
      <c r="R156" s="487"/>
      <c r="S156" s="483"/>
      <c r="T156" s="6"/>
      <c r="U156" s="6"/>
      <c r="V156" s="6"/>
    </row>
    <row r="157" spans="1:26" x14ac:dyDescent="0.25">
      <c r="A157" s="394"/>
      <c r="B157" s="321" t="s">
        <v>269</v>
      </c>
      <c r="C157" s="385"/>
      <c r="W157" s="75"/>
      <c r="Y157" s="350"/>
      <c r="Z157" s="75"/>
    </row>
    <row r="158" spans="1:26" x14ac:dyDescent="0.25">
      <c r="A158" s="313" t="s">
        <v>164</v>
      </c>
      <c r="B158" s="308"/>
      <c r="C158" s="322"/>
      <c r="D158" s="319" t="s">
        <v>19</v>
      </c>
      <c r="E158" s="318" t="s">
        <v>59</v>
      </c>
      <c r="F158" s="319" t="s">
        <v>27</v>
      </c>
      <c r="G158" s="320" t="s">
        <v>35</v>
      </c>
      <c r="H158" s="309" t="s">
        <v>36</v>
      </c>
      <c r="I158" s="309" t="s">
        <v>35</v>
      </c>
      <c r="J158" s="320" t="s">
        <v>36</v>
      </c>
      <c r="K158" s="320" t="s">
        <v>39</v>
      </c>
      <c r="L158" s="320" t="s">
        <v>40</v>
      </c>
      <c r="M158" s="320" t="s">
        <v>42</v>
      </c>
      <c r="N158" s="320" t="s">
        <v>2</v>
      </c>
      <c r="O158" s="323" t="s">
        <v>184</v>
      </c>
      <c r="P158" s="332" t="s">
        <v>166</v>
      </c>
      <c r="Q158" s="332" t="s">
        <v>188</v>
      </c>
      <c r="R158" s="310"/>
      <c r="W158" s="75"/>
      <c r="Y158" s="351"/>
      <c r="Z158" s="350"/>
    </row>
    <row r="159" spans="1:26" x14ac:dyDescent="0.25">
      <c r="A159" s="26" t="s">
        <v>28</v>
      </c>
      <c r="B159" s="27" t="s">
        <v>261</v>
      </c>
      <c r="C159" s="62" t="s">
        <v>31</v>
      </c>
      <c r="D159" s="62" t="s">
        <v>30</v>
      </c>
      <c r="E159" s="62" t="s">
        <v>161</v>
      </c>
      <c r="F159" s="262" t="s">
        <v>56</v>
      </c>
      <c r="G159" s="312">
        <v>13727.75</v>
      </c>
      <c r="H159" s="312">
        <v>3915.33</v>
      </c>
      <c r="I159" s="237">
        <v>3.2496</v>
      </c>
      <c r="J159" s="237">
        <v>3.2496</v>
      </c>
      <c r="K159" s="312"/>
      <c r="L159" s="312"/>
      <c r="M159" s="312"/>
      <c r="N159" s="312"/>
      <c r="O159" s="245">
        <f t="shared" ref="O159:O160" si="79">G159*I159+H159*J159</f>
        <v>57332.952768000003</v>
      </c>
      <c r="P159" s="243">
        <f>ROUND(37.24%*O159,2)</f>
        <v>21350.79</v>
      </c>
      <c r="Q159" s="243">
        <f t="shared" ref="Q159:Q160" si="80">ROUND(R159*P159,2)</f>
        <v>10675.4</v>
      </c>
      <c r="R159" s="244">
        <v>0.5</v>
      </c>
      <c r="W159" s="74"/>
      <c r="Y159" s="74"/>
    </row>
    <row r="160" spans="1:26" x14ac:dyDescent="0.25">
      <c r="A160" s="326" t="s">
        <v>28</v>
      </c>
      <c r="B160" s="335" t="str">
        <f>B159</f>
        <v>88 GAS -Pisco</v>
      </c>
      <c r="C160" s="336" t="s">
        <v>31</v>
      </c>
      <c r="D160" s="337" t="s">
        <v>190</v>
      </c>
      <c r="E160" s="337"/>
      <c r="F160" s="342" t="str">
        <f>F159</f>
        <v xml:space="preserve"> MM BTU</v>
      </c>
      <c r="G160" s="312">
        <f>+G159</f>
        <v>13727.75</v>
      </c>
      <c r="H160" s="387">
        <f>+H159</f>
        <v>3915.33</v>
      </c>
      <c r="I160" s="328">
        <v>3.2427000000000001</v>
      </c>
      <c r="J160" s="328">
        <v>3.2427000000000001</v>
      </c>
      <c r="K160" s="328"/>
      <c r="L160" s="328"/>
      <c r="M160" s="328"/>
      <c r="N160" s="327"/>
      <c r="O160" s="245">
        <f t="shared" si="79"/>
        <v>57211.215516000004</v>
      </c>
      <c r="P160" s="243">
        <f>ROUND(37.24%*O160,2)</f>
        <v>21305.46</v>
      </c>
      <c r="Q160" s="243">
        <f t="shared" si="80"/>
        <v>10652.73</v>
      </c>
      <c r="R160" s="244">
        <v>0.5</v>
      </c>
      <c r="W160" s="74"/>
      <c r="Y160" s="74"/>
      <c r="Z160" s="74"/>
    </row>
    <row r="161" spans="1:26" x14ac:dyDescent="0.25">
      <c r="A161" s="329"/>
      <c r="B161" s="338" t="s">
        <v>185</v>
      </c>
      <c r="C161" s="100"/>
      <c r="D161" s="210"/>
      <c r="E161" s="210"/>
      <c r="F161" s="329"/>
      <c r="G161" s="386">
        <f t="shared" ref="G161:Q161" si="81">G160-G159</f>
        <v>0</v>
      </c>
      <c r="H161" s="388">
        <f t="shared" si="81"/>
        <v>0</v>
      </c>
      <c r="I161" s="339">
        <f t="shared" si="81"/>
        <v>-6.8999999999999062E-3</v>
      </c>
      <c r="J161" s="339">
        <f t="shared" si="81"/>
        <v>-6.8999999999999062E-3</v>
      </c>
      <c r="K161" s="339">
        <f t="shared" si="81"/>
        <v>0</v>
      </c>
      <c r="L161" s="339">
        <f t="shared" si="81"/>
        <v>0</v>
      </c>
      <c r="M161" s="339">
        <f t="shared" si="81"/>
        <v>0</v>
      </c>
      <c r="N161" s="340">
        <f t="shared" si="81"/>
        <v>0</v>
      </c>
      <c r="O161" s="311">
        <f t="shared" si="81"/>
        <v>-121.73725199999899</v>
      </c>
      <c r="P161" s="461">
        <f t="shared" si="81"/>
        <v>-45.330000000001746</v>
      </c>
      <c r="Q161" s="311">
        <f t="shared" si="81"/>
        <v>-22.670000000000073</v>
      </c>
      <c r="R161" s="462"/>
      <c r="S161" s="307" t="s">
        <v>186</v>
      </c>
      <c r="X161" s="74"/>
      <c r="Y161" s="74"/>
    </row>
    <row r="162" spans="1:26" x14ac:dyDescent="0.25">
      <c r="A162" s="125"/>
      <c r="B162" s="7"/>
      <c r="C162" s="125"/>
      <c r="D162" s="125"/>
      <c r="E162" s="125"/>
      <c r="F162" s="125"/>
      <c r="G162" s="483"/>
      <c r="H162" s="483"/>
      <c r="I162" s="536"/>
      <c r="J162" s="536"/>
      <c r="K162" s="484"/>
      <c r="L162" s="484"/>
      <c r="M162" s="484"/>
      <c r="N162" s="485"/>
      <c r="O162" s="483"/>
      <c r="P162" s="486"/>
      <c r="Q162" s="483"/>
      <c r="R162" s="487"/>
      <c r="S162" s="483"/>
      <c r="T162" s="6"/>
      <c r="U162" s="6"/>
      <c r="V162" s="6"/>
    </row>
    <row r="163" spans="1:26" x14ac:dyDescent="0.25">
      <c r="A163" s="394"/>
      <c r="B163" s="321" t="s">
        <v>270</v>
      </c>
      <c r="C163" s="385"/>
      <c r="W163" s="75"/>
      <c r="Y163" s="350"/>
      <c r="Z163" s="75"/>
    </row>
    <row r="164" spans="1:26" x14ac:dyDescent="0.25">
      <c r="A164" s="313" t="s">
        <v>164</v>
      </c>
      <c r="B164" s="308"/>
      <c r="C164" s="322"/>
      <c r="D164" s="319" t="s">
        <v>19</v>
      </c>
      <c r="E164" s="318" t="s">
        <v>59</v>
      </c>
      <c r="F164" s="319" t="s">
        <v>27</v>
      </c>
      <c r="G164" s="320" t="s">
        <v>35</v>
      </c>
      <c r="H164" s="309" t="s">
        <v>36</v>
      </c>
      <c r="I164" s="309" t="s">
        <v>35</v>
      </c>
      <c r="J164" s="320" t="s">
        <v>36</v>
      </c>
      <c r="K164" s="320" t="s">
        <v>39</v>
      </c>
      <c r="L164" s="320" t="s">
        <v>40</v>
      </c>
      <c r="M164" s="320" t="s">
        <v>42</v>
      </c>
      <c r="N164" s="320" t="s">
        <v>2</v>
      </c>
      <c r="O164" s="323" t="s">
        <v>184</v>
      </c>
      <c r="P164" s="332" t="s">
        <v>166</v>
      </c>
      <c r="Q164" s="332" t="s">
        <v>188</v>
      </c>
      <c r="R164" s="310"/>
      <c r="W164" s="75"/>
      <c r="Y164" s="351"/>
      <c r="Z164" s="350"/>
    </row>
    <row r="165" spans="1:26" x14ac:dyDescent="0.25">
      <c r="A165" s="26" t="s">
        <v>28</v>
      </c>
      <c r="B165" s="27" t="s">
        <v>261</v>
      </c>
      <c r="C165" s="62" t="s">
        <v>31</v>
      </c>
      <c r="D165" s="62" t="s">
        <v>30</v>
      </c>
      <c r="E165" s="62" t="s">
        <v>161</v>
      </c>
      <c r="F165" s="262" t="s">
        <v>56</v>
      </c>
      <c r="G165" s="312">
        <v>16974.552199999998</v>
      </c>
      <c r="H165" s="312">
        <v>9229.6226999999999</v>
      </c>
      <c r="I165" s="237">
        <v>3.2730999999999999</v>
      </c>
      <c r="J165" s="237">
        <v>3.2730999999999999</v>
      </c>
      <c r="K165" s="312"/>
      <c r="L165" s="312"/>
      <c r="M165" s="312"/>
      <c r="N165" s="312"/>
      <c r="O165" s="245">
        <f t="shared" ref="O165:O166" si="82">G165*I165+H165*J165</f>
        <v>85768.88486518999</v>
      </c>
      <c r="P165" s="243">
        <f>ROUND(37.24%*O165,2)</f>
        <v>31940.33</v>
      </c>
      <c r="Q165" s="243">
        <f t="shared" ref="Q165:Q166" si="83">ROUND(R165*P165,2)</f>
        <v>15970.17</v>
      </c>
      <c r="R165" s="244">
        <v>0.5</v>
      </c>
      <c r="W165" s="74"/>
      <c r="Y165" s="74"/>
    </row>
    <row r="166" spans="1:26" x14ac:dyDescent="0.25">
      <c r="A166" s="326" t="s">
        <v>28</v>
      </c>
      <c r="B166" s="335" t="str">
        <f>B165</f>
        <v>88 GAS -Pisco</v>
      </c>
      <c r="C166" s="336" t="s">
        <v>31</v>
      </c>
      <c r="D166" s="337" t="s">
        <v>190</v>
      </c>
      <c r="E166" s="337"/>
      <c r="F166" s="342" t="str">
        <f>F165</f>
        <v xml:space="preserve"> MM BTU</v>
      </c>
      <c r="G166" s="312">
        <f>+G165</f>
        <v>16974.552199999998</v>
      </c>
      <c r="H166" s="387">
        <f>+H165</f>
        <v>9229.6226999999999</v>
      </c>
      <c r="I166" s="328">
        <v>3.0739999999999998</v>
      </c>
      <c r="J166" s="328">
        <v>3.0739999999999998</v>
      </c>
      <c r="K166" s="328"/>
      <c r="L166" s="328"/>
      <c r="M166" s="328"/>
      <c r="N166" s="327"/>
      <c r="O166" s="245">
        <f t="shared" si="82"/>
        <v>80551.633642599991</v>
      </c>
      <c r="P166" s="243">
        <f>ROUND(37.24%*O166,2)</f>
        <v>29997.43</v>
      </c>
      <c r="Q166" s="243">
        <f t="shared" si="83"/>
        <v>14998.72</v>
      </c>
      <c r="R166" s="244">
        <v>0.5</v>
      </c>
      <c r="W166" s="74"/>
      <c r="Y166" s="74"/>
      <c r="Z166" s="74"/>
    </row>
    <row r="167" spans="1:26" x14ac:dyDescent="0.25">
      <c r="A167" s="329"/>
      <c r="B167" s="338" t="s">
        <v>185</v>
      </c>
      <c r="C167" s="100"/>
      <c r="D167" s="210"/>
      <c r="E167" s="210"/>
      <c r="F167" s="329"/>
      <c r="G167" s="386">
        <f t="shared" ref="G167:Q167" si="84">G166-G165</f>
        <v>0</v>
      </c>
      <c r="H167" s="388">
        <f t="shared" si="84"/>
        <v>0</v>
      </c>
      <c r="I167" s="339">
        <f t="shared" si="84"/>
        <v>-0.19910000000000005</v>
      </c>
      <c r="J167" s="339">
        <f t="shared" si="84"/>
        <v>-0.19910000000000005</v>
      </c>
      <c r="K167" s="339">
        <f t="shared" si="84"/>
        <v>0</v>
      </c>
      <c r="L167" s="339">
        <f t="shared" si="84"/>
        <v>0</v>
      </c>
      <c r="M167" s="339">
        <f t="shared" si="84"/>
        <v>0</v>
      </c>
      <c r="N167" s="340">
        <f t="shared" si="84"/>
        <v>0</v>
      </c>
      <c r="O167" s="311">
        <f t="shared" si="84"/>
        <v>-5217.2512225899991</v>
      </c>
      <c r="P167" s="461">
        <f t="shared" si="84"/>
        <v>-1942.9000000000015</v>
      </c>
      <c r="Q167" s="311">
        <f t="shared" si="84"/>
        <v>-971.45000000000073</v>
      </c>
      <c r="R167" s="462"/>
      <c r="S167" s="307" t="s">
        <v>186</v>
      </c>
      <c r="X167" s="74"/>
      <c r="Y167" s="74"/>
    </row>
    <row r="168" spans="1:26" x14ac:dyDescent="0.25">
      <c r="A168" s="125"/>
      <c r="B168" s="7"/>
      <c r="C168" s="125"/>
      <c r="D168" s="125"/>
      <c r="E168" s="125"/>
      <c r="F168" s="125"/>
      <c r="G168" s="483"/>
      <c r="H168" s="483"/>
      <c r="I168" s="536"/>
      <c r="J168" s="536"/>
      <c r="K168" s="484"/>
      <c r="L168" s="484"/>
      <c r="M168" s="484"/>
      <c r="N168" s="485"/>
      <c r="O168" s="483"/>
      <c r="P168" s="486"/>
      <c r="Q168" s="483"/>
      <c r="R168" s="487"/>
      <c r="S168" s="483"/>
      <c r="T168" s="6"/>
      <c r="U168" s="6"/>
      <c r="V168" s="6"/>
    </row>
    <row r="169" spans="1:26" x14ac:dyDescent="0.25">
      <c r="A169" s="394"/>
      <c r="B169" s="321" t="s">
        <v>271</v>
      </c>
      <c r="C169" s="385"/>
      <c r="W169" s="75"/>
      <c r="Y169" s="350"/>
      <c r="Z169" s="75"/>
    </row>
    <row r="170" spans="1:26" x14ac:dyDescent="0.25">
      <c r="A170" s="313" t="s">
        <v>164</v>
      </c>
      <c r="B170" s="308"/>
      <c r="C170" s="322"/>
      <c r="D170" s="319" t="s">
        <v>19</v>
      </c>
      <c r="E170" s="318" t="s">
        <v>59</v>
      </c>
      <c r="F170" s="319" t="s">
        <v>27</v>
      </c>
      <c r="G170" s="320" t="s">
        <v>35</v>
      </c>
      <c r="H170" s="309" t="s">
        <v>36</v>
      </c>
      <c r="I170" s="309" t="s">
        <v>35</v>
      </c>
      <c r="J170" s="320" t="s">
        <v>36</v>
      </c>
      <c r="K170" s="320" t="s">
        <v>39</v>
      </c>
      <c r="L170" s="320" t="s">
        <v>40</v>
      </c>
      <c r="M170" s="320" t="s">
        <v>42</v>
      </c>
      <c r="N170" s="320" t="s">
        <v>2</v>
      </c>
      <c r="O170" s="323" t="s">
        <v>184</v>
      </c>
      <c r="P170" s="332" t="s">
        <v>166</v>
      </c>
      <c r="Q170" s="332" t="s">
        <v>188</v>
      </c>
      <c r="R170" s="310"/>
      <c r="W170" s="75"/>
      <c r="Y170" s="351"/>
      <c r="Z170" s="350"/>
    </row>
    <row r="171" spans="1:26" x14ac:dyDescent="0.25">
      <c r="A171" s="26" t="s">
        <v>28</v>
      </c>
      <c r="B171" s="27" t="s">
        <v>261</v>
      </c>
      <c r="C171" s="62" t="s">
        <v>31</v>
      </c>
      <c r="D171" s="62" t="s">
        <v>30</v>
      </c>
      <c r="E171" s="62" t="s">
        <v>161</v>
      </c>
      <c r="F171" s="262" t="s">
        <v>56</v>
      </c>
      <c r="G171" s="312">
        <v>17170.099999999999</v>
      </c>
      <c r="H171" s="312">
        <v>8417.61</v>
      </c>
      <c r="I171" s="237">
        <v>3.2719999999999998</v>
      </c>
      <c r="J171" s="237">
        <v>3.2719999999999998</v>
      </c>
      <c r="K171" s="312"/>
      <c r="L171" s="312"/>
      <c r="M171" s="312"/>
      <c r="N171" s="312"/>
      <c r="O171" s="245">
        <f t="shared" ref="O171:O172" si="85">G171*I171+H171*J171</f>
        <v>83722.987119999991</v>
      </c>
      <c r="P171" s="243">
        <f>ROUND(37.24%*O171,2)</f>
        <v>31178.44</v>
      </c>
      <c r="Q171" s="243">
        <f t="shared" ref="Q171:Q172" si="86">ROUND(R171*P171,2)</f>
        <v>15589.22</v>
      </c>
      <c r="R171" s="244">
        <v>0.5</v>
      </c>
      <c r="W171" s="74"/>
      <c r="Y171" s="74"/>
    </row>
    <row r="172" spans="1:26" x14ac:dyDescent="0.25">
      <c r="A172" s="326" t="s">
        <v>28</v>
      </c>
      <c r="B172" s="335" t="str">
        <f>B171</f>
        <v>88 GAS -Pisco</v>
      </c>
      <c r="C172" s="336" t="s">
        <v>31</v>
      </c>
      <c r="D172" s="337" t="s">
        <v>190</v>
      </c>
      <c r="E172" s="337"/>
      <c r="F172" s="342" t="str">
        <f>F171</f>
        <v xml:space="preserve"> MM BTU</v>
      </c>
      <c r="G172" s="537">
        <f>+G171</f>
        <v>17170.099999999999</v>
      </c>
      <c r="H172" s="387">
        <f>+H171</f>
        <v>8417.61</v>
      </c>
      <c r="I172" s="328">
        <v>3.1774</v>
      </c>
      <c r="J172" s="328">
        <v>3.1774</v>
      </c>
      <c r="K172" s="328"/>
      <c r="L172" s="328"/>
      <c r="M172" s="328"/>
      <c r="N172" s="327"/>
      <c r="O172" s="327">
        <f t="shared" si="85"/>
        <v>81302.389754000003</v>
      </c>
      <c r="P172" s="327">
        <f>ROUND(37.24%*O172,2)</f>
        <v>30277.01</v>
      </c>
      <c r="Q172" s="327">
        <f t="shared" si="86"/>
        <v>15138.51</v>
      </c>
      <c r="R172" s="199">
        <v>0.5</v>
      </c>
      <c r="W172" s="74"/>
      <c r="Y172" s="74"/>
      <c r="Z172" s="74"/>
    </row>
    <row r="173" spans="1:26" x14ac:dyDescent="0.25">
      <c r="A173" s="329"/>
      <c r="B173" s="338" t="s">
        <v>185</v>
      </c>
      <c r="C173" s="100"/>
      <c r="D173" s="210"/>
      <c r="E173" s="210"/>
      <c r="F173" s="329"/>
      <c r="G173" s="311">
        <f t="shared" ref="G173:Q173" si="87">G172-G171</f>
        <v>0</v>
      </c>
      <c r="H173" s="388">
        <f t="shared" si="87"/>
        <v>0</v>
      </c>
      <c r="I173" s="339">
        <f t="shared" si="87"/>
        <v>-9.4599999999999795E-2</v>
      </c>
      <c r="J173" s="339">
        <f t="shared" si="87"/>
        <v>-9.4599999999999795E-2</v>
      </c>
      <c r="K173" s="339">
        <f t="shared" si="87"/>
        <v>0</v>
      </c>
      <c r="L173" s="339">
        <f t="shared" si="87"/>
        <v>0</v>
      </c>
      <c r="M173" s="339">
        <f t="shared" si="87"/>
        <v>0</v>
      </c>
      <c r="N173" s="340">
        <f t="shared" si="87"/>
        <v>0</v>
      </c>
      <c r="O173" s="311">
        <f t="shared" si="87"/>
        <v>-2420.5973659999872</v>
      </c>
      <c r="P173" s="461">
        <f t="shared" si="87"/>
        <v>-901.43000000000029</v>
      </c>
      <c r="Q173" s="311">
        <f t="shared" si="87"/>
        <v>-450.70999999999913</v>
      </c>
      <c r="R173" s="462"/>
      <c r="S173" s="307" t="s">
        <v>186</v>
      </c>
      <c r="X173" s="74"/>
      <c r="Y173" s="74"/>
    </row>
    <row r="174" spans="1:26" x14ac:dyDescent="0.25">
      <c r="A174" s="125"/>
      <c r="B174" s="7"/>
      <c r="C174" s="125"/>
      <c r="D174" s="125"/>
      <c r="E174" s="125"/>
      <c r="F174" s="125"/>
      <c r="G174" s="483"/>
      <c r="H174" s="483"/>
      <c r="I174" s="536"/>
      <c r="J174" s="536"/>
      <c r="K174" s="484"/>
      <c r="L174" s="484"/>
      <c r="M174" s="484"/>
      <c r="N174" s="485"/>
      <c r="O174" s="483"/>
      <c r="P174" s="486"/>
      <c r="Q174" s="483"/>
      <c r="R174" s="487"/>
      <c r="S174" s="483"/>
      <c r="T174" s="6"/>
      <c r="U174" s="6"/>
      <c r="V174" s="6"/>
    </row>
    <row r="175" spans="1:26" x14ac:dyDescent="0.25">
      <c r="A175" s="394"/>
      <c r="B175" s="321" t="s">
        <v>272</v>
      </c>
      <c r="C175" s="385"/>
      <c r="W175" s="75"/>
      <c r="Y175" s="350"/>
      <c r="Z175" s="75"/>
    </row>
    <row r="176" spans="1:26" x14ac:dyDescent="0.25">
      <c r="A176" s="313" t="s">
        <v>164</v>
      </c>
      <c r="B176" s="308"/>
      <c r="C176" s="322"/>
      <c r="D176" s="319" t="s">
        <v>19</v>
      </c>
      <c r="E176" s="318" t="s">
        <v>59</v>
      </c>
      <c r="F176" s="319" t="s">
        <v>27</v>
      </c>
      <c r="G176" s="320" t="s">
        <v>35</v>
      </c>
      <c r="H176" s="309" t="s">
        <v>36</v>
      </c>
      <c r="I176" s="309" t="s">
        <v>35</v>
      </c>
      <c r="J176" s="320" t="s">
        <v>36</v>
      </c>
      <c r="K176" s="320" t="s">
        <v>39</v>
      </c>
      <c r="L176" s="320" t="s">
        <v>40</v>
      </c>
      <c r="M176" s="320" t="s">
        <v>42</v>
      </c>
      <c r="N176" s="320" t="s">
        <v>2</v>
      </c>
      <c r="O176" s="323" t="s">
        <v>184</v>
      </c>
      <c r="P176" s="332" t="s">
        <v>166</v>
      </c>
      <c r="Q176" s="332" t="s">
        <v>188</v>
      </c>
      <c r="R176" s="310"/>
      <c r="W176" s="75"/>
      <c r="Y176" s="351"/>
      <c r="Z176" s="350"/>
    </row>
    <row r="177" spans="1:26" x14ac:dyDescent="0.25">
      <c r="A177" s="26" t="s">
        <v>28</v>
      </c>
      <c r="B177" s="27" t="s">
        <v>261</v>
      </c>
      <c r="C177" s="62" t="s">
        <v>31</v>
      </c>
      <c r="D177" s="62" t="s">
        <v>30</v>
      </c>
      <c r="E177" s="62" t="s">
        <v>161</v>
      </c>
      <c r="F177" s="262" t="s">
        <v>56</v>
      </c>
      <c r="G177" s="312">
        <v>16841.060000000001</v>
      </c>
      <c r="H177" s="312">
        <v>8900.99</v>
      </c>
      <c r="I177" s="237">
        <v>3.1796000000000002</v>
      </c>
      <c r="J177" s="237">
        <v>3.1796000000000002</v>
      </c>
      <c r="K177" s="312"/>
      <c r="L177" s="312"/>
      <c r="M177" s="312"/>
      <c r="N177" s="312"/>
      <c r="O177" s="245">
        <f t="shared" ref="O177:O178" si="88">G177*I177+H177*J177</f>
        <v>81849.422180000009</v>
      </c>
      <c r="P177" s="243">
        <f>ROUND(37.24%*O177,2)</f>
        <v>30480.720000000001</v>
      </c>
      <c r="Q177" s="243">
        <f t="shared" ref="Q177:Q178" si="89">ROUND(R177*P177,2)</f>
        <v>15240.36</v>
      </c>
      <c r="R177" s="244">
        <v>0.5</v>
      </c>
      <c r="W177" s="74"/>
      <c r="Y177" s="74"/>
    </row>
    <row r="178" spans="1:26" x14ac:dyDescent="0.25">
      <c r="A178" s="326" t="s">
        <v>28</v>
      </c>
      <c r="B178" s="335" t="str">
        <f>B177</f>
        <v>88 GAS -Pisco</v>
      </c>
      <c r="C178" s="336" t="s">
        <v>31</v>
      </c>
      <c r="D178" s="337" t="s">
        <v>190</v>
      </c>
      <c r="E178" s="337"/>
      <c r="F178" s="342" t="str">
        <f>F177</f>
        <v xml:space="preserve"> MM BTU</v>
      </c>
      <c r="G178" s="537">
        <f>+G177</f>
        <v>16841.060000000001</v>
      </c>
      <c r="H178" s="387">
        <f>+H177</f>
        <v>8900.99</v>
      </c>
      <c r="I178" s="328">
        <v>3.1802999999999999</v>
      </c>
      <c r="J178" s="328">
        <v>3.1802999999999999</v>
      </c>
      <c r="K178" s="328"/>
      <c r="L178" s="328"/>
      <c r="M178" s="328"/>
      <c r="N178" s="327"/>
      <c r="O178" s="327">
        <f t="shared" si="88"/>
        <v>81867.441615000003</v>
      </c>
      <c r="P178" s="327">
        <f>ROUND(37.24%*O178,2)</f>
        <v>30487.439999999999</v>
      </c>
      <c r="Q178" s="327">
        <f t="shared" si="89"/>
        <v>15243.72</v>
      </c>
      <c r="R178" s="199">
        <v>0.5</v>
      </c>
      <c r="W178" s="74"/>
      <c r="Y178" s="74"/>
      <c r="Z178" s="74"/>
    </row>
    <row r="179" spans="1:26" x14ac:dyDescent="0.25">
      <c r="A179" s="329"/>
      <c r="B179" s="338" t="s">
        <v>185</v>
      </c>
      <c r="C179" s="100"/>
      <c r="D179" s="210"/>
      <c r="E179" s="210"/>
      <c r="F179" s="329"/>
      <c r="G179" s="311">
        <f t="shared" ref="G179:Q179" si="90">G178-G177</f>
        <v>0</v>
      </c>
      <c r="H179" s="388">
        <f t="shared" si="90"/>
        <v>0</v>
      </c>
      <c r="I179" s="339">
        <f t="shared" si="90"/>
        <v>6.9999999999970086E-4</v>
      </c>
      <c r="J179" s="339">
        <f t="shared" si="90"/>
        <v>6.9999999999970086E-4</v>
      </c>
      <c r="K179" s="339">
        <f t="shared" si="90"/>
        <v>0</v>
      </c>
      <c r="L179" s="339">
        <f t="shared" si="90"/>
        <v>0</v>
      </c>
      <c r="M179" s="339">
        <f t="shared" si="90"/>
        <v>0</v>
      </c>
      <c r="N179" s="340">
        <f t="shared" si="90"/>
        <v>0</v>
      </c>
      <c r="O179" s="311">
        <f t="shared" si="90"/>
        <v>18.019434999994701</v>
      </c>
      <c r="P179" s="461">
        <f t="shared" si="90"/>
        <v>6.7199999999975262</v>
      </c>
      <c r="Q179" s="311">
        <f t="shared" si="90"/>
        <v>3.3599999999987631</v>
      </c>
      <c r="R179" s="462"/>
      <c r="S179" s="307" t="s">
        <v>186</v>
      </c>
      <c r="X179" s="74"/>
      <c r="Y179" s="74"/>
    </row>
    <row r="180" spans="1:26" x14ac:dyDescent="0.25">
      <c r="A180" s="125"/>
      <c r="B180" s="7"/>
      <c r="C180" s="125"/>
      <c r="D180" s="125"/>
      <c r="E180" s="125"/>
      <c r="F180" s="125"/>
      <c r="G180" s="483"/>
      <c r="H180" s="483"/>
      <c r="I180" s="536"/>
      <c r="J180" s="536"/>
      <c r="K180" s="484"/>
      <c r="L180" s="484"/>
      <c r="M180" s="484"/>
      <c r="N180" s="485"/>
      <c r="O180" s="483"/>
      <c r="P180" s="486"/>
      <c r="Q180" s="483"/>
      <c r="R180" s="487"/>
      <c r="S180" s="483"/>
      <c r="T180" s="6"/>
      <c r="U180" s="6"/>
      <c r="V180" s="6"/>
    </row>
    <row r="181" spans="1:26" x14ac:dyDescent="0.25">
      <c r="A181" s="394"/>
      <c r="B181" s="321" t="s">
        <v>273</v>
      </c>
      <c r="C181" s="385"/>
      <c r="W181" s="75"/>
      <c r="Y181" s="350"/>
      <c r="Z181" s="75"/>
    </row>
    <row r="182" spans="1:26" x14ac:dyDescent="0.25">
      <c r="A182" s="313" t="s">
        <v>164</v>
      </c>
      <c r="B182" s="308"/>
      <c r="C182" s="322"/>
      <c r="D182" s="319" t="s">
        <v>19</v>
      </c>
      <c r="E182" s="318" t="s">
        <v>59</v>
      </c>
      <c r="F182" s="319" t="s">
        <v>27</v>
      </c>
      <c r="G182" s="320" t="s">
        <v>35</v>
      </c>
      <c r="H182" s="309" t="s">
        <v>36</v>
      </c>
      <c r="I182" s="309" t="s">
        <v>35</v>
      </c>
      <c r="J182" s="320" t="s">
        <v>36</v>
      </c>
      <c r="K182" s="320" t="s">
        <v>39</v>
      </c>
      <c r="L182" s="320" t="s">
        <v>40</v>
      </c>
      <c r="M182" s="320" t="s">
        <v>42</v>
      </c>
      <c r="N182" s="320" t="s">
        <v>2</v>
      </c>
      <c r="O182" s="323" t="s">
        <v>184</v>
      </c>
      <c r="P182" s="332" t="s">
        <v>166</v>
      </c>
      <c r="Q182" s="332" t="s">
        <v>188</v>
      </c>
      <c r="R182" s="310"/>
      <c r="W182" s="75"/>
      <c r="Y182" s="351"/>
      <c r="Z182" s="350"/>
    </row>
    <row r="183" spans="1:26" x14ac:dyDescent="0.25">
      <c r="A183" s="26" t="s">
        <v>28</v>
      </c>
      <c r="B183" s="27" t="s">
        <v>261</v>
      </c>
      <c r="C183" s="62" t="s">
        <v>31</v>
      </c>
      <c r="D183" s="62" t="s">
        <v>30</v>
      </c>
      <c r="E183" s="62" t="s">
        <v>161</v>
      </c>
      <c r="F183" s="262" t="s">
        <v>56</v>
      </c>
      <c r="G183" s="312">
        <v>16713.009999999998</v>
      </c>
      <c r="H183" s="312">
        <v>8702.08</v>
      </c>
      <c r="I183" s="237">
        <v>3.1844999999999999</v>
      </c>
      <c r="J183" s="237">
        <v>3.1844999999999999</v>
      </c>
      <c r="K183" s="312"/>
      <c r="L183" s="312"/>
      <c r="M183" s="312"/>
      <c r="N183" s="312"/>
      <c r="O183" s="245">
        <f t="shared" ref="O183:O184" si="91">G183*I183+H183*J183</f>
        <v>80934.354104999991</v>
      </c>
      <c r="P183" s="243">
        <f>ROUND(37.24%*O183,2)</f>
        <v>30139.95</v>
      </c>
      <c r="Q183" s="243">
        <f t="shared" ref="Q183:Q184" si="92">ROUND(R183*P183,2)</f>
        <v>15069.98</v>
      </c>
      <c r="R183" s="244">
        <v>0.5</v>
      </c>
      <c r="W183" s="74"/>
      <c r="Y183" s="74"/>
    </row>
    <row r="184" spans="1:26" x14ac:dyDescent="0.25">
      <c r="A184" s="326" t="s">
        <v>28</v>
      </c>
      <c r="B184" s="335" t="str">
        <f>B183</f>
        <v>88 GAS -Pisco</v>
      </c>
      <c r="C184" s="336" t="s">
        <v>31</v>
      </c>
      <c r="D184" s="337" t="s">
        <v>190</v>
      </c>
      <c r="E184" s="337"/>
      <c r="F184" s="342" t="str">
        <f>F183</f>
        <v xml:space="preserve"> MM BTU</v>
      </c>
      <c r="G184" s="537">
        <f>+G183</f>
        <v>16713.009999999998</v>
      </c>
      <c r="H184" s="387">
        <f>+H183</f>
        <v>8702.08</v>
      </c>
      <c r="I184" s="328">
        <v>3.2084000000000001</v>
      </c>
      <c r="J184" s="328">
        <v>3.2084000000000001</v>
      </c>
      <c r="K184" s="328"/>
      <c r="L184" s="328"/>
      <c r="M184" s="328"/>
      <c r="N184" s="327"/>
      <c r="O184" s="327">
        <f t="shared" si="91"/>
        <v>81541.774755999999</v>
      </c>
      <c r="P184" s="327">
        <f>ROUND(37.24%*O184,2)</f>
        <v>30366.16</v>
      </c>
      <c r="Q184" s="327">
        <f t="shared" si="92"/>
        <v>15183.08</v>
      </c>
      <c r="R184" s="199">
        <v>0.5</v>
      </c>
      <c r="W184" s="74"/>
      <c r="Y184" s="74"/>
      <c r="Z184" s="74"/>
    </row>
    <row r="185" spans="1:26" x14ac:dyDescent="0.25">
      <c r="A185" s="329"/>
      <c r="B185" s="338" t="s">
        <v>185</v>
      </c>
      <c r="C185" s="100"/>
      <c r="D185" s="210"/>
      <c r="E185" s="210"/>
      <c r="F185" s="329"/>
      <c r="G185" s="311">
        <f t="shared" ref="G185:Q185" si="93">G184-G183</f>
        <v>0</v>
      </c>
      <c r="H185" s="388">
        <f t="shared" si="93"/>
        <v>0</v>
      </c>
      <c r="I185" s="339">
        <f t="shared" si="93"/>
        <v>2.3900000000000254E-2</v>
      </c>
      <c r="J185" s="339">
        <f t="shared" si="93"/>
        <v>2.3900000000000254E-2</v>
      </c>
      <c r="K185" s="339">
        <f t="shared" si="93"/>
        <v>0</v>
      </c>
      <c r="L185" s="339">
        <f t="shared" si="93"/>
        <v>0</v>
      </c>
      <c r="M185" s="339">
        <f t="shared" si="93"/>
        <v>0</v>
      </c>
      <c r="N185" s="340">
        <f t="shared" si="93"/>
        <v>0</v>
      </c>
      <c r="O185" s="311">
        <f t="shared" si="93"/>
        <v>607.42065100000764</v>
      </c>
      <c r="P185" s="461">
        <f t="shared" si="93"/>
        <v>226.20999999999913</v>
      </c>
      <c r="Q185" s="311">
        <f t="shared" si="93"/>
        <v>113.10000000000036</v>
      </c>
      <c r="R185" s="462"/>
      <c r="S185" s="307" t="s">
        <v>186</v>
      </c>
      <c r="X185" s="74"/>
      <c r="Y185" s="74"/>
    </row>
    <row r="186" spans="1:26" x14ac:dyDescent="0.25">
      <c r="A186" s="125"/>
      <c r="B186" s="7"/>
      <c r="C186" s="125"/>
      <c r="D186" s="125"/>
      <c r="E186" s="125"/>
      <c r="F186" s="125"/>
      <c r="G186" s="483"/>
      <c r="H186" s="483"/>
      <c r="I186" s="536"/>
      <c r="J186" s="536"/>
      <c r="K186" s="484"/>
      <c r="L186" s="484"/>
      <c r="M186" s="484"/>
      <c r="N186" s="485"/>
      <c r="O186" s="483"/>
      <c r="P186" s="486"/>
      <c r="Q186" s="483"/>
      <c r="R186" s="487"/>
      <c r="S186" s="483"/>
      <c r="T186" s="6"/>
      <c r="U186" s="6"/>
      <c r="V186" s="6"/>
    </row>
    <row r="187" spans="1:26" x14ac:dyDescent="0.25">
      <c r="A187" s="394"/>
      <c r="B187" s="321" t="s">
        <v>274</v>
      </c>
      <c r="C187" s="385"/>
      <c r="W187" s="75"/>
      <c r="Y187" s="350"/>
      <c r="Z187" s="75"/>
    </row>
    <row r="188" spans="1:26" x14ac:dyDescent="0.25">
      <c r="A188" s="313" t="s">
        <v>164</v>
      </c>
      <c r="B188" s="308"/>
      <c r="C188" s="322"/>
      <c r="D188" s="319" t="s">
        <v>19</v>
      </c>
      <c r="E188" s="318" t="s">
        <v>59</v>
      </c>
      <c r="F188" s="319" t="s">
        <v>27</v>
      </c>
      <c r="G188" s="320" t="s">
        <v>35</v>
      </c>
      <c r="H188" s="309" t="s">
        <v>36</v>
      </c>
      <c r="I188" s="309" t="s">
        <v>35</v>
      </c>
      <c r="J188" s="320" t="s">
        <v>36</v>
      </c>
      <c r="K188" s="320" t="s">
        <v>39</v>
      </c>
      <c r="L188" s="320" t="s">
        <v>40</v>
      </c>
      <c r="M188" s="320" t="s">
        <v>42</v>
      </c>
      <c r="N188" s="320" t="s">
        <v>2</v>
      </c>
      <c r="O188" s="323" t="s">
        <v>184</v>
      </c>
      <c r="P188" s="332" t="s">
        <v>166</v>
      </c>
      <c r="Q188" s="332" t="s">
        <v>188</v>
      </c>
      <c r="R188" s="310"/>
      <c r="W188" s="75"/>
      <c r="Y188" s="351"/>
      <c r="Z188" s="350"/>
    </row>
    <row r="189" spans="1:26" x14ac:dyDescent="0.25">
      <c r="A189" s="26" t="s">
        <v>28</v>
      </c>
      <c r="B189" s="27" t="s">
        <v>261</v>
      </c>
      <c r="C189" s="62" t="s">
        <v>31</v>
      </c>
      <c r="D189" s="62" t="s">
        <v>30</v>
      </c>
      <c r="E189" s="62" t="s">
        <v>161</v>
      </c>
      <c r="F189" s="262" t="s">
        <v>56</v>
      </c>
      <c r="G189" s="312">
        <v>18075.54</v>
      </c>
      <c r="H189" s="312">
        <v>2986.28</v>
      </c>
      <c r="I189" s="237">
        <v>3.2086999999999999</v>
      </c>
      <c r="J189" s="237">
        <v>3.2086999999999999</v>
      </c>
      <c r="K189" s="312"/>
      <c r="L189" s="312"/>
      <c r="M189" s="312"/>
      <c r="N189" s="312"/>
      <c r="O189" s="245">
        <f t="shared" ref="O189:O190" si="94">G189*I189+H189*J189</f>
        <v>67581.061834000007</v>
      </c>
      <c r="P189" s="243">
        <f>ROUND(37.24%*O189,2)</f>
        <v>25167.19</v>
      </c>
      <c r="Q189" s="243">
        <f t="shared" ref="Q189:Q190" si="95">ROUND(R189*P189,2)</f>
        <v>12583.6</v>
      </c>
      <c r="R189" s="244">
        <v>0.5</v>
      </c>
      <c r="W189" s="74"/>
      <c r="Y189" s="74"/>
    </row>
    <row r="190" spans="1:26" x14ac:dyDescent="0.25">
      <c r="A190" s="326" t="s">
        <v>28</v>
      </c>
      <c r="B190" s="335" t="str">
        <f>B189</f>
        <v>88 GAS -Pisco</v>
      </c>
      <c r="C190" s="336" t="s">
        <v>31</v>
      </c>
      <c r="D190" s="337" t="s">
        <v>190</v>
      </c>
      <c r="E190" s="337"/>
      <c r="F190" s="342" t="str">
        <f>F189</f>
        <v xml:space="preserve"> MM BTU</v>
      </c>
      <c r="G190" s="537">
        <f>+G189</f>
        <v>18075.54</v>
      </c>
      <c r="H190" s="387">
        <f>+H189</f>
        <v>2986.28</v>
      </c>
      <c r="I190" s="328">
        <v>3.2105999999999999</v>
      </c>
      <c r="J190" s="328">
        <v>3.2105999999999999</v>
      </c>
      <c r="K190" s="328"/>
      <c r="L190" s="328"/>
      <c r="M190" s="328"/>
      <c r="N190" s="327"/>
      <c r="O190" s="327">
        <f t="shared" si="94"/>
        <v>67621.079291999995</v>
      </c>
      <c r="P190" s="327">
        <f>ROUND(37.24%*O190,2)</f>
        <v>25182.09</v>
      </c>
      <c r="Q190" s="327">
        <f t="shared" si="95"/>
        <v>12591.05</v>
      </c>
      <c r="R190" s="199">
        <v>0.5</v>
      </c>
      <c r="W190" s="74"/>
      <c r="Y190" s="74"/>
      <c r="Z190" s="74"/>
    </row>
    <row r="191" spans="1:26" x14ac:dyDescent="0.25">
      <c r="A191" s="329"/>
      <c r="B191" s="338" t="s">
        <v>185</v>
      </c>
      <c r="C191" s="100"/>
      <c r="D191" s="210"/>
      <c r="E191" s="210"/>
      <c r="F191" s="329"/>
      <c r="G191" s="311">
        <f t="shared" ref="G191:Q191" si="96">G190-G189</f>
        <v>0</v>
      </c>
      <c r="H191" s="388">
        <f t="shared" si="96"/>
        <v>0</v>
      </c>
      <c r="I191" s="339">
        <f t="shared" si="96"/>
        <v>1.9000000000000128E-3</v>
      </c>
      <c r="J191" s="339">
        <f t="shared" si="96"/>
        <v>1.9000000000000128E-3</v>
      </c>
      <c r="K191" s="339">
        <f t="shared" si="96"/>
        <v>0</v>
      </c>
      <c r="L191" s="339">
        <f t="shared" si="96"/>
        <v>0</v>
      </c>
      <c r="M191" s="339">
        <f t="shared" si="96"/>
        <v>0</v>
      </c>
      <c r="N191" s="340">
        <f t="shared" si="96"/>
        <v>0</v>
      </c>
      <c r="O191" s="311">
        <f t="shared" si="96"/>
        <v>40.017457999987528</v>
      </c>
      <c r="P191" s="461">
        <f t="shared" si="96"/>
        <v>14.900000000001455</v>
      </c>
      <c r="Q191" s="311">
        <f t="shared" si="96"/>
        <v>7.4499999999989086</v>
      </c>
      <c r="R191" s="462"/>
      <c r="S191" s="307" t="s">
        <v>186</v>
      </c>
      <c r="X191" s="74"/>
      <c r="Y191" s="74"/>
    </row>
    <row r="192" spans="1:26" x14ac:dyDescent="0.25">
      <c r="A192" s="125"/>
      <c r="B192" s="7"/>
      <c r="C192" s="125"/>
      <c r="D192" s="125"/>
      <c r="E192" s="125"/>
      <c r="F192" s="125"/>
      <c r="G192" s="483"/>
      <c r="H192" s="483"/>
      <c r="I192" s="536"/>
      <c r="J192" s="536"/>
      <c r="K192" s="484"/>
      <c r="L192" s="484"/>
      <c r="M192" s="484"/>
      <c r="N192" s="485"/>
      <c r="O192" s="483"/>
      <c r="P192" s="486"/>
      <c r="Q192" s="483"/>
      <c r="R192" s="487"/>
      <c r="S192" s="483"/>
      <c r="T192" s="6"/>
      <c r="U192" s="6"/>
      <c r="V192" s="6"/>
    </row>
    <row r="193" spans="1:26" x14ac:dyDescent="0.25">
      <c r="A193" s="394"/>
      <c r="B193" s="321" t="s">
        <v>275</v>
      </c>
      <c r="C193" s="385"/>
      <c r="W193" s="75"/>
      <c r="Y193" s="350"/>
      <c r="Z193" s="75"/>
    </row>
    <row r="194" spans="1:26" x14ac:dyDescent="0.25">
      <c r="A194" s="313" t="s">
        <v>164</v>
      </c>
      <c r="B194" s="308"/>
      <c r="C194" s="322"/>
      <c r="D194" s="319" t="s">
        <v>19</v>
      </c>
      <c r="E194" s="318" t="s">
        <v>59</v>
      </c>
      <c r="F194" s="319" t="s">
        <v>27</v>
      </c>
      <c r="G194" s="320" t="s">
        <v>35</v>
      </c>
      <c r="H194" s="309" t="s">
        <v>36</v>
      </c>
      <c r="I194" s="309" t="s">
        <v>35</v>
      </c>
      <c r="J194" s="320" t="s">
        <v>36</v>
      </c>
      <c r="K194" s="320" t="s">
        <v>39</v>
      </c>
      <c r="L194" s="320" t="s">
        <v>40</v>
      </c>
      <c r="M194" s="320" t="s">
        <v>42</v>
      </c>
      <c r="N194" s="320" t="s">
        <v>2</v>
      </c>
      <c r="O194" s="323" t="s">
        <v>184</v>
      </c>
      <c r="P194" s="332" t="s">
        <v>166</v>
      </c>
      <c r="Q194" s="332" t="s">
        <v>188</v>
      </c>
      <c r="R194" s="310"/>
      <c r="W194" s="75"/>
      <c r="Y194" s="351"/>
      <c r="Z194" s="350"/>
    </row>
    <row r="195" spans="1:26" x14ac:dyDescent="0.25">
      <c r="A195" s="26" t="s">
        <v>28</v>
      </c>
      <c r="B195" s="27" t="s">
        <v>261</v>
      </c>
      <c r="C195" s="62" t="s">
        <v>31</v>
      </c>
      <c r="D195" s="62" t="s">
        <v>30</v>
      </c>
      <c r="E195" s="62" t="s">
        <v>161</v>
      </c>
      <c r="F195" s="262" t="s">
        <v>56</v>
      </c>
      <c r="G195" s="312">
        <v>16735.59</v>
      </c>
      <c r="H195" s="312">
        <v>6864.33</v>
      </c>
      <c r="I195" s="237">
        <v>3.2111999999999998</v>
      </c>
      <c r="J195" s="237">
        <v>3.2111999999999998</v>
      </c>
      <c r="K195" s="312"/>
      <c r="L195" s="312"/>
      <c r="M195" s="312"/>
      <c r="N195" s="312"/>
      <c r="O195" s="245">
        <f t="shared" ref="O195:O196" si="97">G195*I195+H195*J195</f>
        <v>75784.063104000001</v>
      </c>
      <c r="P195" s="243">
        <f>ROUND(37.24%*O195,2)</f>
        <v>28221.99</v>
      </c>
      <c r="Q195" s="243">
        <f t="shared" ref="Q195:Q196" si="98">ROUND(R195*P195,2)</f>
        <v>14111</v>
      </c>
      <c r="R195" s="244">
        <v>0.5</v>
      </c>
      <c r="W195" s="74"/>
      <c r="Y195" s="74"/>
    </row>
    <row r="196" spans="1:26" x14ac:dyDescent="0.25">
      <c r="A196" s="326" t="s">
        <v>28</v>
      </c>
      <c r="B196" s="335" t="str">
        <f>B195</f>
        <v>88 GAS -Pisco</v>
      </c>
      <c r="C196" s="336" t="s">
        <v>31</v>
      </c>
      <c r="D196" s="337" t="s">
        <v>190</v>
      </c>
      <c r="E196" s="337"/>
      <c r="F196" s="342" t="str">
        <f>F195</f>
        <v xml:space="preserve"> MM BTU</v>
      </c>
      <c r="G196" s="537">
        <f>+G195</f>
        <v>16735.59</v>
      </c>
      <c r="H196" s="387">
        <f>+H195</f>
        <v>6864.33</v>
      </c>
      <c r="I196" s="328">
        <v>3.2208000000000001</v>
      </c>
      <c r="J196" s="328">
        <v>3.2208000000000001</v>
      </c>
      <c r="K196" s="328"/>
      <c r="L196" s="328"/>
      <c r="M196" s="328"/>
      <c r="N196" s="327"/>
      <c r="O196" s="327">
        <f t="shared" si="97"/>
        <v>76010.622336</v>
      </c>
      <c r="P196" s="327">
        <f>ROUND(37.24%*O196,2)</f>
        <v>28306.36</v>
      </c>
      <c r="Q196" s="327">
        <f t="shared" si="98"/>
        <v>14153.18</v>
      </c>
      <c r="R196" s="199">
        <v>0.5</v>
      </c>
      <c r="W196" s="74"/>
      <c r="Y196" s="74"/>
      <c r="Z196" s="74"/>
    </row>
    <row r="197" spans="1:26" x14ac:dyDescent="0.25">
      <c r="A197" s="329"/>
      <c r="B197" s="338" t="s">
        <v>185</v>
      </c>
      <c r="C197" s="100"/>
      <c r="D197" s="210"/>
      <c r="E197" s="210"/>
      <c r="F197" s="329"/>
      <c r="G197" s="311">
        <f t="shared" ref="G197:Q197" si="99">G196-G195</f>
        <v>0</v>
      </c>
      <c r="H197" s="388">
        <f t="shared" si="99"/>
        <v>0</v>
      </c>
      <c r="I197" s="339">
        <f t="shared" si="99"/>
        <v>9.600000000000275E-3</v>
      </c>
      <c r="J197" s="339">
        <f t="shared" si="99"/>
        <v>9.600000000000275E-3</v>
      </c>
      <c r="K197" s="339">
        <f t="shared" si="99"/>
        <v>0</v>
      </c>
      <c r="L197" s="339">
        <f t="shared" si="99"/>
        <v>0</v>
      </c>
      <c r="M197" s="339">
        <f t="shared" si="99"/>
        <v>0</v>
      </c>
      <c r="N197" s="340">
        <f t="shared" si="99"/>
        <v>0</v>
      </c>
      <c r="O197" s="311">
        <f t="shared" si="99"/>
        <v>226.55923199999961</v>
      </c>
      <c r="P197" s="461">
        <f t="shared" si="99"/>
        <v>84.369999999998981</v>
      </c>
      <c r="Q197" s="311">
        <f t="shared" si="99"/>
        <v>42.180000000000291</v>
      </c>
      <c r="R197" s="462"/>
      <c r="S197" s="307" t="s">
        <v>186</v>
      </c>
      <c r="X197" s="74"/>
      <c r="Y197" s="74"/>
    </row>
    <row r="198" spans="1:26" x14ac:dyDescent="0.25">
      <c r="A198" s="125"/>
      <c r="B198" s="7"/>
      <c r="C198" s="125"/>
      <c r="D198" s="125"/>
      <c r="E198" s="125"/>
      <c r="F198" s="125"/>
      <c r="G198" s="483"/>
      <c r="H198" s="483"/>
      <c r="I198" s="536"/>
      <c r="J198" s="536"/>
      <c r="K198" s="484"/>
      <c r="L198" s="484"/>
      <c r="M198" s="484"/>
      <c r="N198" s="485"/>
      <c r="O198" s="483"/>
      <c r="P198" s="486"/>
      <c r="Q198" s="483"/>
      <c r="R198" s="487"/>
      <c r="S198" s="483"/>
      <c r="T198" s="6"/>
      <c r="U198" s="6"/>
      <c r="V198" s="6"/>
    </row>
    <row r="199" spans="1:26" x14ac:dyDescent="0.25">
      <c r="A199" s="394"/>
      <c r="B199" s="321" t="s">
        <v>276</v>
      </c>
      <c r="C199" s="385"/>
      <c r="W199" s="75"/>
      <c r="Y199" s="350"/>
      <c r="Z199" s="75"/>
    </row>
    <row r="200" spans="1:26" x14ac:dyDescent="0.25">
      <c r="A200" s="313" t="s">
        <v>164</v>
      </c>
      <c r="B200" s="308"/>
      <c r="C200" s="322"/>
      <c r="D200" s="319" t="s">
        <v>19</v>
      </c>
      <c r="E200" s="318" t="s">
        <v>59</v>
      </c>
      <c r="F200" s="319" t="s">
        <v>27</v>
      </c>
      <c r="G200" s="320" t="s">
        <v>35</v>
      </c>
      <c r="H200" s="309" t="s">
        <v>36</v>
      </c>
      <c r="I200" s="309" t="s">
        <v>35</v>
      </c>
      <c r="J200" s="320" t="s">
        <v>36</v>
      </c>
      <c r="K200" s="320" t="s">
        <v>39</v>
      </c>
      <c r="L200" s="320" t="s">
        <v>40</v>
      </c>
      <c r="M200" s="320" t="s">
        <v>42</v>
      </c>
      <c r="N200" s="320" t="s">
        <v>2</v>
      </c>
      <c r="O200" s="323" t="s">
        <v>184</v>
      </c>
      <c r="P200" s="332" t="s">
        <v>166</v>
      </c>
      <c r="Q200" s="332" t="s">
        <v>188</v>
      </c>
      <c r="R200" s="310"/>
      <c r="W200" s="75"/>
      <c r="Y200" s="351"/>
      <c r="Z200" s="350"/>
    </row>
    <row r="201" spans="1:26" x14ac:dyDescent="0.25">
      <c r="A201" s="26" t="s">
        <v>28</v>
      </c>
      <c r="B201" s="27" t="s">
        <v>261</v>
      </c>
      <c r="C201" s="62" t="s">
        <v>31</v>
      </c>
      <c r="D201" s="62" t="s">
        <v>30</v>
      </c>
      <c r="E201" s="62" t="s">
        <v>161</v>
      </c>
      <c r="F201" s="262" t="s">
        <v>56</v>
      </c>
      <c r="G201" s="312">
        <v>631.78</v>
      </c>
      <c r="H201" s="312">
        <v>16310.5</v>
      </c>
      <c r="I201" s="237">
        <v>3.2225999999999999</v>
      </c>
      <c r="J201" s="237">
        <v>3.2225999999999999</v>
      </c>
      <c r="K201" s="312"/>
      <c r="L201" s="312"/>
      <c r="M201" s="312"/>
      <c r="N201" s="312"/>
      <c r="O201" s="245">
        <f t="shared" ref="O201:O202" si="100">G201*I201+H201*J201</f>
        <v>54598.191527999996</v>
      </c>
      <c r="P201" s="243">
        <f>ROUND(37.24%*O201,2)</f>
        <v>20332.37</v>
      </c>
      <c r="Q201" s="243">
        <f t="shared" ref="Q201:Q202" si="101">ROUND(R201*P201,2)</f>
        <v>10166.19</v>
      </c>
      <c r="R201" s="244">
        <v>0.5</v>
      </c>
      <c r="W201" s="74"/>
      <c r="Y201" s="74"/>
    </row>
    <row r="202" spans="1:26" x14ac:dyDescent="0.25">
      <c r="A202" s="326" t="s">
        <v>28</v>
      </c>
      <c r="B202" s="335" t="str">
        <f>B201</f>
        <v>88 GAS -Pisco</v>
      </c>
      <c r="C202" s="336" t="s">
        <v>31</v>
      </c>
      <c r="D202" s="337" t="s">
        <v>190</v>
      </c>
      <c r="E202" s="337"/>
      <c r="F202" s="342" t="str">
        <f>F201</f>
        <v xml:space="preserve"> MM BTU</v>
      </c>
      <c r="G202" s="537">
        <f>+G201</f>
        <v>631.78</v>
      </c>
      <c r="H202" s="387">
        <f>+H201</f>
        <v>16310.5</v>
      </c>
      <c r="I202" s="328">
        <v>3.0651999999999999</v>
      </c>
      <c r="J202" s="328">
        <v>3.0651999999999999</v>
      </c>
      <c r="K202" s="328"/>
      <c r="L202" s="328"/>
      <c r="M202" s="328"/>
      <c r="N202" s="327"/>
      <c r="O202" s="327">
        <f t="shared" si="100"/>
        <v>51931.476655999992</v>
      </c>
      <c r="P202" s="327">
        <f>ROUND(37.24%*O202,2)</f>
        <v>19339.28</v>
      </c>
      <c r="Q202" s="327">
        <f t="shared" si="101"/>
        <v>9669.64</v>
      </c>
      <c r="R202" s="199">
        <v>0.5</v>
      </c>
      <c r="W202" s="74"/>
      <c r="Y202" s="74"/>
      <c r="Z202" s="74"/>
    </row>
    <row r="203" spans="1:26" x14ac:dyDescent="0.25">
      <c r="A203" s="329"/>
      <c r="B203" s="338" t="s">
        <v>185</v>
      </c>
      <c r="C203" s="100"/>
      <c r="D203" s="210"/>
      <c r="E203" s="210"/>
      <c r="F203" s="329"/>
      <c r="G203" s="311">
        <f t="shared" ref="G203:Q203" si="102">G202-G201</f>
        <v>0</v>
      </c>
      <c r="H203" s="388">
        <f t="shared" si="102"/>
        <v>0</v>
      </c>
      <c r="I203" s="339">
        <f t="shared" si="102"/>
        <v>-0.15739999999999998</v>
      </c>
      <c r="J203" s="339">
        <f t="shared" si="102"/>
        <v>-0.15739999999999998</v>
      </c>
      <c r="K203" s="339">
        <f t="shared" si="102"/>
        <v>0</v>
      </c>
      <c r="L203" s="339">
        <f t="shared" si="102"/>
        <v>0</v>
      </c>
      <c r="M203" s="339">
        <f t="shared" si="102"/>
        <v>0</v>
      </c>
      <c r="N203" s="340">
        <f t="shared" si="102"/>
        <v>0</v>
      </c>
      <c r="O203" s="311">
        <f t="shared" si="102"/>
        <v>-2666.7148720000041</v>
      </c>
      <c r="P203" s="461">
        <f t="shared" si="102"/>
        <v>-993.09000000000015</v>
      </c>
      <c r="Q203" s="311">
        <f t="shared" si="102"/>
        <v>-496.55000000000109</v>
      </c>
      <c r="R203" s="462"/>
      <c r="S203" s="307" t="s">
        <v>186</v>
      </c>
      <c r="X203" s="74"/>
      <c r="Y203" s="74"/>
    </row>
    <row r="204" spans="1:26" x14ac:dyDescent="0.25">
      <c r="A204" s="125"/>
      <c r="B204" s="7"/>
      <c r="C204" s="125"/>
      <c r="D204" s="125"/>
      <c r="E204" s="125"/>
      <c r="F204" s="125"/>
      <c r="G204" s="483"/>
      <c r="H204" s="483"/>
      <c r="I204" s="536"/>
      <c r="J204" s="536"/>
      <c r="K204" s="484"/>
      <c r="L204" s="484"/>
      <c r="M204" s="484"/>
      <c r="N204" s="485"/>
      <c r="O204" s="483"/>
      <c r="P204" s="486"/>
      <c r="Q204" s="483"/>
      <c r="R204" s="487"/>
      <c r="S204" s="483"/>
      <c r="T204" s="6"/>
      <c r="U204" s="6"/>
      <c r="V204" s="6"/>
    </row>
    <row r="205" spans="1:26" x14ac:dyDescent="0.25">
      <c r="A205" s="394"/>
      <c r="B205" s="321" t="s">
        <v>277</v>
      </c>
      <c r="C205" s="385"/>
      <c r="W205" s="75"/>
      <c r="Y205" s="350"/>
      <c r="Z205" s="75"/>
    </row>
    <row r="206" spans="1:26" x14ac:dyDescent="0.25">
      <c r="A206" s="313" t="s">
        <v>164</v>
      </c>
      <c r="B206" s="308"/>
      <c r="C206" s="322"/>
      <c r="D206" s="319" t="s">
        <v>19</v>
      </c>
      <c r="E206" s="318" t="s">
        <v>59</v>
      </c>
      <c r="F206" s="319" t="s">
        <v>27</v>
      </c>
      <c r="G206" s="320" t="s">
        <v>35</v>
      </c>
      <c r="H206" s="309" t="s">
        <v>36</v>
      </c>
      <c r="I206" s="309" t="s">
        <v>35</v>
      </c>
      <c r="J206" s="320" t="s">
        <v>36</v>
      </c>
      <c r="K206" s="320" t="s">
        <v>39</v>
      </c>
      <c r="L206" s="320" t="s">
        <v>40</v>
      </c>
      <c r="M206" s="320" t="s">
        <v>42</v>
      </c>
      <c r="N206" s="320" t="s">
        <v>2</v>
      </c>
      <c r="O206" s="323" t="s">
        <v>184</v>
      </c>
      <c r="P206" s="332" t="s">
        <v>166</v>
      </c>
      <c r="Q206" s="332" t="s">
        <v>188</v>
      </c>
      <c r="R206" s="310"/>
      <c r="W206" s="75"/>
      <c r="Y206" s="351"/>
      <c r="Z206" s="350"/>
    </row>
    <row r="207" spans="1:26" x14ac:dyDescent="0.25">
      <c r="A207" s="26" t="s">
        <v>28</v>
      </c>
      <c r="B207" s="27" t="s">
        <v>261</v>
      </c>
      <c r="C207" s="62" t="s">
        <v>31</v>
      </c>
      <c r="D207" s="62" t="s">
        <v>30</v>
      </c>
      <c r="E207" s="62" t="s">
        <v>161</v>
      </c>
      <c r="F207" s="262" t="s">
        <v>56</v>
      </c>
      <c r="G207" s="312">
        <v>5137.3999999999996</v>
      </c>
      <c r="H207" s="312">
        <v>11001.17</v>
      </c>
      <c r="I207" s="237">
        <v>3.0613000000000001</v>
      </c>
      <c r="J207" s="237">
        <v>3.0613000000000001</v>
      </c>
      <c r="K207" s="312"/>
      <c r="L207" s="312"/>
      <c r="M207" s="312"/>
      <c r="N207" s="312"/>
      <c r="O207" s="245">
        <f t="shared" ref="O207:O208" si="103">G207*I207+H207*J207</f>
        <v>49405.004341000007</v>
      </c>
      <c r="P207" s="243">
        <f>ROUND(37.24%*O207,2)</f>
        <v>18398.419999999998</v>
      </c>
      <c r="Q207" s="243">
        <f t="shared" ref="Q207:Q208" si="104">ROUND(R207*P207,2)</f>
        <v>9199.2099999999991</v>
      </c>
      <c r="R207" s="244">
        <v>0.5</v>
      </c>
      <c r="W207" s="74"/>
      <c r="Y207" s="74"/>
    </row>
    <row r="208" spans="1:26" x14ac:dyDescent="0.25">
      <c r="A208" s="326" t="s">
        <v>28</v>
      </c>
      <c r="B208" s="335" t="str">
        <f>B207</f>
        <v>88 GAS -Pisco</v>
      </c>
      <c r="C208" s="336" t="s">
        <v>31</v>
      </c>
      <c r="D208" s="337" t="s">
        <v>190</v>
      </c>
      <c r="E208" s="337"/>
      <c r="F208" s="342" t="str">
        <f>F207</f>
        <v xml:space="preserve"> MM BTU</v>
      </c>
      <c r="G208" s="537">
        <f>+G207</f>
        <v>5137.3999999999996</v>
      </c>
      <c r="H208" s="387">
        <f>+H207</f>
        <v>11001.17</v>
      </c>
      <c r="I208" s="328">
        <v>3.0188999999999999</v>
      </c>
      <c r="J208" s="328">
        <v>3.0188999999999999</v>
      </c>
      <c r="K208" s="328"/>
      <c r="L208" s="328"/>
      <c r="M208" s="328"/>
      <c r="N208" s="327"/>
      <c r="O208" s="327">
        <f t="shared" si="103"/>
        <v>48720.728973000005</v>
      </c>
      <c r="P208" s="327">
        <f>ROUND(37.24%*O208,2)</f>
        <v>18143.599999999999</v>
      </c>
      <c r="Q208" s="327">
        <f t="shared" si="104"/>
        <v>9071.7999999999993</v>
      </c>
      <c r="R208" s="199">
        <v>0.5</v>
      </c>
      <c r="W208" s="74"/>
      <c r="Y208" s="74"/>
      <c r="Z208" s="74"/>
    </row>
    <row r="209" spans="1:26" x14ac:dyDescent="0.25">
      <c r="A209" s="329"/>
      <c r="B209" s="338" t="s">
        <v>185</v>
      </c>
      <c r="C209" s="100"/>
      <c r="D209" s="210"/>
      <c r="E209" s="210"/>
      <c r="F209" s="329"/>
      <c r="G209" s="311">
        <f t="shared" ref="G209:Q209" si="105">G208-G207</f>
        <v>0</v>
      </c>
      <c r="H209" s="388">
        <f t="shared" si="105"/>
        <v>0</v>
      </c>
      <c r="I209" s="339">
        <f t="shared" si="105"/>
        <v>-4.2400000000000215E-2</v>
      </c>
      <c r="J209" s="339">
        <f t="shared" si="105"/>
        <v>-4.2400000000000215E-2</v>
      </c>
      <c r="K209" s="339">
        <f t="shared" si="105"/>
        <v>0</v>
      </c>
      <c r="L209" s="339">
        <f t="shared" si="105"/>
        <v>0</v>
      </c>
      <c r="M209" s="339">
        <f t="shared" si="105"/>
        <v>0</v>
      </c>
      <c r="N209" s="340">
        <f t="shared" si="105"/>
        <v>0</v>
      </c>
      <c r="O209" s="311">
        <f t="shared" si="105"/>
        <v>-684.27536800000235</v>
      </c>
      <c r="P209" s="461">
        <f t="shared" si="105"/>
        <v>-254.81999999999971</v>
      </c>
      <c r="Q209" s="311">
        <f t="shared" si="105"/>
        <v>-127.40999999999985</v>
      </c>
      <c r="R209" s="462"/>
      <c r="S209" s="307" t="s">
        <v>186</v>
      </c>
      <c r="X209" s="74"/>
      <c r="Y209" s="74"/>
    </row>
    <row r="210" spans="1:26" x14ac:dyDescent="0.25">
      <c r="A210" s="125"/>
      <c r="B210" s="7"/>
      <c r="C210" s="125"/>
      <c r="D210" s="125"/>
      <c r="E210" s="125"/>
      <c r="F210" s="125"/>
      <c r="G210" s="483"/>
      <c r="H210" s="483"/>
      <c r="I210" s="536"/>
      <c r="J210" s="536"/>
      <c r="K210" s="484"/>
      <c r="L210" s="484"/>
      <c r="M210" s="484"/>
      <c r="N210" s="485"/>
      <c r="O210" s="483"/>
      <c r="P210" s="486"/>
      <c r="Q210" s="483"/>
      <c r="R210" s="487"/>
      <c r="S210" s="483"/>
      <c r="T210" s="6"/>
      <c r="U210" s="6"/>
      <c r="V210" s="6"/>
    </row>
    <row r="211" spans="1:26" x14ac:dyDescent="0.25">
      <c r="A211" s="394"/>
      <c r="B211" s="321" t="s">
        <v>278</v>
      </c>
      <c r="C211" s="385"/>
      <c r="W211" s="75"/>
      <c r="Y211" s="350"/>
      <c r="Z211" s="75"/>
    </row>
    <row r="212" spans="1:26" x14ac:dyDescent="0.25">
      <c r="A212" s="313" t="s">
        <v>164</v>
      </c>
      <c r="B212" s="308"/>
      <c r="C212" s="322"/>
      <c r="D212" s="319" t="s">
        <v>19</v>
      </c>
      <c r="E212" s="318" t="s">
        <v>59</v>
      </c>
      <c r="F212" s="319" t="s">
        <v>27</v>
      </c>
      <c r="G212" s="320" t="s">
        <v>35</v>
      </c>
      <c r="H212" s="309" t="s">
        <v>36</v>
      </c>
      <c r="I212" s="309" t="s">
        <v>35</v>
      </c>
      <c r="J212" s="320" t="s">
        <v>36</v>
      </c>
      <c r="K212" s="320" t="s">
        <v>39</v>
      </c>
      <c r="L212" s="320" t="s">
        <v>40</v>
      </c>
      <c r="M212" s="320" t="s">
        <v>42</v>
      </c>
      <c r="N212" s="320" t="s">
        <v>2</v>
      </c>
      <c r="O212" s="323" t="s">
        <v>184</v>
      </c>
      <c r="P212" s="332" t="s">
        <v>166</v>
      </c>
      <c r="Q212" s="332" t="s">
        <v>188</v>
      </c>
      <c r="R212" s="310"/>
      <c r="W212" s="75"/>
      <c r="Y212" s="351"/>
      <c r="Z212" s="350"/>
    </row>
    <row r="213" spans="1:26" x14ac:dyDescent="0.25">
      <c r="A213" s="26" t="s">
        <v>28</v>
      </c>
      <c r="B213" s="27" t="s">
        <v>261</v>
      </c>
      <c r="C213" s="62" t="s">
        <v>31</v>
      </c>
      <c r="D213" s="62" t="s">
        <v>30</v>
      </c>
      <c r="E213" s="62" t="s">
        <v>161</v>
      </c>
      <c r="F213" s="262" t="s">
        <v>56</v>
      </c>
      <c r="G213" s="312">
        <v>9071.4938000000002</v>
      </c>
      <c r="H213" s="312">
        <v>13513.9483</v>
      </c>
      <c r="I213" s="237">
        <v>3.0207999999999999</v>
      </c>
      <c r="J213" s="237">
        <v>3.0207999999999999</v>
      </c>
      <c r="K213" s="312"/>
      <c r="L213" s="312"/>
      <c r="M213" s="312"/>
      <c r="N213" s="312"/>
      <c r="O213" s="245">
        <f t="shared" ref="O213:O214" si="106">G213*I213+H213*J213</f>
        <v>68226.103495679999</v>
      </c>
      <c r="P213" s="243">
        <f>ROUND(37.24%*O213,2)</f>
        <v>25407.4</v>
      </c>
      <c r="Q213" s="243">
        <f t="shared" ref="Q213:Q214" si="107">ROUND(R213*P213,2)</f>
        <v>12703.7</v>
      </c>
      <c r="R213" s="244">
        <v>0.5</v>
      </c>
      <c r="W213" s="74"/>
      <c r="Y213" s="74"/>
    </row>
    <row r="214" spans="1:26" x14ac:dyDescent="0.25">
      <c r="A214" s="326" t="s">
        <v>28</v>
      </c>
      <c r="B214" s="335" t="str">
        <f>B213</f>
        <v>88 GAS -Pisco</v>
      </c>
      <c r="C214" s="336" t="s">
        <v>31</v>
      </c>
      <c r="D214" s="337" t="s">
        <v>190</v>
      </c>
      <c r="E214" s="337"/>
      <c r="F214" s="342" t="str">
        <f>F213</f>
        <v xml:space="preserve"> MM BTU</v>
      </c>
      <c r="G214" s="537">
        <f>+G213</f>
        <v>9071.4938000000002</v>
      </c>
      <c r="H214" s="387">
        <f>+H213</f>
        <v>13513.9483</v>
      </c>
      <c r="I214" s="328">
        <v>3.1179000000000001</v>
      </c>
      <c r="J214" s="328">
        <v>3.1179000000000001</v>
      </c>
      <c r="K214" s="328"/>
      <c r="L214" s="328"/>
      <c r="M214" s="328"/>
      <c r="N214" s="327"/>
      <c r="O214" s="327">
        <f t="shared" si="106"/>
        <v>70419.149923589997</v>
      </c>
      <c r="P214" s="327">
        <f>ROUND(37.24%*O214,2)</f>
        <v>26224.09</v>
      </c>
      <c r="Q214" s="327">
        <f t="shared" si="107"/>
        <v>13112.05</v>
      </c>
      <c r="R214" s="199">
        <v>0.5</v>
      </c>
      <c r="W214" s="74"/>
      <c r="Y214" s="74"/>
      <c r="Z214" s="74"/>
    </row>
    <row r="215" spans="1:26" x14ac:dyDescent="0.25">
      <c r="A215" s="329"/>
      <c r="B215" s="338" t="s">
        <v>185</v>
      </c>
      <c r="C215" s="100"/>
      <c r="D215" s="210"/>
      <c r="E215" s="210"/>
      <c r="F215" s="329"/>
      <c r="G215" s="311">
        <f t="shared" ref="G215:Q215" si="108">G214-G213</f>
        <v>0</v>
      </c>
      <c r="H215" s="388">
        <f t="shared" si="108"/>
        <v>0</v>
      </c>
      <c r="I215" s="339">
        <f t="shared" si="108"/>
        <v>9.7100000000000186E-2</v>
      </c>
      <c r="J215" s="339">
        <f t="shared" si="108"/>
        <v>9.7100000000000186E-2</v>
      </c>
      <c r="K215" s="339">
        <f t="shared" si="108"/>
        <v>0</v>
      </c>
      <c r="L215" s="339">
        <f t="shared" si="108"/>
        <v>0</v>
      </c>
      <c r="M215" s="339">
        <f t="shared" si="108"/>
        <v>0</v>
      </c>
      <c r="N215" s="340">
        <f t="shared" si="108"/>
        <v>0</v>
      </c>
      <c r="O215" s="311">
        <f t="shared" si="108"/>
        <v>2193.0464279099979</v>
      </c>
      <c r="P215" s="461">
        <f t="shared" si="108"/>
        <v>816.68999999999869</v>
      </c>
      <c r="Q215" s="311">
        <f t="shared" si="108"/>
        <v>408.34999999999854</v>
      </c>
      <c r="R215" s="462"/>
      <c r="S215" s="307" t="s">
        <v>186</v>
      </c>
      <c r="X215" s="74"/>
      <c r="Y215" s="74"/>
    </row>
    <row r="216" spans="1:26" x14ac:dyDescent="0.25">
      <c r="A216" s="125"/>
      <c r="B216" s="7"/>
      <c r="C216" s="125"/>
      <c r="D216" s="125"/>
      <c r="E216" s="125"/>
      <c r="F216" s="125"/>
      <c r="G216" s="483"/>
      <c r="H216" s="483"/>
      <c r="I216" s="536"/>
      <c r="J216" s="536"/>
      <c r="K216" s="484"/>
      <c r="L216" s="484"/>
      <c r="M216" s="484"/>
      <c r="N216" s="485"/>
      <c r="O216" s="483"/>
      <c r="P216" s="486"/>
      <c r="Q216" s="483"/>
      <c r="R216" s="487"/>
      <c r="S216" s="483"/>
      <c r="T216" s="6"/>
      <c r="U216" s="6"/>
      <c r="V216" s="6"/>
    </row>
    <row r="217" spans="1:26" x14ac:dyDescent="0.25">
      <c r="A217" s="394"/>
      <c r="B217" s="321" t="s">
        <v>279</v>
      </c>
      <c r="C217" s="385"/>
      <c r="W217" s="75"/>
      <c r="Y217" s="350"/>
      <c r="Z217" s="75"/>
    </row>
    <row r="218" spans="1:26" x14ac:dyDescent="0.25">
      <c r="A218" s="313" t="s">
        <v>164</v>
      </c>
      <c r="B218" s="308"/>
      <c r="C218" s="322"/>
      <c r="D218" s="319" t="s">
        <v>19</v>
      </c>
      <c r="E218" s="318" t="s">
        <v>59</v>
      </c>
      <c r="F218" s="319" t="s">
        <v>27</v>
      </c>
      <c r="G218" s="320" t="s">
        <v>35</v>
      </c>
      <c r="H218" s="309" t="s">
        <v>36</v>
      </c>
      <c r="I218" s="309" t="s">
        <v>35</v>
      </c>
      <c r="J218" s="320" t="s">
        <v>36</v>
      </c>
      <c r="K218" s="320" t="s">
        <v>39</v>
      </c>
      <c r="L218" s="320" t="s">
        <v>40</v>
      </c>
      <c r="M218" s="320" t="s">
        <v>42</v>
      </c>
      <c r="N218" s="320" t="s">
        <v>2</v>
      </c>
      <c r="O218" s="323" t="s">
        <v>184</v>
      </c>
      <c r="P218" s="332" t="s">
        <v>166</v>
      </c>
      <c r="Q218" s="332" t="s">
        <v>188</v>
      </c>
      <c r="R218" s="310"/>
      <c r="W218" s="75"/>
      <c r="Y218" s="351"/>
      <c r="Z218" s="350"/>
    </row>
    <row r="219" spans="1:26" x14ac:dyDescent="0.25">
      <c r="A219" s="26" t="s">
        <v>28</v>
      </c>
      <c r="B219" s="27" t="s">
        <v>261</v>
      </c>
      <c r="C219" s="62" t="s">
        <v>31</v>
      </c>
      <c r="D219" s="62" t="s">
        <v>30</v>
      </c>
      <c r="E219" s="62" t="s">
        <v>161</v>
      </c>
      <c r="F219" s="262" t="s">
        <v>56</v>
      </c>
      <c r="G219" s="312">
        <v>6405.9049000000005</v>
      </c>
      <c r="H219" s="312">
        <v>11652.584199999999</v>
      </c>
      <c r="I219" s="237">
        <v>3.1173999999999999</v>
      </c>
      <c r="J219" s="237">
        <v>3.1173999999999999</v>
      </c>
      <c r="K219" s="312"/>
      <c r="L219" s="312"/>
      <c r="M219" s="312"/>
      <c r="N219" s="312"/>
      <c r="O219" s="245">
        <f t="shared" ref="O219:O220" si="109">G219*I219+H219*J219</f>
        <v>56295.53392034</v>
      </c>
      <c r="P219" s="243">
        <f>ROUND(37.24%*O219,2)</f>
        <v>20964.46</v>
      </c>
      <c r="Q219" s="243">
        <f t="shared" ref="Q219:Q220" si="110">ROUND(R219*P219,2)</f>
        <v>10482.23</v>
      </c>
      <c r="R219" s="244">
        <v>0.5</v>
      </c>
      <c r="W219" s="74"/>
      <c r="Y219" s="74"/>
    </row>
    <row r="220" spans="1:26" x14ac:dyDescent="0.25">
      <c r="A220" s="326" t="s">
        <v>28</v>
      </c>
      <c r="B220" s="335" t="str">
        <f>B219</f>
        <v>88 GAS -Pisco</v>
      </c>
      <c r="C220" s="336" t="s">
        <v>31</v>
      </c>
      <c r="D220" s="337" t="s">
        <v>190</v>
      </c>
      <c r="E220" s="337"/>
      <c r="F220" s="342" t="str">
        <f>F219</f>
        <v xml:space="preserve"> MM BTU</v>
      </c>
      <c r="G220" s="537">
        <f>+G219</f>
        <v>6405.9049000000005</v>
      </c>
      <c r="H220" s="387">
        <f>+H219</f>
        <v>11652.584199999999</v>
      </c>
      <c r="I220" s="328">
        <v>3.1968000000000001</v>
      </c>
      <c r="J220" s="328">
        <v>3.1968000000000001</v>
      </c>
      <c r="K220" s="328"/>
      <c r="L220" s="328"/>
      <c r="M220" s="328"/>
      <c r="N220" s="327"/>
      <c r="O220" s="327">
        <f t="shared" si="109"/>
        <v>57729.377954880001</v>
      </c>
      <c r="P220" s="327">
        <f>ROUND(37.24%*O220,2)</f>
        <v>21498.42</v>
      </c>
      <c r="Q220" s="327">
        <f t="shared" si="110"/>
        <v>10749.21</v>
      </c>
      <c r="R220" s="199">
        <v>0.5</v>
      </c>
      <c r="W220" s="74"/>
      <c r="Y220" s="74"/>
      <c r="Z220" s="74"/>
    </row>
    <row r="221" spans="1:26" x14ac:dyDescent="0.25">
      <c r="A221" s="329"/>
      <c r="B221" s="338" t="s">
        <v>185</v>
      </c>
      <c r="C221" s="100"/>
      <c r="D221" s="210"/>
      <c r="E221" s="210"/>
      <c r="F221" s="329"/>
      <c r="G221" s="311">
        <f t="shared" ref="G221:Q221" si="111">G220-G219</f>
        <v>0</v>
      </c>
      <c r="H221" s="388">
        <f t="shared" si="111"/>
        <v>0</v>
      </c>
      <c r="I221" s="339">
        <f t="shared" si="111"/>
        <v>7.9400000000000137E-2</v>
      </c>
      <c r="J221" s="339">
        <f t="shared" si="111"/>
        <v>7.9400000000000137E-2</v>
      </c>
      <c r="K221" s="339">
        <f t="shared" si="111"/>
        <v>0</v>
      </c>
      <c r="L221" s="339">
        <f t="shared" si="111"/>
        <v>0</v>
      </c>
      <c r="M221" s="339">
        <f t="shared" si="111"/>
        <v>0</v>
      </c>
      <c r="N221" s="340">
        <f t="shared" si="111"/>
        <v>0</v>
      </c>
      <c r="O221" s="311">
        <f t="shared" si="111"/>
        <v>1433.8440345400013</v>
      </c>
      <c r="P221" s="461">
        <f t="shared" si="111"/>
        <v>533.95999999999913</v>
      </c>
      <c r="Q221" s="311">
        <f t="shared" si="111"/>
        <v>266.97999999999956</v>
      </c>
      <c r="R221" s="462"/>
      <c r="S221" s="307" t="s">
        <v>186</v>
      </c>
      <c r="X221" s="74"/>
      <c r="Y221" s="74"/>
    </row>
    <row r="222" spans="1:26" x14ac:dyDescent="0.25">
      <c r="A222" s="125"/>
      <c r="B222" s="7"/>
      <c r="C222" s="125"/>
      <c r="D222" s="125"/>
      <c r="E222" s="125"/>
      <c r="F222" s="125"/>
      <c r="G222" s="483"/>
      <c r="H222" s="483"/>
      <c r="I222" s="536"/>
      <c r="J222" s="536"/>
      <c r="K222" s="484"/>
      <c r="L222" s="484"/>
      <c r="M222" s="484"/>
      <c r="N222" s="485"/>
      <c r="O222" s="483"/>
      <c r="P222" s="486"/>
      <c r="Q222" s="483"/>
      <c r="R222" s="487"/>
      <c r="S222" s="483"/>
      <c r="T222" s="6"/>
      <c r="U222" s="6"/>
      <c r="V222" s="6"/>
    </row>
    <row r="223" spans="1:26" x14ac:dyDescent="0.25">
      <c r="A223" s="394"/>
      <c r="B223" s="321" t="s">
        <v>280</v>
      </c>
      <c r="C223" s="385"/>
      <c r="W223" s="75"/>
      <c r="Y223" s="350"/>
      <c r="Z223" s="75"/>
    </row>
    <row r="224" spans="1:26" x14ac:dyDescent="0.25">
      <c r="A224" s="313" t="s">
        <v>164</v>
      </c>
      <c r="B224" s="308"/>
      <c r="C224" s="322"/>
      <c r="D224" s="319" t="s">
        <v>19</v>
      </c>
      <c r="E224" s="318" t="s">
        <v>59</v>
      </c>
      <c r="F224" s="319" t="s">
        <v>27</v>
      </c>
      <c r="G224" s="320" t="s">
        <v>35</v>
      </c>
      <c r="H224" s="309" t="s">
        <v>36</v>
      </c>
      <c r="I224" s="309" t="s">
        <v>35</v>
      </c>
      <c r="J224" s="320" t="s">
        <v>36</v>
      </c>
      <c r="K224" s="320" t="s">
        <v>39</v>
      </c>
      <c r="L224" s="320" t="s">
        <v>40</v>
      </c>
      <c r="M224" s="320" t="s">
        <v>42</v>
      </c>
      <c r="N224" s="320" t="s">
        <v>2</v>
      </c>
      <c r="O224" s="323" t="s">
        <v>184</v>
      </c>
      <c r="P224" s="332" t="s">
        <v>166</v>
      </c>
      <c r="Q224" s="332" t="s">
        <v>188</v>
      </c>
      <c r="R224" s="310"/>
      <c r="W224" s="75"/>
      <c r="Y224" s="351"/>
      <c r="Z224" s="350"/>
    </row>
    <row r="225" spans="1:26" x14ac:dyDescent="0.25">
      <c r="A225" s="26" t="s">
        <v>28</v>
      </c>
      <c r="B225" s="27" t="s">
        <v>261</v>
      </c>
      <c r="C225" s="62" t="s">
        <v>31</v>
      </c>
      <c r="D225" s="62" t="s">
        <v>30</v>
      </c>
      <c r="E225" s="62" t="s">
        <v>161</v>
      </c>
      <c r="F225" s="262" t="s">
        <v>56</v>
      </c>
      <c r="G225" s="312">
        <v>9965.5496999999996</v>
      </c>
      <c r="H225" s="312"/>
      <c r="I225" s="237">
        <v>3.1966999999999999</v>
      </c>
      <c r="J225" s="237"/>
      <c r="K225" s="312"/>
      <c r="L225" s="312"/>
      <c r="M225" s="312"/>
      <c r="N225" s="312"/>
      <c r="O225" s="245">
        <f t="shared" ref="O225:O226" si="112">G225*I225+H225*J225</f>
        <v>31856.872725989997</v>
      </c>
      <c r="P225" s="243">
        <f>ROUND(37.24%*O225,2)</f>
        <v>11863.5</v>
      </c>
      <c r="Q225" s="243">
        <f t="shared" ref="Q225:Q226" si="113">ROUND(R225*P225,2)</f>
        <v>5931.75</v>
      </c>
      <c r="R225" s="244">
        <v>0.5</v>
      </c>
      <c r="W225" s="74"/>
      <c r="Y225" s="74"/>
    </row>
    <row r="226" spans="1:26" x14ac:dyDescent="0.25">
      <c r="A226" s="326" t="s">
        <v>28</v>
      </c>
      <c r="B226" s="335" t="str">
        <f>B225</f>
        <v>88 GAS -Pisco</v>
      </c>
      <c r="C226" s="336" t="s">
        <v>31</v>
      </c>
      <c r="D226" s="337" t="s">
        <v>190</v>
      </c>
      <c r="E226" s="337"/>
      <c r="F226" s="342" t="str">
        <f>F225</f>
        <v xml:space="preserve"> MM BTU</v>
      </c>
      <c r="G226" s="537">
        <f>+G225</f>
        <v>9965.5496999999996</v>
      </c>
      <c r="H226" s="387">
        <f>+H225</f>
        <v>0</v>
      </c>
      <c r="I226" s="328">
        <v>3.1911</v>
      </c>
      <c r="J226" s="328"/>
      <c r="K226" s="328"/>
      <c r="L226" s="328"/>
      <c r="M226" s="328"/>
      <c r="N226" s="327"/>
      <c r="O226" s="327">
        <f t="shared" si="112"/>
        <v>31801.065647669999</v>
      </c>
      <c r="P226" s="327">
        <f>ROUND(37.24%*O226,2)</f>
        <v>11842.72</v>
      </c>
      <c r="Q226" s="327">
        <f t="shared" si="113"/>
        <v>5921.36</v>
      </c>
      <c r="R226" s="199">
        <v>0.5</v>
      </c>
      <c r="W226" s="74"/>
      <c r="Y226" s="74"/>
      <c r="Z226" s="74"/>
    </row>
    <row r="227" spans="1:26" x14ac:dyDescent="0.25">
      <c r="A227" s="329"/>
      <c r="B227" s="338" t="s">
        <v>185</v>
      </c>
      <c r="C227" s="100"/>
      <c r="D227" s="210"/>
      <c r="E227" s="210"/>
      <c r="F227" s="329"/>
      <c r="G227" s="311">
        <f t="shared" ref="G227:Q227" si="114">G226-G225</f>
        <v>0</v>
      </c>
      <c r="H227" s="388">
        <f t="shared" si="114"/>
        <v>0</v>
      </c>
      <c r="I227" s="339">
        <f t="shared" si="114"/>
        <v>-5.5999999999998273E-3</v>
      </c>
      <c r="J227" s="339">
        <f t="shared" si="114"/>
        <v>0</v>
      </c>
      <c r="K227" s="339">
        <f t="shared" si="114"/>
        <v>0</v>
      </c>
      <c r="L227" s="339">
        <f t="shared" si="114"/>
        <v>0</v>
      </c>
      <c r="M227" s="339">
        <f t="shared" si="114"/>
        <v>0</v>
      </c>
      <c r="N227" s="340">
        <f t="shared" si="114"/>
        <v>0</v>
      </c>
      <c r="O227" s="311">
        <f t="shared" si="114"/>
        <v>-55.807078319998254</v>
      </c>
      <c r="P227" s="461">
        <f t="shared" si="114"/>
        <v>-20.780000000000655</v>
      </c>
      <c r="Q227" s="311">
        <f t="shared" si="114"/>
        <v>-10.390000000000327</v>
      </c>
      <c r="R227" s="462"/>
      <c r="S227" s="307" t="s">
        <v>186</v>
      </c>
      <c r="X227" s="74"/>
      <c r="Y227" s="74"/>
    </row>
    <row r="228" spans="1:26" x14ac:dyDescent="0.25">
      <c r="A228" s="125"/>
      <c r="B228" s="7"/>
      <c r="C228" s="125"/>
      <c r="D228" s="125"/>
      <c r="E228" s="125"/>
      <c r="F228" s="125"/>
      <c r="G228" s="483"/>
      <c r="H228" s="483"/>
      <c r="I228" s="536"/>
      <c r="J228" s="536"/>
      <c r="K228" s="484"/>
      <c r="L228" s="484"/>
      <c r="M228" s="484"/>
      <c r="N228" s="485"/>
      <c r="O228" s="483"/>
      <c r="P228" s="486"/>
      <c r="Q228" s="483"/>
      <c r="R228" s="487"/>
      <c r="S228" s="483"/>
      <c r="T228" s="6"/>
      <c r="U228" s="6"/>
      <c r="V228" s="6"/>
    </row>
    <row r="229" spans="1:26" x14ac:dyDescent="0.25">
      <c r="A229" s="394"/>
      <c r="B229" s="321" t="s">
        <v>281</v>
      </c>
      <c r="C229" s="385"/>
      <c r="W229" s="75"/>
      <c r="Y229" s="350"/>
      <c r="Z229" s="75"/>
    </row>
    <row r="230" spans="1:26" x14ac:dyDescent="0.25">
      <c r="A230" s="313" t="s">
        <v>164</v>
      </c>
      <c r="B230" s="308"/>
      <c r="C230" s="322"/>
      <c r="D230" s="319" t="s">
        <v>19</v>
      </c>
      <c r="E230" s="318" t="s">
        <v>59</v>
      </c>
      <c r="F230" s="319" t="s">
        <v>27</v>
      </c>
      <c r="G230" s="320" t="s">
        <v>35</v>
      </c>
      <c r="H230" s="309" t="s">
        <v>36</v>
      </c>
      <c r="I230" s="309" t="s">
        <v>35</v>
      </c>
      <c r="J230" s="320" t="s">
        <v>36</v>
      </c>
      <c r="K230" s="320" t="s">
        <v>39</v>
      </c>
      <c r="L230" s="320" t="s">
        <v>40</v>
      </c>
      <c r="M230" s="320" t="s">
        <v>42</v>
      </c>
      <c r="N230" s="320" t="s">
        <v>2</v>
      </c>
      <c r="O230" s="323" t="s">
        <v>184</v>
      </c>
      <c r="P230" s="332" t="s">
        <v>166</v>
      </c>
      <c r="Q230" s="332" t="s">
        <v>188</v>
      </c>
      <c r="R230" s="310"/>
      <c r="W230" s="75"/>
      <c r="Y230" s="351"/>
      <c r="Z230" s="350"/>
    </row>
    <row r="231" spans="1:26" x14ac:dyDescent="0.25">
      <c r="A231" s="26" t="s">
        <v>28</v>
      </c>
      <c r="B231" s="27" t="s">
        <v>261</v>
      </c>
      <c r="C231" s="62" t="s">
        <v>31</v>
      </c>
      <c r="D231" s="62" t="s">
        <v>30</v>
      </c>
      <c r="E231" s="62" t="s">
        <v>161</v>
      </c>
      <c r="F231" s="262" t="s">
        <v>56</v>
      </c>
      <c r="G231" s="312">
        <v>840.65290265985789</v>
      </c>
      <c r="H231" s="312">
        <v>14476.888373695918</v>
      </c>
      <c r="I231" s="237">
        <v>3.1919</v>
      </c>
      <c r="J231" s="237">
        <v>3.1919</v>
      </c>
      <c r="K231" s="312"/>
      <c r="L231" s="312"/>
      <c r="M231" s="312"/>
      <c r="N231" s="312"/>
      <c r="O231" s="245">
        <f t="shared" ref="O231:O232" si="115">G231*I231+H231*J231</f>
        <v>48892.06</v>
      </c>
      <c r="P231" s="243">
        <f>ROUND(37.24%*O231,2)</f>
        <v>18207.400000000001</v>
      </c>
      <c r="Q231" s="243">
        <f t="shared" ref="Q231:Q232" si="116">ROUND(R231*P231,2)</f>
        <v>9103.7000000000007</v>
      </c>
      <c r="R231" s="244">
        <v>0.5</v>
      </c>
      <c r="W231" s="74"/>
      <c r="Y231" s="74"/>
    </row>
    <row r="232" spans="1:26" x14ac:dyDescent="0.25">
      <c r="A232" s="326" t="s">
        <v>28</v>
      </c>
      <c r="B232" s="335" t="str">
        <f>B231</f>
        <v>88 GAS -Pisco</v>
      </c>
      <c r="C232" s="336" t="s">
        <v>31</v>
      </c>
      <c r="D232" s="337" t="s">
        <v>190</v>
      </c>
      <c r="E232" s="337"/>
      <c r="F232" s="342" t="str">
        <f>F231</f>
        <v xml:space="preserve"> MM BTU</v>
      </c>
      <c r="G232" s="537">
        <f>+G231</f>
        <v>840.65290265985789</v>
      </c>
      <c r="H232" s="387">
        <f>+H231</f>
        <v>14476.888373695918</v>
      </c>
      <c r="I232" s="328">
        <v>3.2094999999999998</v>
      </c>
      <c r="J232" s="328">
        <v>3.2094999999999998</v>
      </c>
      <c r="K232" s="328"/>
      <c r="L232" s="328"/>
      <c r="M232" s="328"/>
      <c r="N232" s="327"/>
      <c r="O232" s="327">
        <f t="shared" si="115"/>
        <v>49161.648726463856</v>
      </c>
      <c r="P232" s="327">
        <f>ROUND(37.24%*O232,2)</f>
        <v>18307.8</v>
      </c>
      <c r="Q232" s="327">
        <f t="shared" si="116"/>
        <v>9153.9</v>
      </c>
      <c r="R232" s="199">
        <v>0.5</v>
      </c>
      <c r="W232" s="74"/>
      <c r="Y232" s="74"/>
      <c r="Z232" s="74"/>
    </row>
    <row r="233" spans="1:26" x14ac:dyDescent="0.25">
      <c r="A233" s="329"/>
      <c r="B233" s="338" t="s">
        <v>185</v>
      </c>
      <c r="C233" s="100"/>
      <c r="D233" s="210"/>
      <c r="E233" s="210"/>
      <c r="F233" s="329"/>
      <c r="G233" s="311">
        <f t="shared" ref="G233:Q233" si="117">G232-G231</f>
        <v>0</v>
      </c>
      <c r="H233" s="388">
        <f t="shared" si="117"/>
        <v>0</v>
      </c>
      <c r="I233" s="339">
        <f t="shared" si="117"/>
        <v>1.7599999999999838E-2</v>
      </c>
      <c r="J233" s="339">
        <f t="shared" si="117"/>
        <v>1.7599999999999838E-2</v>
      </c>
      <c r="K233" s="339">
        <f t="shared" si="117"/>
        <v>0</v>
      </c>
      <c r="L233" s="339">
        <f t="shared" si="117"/>
        <v>0</v>
      </c>
      <c r="M233" s="339">
        <f t="shared" si="117"/>
        <v>0</v>
      </c>
      <c r="N233" s="340">
        <f t="shared" si="117"/>
        <v>0</v>
      </c>
      <c r="O233" s="311">
        <f t="shared" si="117"/>
        <v>269.58872646385862</v>
      </c>
      <c r="P233" s="461">
        <f t="shared" si="117"/>
        <v>100.39999999999782</v>
      </c>
      <c r="Q233" s="311">
        <f t="shared" si="117"/>
        <v>50.199999999998909</v>
      </c>
      <c r="R233" s="462"/>
      <c r="S233" s="307" t="s">
        <v>186</v>
      </c>
      <c r="X233" s="74"/>
      <c r="Y233" s="74"/>
    </row>
    <row r="234" spans="1:26" x14ac:dyDescent="0.25">
      <c r="A234" s="125"/>
      <c r="B234" s="7"/>
      <c r="C234" s="125"/>
      <c r="D234" s="125"/>
      <c r="E234" s="125"/>
      <c r="F234" s="125"/>
      <c r="G234" s="483"/>
      <c r="H234" s="483"/>
      <c r="I234" s="536"/>
      <c r="J234" s="536"/>
      <c r="K234" s="484"/>
      <c r="L234" s="484"/>
      <c r="M234" s="484"/>
      <c r="N234" s="485"/>
      <c r="O234" s="483"/>
      <c r="P234" s="486"/>
      <c r="Q234" s="483"/>
      <c r="R234" s="487"/>
      <c r="S234" s="483"/>
      <c r="T234" s="6"/>
      <c r="U234" s="6"/>
      <c r="V234" s="6"/>
    </row>
    <row r="235" spans="1:26" x14ac:dyDescent="0.25">
      <c r="A235" s="394"/>
      <c r="B235" s="321" t="s">
        <v>282</v>
      </c>
      <c r="C235" s="385"/>
      <c r="W235" s="75"/>
      <c r="Y235" s="350"/>
      <c r="Z235" s="75"/>
    </row>
    <row r="236" spans="1:26" x14ac:dyDescent="0.25">
      <c r="A236" s="313" t="s">
        <v>164</v>
      </c>
      <c r="B236" s="308"/>
      <c r="C236" s="322"/>
      <c r="D236" s="319" t="s">
        <v>19</v>
      </c>
      <c r="E236" s="318" t="s">
        <v>59</v>
      </c>
      <c r="F236" s="319" t="s">
        <v>27</v>
      </c>
      <c r="G236" s="320" t="s">
        <v>35</v>
      </c>
      <c r="H236" s="309" t="s">
        <v>36</v>
      </c>
      <c r="I236" s="309" t="s">
        <v>35</v>
      </c>
      <c r="J236" s="320" t="s">
        <v>36</v>
      </c>
      <c r="K236" s="320" t="s">
        <v>39</v>
      </c>
      <c r="L236" s="320" t="s">
        <v>40</v>
      </c>
      <c r="M236" s="320" t="s">
        <v>42</v>
      </c>
      <c r="N236" s="320" t="s">
        <v>2</v>
      </c>
      <c r="O236" s="323" t="s">
        <v>184</v>
      </c>
      <c r="P236" s="332" t="s">
        <v>166</v>
      </c>
      <c r="Q236" s="332" t="s">
        <v>188</v>
      </c>
      <c r="R236" s="310"/>
      <c r="W236" s="75"/>
      <c r="Y236" s="351"/>
      <c r="Z236" s="350"/>
    </row>
    <row r="237" spans="1:26" x14ac:dyDescent="0.25">
      <c r="A237" s="26" t="s">
        <v>28</v>
      </c>
      <c r="B237" s="27" t="s">
        <v>261</v>
      </c>
      <c r="C237" s="62" t="s">
        <v>31</v>
      </c>
      <c r="D237" s="62" t="s">
        <v>30</v>
      </c>
      <c r="E237" s="62" t="s">
        <v>161</v>
      </c>
      <c r="F237" s="262" t="s">
        <v>56</v>
      </c>
      <c r="G237" s="312">
        <v>6523.1940999999997</v>
      </c>
      <c r="H237" s="312">
        <v>15605.994000000001</v>
      </c>
      <c r="I237" s="237">
        <v>3.1951000000000001</v>
      </c>
      <c r="J237" s="237">
        <v>3.1951000000000001</v>
      </c>
      <c r="K237" s="312"/>
      <c r="L237" s="312"/>
      <c r="M237" s="312"/>
      <c r="N237" s="312"/>
      <c r="O237" s="245">
        <f t="shared" ref="O237:O238" si="118">G237*I237+H237*J237</f>
        <v>70704.968898310006</v>
      </c>
      <c r="P237" s="243">
        <f>ROUND(37.24%*O237,2)</f>
        <v>26330.53</v>
      </c>
      <c r="Q237" s="243">
        <f t="shared" ref="Q237:Q238" si="119">ROUND(R237*P237,2)</f>
        <v>13165.27</v>
      </c>
      <c r="R237" s="244">
        <v>0.5</v>
      </c>
      <c r="W237" s="74"/>
      <c r="Y237" s="74"/>
    </row>
    <row r="238" spans="1:26" x14ac:dyDescent="0.25">
      <c r="A238" s="326" t="s">
        <v>28</v>
      </c>
      <c r="B238" s="335" t="str">
        <f>B237</f>
        <v>88 GAS -Pisco</v>
      </c>
      <c r="C238" s="336" t="s">
        <v>31</v>
      </c>
      <c r="D238" s="337" t="s">
        <v>190</v>
      </c>
      <c r="E238" s="337"/>
      <c r="F238" s="342" t="str">
        <f>F237</f>
        <v xml:space="preserve"> MM BTU</v>
      </c>
      <c r="G238" s="537">
        <f>+G237</f>
        <v>6523.1940999999997</v>
      </c>
      <c r="H238" s="387">
        <f>+H237</f>
        <v>15605.994000000001</v>
      </c>
      <c r="I238" s="328">
        <v>3.2225000000000001</v>
      </c>
      <c r="J238" s="328">
        <v>3.2225000000000001</v>
      </c>
      <c r="K238" s="328"/>
      <c r="L238" s="328"/>
      <c r="M238" s="328"/>
      <c r="N238" s="327"/>
      <c r="O238" s="327">
        <f t="shared" si="118"/>
        <v>71311.308652250009</v>
      </c>
      <c r="P238" s="327">
        <f>ROUND(37.24%*O238,2)</f>
        <v>26556.33</v>
      </c>
      <c r="Q238" s="327">
        <f t="shared" si="119"/>
        <v>13278.17</v>
      </c>
      <c r="R238" s="199">
        <v>0.5</v>
      </c>
      <c r="W238" s="74"/>
      <c r="Y238" s="74"/>
      <c r="Z238" s="74"/>
    </row>
    <row r="239" spans="1:26" x14ac:dyDescent="0.25">
      <c r="A239" s="329"/>
      <c r="B239" s="338" t="s">
        <v>185</v>
      </c>
      <c r="C239" s="100"/>
      <c r="D239" s="210"/>
      <c r="E239" s="210"/>
      <c r="F239" s="329"/>
      <c r="G239" s="311">
        <f t="shared" ref="G239:Q239" si="120">G238-G237</f>
        <v>0</v>
      </c>
      <c r="H239" s="388">
        <f t="shared" si="120"/>
        <v>0</v>
      </c>
      <c r="I239" s="339">
        <f t="shared" si="120"/>
        <v>2.7400000000000091E-2</v>
      </c>
      <c r="J239" s="339">
        <f t="shared" si="120"/>
        <v>2.7400000000000091E-2</v>
      </c>
      <c r="K239" s="339">
        <f t="shared" si="120"/>
        <v>0</v>
      </c>
      <c r="L239" s="339">
        <f t="shared" si="120"/>
        <v>0</v>
      </c>
      <c r="M239" s="339">
        <f t="shared" si="120"/>
        <v>0</v>
      </c>
      <c r="N239" s="340">
        <f t="shared" si="120"/>
        <v>0</v>
      </c>
      <c r="O239" s="311">
        <f t="shared" si="120"/>
        <v>606.33975394000299</v>
      </c>
      <c r="P239" s="461">
        <f t="shared" si="120"/>
        <v>225.80000000000291</v>
      </c>
      <c r="Q239" s="311">
        <f t="shared" si="120"/>
        <v>112.89999999999964</v>
      </c>
      <c r="R239" s="462"/>
      <c r="S239" s="307" t="s">
        <v>186</v>
      </c>
      <c r="X239" s="74"/>
      <c r="Y239" s="74"/>
    </row>
    <row r="240" spans="1:26" x14ac:dyDescent="0.25">
      <c r="A240" s="125"/>
      <c r="B240" s="7"/>
      <c r="C240" s="125"/>
      <c r="D240" s="125"/>
      <c r="E240" s="125"/>
      <c r="F240" s="125"/>
      <c r="G240" s="483"/>
      <c r="H240" s="483"/>
      <c r="I240" s="536"/>
      <c r="J240" s="536"/>
      <c r="K240" s="484"/>
      <c r="L240" s="484"/>
      <c r="M240" s="484"/>
      <c r="N240" s="485"/>
      <c r="O240" s="483"/>
      <c r="P240" s="486"/>
      <c r="Q240" s="483"/>
      <c r="R240" s="487"/>
      <c r="S240" s="483"/>
      <c r="T240" s="6"/>
      <c r="U240" s="6"/>
      <c r="V240" s="6"/>
    </row>
    <row r="241" spans="1:26" x14ac:dyDescent="0.25">
      <c r="A241" s="394"/>
      <c r="B241" s="321" t="s">
        <v>283</v>
      </c>
      <c r="C241" s="385"/>
      <c r="W241" s="75"/>
      <c r="Y241" s="350"/>
      <c r="Z241" s="75"/>
    </row>
    <row r="242" spans="1:26" x14ac:dyDescent="0.25">
      <c r="A242" s="313" t="s">
        <v>164</v>
      </c>
      <c r="B242" s="308"/>
      <c r="C242" s="322"/>
      <c r="D242" s="319" t="s">
        <v>19</v>
      </c>
      <c r="E242" s="318" t="s">
        <v>59</v>
      </c>
      <c r="F242" s="319" t="s">
        <v>27</v>
      </c>
      <c r="G242" s="320" t="s">
        <v>35</v>
      </c>
      <c r="H242" s="309" t="s">
        <v>36</v>
      </c>
      <c r="I242" s="309" t="s">
        <v>35</v>
      </c>
      <c r="J242" s="320" t="s">
        <v>36</v>
      </c>
      <c r="K242" s="320" t="s">
        <v>39</v>
      </c>
      <c r="L242" s="320" t="s">
        <v>40</v>
      </c>
      <c r="M242" s="320" t="s">
        <v>42</v>
      </c>
      <c r="N242" s="320" t="s">
        <v>2</v>
      </c>
      <c r="O242" s="323" t="s">
        <v>184</v>
      </c>
      <c r="P242" s="332" t="s">
        <v>166</v>
      </c>
      <c r="Q242" s="332" t="s">
        <v>188</v>
      </c>
      <c r="R242" s="310"/>
      <c r="W242" s="75"/>
      <c r="Y242" s="351"/>
      <c r="Z242" s="350"/>
    </row>
    <row r="243" spans="1:26" x14ac:dyDescent="0.25">
      <c r="A243" s="26" t="s">
        <v>28</v>
      </c>
      <c r="B243" s="27" t="s">
        <v>261</v>
      </c>
      <c r="C243" s="62" t="s">
        <v>31</v>
      </c>
      <c r="D243" s="62" t="s">
        <v>30</v>
      </c>
      <c r="E243" s="62" t="s">
        <v>161</v>
      </c>
      <c r="F243" s="262" t="s">
        <v>56</v>
      </c>
      <c r="G243" s="312">
        <v>7419.7048000000004</v>
      </c>
      <c r="H243" s="312">
        <v>15567.1636</v>
      </c>
      <c r="I243" s="237">
        <v>3.2223999999999999</v>
      </c>
      <c r="J243" s="237">
        <v>3.2223999999999999</v>
      </c>
      <c r="K243" s="312"/>
      <c r="L243" s="312"/>
      <c r="M243" s="312"/>
      <c r="N243" s="312"/>
      <c r="O243" s="245">
        <f t="shared" ref="O243:O244" si="121">G243*I243+H243*J243</f>
        <v>74072.884732160004</v>
      </c>
      <c r="P243" s="243">
        <f>ROUND(37.24%*O243,2)</f>
        <v>27584.74</v>
      </c>
      <c r="Q243" s="243">
        <f t="shared" ref="Q243:Q244" si="122">ROUND(R243*P243,2)</f>
        <v>13792.37</v>
      </c>
      <c r="R243" s="244">
        <v>0.5</v>
      </c>
      <c r="W243" s="74"/>
      <c r="Y243" s="74"/>
    </row>
    <row r="244" spans="1:26" x14ac:dyDescent="0.25">
      <c r="A244" s="326" t="s">
        <v>28</v>
      </c>
      <c r="B244" s="335" t="str">
        <f>B243</f>
        <v>88 GAS -Pisco</v>
      </c>
      <c r="C244" s="336" t="s">
        <v>31</v>
      </c>
      <c r="D244" s="337" t="s">
        <v>190</v>
      </c>
      <c r="E244" s="337"/>
      <c r="F244" s="342" t="str">
        <f>F243</f>
        <v xml:space="preserve"> MM BTU</v>
      </c>
      <c r="G244" s="537">
        <f>+G243</f>
        <v>7419.7048000000004</v>
      </c>
      <c r="H244" s="387">
        <f>+H243</f>
        <v>15567.1636</v>
      </c>
      <c r="I244" s="328">
        <v>3.1448</v>
      </c>
      <c r="J244" s="328">
        <v>3.1448</v>
      </c>
      <c r="K244" s="328"/>
      <c r="L244" s="328"/>
      <c r="M244" s="328"/>
      <c r="N244" s="327"/>
      <c r="O244" s="327">
        <f t="shared" si="121"/>
        <v>72289.103744320004</v>
      </c>
      <c r="P244" s="327">
        <f>ROUND(37.24%*O244,2)</f>
        <v>26920.46</v>
      </c>
      <c r="Q244" s="327">
        <f t="shared" si="122"/>
        <v>13460.23</v>
      </c>
      <c r="R244" s="199">
        <v>0.5</v>
      </c>
      <c r="W244" s="74"/>
      <c r="Y244" s="74"/>
      <c r="Z244" s="74"/>
    </row>
    <row r="245" spans="1:26" x14ac:dyDescent="0.25">
      <c r="A245" s="329"/>
      <c r="B245" s="338" t="s">
        <v>185</v>
      </c>
      <c r="C245" s="100"/>
      <c r="D245" s="210"/>
      <c r="E245" s="210"/>
      <c r="F245" s="329"/>
      <c r="G245" s="311">
        <f t="shared" ref="G245:Q245" si="123">G244-G243</f>
        <v>0</v>
      </c>
      <c r="H245" s="388">
        <f t="shared" si="123"/>
        <v>0</v>
      </c>
      <c r="I245" s="339">
        <f t="shared" si="123"/>
        <v>-7.7599999999999891E-2</v>
      </c>
      <c r="J245" s="339">
        <f t="shared" si="123"/>
        <v>-7.7599999999999891E-2</v>
      </c>
      <c r="K245" s="339">
        <f t="shared" si="123"/>
        <v>0</v>
      </c>
      <c r="L245" s="339">
        <f t="shared" si="123"/>
        <v>0</v>
      </c>
      <c r="M245" s="339">
        <f t="shared" si="123"/>
        <v>0</v>
      </c>
      <c r="N245" s="340">
        <f t="shared" si="123"/>
        <v>0</v>
      </c>
      <c r="O245" s="311">
        <f t="shared" si="123"/>
        <v>-1783.7809878400003</v>
      </c>
      <c r="P245" s="461">
        <f t="shared" si="123"/>
        <v>-664.28000000000247</v>
      </c>
      <c r="Q245" s="311">
        <f t="shared" si="123"/>
        <v>-332.14000000000124</v>
      </c>
      <c r="R245" s="462"/>
      <c r="S245" s="307" t="s">
        <v>186</v>
      </c>
      <c r="X245" s="74"/>
      <c r="Y245" s="74"/>
    </row>
    <row r="246" spans="1:26" x14ac:dyDescent="0.25">
      <c r="A246" s="125"/>
      <c r="B246" s="7"/>
      <c r="C246" s="125"/>
      <c r="D246" s="125"/>
      <c r="E246" s="125"/>
      <c r="F246" s="125"/>
      <c r="G246" s="483"/>
      <c r="H246" s="483"/>
      <c r="I246" s="536"/>
      <c r="J246" s="536"/>
      <c r="K246" s="484"/>
      <c r="L246" s="484"/>
      <c r="M246" s="484"/>
      <c r="N246" s="485"/>
      <c r="O246" s="483"/>
      <c r="P246" s="486"/>
      <c r="Q246" s="483"/>
      <c r="R246" s="487"/>
      <c r="S246" s="483"/>
      <c r="T246" s="6"/>
      <c r="U246" s="6"/>
      <c r="V246" s="6"/>
    </row>
    <row r="247" spans="1:26" x14ac:dyDescent="0.25">
      <c r="A247" s="394"/>
      <c r="B247" s="321" t="s">
        <v>284</v>
      </c>
      <c r="C247" s="385"/>
      <c r="W247" s="75"/>
      <c r="Y247" s="350"/>
      <c r="Z247" s="75"/>
    </row>
    <row r="248" spans="1:26" x14ac:dyDescent="0.25">
      <c r="A248" s="313" t="s">
        <v>164</v>
      </c>
      <c r="B248" s="308"/>
      <c r="C248" s="322"/>
      <c r="D248" s="319" t="s">
        <v>19</v>
      </c>
      <c r="E248" s="318" t="s">
        <v>59</v>
      </c>
      <c r="F248" s="319" t="s">
        <v>27</v>
      </c>
      <c r="G248" s="320" t="s">
        <v>35</v>
      </c>
      <c r="H248" s="309" t="s">
        <v>36</v>
      </c>
      <c r="I248" s="309" t="s">
        <v>35</v>
      </c>
      <c r="J248" s="320" t="s">
        <v>36</v>
      </c>
      <c r="K248" s="320" t="s">
        <v>39</v>
      </c>
      <c r="L248" s="320" t="s">
        <v>40</v>
      </c>
      <c r="M248" s="320" t="s">
        <v>42</v>
      </c>
      <c r="N248" s="320" t="s">
        <v>2</v>
      </c>
      <c r="O248" s="323" t="s">
        <v>184</v>
      </c>
      <c r="P248" s="332" t="s">
        <v>166</v>
      </c>
      <c r="Q248" s="332" t="s">
        <v>188</v>
      </c>
      <c r="R248" s="310"/>
      <c r="W248" s="75"/>
      <c r="Y248" s="351"/>
      <c r="Z248" s="350"/>
    </row>
    <row r="249" spans="1:26" x14ac:dyDescent="0.25">
      <c r="A249" s="26" t="s">
        <v>28</v>
      </c>
      <c r="B249" s="27" t="s">
        <v>261</v>
      </c>
      <c r="C249" s="62" t="s">
        <v>31</v>
      </c>
      <c r="D249" s="62" t="s">
        <v>30</v>
      </c>
      <c r="E249" s="62" t="s">
        <v>161</v>
      </c>
      <c r="F249" s="262" t="s">
        <v>56</v>
      </c>
      <c r="G249" s="312">
        <v>14152.15</v>
      </c>
      <c r="H249" s="312">
        <v>4208.7</v>
      </c>
      <c r="I249" s="237">
        <v>3.1446000000000001</v>
      </c>
      <c r="J249" s="237">
        <v>3.1446000000000001</v>
      </c>
      <c r="K249" s="312"/>
      <c r="L249" s="312"/>
      <c r="M249" s="312"/>
      <c r="N249" s="312"/>
      <c r="O249" s="245">
        <f t="shared" ref="O249:O250" si="124">G249*I249+H249*J249</f>
        <v>57737.528910000001</v>
      </c>
      <c r="P249" s="243">
        <f>ROUND(37.24%*O249,2)</f>
        <v>21501.46</v>
      </c>
      <c r="Q249" s="243">
        <f t="shared" ref="Q249:Q250" si="125">ROUND(R249*P249,2)</f>
        <v>10750.73</v>
      </c>
      <c r="R249" s="244">
        <v>0.5</v>
      </c>
      <c r="W249" s="74"/>
      <c r="Y249" s="74"/>
    </row>
    <row r="250" spans="1:26" x14ac:dyDescent="0.25">
      <c r="A250" s="326" t="s">
        <v>28</v>
      </c>
      <c r="B250" s="335" t="str">
        <f>B249</f>
        <v>88 GAS -Pisco</v>
      </c>
      <c r="C250" s="336" t="s">
        <v>31</v>
      </c>
      <c r="D250" s="337" t="s">
        <v>190</v>
      </c>
      <c r="E250" s="337"/>
      <c r="F250" s="342" t="str">
        <f>F249</f>
        <v xml:space="preserve"> MM BTU</v>
      </c>
      <c r="G250" s="537">
        <f>+G249</f>
        <v>14152.15</v>
      </c>
      <c r="H250" s="387">
        <f>+H249</f>
        <v>4208.7</v>
      </c>
      <c r="I250" s="328">
        <v>3.0840999999999998</v>
      </c>
      <c r="J250" s="328">
        <v>3.0840999999999998</v>
      </c>
      <c r="K250" s="328"/>
      <c r="L250" s="328"/>
      <c r="M250" s="328"/>
      <c r="N250" s="327"/>
      <c r="O250" s="327">
        <f t="shared" si="124"/>
        <v>56626.697484999997</v>
      </c>
      <c r="P250" s="327">
        <f>ROUND(37.24%*O250,2)</f>
        <v>21087.78</v>
      </c>
      <c r="Q250" s="327">
        <f t="shared" si="125"/>
        <v>10543.89</v>
      </c>
      <c r="R250" s="199">
        <v>0.5</v>
      </c>
      <c r="W250" s="74"/>
      <c r="Y250" s="74"/>
      <c r="Z250" s="74"/>
    </row>
    <row r="251" spans="1:26" x14ac:dyDescent="0.25">
      <c r="A251" s="329"/>
      <c r="B251" s="338" t="s">
        <v>185</v>
      </c>
      <c r="C251" s="100"/>
      <c r="D251" s="210"/>
      <c r="E251" s="210"/>
      <c r="F251" s="329"/>
      <c r="G251" s="311">
        <f t="shared" ref="G251:Q251" si="126">G250-G249</f>
        <v>0</v>
      </c>
      <c r="H251" s="388">
        <f t="shared" si="126"/>
        <v>0</v>
      </c>
      <c r="I251" s="339">
        <f t="shared" si="126"/>
        <v>-6.050000000000022E-2</v>
      </c>
      <c r="J251" s="339">
        <f t="shared" si="126"/>
        <v>-6.050000000000022E-2</v>
      </c>
      <c r="K251" s="339">
        <f t="shared" si="126"/>
        <v>0</v>
      </c>
      <c r="L251" s="339">
        <f t="shared" si="126"/>
        <v>0</v>
      </c>
      <c r="M251" s="339">
        <f t="shared" si="126"/>
        <v>0</v>
      </c>
      <c r="N251" s="340">
        <f t="shared" si="126"/>
        <v>0</v>
      </c>
      <c r="O251" s="311">
        <f t="shared" si="126"/>
        <v>-1110.8314250000039</v>
      </c>
      <c r="P251" s="461">
        <f t="shared" si="126"/>
        <v>-413.68000000000029</v>
      </c>
      <c r="Q251" s="311">
        <f t="shared" si="126"/>
        <v>-206.84000000000015</v>
      </c>
      <c r="R251" s="462"/>
      <c r="S251" s="307" t="s">
        <v>186</v>
      </c>
      <c r="X251" s="74"/>
      <c r="Y251" s="74"/>
    </row>
    <row r="252" spans="1:26" x14ac:dyDescent="0.25">
      <c r="A252" s="125"/>
      <c r="B252" s="7"/>
      <c r="C252" s="125"/>
      <c r="D252" s="125"/>
      <c r="E252" s="125"/>
      <c r="F252" s="125"/>
      <c r="G252" s="483"/>
      <c r="H252" s="483"/>
      <c r="I252" s="536"/>
      <c r="J252" s="536"/>
      <c r="K252" s="484"/>
      <c r="L252" s="484"/>
      <c r="M252" s="484"/>
      <c r="N252" s="485"/>
      <c r="O252" s="483"/>
      <c r="P252" s="486"/>
      <c r="Q252" s="483"/>
      <c r="R252" s="487"/>
      <c r="S252" s="483"/>
      <c r="T252" s="6"/>
      <c r="U252" s="6"/>
      <c r="V252" s="6"/>
    </row>
    <row r="253" spans="1:26" x14ac:dyDescent="0.25">
      <c r="A253" s="394"/>
      <c r="B253" s="321" t="s">
        <v>285</v>
      </c>
      <c r="C253" s="385"/>
      <c r="W253" s="75"/>
      <c r="Y253" s="350"/>
      <c r="Z253" s="75"/>
    </row>
    <row r="254" spans="1:26" x14ac:dyDescent="0.25">
      <c r="A254" s="313" t="s">
        <v>164</v>
      </c>
      <c r="B254" s="308"/>
      <c r="C254" s="322"/>
      <c r="D254" s="319" t="s">
        <v>19</v>
      </c>
      <c r="E254" s="318" t="s">
        <v>59</v>
      </c>
      <c r="F254" s="319" t="s">
        <v>27</v>
      </c>
      <c r="G254" s="320" t="s">
        <v>35</v>
      </c>
      <c r="H254" s="309" t="s">
        <v>36</v>
      </c>
      <c r="I254" s="309" t="s">
        <v>35</v>
      </c>
      <c r="J254" s="320" t="s">
        <v>36</v>
      </c>
      <c r="K254" s="320" t="s">
        <v>39</v>
      </c>
      <c r="L254" s="320" t="s">
        <v>40</v>
      </c>
      <c r="M254" s="320" t="s">
        <v>42</v>
      </c>
      <c r="N254" s="320" t="s">
        <v>2</v>
      </c>
      <c r="O254" s="323" t="s">
        <v>184</v>
      </c>
      <c r="P254" s="332" t="s">
        <v>166</v>
      </c>
      <c r="Q254" s="332" t="s">
        <v>188</v>
      </c>
      <c r="R254" s="310"/>
      <c r="W254" s="75"/>
      <c r="Y254" s="351"/>
      <c r="Z254" s="350"/>
    </row>
    <row r="255" spans="1:26" x14ac:dyDescent="0.25">
      <c r="A255" s="26" t="s">
        <v>28</v>
      </c>
      <c r="B255" s="27" t="s">
        <v>261</v>
      </c>
      <c r="C255" s="62" t="s">
        <v>31</v>
      </c>
      <c r="D255" s="62" t="s">
        <v>30</v>
      </c>
      <c r="E255" s="62" t="s">
        <v>161</v>
      </c>
      <c r="F255" s="262" t="s">
        <v>56</v>
      </c>
      <c r="G255" s="312">
        <v>12891.930399999999</v>
      </c>
      <c r="H255" s="312">
        <v>3453.3362999999999</v>
      </c>
      <c r="I255" s="237">
        <v>3.0893999999999999</v>
      </c>
      <c r="J255" s="237">
        <v>3.0893999999999999</v>
      </c>
      <c r="K255" s="312"/>
      <c r="L255" s="312"/>
      <c r="M255" s="312"/>
      <c r="N255" s="312"/>
      <c r="O255" s="245">
        <f t="shared" ref="O255:O256" si="127">G255*I255+H255*J255</f>
        <v>50497.066942979996</v>
      </c>
      <c r="P255" s="243">
        <f>ROUND(37.24%*O255,2)</f>
        <v>18805.11</v>
      </c>
      <c r="Q255" s="243">
        <f t="shared" ref="Q255:Q256" si="128">ROUND(R255*P255,2)</f>
        <v>9402.56</v>
      </c>
      <c r="R255" s="244">
        <v>0.5</v>
      </c>
      <c r="W255" s="74"/>
      <c r="Y255" s="74"/>
    </row>
    <row r="256" spans="1:26" x14ac:dyDescent="0.25">
      <c r="A256" s="326" t="s">
        <v>28</v>
      </c>
      <c r="B256" s="335" t="str">
        <f>B255</f>
        <v>88 GAS -Pisco</v>
      </c>
      <c r="C256" s="336" t="s">
        <v>31</v>
      </c>
      <c r="D256" s="337" t="s">
        <v>190</v>
      </c>
      <c r="E256" s="337"/>
      <c r="F256" s="342" t="str">
        <f>F255</f>
        <v xml:space="preserve"> MM BTU</v>
      </c>
      <c r="G256" s="537">
        <f>+G255</f>
        <v>12891.930399999999</v>
      </c>
      <c r="H256" s="387">
        <f>+H255</f>
        <v>3453.3362999999999</v>
      </c>
      <c r="I256" s="328">
        <v>2.8748999999999998</v>
      </c>
      <c r="J256" s="328">
        <v>2.8748999999999998</v>
      </c>
      <c r="K256" s="328"/>
      <c r="L256" s="328"/>
      <c r="M256" s="328"/>
      <c r="N256" s="327"/>
      <c r="O256" s="327">
        <f t="shared" si="127"/>
        <v>46991.007235829995</v>
      </c>
      <c r="P256" s="327">
        <f>ROUND(37.24%*O256,2)</f>
        <v>17499.45</v>
      </c>
      <c r="Q256" s="327">
        <f t="shared" si="128"/>
        <v>8749.73</v>
      </c>
      <c r="R256" s="199">
        <v>0.5</v>
      </c>
      <c r="W256" s="74"/>
      <c r="Y256" s="74"/>
      <c r="Z256" s="74"/>
    </row>
    <row r="257" spans="1:26" x14ac:dyDescent="0.25">
      <c r="A257" s="329"/>
      <c r="B257" s="338" t="s">
        <v>185</v>
      </c>
      <c r="C257" s="100"/>
      <c r="D257" s="210"/>
      <c r="E257" s="210"/>
      <c r="F257" s="329"/>
      <c r="G257" s="311">
        <f t="shared" ref="G257:Q257" si="129">G256-G255</f>
        <v>0</v>
      </c>
      <c r="H257" s="388">
        <f t="shared" si="129"/>
        <v>0</v>
      </c>
      <c r="I257" s="339">
        <f t="shared" si="129"/>
        <v>-0.21450000000000014</v>
      </c>
      <c r="J257" s="339">
        <f t="shared" si="129"/>
        <v>-0.21450000000000014</v>
      </c>
      <c r="K257" s="339">
        <f t="shared" si="129"/>
        <v>0</v>
      </c>
      <c r="L257" s="339">
        <f t="shared" si="129"/>
        <v>0</v>
      </c>
      <c r="M257" s="339">
        <f t="shared" si="129"/>
        <v>0</v>
      </c>
      <c r="N257" s="340">
        <f t="shared" si="129"/>
        <v>0</v>
      </c>
      <c r="O257" s="311">
        <f t="shared" si="129"/>
        <v>-3506.0597071500015</v>
      </c>
      <c r="P257" s="461">
        <f t="shared" si="129"/>
        <v>-1305.6599999999999</v>
      </c>
      <c r="Q257" s="311">
        <f t="shared" si="129"/>
        <v>-652.82999999999993</v>
      </c>
      <c r="R257" s="462"/>
      <c r="S257" s="307" t="s">
        <v>186</v>
      </c>
      <c r="X257" s="74"/>
      <c r="Y257" s="74"/>
    </row>
    <row r="258" spans="1:26" x14ac:dyDescent="0.25">
      <c r="A258" s="125"/>
      <c r="B258" s="7"/>
      <c r="C258" s="125"/>
      <c r="D258" s="125"/>
      <c r="E258" s="125"/>
      <c r="F258" s="125"/>
      <c r="G258" s="483"/>
      <c r="H258" s="483"/>
      <c r="I258" s="536"/>
      <c r="J258" s="536"/>
      <c r="K258" s="484"/>
      <c r="L258" s="484"/>
      <c r="M258" s="484"/>
      <c r="N258" s="485"/>
      <c r="O258" s="483"/>
      <c r="P258" s="486"/>
      <c r="Q258" s="483"/>
      <c r="R258" s="487"/>
      <c r="S258" s="483"/>
      <c r="T258" s="6"/>
      <c r="U258" s="6"/>
      <c r="V258" s="6"/>
    </row>
    <row r="259" spans="1:26" x14ac:dyDescent="0.25">
      <c r="A259" s="394"/>
      <c r="B259" s="321" t="s">
        <v>286</v>
      </c>
      <c r="C259" s="385"/>
      <c r="W259" s="75"/>
      <c r="Y259" s="350"/>
      <c r="Z259" s="75"/>
    </row>
    <row r="260" spans="1:26" x14ac:dyDescent="0.25">
      <c r="A260" s="313" t="s">
        <v>164</v>
      </c>
      <c r="B260" s="308"/>
      <c r="C260" s="322"/>
      <c r="D260" s="319" t="s">
        <v>19</v>
      </c>
      <c r="E260" s="318" t="s">
        <v>59</v>
      </c>
      <c r="F260" s="319" t="s">
        <v>27</v>
      </c>
      <c r="G260" s="320" t="s">
        <v>35</v>
      </c>
      <c r="H260" s="309" t="s">
        <v>36</v>
      </c>
      <c r="I260" s="309" t="s">
        <v>35</v>
      </c>
      <c r="J260" s="320" t="s">
        <v>36</v>
      </c>
      <c r="K260" s="320" t="s">
        <v>39</v>
      </c>
      <c r="L260" s="320" t="s">
        <v>40</v>
      </c>
      <c r="M260" s="320" t="s">
        <v>42</v>
      </c>
      <c r="N260" s="320" t="s">
        <v>2</v>
      </c>
      <c r="O260" s="323" t="s">
        <v>184</v>
      </c>
      <c r="P260" s="332" t="s">
        <v>166</v>
      </c>
      <c r="Q260" s="332" t="s">
        <v>188</v>
      </c>
      <c r="R260" s="310"/>
      <c r="W260" s="75"/>
      <c r="Y260" s="351"/>
      <c r="Z260" s="350"/>
    </row>
    <row r="261" spans="1:26" x14ac:dyDescent="0.25">
      <c r="A261" s="26" t="s">
        <v>28</v>
      </c>
      <c r="B261" s="27" t="s">
        <v>261</v>
      </c>
      <c r="C261" s="62" t="s">
        <v>31</v>
      </c>
      <c r="D261" s="62" t="s">
        <v>30</v>
      </c>
      <c r="E261" s="62" t="s">
        <v>161</v>
      </c>
      <c r="F261" s="262" t="s">
        <v>56</v>
      </c>
      <c r="G261" s="312">
        <v>1920.7225000000001</v>
      </c>
      <c r="H261" s="312">
        <v>5772.2912999999999</v>
      </c>
      <c r="I261" s="237">
        <v>2.8776999999999999</v>
      </c>
      <c r="J261" s="237">
        <v>2.8776999999999999</v>
      </c>
      <c r="K261" s="312"/>
      <c r="L261" s="312"/>
      <c r="M261" s="312"/>
      <c r="N261" s="312"/>
      <c r="O261" s="245">
        <f t="shared" ref="O261:O262" si="130">G261*I261+H261*J261</f>
        <v>22138.185812259999</v>
      </c>
      <c r="P261" s="243">
        <f>ROUND(37.24%*O261,2)</f>
        <v>8244.26</v>
      </c>
      <c r="Q261" s="243">
        <f t="shared" ref="Q261:Q262" si="131">ROUND(R261*P261,2)</f>
        <v>4122.13</v>
      </c>
      <c r="R261" s="244">
        <v>0.5</v>
      </c>
      <c r="W261" s="74"/>
      <c r="Y261" s="74"/>
    </row>
    <row r="262" spans="1:26" x14ac:dyDescent="0.25">
      <c r="A262" s="326" t="s">
        <v>28</v>
      </c>
      <c r="B262" s="335" t="str">
        <f>B261</f>
        <v>88 GAS -Pisco</v>
      </c>
      <c r="C262" s="336" t="s">
        <v>31</v>
      </c>
      <c r="D262" s="337" t="s">
        <v>190</v>
      </c>
      <c r="E262" s="337"/>
      <c r="F262" s="342" t="str">
        <f>F261</f>
        <v xml:space="preserve"> MM BTU</v>
      </c>
      <c r="G262" s="537">
        <f>+G261</f>
        <v>1920.7225000000001</v>
      </c>
      <c r="H262" s="387">
        <f>+H261</f>
        <v>5772.2912999999999</v>
      </c>
      <c r="I262" s="328">
        <v>2.8961999999999999</v>
      </c>
      <c r="J262" s="328">
        <v>2.8961999999999999</v>
      </c>
      <c r="K262" s="328"/>
      <c r="L262" s="328"/>
      <c r="M262" s="328"/>
      <c r="N262" s="327"/>
      <c r="O262" s="327">
        <f t="shared" si="130"/>
        <v>22280.506567559998</v>
      </c>
      <c r="P262" s="327">
        <f>ROUND(37.24%*O262,2)</f>
        <v>8297.26</v>
      </c>
      <c r="Q262" s="327">
        <f t="shared" si="131"/>
        <v>4148.63</v>
      </c>
      <c r="R262" s="199">
        <v>0.5</v>
      </c>
      <c r="W262" s="74"/>
      <c r="Y262" s="74"/>
      <c r="Z262" s="74"/>
    </row>
    <row r="263" spans="1:26" x14ac:dyDescent="0.25">
      <c r="A263" s="329"/>
      <c r="B263" s="338" t="s">
        <v>185</v>
      </c>
      <c r="C263" s="100"/>
      <c r="D263" s="210"/>
      <c r="E263" s="210"/>
      <c r="F263" s="329"/>
      <c r="G263" s="311">
        <f t="shared" ref="G263:Q263" si="132">G262-G261</f>
        <v>0</v>
      </c>
      <c r="H263" s="388">
        <f t="shared" si="132"/>
        <v>0</v>
      </c>
      <c r="I263" s="339">
        <f t="shared" si="132"/>
        <v>1.8499999999999961E-2</v>
      </c>
      <c r="J263" s="339">
        <f t="shared" si="132"/>
        <v>1.8499999999999961E-2</v>
      </c>
      <c r="K263" s="339">
        <f t="shared" si="132"/>
        <v>0</v>
      </c>
      <c r="L263" s="339">
        <f t="shared" si="132"/>
        <v>0</v>
      </c>
      <c r="M263" s="339">
        <f t="shared" si="132"/>
        <v>0</v>
      </c>
      <c r="N263" s="340">
        <f t="shared" si="132"/>
        <v>0</v>
      </c>
      <c r="O263" s="311">
        <f t="shared" si="132"/>
        <v>142.32075529999929</v>
      </c>
      <c r="P263" s="461">
        <f t="shared" si="132"/>
        <v>53</v>
      </c>
      <c r="Q263" s="311">
        <f t="shared" si="132"/>
        <v>26.5</v>
      </c>
      <c r="R263" s="462"/>
      <c r="S263" s="307" t="s">
        <v>186</v>
      </c>
      <c r="X263" s="74"/>
      <c r="Y263" s="74"/>
    </row>
    <row r="264" spans="1:26" x14ac:dyDescent="0.25">
      <c r="A264" s="125"/>
      <c r="B264" s="7"/>
      <c r="C264" s="125"/>
      <c r="D264" s="125"/>
      <c r="E264" s="125"/>
      <c r="F264" s="125"/>
      <c r="G264" s="483"/>
      <c r="H264" s="483"/>
      <c r="I264" s="536"/>
      <c r="J264" s="536"/>
      <c r="K264" s="484"/>
      <c r="L264" s="484"/>
      <c r="M264" s="484"/>
      <c r="N264" s="485"/>
      <c r="O264" s="483"/>
      <c r="P264" s="486"/>
      <c r="Q264" s="483"/>
      <c r="R264" s="487"/>
      <c r="S264" s="483"/>
      <c r="T264" s="6"/>
      <c r="U264" s="6"/>
      <c r="V264" s="6"/>
    </row>
    <row r="265" spans="1:26" x14ac:dyDescent="0.25">
      <c r="A265" s="394"/>
      <c r="B265" s="321" t="s">
        <v>287</v>
      </c>
      <c r="C265" s="385"/>
      <c r="W265" s="75"/>
      <c r="Y265" s="350"/>
      <c r="Z265" s="75"/>
    </row>
    <row r="266" spans="1:26" x14ac:dyDescent="0.25">
      <c r="A266" s="313" t="s">
        <v>164</v>
      </c>
      <c r="B266" s="308"/>
      <c r="C266" s="322"/>
      <c r="D266" s="319" t="s">
        <v>19</v>
      </c>
      <c r="E266" s="318" t="s">
        <v>59</v>
      </c>
      <c r="F266" s="319" t="s">
        <v>27</v>
      </c>
      <c r="G266" s="320" t="s">
        <v>35</v>
      </c>
      <c r="H266" s="309" t="s">
        <v>36</v>
      </c>
      <c r="I266" s="309" t="s">
        <v>35</v>
      </c>
      <c r="J266" s="320" t="s">
        <v>36</v>
      </c>
      <c r="K266" s="320" t="s">
        <v>39</v>
      </c>
      <c r="L266" s="320" t="s">
        <v>40</v>
      </c>
      <c r="M266" s="320" t="s">
        <v>42</v>
      </c>
      <c r="N266" s="320" t="s">
        <v>2</v>
      </c>
      <c r="O266" s="323" t="s">
        <v>184</v>
      </c>
      <c r="P266" s="332" t="s">
        <v>166</v>
      </c>
      <c r="Q266" s="332" t="s">
        <v>188</v>
      </c>
      <c r="R266" s="310"/>
      <c r="W266" s="75"/>
      <c r="Y266" s="351"/>
      <c r="Z266" s="350"/>
    </row>
    <row r="267" spans="1:26" x14ac:dyDescent="0.25">
      <c r="A267" s="26" t="s">
        <v>28</v>
      </c>
      <c r="B267" s="27" t="s">
        <v>261</v>
      </c>
      <c r="C267" s="62" t="s">
        <v>31</v>
      </c>
      <c r="D267" s="62" t="s">
        <v>30</v>
      </c>
      <c r="E267" s="62" t="s">
        <v>161</v>
      </c>
      <c r="F267" s="262" t="s">
        <v>56</v>
      </c>
      <c r="G267" s="312">
        <v>10240.172399999999</v>
      </c>
      <c r="H267" s="312">
        <v>14414.0422</v>
      </c>
      <c r="I267" s="237">
        <v>2.8978000000000002</v>
      </c>
      <c r="J267" s="237">
        <v>2.8978000000000002</v>
      </c>
      <c r="K267" s="312"/>
      <c r="L267" s="312"/>
      <c r="M267" s="312"/>
      <c r="N267" s="312"/>
      <c r="O267" s="245">
        <f t="shared" ref="O267:O268" si="133">G267*I267+H267*J267</f>
        <v>71442.983067880006</v>
      </c>
      <c r="P267" s="243">
        <f>ROUND(37.24%*O267,2)</f>
        <v>26605.37</v>
      </c>
      <c r="Q267" s="243">
        <f t="shared" ref="Q267:Q268" si="134">ROUND(R267*P267,2)</f>
        <v>13302.69</v>
      </c>
      <c r="R267" s="244">
        <v>0.5</v>
      </c>
      <c r="W267" s="74"/>
      <c r="Y267" s="74"/>
    </row>
    <row r="268" spans="1:26" x14ac:dyDescent="0.25">
      <c r="A268" s="326" t="s">
        <v>28</v>
      </c>
      <c r="B268" s="335" t="str">
        <f>B267</f>
        <v>88 GAS -Pisco</v>
      </c>
      <c r="C268" s="336" t="s">
        <v>31</v>
      </c>
      <c r="D268" s="337" t="s">
        <v>190</v>
      </c>
      <c r="E268" s="337"/>
      <c r="F268" s="342" t="str">
        <f>F267</f>
        <v xml:space="preserve"> MM BTU</v>
      </c>
      <c r="G268" s="537">
        <f>+G267</f>
        <v>10240.172399999999</v>
      </c>
      <c r="H268" s="387">
        <f>+H267</f>
        <v>14414.0422</v>
      </c>
      <c r="I268" s="328">
        <v>2.8900999999999999</v>
      </c>
      <c r="J268" s="328">
        <v>2.8900999999999999</v>
      </c>
      <c r="K268" s="328"/>
      <c r="L268" s="328"/>
      <c r="M268" s="328"/>
      <c r="N268" s="327"/>
      <c r="O268" s="327">
        <f t="shared" si="133"/>
        <v>71253.145615460002</v>
      </c>
      <c r="P268" s="327">
        <f>ROUND(37.24%*O268,2)</f>
        <v>26534.67</v>
      </c>
      <c r="Q268" s="327">
        <f t="shared" si="134"/>
        <v>13267.34</v>
      </c>
      <c r="R268" s="199">
        <v>0.5</v>
      </c>
      <c r="W268" s="74"/>
      <c r="Y268" s="74"/>
      <c r="Z268" s="74"/>
    </row>
    <row r="269" spans="1:26" x14ac:dyDescent="0.25">
      <c r="A269" s="329"/>
      <c r="B269" s="338" t="s">
        <v>185</v>
      </c>
      <c r="C269" s="100"/>
      <c r="D269" s="210"/>
      <c r="E269" s="210"/>
      <c r="F269" s="329"/>
      <c r="G269" s="311">
        <f t="shared" ref="G269:Q269" si="135">G268-G267</f>
        <v>0</v>
      </c>
      <c r="H269" s="388">
        <f t="shared" si="135"/>
        <v>0</v>
      </c>
      <c r="I269" s="339">
        <f t="shared" si="135"/>
        <v>-7.7000000000002622E-3</v>
      </c>
      <c r="J269" s="339">
        <f t="shared" si="135"/>
        <v>-7.7000000000002622E-3</v>
      </c>
      <c r="K269" s="339">
        <f t="shared" si="135"/>
        <v>0</v>
      </c>
      <c r="L269" s="339">
        <f t="shared" si="135"/>
        <v>0</v>
      </c>
      <c r="M269" s="339">
        <f t="shared" si="135"/>
        <v>0</v>
      </c>
      <c r="N269" s="340">
        <f t="shared" si="135"/>
        <v>0</v>
      </c>
      <c r="O269" s="311">
        <f t="shared" si="135"/>
        <v>-189.83745242000441</v>
      </c>
      <c r="P269" s="461">
        <f t="shared" si="135"/>
        <v>-70.700000000000728</v>
      </c>
      <c r="Q269" s="311">
        <f t="shared" si="135"/>
        <v>-35.350000000000364</v>
      </c>
      <c r="R269" s="462"/>
      <c r="S269" s="307" t="s">
        <v>186</v>
      </c>
      <c r="X269" s="74"/>
      <c r="Y269" s="74"/>
    </row>
    <row r="270" spans="1:26" x14ac:dyDescent="0.25">
      <c r="A270" s="125"/>
      <c r="B270" s="7"/>
      <c r="C270" s="125"/>
      <c r="D270" s="125"/>
      <c r="E270" s="125"/>
      <c r="F270" s="125"/>
      <c r="G270" s="483"/>
      <c r="H270" s="483"/>
      <c r="I270" s="536"/>
      <c r="J270" s="536"/>
      <c r="K270" s="484"/>
      <c r="L270" s="484"/>
      <c r="M270" s="484"/>
      <c r="N270" s="485"/>
      <c r="O270" s="483"/>
      <c r="P270" s="486"/>
      <c r="Q270" s="483"/>
      <c r="R270" s="487"/>
      <c r="S270" s="483"/>
      <c r="T270" s="6"/>
      <c r="U270" s="6"/>
      <c r="V270" s="6"/>
    </row>
    <row r="271" spans="1:26" x14ac:dyDescent="0.25">
      <c r="A271" s="394"/>
      <c r="B271" s="321" t="s">
        <v>288</v>
      </c>
      <c r="C271" s="385"/>
      <c r="W271" s="75"/>
      <c r="Y271" s="350"/>
      <c r="Z271" s="75"/>
    </row>
    <row r="272" spans="1:26" x14ac:dyDescent="0.25">
      <c r="A272" s="313" t="s">
        <v>164</v>
      </c>
      <c r="B272" s="308"/>
      <c r="C272" s="322"/>
      <c r="D272" s="319" t="s">
        <v>19</v>
      </c>
      <c r="E272" s="318" t="s">
        <v>59</v>
      </c>
      <c r="F272" s="319" t="s">
        <v>27</v>
      </c>
      <c r="G272" s="320" t="s">
        <v>35</v>
      </c>
      <c r="H272" s="309" t="s">
        <v>36</v>
      </c>
      <c r="I272" s="309" t="s">
        <v>35</v>
      </c>
      <c r="J272" s="320" t="s">
        <v>36</v>
      </c>
      <c r="K272" s="320" t="s">
        <v>39</v>
      </c>
      <c r="L272" s="320" t="s">
        <v>40</v>
      </c>
      <c r="M272" s="320" t="s">
        <v>42</v>
      </c>
      <c r="N272" s="320" t="s">
        <v>2</v>
      </c>
      <c r="O272" s="323" t="s">
        <v>184</v>
      </c>
      <c r="P272" s="332" t="s">
        <v>166</v>
      </c>
      <c r="Q272" s="332" t="s">
        <v>188</v>
      </c>
      <c r="R272" s="310"/>
      <c r="W272" s="75"/>
      <c r="Y272" s="351"/>
      <c r="Z272" s="350"/>
    </row>
    <row r="273" spans="1:26" x14ac:dyDescent="0.25">
      <c r="A273" s="26" t="s">
        <v>28</v>
      </c>
      <c r="B273" s="27" t="s">
        <v>261</v>
      </c>
      <c r="C273" s="62" t="s">
        <v>31</v>
      </c>
      <c r="D273" s="62" t="s">
        <v>30</v>
      </c>
      <c r="E273" s="62" t="s">
        <v>161</v>
      </c>
      <c r="F273" s="262" t="s">
        <v>56</v>
      </c>
      <c r="G273" s="312">
        <v>16238.6656</v>
      </c>
      <c r="H273" s="312">
        <v>13990.778700000001</v>
      </c>
      <c r="I273" s="237">
        <v>2.8834</v>
      </c>
      <c r="J273" s="237">
        <v>2.8834</v>
      </c>
      <c r="K273" s="312"/>
      <c r="L273" s="312"/>
      <c r="M273" s="312"/>
      <c r="N273" s="312"/>
      <c r="O273" s="245">
        <f t="shared" ref="O273:O274" si="136">G273*I273+H273*J273</f>
        <v>87163.579694619999</v>
      </c>
      <c r="P273" s="243">
        <f>ROUND(37.24%*O273,2)</f>
        <v>32459.72</v>
      </c>
      <c r="Q273" s="243">
        <f t="shared" ref="Q273:Q274" si="137">ROUND(R273*P273,2)</f>
        <v>16229.86</v>
      </c>
      <c r="R273" s="244">
        <v>0.5</v>
      </c>
      <c r="W273" s="74"/>
      <c r="Y273" s="74"/>
    </row>
    <row r="274" spans="1:26" x14ac:dyDescent="0.25">
      <c r="A274" s="326" t="s">
        <v>28</v>
      </c>
      <c r="B274" s="335" t="str">
        <f>B273</f>
        <v>88 GAS -Pisco</v>
      </c>
      <c r="C274" s="336" t="s">
        <v>31</v>
      </c>
      <c r="D274" s="337" t="s">
        <v>190</v>
      </c>
      <c r="E274" s="337"/>
      <c r="F274" s="342" t="str">
        <f>F273</f>
        <v xml:space="preserve"> MM BTU</v>
      </c>
      <c r="G274" s="537">
        <f>+G273</f>
        <v>16238.6656</v>
      </c>
      <c r="H274" s="387">
        <f>+H273</f>
        <v>13990.778700000001</v>
      </c>
      <c r="I274" s="328">
        <v>2.9093</v>
      </c>
      <c r="J274" s="328">
        <v>2.9093</v>
      </c>
      <c r="K274" s="328"/>
      <c r="L274" s="328"/>
      <c r="M274" s="328"/>
      <c r="N274" s="327"/>
      <c r="O274" s="327">
        <f t="shared" si="136"/>
        <v>87946.52230199</v>
      </c>
      <c r="P274" s="327">
        <f>ROUND(37.24%*O274,2)</f>
        <v>32751.279999999999</v>
      </c>
      <c r="Q274" s="327">
        <f t="shared" si="137"/>
        <v>16375.64</v>
      </c>
      <c r="R274" s="199">
        <v>0.5</v>
      </c>
      <c r="W274" s="74"/>
      <c r="Y274" s="74"/>
      <c r="Z274" s="74"/>
    </row>
    <row r="275" spans="1:26" x14ac:dyDescent="0.25">
      <c r="A275" s="329"/>
      <c r="B275" s="338" t="s">
        <v>185</v>
      </c>
      <c r="C275" s="100"/>
      <c r="D275" s="210"/>
      <c r="E275" s="210"/>
      <c r="F275" s="329"/>
      <c r="G275" s="311">
        <f t="shared" ref="G275:Q275" si="138">G274-G273</f>
        <v>0</v>
      </c>
      <c r="H275" s="388">
        <f t="shared" si="138"/>
        <v>0</v>
      </c>
      <c r="I275" s="339">
        <f t="shared" si="138"/>
        <v>2.5900000000000034E-2</v>
      </c>
      <c r="J275" s="339">
        <f t="shared" si="138"/>
        <v>2.5900000000000034E-2</v>
      </c>
      <c r="K275" s="339">
        <f t="shared" si="138"/>
        <v>0</v>
      </c>
      <c r="L275" s="339">
        <f t="shared" si="138"/>
        <v>0</v>
      </c>
      <c r="M275" s="339">
        <f t="shared" si="138"/>
        <v>0</v>
      </c>
      <c r="N275" s="340">
        <f t="shared" si="138"/>
        <v>0</v>
      </c>
      <c r="O275" s="311">
        <f t="shared" si="138"/>
        <v>782.9426073700015</v>
      </c>
      <c r="P275" s="461">
        <f t="shared" si="138"/>
        <v>291.55999999999767</v>
      </c>
      <c r="Q275" s="311">
        <f t="shared" si="138"/>
        <v>145.77999999999884</v>
      </c>
      <c r="R275" s="462"/>
      <c r="S275" s="307" t="s">
        <v>186</v>
      </c>
      <c r="X275" s="74"/>
      <c r="Y275" s="74"/>
    </row>
    <row r="276" spans="1:26" x14ac:dyDescent="0.25">
      <c r="A276" s="125"/>
      <c r="B276" s="7"/>
      <c r="C276" s="125"/>
      <c r="D276" s="125"/>
      <c r="E276" s="125"/>
      <c r="F276" s="125"/>
      <c r="G276" s="483"/>
      <c r="H276" s="483"/>
      <c r="I276" s="536"/>
      <c r="J276" s="536"/>
      <c r="K276" s="484"/>
      <c r="L276" s="484"/>
      <c r="M276" s="484"/>
      <c r="N276" s="485"/>
      <c r="O276" s="483"/>
      <c r="P276" s="486"/>
      <c r="Q276" s="483"/>
      <c r="R276" s="487"/>
      <c r="S276" s="483"/>
      <c r="T276" s="6"/>
      <c r="U276" s="6"/>
      <c r="V276" s="6"/>
    </row>
    <row r="277" spans="1:26" x14ac:dyDescent="0.25">
      <c r="A277" s="394"/>
      <c r="B277" s="321" t="s">
        <v>289</v>
      </c>
      <c r="C277" s="385"/>
      <c r="W277" s="75"/>
      <c r="Y277" s="350"/>
      <c r="Z277" s="75"/>
    </row>
    <row r="278" spans="1:26" x14ac:dyDescent="0.25">
      <c r="A278" s="313" t="s">
        <v>164</v>
      </c>
      <c r="B278" s="308"/>
      <c r="C278" s="322"/>
      <c r="D278" s="319" t="s">
        <v>19</v>
      </c>
      <c r="E278" s="318" t="s">
        <v>59</v>
      </c>
      <c r="F278" s="319" t="s">
        <v>27</v>
      </c>
      <c r="G278" s="320" t="s">
        <v>35</v>
      </c>
      <c r="H278" s="309" t="s">
        <v>36</v>
      </c>
      <c r="I278" s="309" t="s">
        <v>35</v>
      </c>
      <c r="J278" s="320" t="s">
        <v>36</v>
      </c>
      <c r="K278" s="320" t="s">
        <v>39</v>
      </c>
      <c r="L278" s="320" t="s">
        <v>40</v>
      </c>
      <c r="M278" s="320" t="s">
        <v>42</v>
      </c>
      <c r="N278" s="320" t="s">
        <v>2</v>
      </c>
      <c r="O278" s="323" t="s">
        <v>184</v>
      </c>
      <c r="P278" s="332" t="s">
        <v>166</v>
      </c>
      <c r="Q278" s="332" t="s">
        <v>188</v>
      </c>
      <c r="R278" s="310"/>
      <c r="W278" s="75"/>
      <c r="Y278" s="351"/>
      <c r="Z278" s="350"/>
    </row>
    <row r="279" spans="1:26" x14ac:dyDescent="0.25">
      <c r="A279" s="26" t="s">
        <v>28</v>
      </c>
      <c r="B279" s="27" t="s">
        <v>261</v>
      </c>
      <c r="C279" s="62" t="s">
        <v>31</v>
      </c>
      <c r="D279" s="62" t="s">
        <v>30</v>
      </c>
      <c r="E279" s="62" t="s">
        <v>161</v>
      </c>
      <c r="F279" s="262" t="s">
        <v>56</v>
      </c>
      <c r="G279" s="312">
        <v>22600.397700000001</v>
      </c>
      <c r="H279" s="312">
        <v>25059.812699999999</v>
      </c>
      <c r="I279" s="237">
        <v>2.9087999999999998</v>
      </c>
      <c r="J279" s="237">
        <v>2.9087999999999998</v>
      </c>
      <c r="K279" s="312"/>
      <c r="L279" s="312"/>
      <c r="M279" s="312"/>
      <c r="N279" s="312"/>
      <c r="O279" s="245">
        <f t="shared" ref="O279:O280" si="139">G279*I279+H279*J279</f>
        <v>138634.02001152001</v>
      </c>
      <c r="P279" s="243">
        <f>ROUND(37.24%*O279,2)</f>
        <v>51627.31</v>
      </c>
      <c r="Q279" s="243">
        <f t="shared" ref="Q279:Q280" si="140">ROUND(R279*P279,2)</f>
        <v>25813.66</v>
      </c>
      <c r="R279" s="244">
        <v>0.5</v>
      </c>
      <c r="W279" s="74"/>
      <c r="Y279" s="74"/>
    </row>
    <row r="280" spans="1:26" x14ac:dyDescent="0.25">
      <c r="A280" s="326" t="s">
        <v>28</v>
      </c>
      <c r="B280" s="335" t="str">
        <f>B279</f>
        <v>88 GAS -Pisco</v>
      </c>
      <c r="C280" s="336" t="s">
        <v>31</v>
      </c>
      <c r="D280" s="337" t="s">
        <v>190</v>
      </c>
      <c r="E280" s="337"/>
      <c r="F280" s="342" t="str">
        <f>F279</f>
        <v xml:space="preserve"> MM BTU</v>
      </c>
      <c r="G280" s="537">
        <f>+G279</f>
        <v>22600.397700000001</v>
      </c>
      <c r="H280" s="387">
        <f>+H279</f>
        <v>25059.812699999999</v>
      </c>
      <c r="I280" s="328">
        <v>2.9100999999999999</v>
      </c>
      <c r="J280" s="328">
        <v>2.9100999999999999</v>
      </c>
      <c r="K280" s="328"/>
      <c r="L280" s="328"/>
      <c r="M280" s="328"/>
      <c r="N280" s="327"/>
      <c r="O280" s="327">
        <f t="shared" si="139"/>
        <v>138695.97828504001</v>
      </c>
      <c r="P280" s="327">
        <f>ROUND(37.24%*O280,2)</f>
        <v>51650.38</v>
      </c>
      <c r="Q280" s="327">
        <f t="shared" si="140"/>
        <v>25825.19</v>
      </c>
      <c r="R280" s="199">
        <v>0.5</v>
      </c>
      <c r="W280" s="74"/>
      <c r="Y280" s="74"/>
      <c r="Z280" s="74"/>
    </row>
    <row r="281" spans="1:26" x14ac:dyDescent="0.25">
      <c r="A281" s="329"/>
      <c r="B281" s="338" t="s">
        <v>185</v>
      </c>
      <c r="C281" s="100"/>
      <c r="D281" s="210"/>
      <c r="E281" s="210"/>
      <c r="F281" s="329"/>
      <c r="G281" s="311">
        <f t="shared" ref="G281:Q281" si="141">G280-G279</f>
        <v>0</v>
      </c>
      <c r="H281" s="388">
        <f t="shared" si="141"/>
        <v>0</v>
      </c>
      <c r="I281" s="339">
        <f t="shared" si="141"/>
        <v>1.3000000000000789E-3</v>
      </c>
      <c r="J281" s="339">
        <f t="shared" si="141"/>
        <v>1.3000000000000789E-3</v>
      </c>
      <c r="K281" s="339">
        <f t="shared" si="141"/>
        <v>0</v>
      </c>
      <c r="L281" s="339">
        <f t="shared" si="141"/>
        <v>0</v>
      </c>
      <c r="M281" s="339">
        <f t="shared" si="141"/>
        <v>0</v>
      </c>
      <c r="N281" s="340">
        <f t="shared" si="141"/>
        <v>0</v>
      </c>
      <c r="O281" s="311">
        <f t="shared" si="141"/>
        <v>61.958273519994691</v>
      </c>
      <c r="P281" s="461">
        <f t="shared" si="141"/>
        <v>23.069999999999709</v>
      </c>
      <c r="Q281" s="311">
        <f t="shared" si="141"/>
        <v>11.529999999998836</v>
      </c>
      <c r="R281" s="462"/>
      <c r="S281" s="307" t="s">
        <v>186</v>
      </c>
      <c r="X281" s="74"/>
      <c r="Y281" s="74"/>
    </row>
    <row r="282" spans="1:26" x14ac:dyDescent="0.25">
      <c r="A282" s="125"/>
      <c r="B282" s="7"/>
      <c r="C282" s="125"/>
      <c r="D282" s="125"/>
      <c r="E282" s="125"/>
      <c r="F282" s="125"/>
      <c r="G282" s="483"/>
      <c r="H282" s="483"/>
      <c r="I282" s="536"/>
      <c r="J282" s="536"/>
      <c r="K282" s="484"/>
      <c r="L282" s="484"/>
      <c r="M282" s="484"/>
      <c r="N282" s="485"/>
      <c r="O282" s="483"/>
      <c r="P282" s="486"/>
      <c r="Q282" s="483"/>
      <c r="R282" s="487"/>
      <c r="S282" s="483"/>
      <c r="T282" s="6"/>
      <c r="U282" s="6"/>
      <c r="V282" s="6"/>
    </row>
    <row r="283" spans="1:26" x14ac:dyDescent="0.25">
      <c r="A283" s="394"/>
      <c r="B283" s="321" t="s">
        <v>290</v>
      </c>
      <c r="C283" s="385"/>
      <c r="W283" s="75"/>
      <c r="Y283" s="350"/>
      <c r="Z283" s="75"/>
    </row>
    <row r="284" spans="1:26" x14ac:dyDescent="0.25">
      <c r="A284" s="313" t="s">
        <v>164</v>
      </c>
      <c r="B284" s="308"/>
      <c r="C284" s="322"/>
      <c r="D284" s="319" t="s">
        <v>19</v>
      </c>
      <c r="E284" s="318" t="s">
        <v>59</v>
      </c>
      <c r="F284" s="319" t="s">
        <v>27</v>
      </c>
      <c r="G284" s="320" t="s">
        <v>35</v>
      </c>
      <c r="H284" s="309" t="s">
        <v>36</v>
      </c>
      <c r="I284" s="309" t="s">
        <v>35</v>
      </c>
      <c r="J284" s="320" t="s">
        <v>36</v>
      </c>
      <c r="K284" s="320" t="s">
        <v>39</v>
      </c>
      <c r="L284" s="320" t="s">
        <v>40</v>
      </c>
      <c r="M284" s="320" t="s">
        <v>42</v>
      </c>
      <c r="N284" s="320" t="s">
        <v>2</v>
      </c>
      <c r="O284" s="323" t="s">
        <v>184</v>
      </c>
      <c r="P284" s="332" t="s">
        <v>166</v>
      </c>
      <c r="Q284" s="332" t="s">
        <v>188</v>
      </c>
      <c r="R284" s="310"/>
      <c r="W284" s="75"/>
      <c r="Y284" s="351"/>
      <c r="Z284" s="350"/>
    </row>
    <row r="285" spans="1:26" x14ac:dyDescent="0.25">
      <c r="A285" s="26" t="s">
        <v>28</v>
      </c>
      <c r="B285" s="27" t="s">
        <v>261</v>
      </c>
      <c r="C285" s="62" t="s">
        <v>31</v>
      </c>
      <c r="D285" s="62" t="s">
        <v>30</v>
      </c>
      <c r="E285" s="62" t="s">
        <v>161</v>
      </c>
      <c r="F285" s="262" t="s">
        <v>56</v>
      </c>
      <c r="G285" s="312">
        <v>24020.011500000001</v>
      </c>
      <c r="H285" s="312">
        <v>14132.633099999999</v>
      </c>
      <c r="I285" s="237">
        <v>2.9097</v>
      </c>
      <c r="J285" s="237">
        <v>2.9097</v>
      </c>
      <c r="K285" s="312"/>
      <c r="L285" s="312"/>
      <c r="M285" s="312"/>
      <c r="N285" s="312"/>
      <c r="O285" s="245">
        <f t="shared" ref="O285:O286" si="142">G285*I285+H285*J285</f>
        <v>111012.74999262</v>
      </c>
      <c r="P285" s="243">
        <f>ROUND(37.24%*O285,2)</f>
        <v>41341.15</v>
      </c>
      <c r="Q285" s="243">
        <f t="shared" ref="Q285:Q286" si="143">ROUND(R285*P285,2)</f>
        <v>20670.580000000002</v>
      </c>
      <c r="R285" s="244">
        <v>0.5</v>
      </c>
      <c r="W285" s="74"/>
      <c r="Y285" s="74"/>
    </row>
    <row r="286" spans="1:26" x14ac:dyDescent="0.25">
      <c r="A286" s="326" t="s">
        <v>28</v>
      </c>
      <c r="B286" s="335" t="str">
        <f>B285</f>
        <v>88 GAS -Pisco</v>
      </c>
      <c r="C286" s="336" t="s">
        <v>31</v>
      </c>
      <c r="D286" s="337" t="s">
        <v>190</v>
      </c>
      <c r="E286" s="337"/>
      <c r="F286" s="342" t="str">
        <f>F285</f>
        <v xml:space="preserve"> MM BTU</v>
      </c>
      <c r="G286" s="537">
        <f>+G285</f>
        <v>24020.011500000001</v>
      </c>
      <c r="H286" s="387">
        <f>+H285</f>
        <v>14132.633099999999</v>
      </c>
      <c r="I286" s="328">
        <v>2.8788999999999998</v>
      </c>
      <c r="J286" s="328">
        <v>2.8788999999999998</v>
      </c>
      <c r="K286" s="328"/>
      <c r="L286" s="328"/>
      <c r="M286" s="328"/>
      <c r="N286" s="327"/>
      <c r="O286" s="327">
        <f t="shared" si="142"/>
        <v>109837.64853893999</v>
      </c>
      <c r="P286" s="327">
        <f>ROUND(37.24%*O286,2)</f>
        <v>40903.54</v>
      </c>
      <c r="Q286" s="327">
        <f t="shared" si="143"/>
        <v>20451.77</v>
      </c>
      <c r="R286" s="199">
        <v>0.5</v>
      </c>
      <c r="W286" s="74"/>
      <c r="Y286" s="74"/>
      <c r="Z286" s="74"/>
    </row>
    <row r="287" spans="1:26" x14ac:dyDescent="0.25">
      <c r="A287" s="329"/>
      <c r="B287" s="338" t="s">
        <v>185</v>
      </c>
      <c r="C287" s="100"/>
      <c r="D287" s="210"/>
      <c r="E287" s="210"/>
      <c r="F287" s="329"/>
      <c r="G287" s="311">
        <f t="shared" ref="G287:Q287" si="144">G286-G285</f>
        <v>0</v>
      </c>
      <c r="H287" s="388">
        <f t="shared" si="144"/>
        <v>0</v>
      </c>
      <c r="I287" s="339">
        <f t="shared" si="144"/>
        <v>-3.0800000000000161E-2</v>
      </c>
      <c r="J287" s="339">
        <f t="shared" si="144"/>
        <v>-3.0800000000000161E-2</v>
      </c>
      <c r="K287" s="339">
        <f t="shared" si="144"/>
        <v>0</v>
      </c>
      <c r="L287" s="339">
        <f t="shared" si="144"/>
        <v>0</v>
      </c>
      <c r="M287" s="339">
        <f t="shared" si="144"/>
        <v>0</v>
      </c>
      <c r="N287" s="340">
        <f t="shared" si="144"/>
        <v>0</v>
      </c>
      <c r="O287" s="311">
        <f t="shared" si="144"/>
        <v>-1175.1014536800067</v>
      </c>
      <c r="P287" s="461">
        <f t="shared" si="144"/>
        <v>-437.61000000000058</v>
      </c>
      <c r="Q287" s="311">
        <f t="shared" si="144"/>
        <v>-218.81000000000131</v>
      </c>
      <c r="R287" s="462"/>
      <c r="S287" s="307" t="s">
        <v>186</v>
      </c>
      <c r="X287" s="74"/>
      <c r="Y287" s="74"/>
    </row>
    <row r="288" spans="1:26" x14ac:dyDescent="0.25">
      <c r="A288" s="125"/>
      <c r="B288" s="7"/>
      <c r="C288" s="125"/>
      <c r="D288" s="125"/>
      <c r="E288" s="125"/>
      <c r="F288" s="125"/>
      <c r="G288" s="483"/>
      <c r="H288" s="483"/>
      <c r="I288" s="536"/>
      <c r="J288" s="536"/>
      <c r="K288" s="484"/>
      <c r="L288" s="484"/>
      <c r="M288" s="484"/>
      <c r="N288" s="485"/>
      <c r="O288" s="483"/>
      <c r="P288" s="486"/>
      <c r="Q288" s="483"/>
      <c r="R288" s="487"/>
      <c r="S288" s="483"/>
      <c r="T288" s="6"/>
      <c r="U288" s="6"/>
      <c r="V288" s="6"/>
    </row>
    <row r="289" spans="1:26" x14ac:dyDescent="0.25">
      <c r="A289" s="394"/>
      <c r="B289" s="321" t="s">
        <v>291</v>
      </c>
      <c r="C289" s="385"/>
      <c r="W289" s="75"/>
      <c r="Y289" s="350"/>
      <c r="Z289" s="75"/>
    </row>
    <row r="290" spans="1:26" x14ac:dyDescent="0.25">
      <c r="A290" s="313" t="s">
        <v>164</v>
      </c>
      <c r="B290" s="308"/>
      <c r="C290" s="322"/>
      <c r="D290" s="319" t="s">
        <v>19</v>
      </c>
      <c r="E290" s="318" t="s">
        <v>59</v>
      </c>
      <c r="F290" s="319" t="s">
        <v>27</v>
      </c>
      <c r="G290" s="320" t="s">
        <v>35</v>
      </c>
      <c r="H290" s="309" t="s">
        <v>36</v>
      </c>
      <c r="I290" s="309" t="s">
        <v>35</v>
      </c>
      <c r="J290" s="320" t="s">
        <v>36</v>
      </c>
      <c r="K290" s="320" t="s">
        <v>39</v>
      </c>
      <c r="L290" s="320" t="s">
        <v>40</v>
      </c>
      <c r="M290" s="320" t="s">
        <v>42</v>
      </c>
      <c r="N290" s="320" t="s">
        <v>2</v>
      </c>
      <c r="O290" s="323" t="s">
        <v>184</v>
      </c>
      <c r="P290" s="332" t="s">
        <v>166</v>
      </c>
      <c r="Q290" s="332" t="s">
        <v>188</v>
      </c>
      <c r="R290" s="310"/>
      <c r="W290" s="75"/>
      <c r="Y290" s="351"/>
      <c r="Z290" s="350"/>
    </row>
    <row r="291" spans="1:26" x14ac:dyDescent="0.25">
      <c r="A291" s="26" t="s">
        <v>28</v>
      </c>
      <c r="B291" s="27" t="s">
        <v>261</v>
      </c>
      <c r="C291" s="62" t="s">
        <v>31</v>
      </c>
      <c r="D291" s="62" t="s">
        <v>30</v>
      </c>
      <c r="E291" s="62" t="s">
        <v>161</v>
      </c>
      <c r="F291" s="262" t="s">
        <v>56</v>
      </c>
      <c r="G291" s="312">
        <v>23783.0677</v>
      </c>
      <c r="H291" s="312">
        <v>25679.159500000002</v>
      </c>
      <c r="I291" s="237">
        <v>2.8734000000000002</v>
      </c>
      <c r="J291" s="237">
        <v>2.8734000000000002</v>
      </c>
      <c r="K291" s="312"/>
      <c r="L291" s="312"/>
      <c r="M291" s="312"/>
      <c r="N291" s="312"/>
      <c r="O291" s="245">
        <f t="shared" ref="O291:O292" si="145">G291*I291+H291*J291</f>
        <v>142124.76363648003</v>
      </c>
      <c r="P291" s="243">
        <f>ROUND(37.24%*O291,2)</f>
        <v>52927.26</v>
      </c>
      <c r="Q291" s="243">
        <f t="shared" ref="Q291:Q292" si="146">ROUND(R291*P291,2)</f>
        <v>26463.63</v>
      </c>
      <c r="R291" s="244">
        <v>0.5</v>
      </c>
      <c r="W291" s="74"/>
      <c r="Y291" s="74"/>
    </row>
    <row r="292" spans="1:26" x14ac:dyDescent="0.25">
      <c r="A292" s="326" t="s">
        <v>28</v>
      </c>
      <c r="B292" s="335" t="str">
        <f>B291</f>
        <v>88 GAS -Pisco</v>
      </c>
      <c r="C292" s="336" t="s">
        <v>31</v>
      </c>
      <c r="D292" s="337" t="s">
        <v>190</v>
      </c>
      <c r="E292" s="337"/>
      <c r="F292" s="342" t="str">
        <f>F291</f>
        <v xml:space="preserve"> MM BTU</v>
      </c>
      <c r="G292" s="537">
        <f>+G291</f>
        <v>23783.0677</v>
      </c>
      <c r="H292" s="387">
        <f>+H291</f>
        <v>25679.159500000002</v>
      </c>
      <c r="I292" s="328">
        <v>2.8014000000000001</v>
      </c>
      <c r="J292" s="328">
        <v>2.8014000000000001</v>
      </c>
      <c r="K292" s="328"/>
      <c r="L292" s="328"/>
      <c r="M292" s="328"/>
      <c r="N292" s="327"/>
      <c r="O292" s="327">
        <f t="shared" si="145"/>
        <v>138563.48327808001</v>
      </c>
      <c r="P292" s="327">
        <f>ROUND(37.24%*O292,2)</f>
        <v>51601.04</v>
      </c>
      <c r="Q292" s="327">
        <f t="shared" si="146"/>
        <v>25800.52</v>
      </c>
      <c r="R292" s="199">
        <v>0.5</v>
      </c>
      <c r="W292" s="74"/>
      <c r="Y292" s="74"/>
      <c r="Z292" s="74"/>
    </row>
    <row r="293" spans="1:26" x14ac:dyDescent="0.25">
      <c r="A293" s="329"/>
      <c r="B293" s="338" t="s">
        <v>185</v>
      </c>
      <c r="C293" s="100"/>
      <c r="D293" s="210"/>
      <c r="E293" s="210"/>
      <c r="F293" s="329"/>
      <c r="G293" s="311">
        <f t="shared" ref="G293:Q293" si="147">G292-G291</f>
        <v>0</v>
      </c>
      <c r="H293" s="388">
        <f t="shared" si="147"/>
        <v>0</v>
      </c>
      <c r="I293" s="339">
        <f t="shared" si="147"/>
        <v>-7.2000000000000064E-2</v>
      </c>
      <c r="J293" s="339">
        <f t="shared" si="147"/>
        <v>-7.2000000000000064E-2</v>
      </c>
      <c r="K293" s="339">
        <f t="shared" si="147"/>
        <v>0</v>
      </c>
      <c r="L293" s="339">
        <f t="shared" si="147"/>
        <v>0</v>
      </c>
      <c r="M293" s="339">
        <f t="shared" si="147"/>
        <v>0</v>
      </c>
      <c r="N293" s="340">
        <f t="shared" si="147"/>
        <v>0</v>
      </c>
      <c r="O293" s="311">
        <f t="shared" si="147"/>
        <v>-3561.2803584000212</v>
      </c>
      <c r="P293" s="461">
        <f t="shared" si="147"/>
        <v>-1326.2200000000012</v>
      </c>
      <c r="Q293" s="311">
        <f t="shared" si="147"/>
        <v>-663.11000000000058</v>
      </c>
      <c r="R293" s="462"/>
      <c r="S293" s="307" t="s">
        <v>186</v>
      </c>
      <c r="X293" s="74"/>
      <c r="Y293" s="74"/>
    </row>
    <row r="294" spans="1:26" x14ac:dyDescent="0.25">
      <c r="A294" s="125"/>
      <c r="B294" s="7"/>
      <c r="C294" s="125"/>
      <c r="D294" s="125"/>
      <c r="E294" s="125"/>
      <c r="F294" s="125"/>
      <c r="G294" s="483"/>
      <c r="H294" s="483"/>
      <c r="I294" s="536"/>
      <c r="J294" s="536"/>
      <c r="K294" s="484"/>
      <c r="L294" s="484"/>
      <c r="M294" s="484"/>
      <c r="N294" s="485"/>
      <c r="O294" s="483"/>
      <c r="P294" s="486"/>
      <c r="Q294" s="483"/>
      <c r="R294" s="487"/>
      <c r="S294" s="483"/>
      <c r="T294" s="6"/>
      <c r="U294" s="6"/>
      <c r="V294" s="6"/>
    </row>
    <row r="295" spans="1:26" x14ac:dyDescent="0.25">
      <c r="A295" s="394"/>
      <c r="B295" s="321" t="s">
        <v>292</v>
      </c>
      <c r="C295" s="385"/>
      <c r="W295" s="75"/>
      <c r="Y295" s="350"/>
      <c r="Z295" s="75"/>
    </row>
    <row r="296" spans="1:26" x14ac:dyDescent="0.25">
      <c r="A296" s="313" t="s">
        <v>164</v>
      </c>
      <c r="B296" s="308"/>
      <c r="C296" s="322"/>
      <c r="D296" s="319" t="s">
        <v>19</v>
      </c>
      <c r="E296" s="318" t="s">
        <v>59</v>
      </c>
      <c r="F296" s="319" t="s">
        <v>27</v>
      </c>
      <c r="G296" s="320" t="s">
        <v>35</v>
      </c>
      <c r="H296" s="309" t="s">
        <v>36</v>
      </c>
      <c r="I296" s="309" t="s">
        <v>35</v>
      </c>
      <c r="J296" s="320" t="s">
        <v>36</v>
      </c>
      <c r="K296" s="320" t="s">
        <v>39</v>
      </c>
      <c r="L296" s="320" t="s">
        <v>40</v>
      </c>
      <c r="M296" s="320" t="s">
        <v>42</v>
      </c>
      <c r="N296" s="320" t="s">
        <v>2</v>
      </c>
      <c r="O296" s="323" t="s">
        <v>184</v>
      </c>
      <c r="P296" s="332" t="s">
        <v>166</v>
      </c>
      <c r="Q296" s="332" t="s">
        <v>188</v>
      </c>
      <c r="R296" s="310"/>
      <c r="W296" s="75"/>
      <c r="Y296" s="351"/>
      <c r="Z296" s="350"/>
    </row>
    <row r="297" spans="1:26" x14ac:dyDescent="0.25">
      <c r="A297" s="26" t="s">
        <v>28</v>
      </c>
      <c r="B297" s="27" t="s">
        <v>261</v>
      </c>
      <c r="C297" s="62" t="s">
        <v>31</v>
      </c>
      <c r="D297" s="62" t="s">
        <v>30</v>
      </c>
      <c r="E297" s="62" t="s">
        <v>161</v>
      </c>
      <c r="F297" s="262" t="s">
        <v>56</v>
      </c>
      <c r="G297" s="312">
        <v>23397.790499999999</v>
      </c>
      <c r="H297" s="312">
        <v>24555.771100000002</v>
      </c>
      <c r="I297" s="237">
        <v>2.7909000000000002</v>
      </c>
      <c r="J297" s="237">
        <v>2.7909000000000002</v>
      </c>
      <c r="K297" s="312"/>
      <c r="L297" s="312"/>
      <c r="M297" s="312"/>
      <c r="N297" s="312"/>
      <c r="O297" s="245">
        <f t="shared" ref="O297:O298" si="148">G297*I297+H297*J297</f>
        <v>133833.59506944002</v>
      </c>
      <c r="P297" s="243">
        <f>ROUND(37.24%*O297,2)</f>
        <v>49839.63</v>
      </c>
      <c r="Q297" s="243">
        <f t="shared" ref="Q297:Q298" si="149">ROUND(R297*P297,2)</f>
        <v>24919.82</v>
      </c>
      <c r="R297" s="244">
        <v>0.5</v>
      </c>
      <c r="W297" s="74"/>
      <c r="Y297" s="74"/>
    </row>
    <row r="298" spans="1:26" x14ac:dyDescent="0.25">
      <c r="A298" s="326" t="s">
        <v>28</v>
      </c>
      <c r="B298" s="335" t="str">
        <f>B297</f>
        <v>88 GAS -Pisco</v>
      </c>
      <c r="C298" s="336" t="s">
        <v>31</v>
      </c>
      <c r="D298" s="337" t="s">
        <v>190</v>
      </c>
      <c r="E298" s="337"/>
      <c r="F298" s="342" t="str">
        <f>F297</f>
        <v xml:space="preserve"> MM BTU</v>
      </c>
      <c r="G298" s="537">
        <f>+G297</f>
        <v>23397.790499999999</v>
      </c>
      <c r="H298" s="387">
        <f>+H297</f>
        <v>24555.771100000002</v>
      </c>
      <c r="I298" s="328">
        <v>2.88</v>
      </c>
      <c r="J298" s="328">
        <v>2.88</v>
      </c>
      <c r="K298" s="328"/>
      <c r="L298" s="328"/>
      <c r="M298" s="328"/>
      <c r="N298" s="327"/>
      <c r="O298" s="327">
        <f t="shared" si="148"/>
        <v>138106.257408</v>
      </c>
      <c r="P298" s="327">
        <f>ROUND(37.24%*O298,2)</f>
        <v>51430.77</v>
      </c>
      <c r="Q298" s="327">
        <f t="shared" si="149"/>
        <v>25715.39</v>
      </c>
      <c r="R298" s="199">
        <v>0.5</v>
      </c>
      <c r="W298" s="74"/>
      <c r="Y298" s="74"/>
      <c r="Z298" s="74"/>
    </row>
    <row r="299" spans="1:26" x14ac:dyDescent="0.25">
      <c r="A299" s="329"/>
      <c r="B299" s="338" t="s">
        <v>185</v>
      </c>
      <c r="C299" s="100"/>
      <c r="D299" s="210"/>
      <c r="E299" s="210"/>
      <c r="F299" s="329"/>
      <c r="G299" s="311">
        <f t="shared" ref="G299:Q299" si="150">G298-G297</f>
        <v>0</v>
      </c>
      <c r="H299" s="388">
        <f t="shared" si="150"/>
        <v>0</v>
      </c>
      <c r="I299" s="339">
        <f t="shared" si="150"/>
        <v>8.9099999999999735E-2</v>
      </c>
      <c r="J299" s="339">
        <f t="shared" si="150"/>
        <v>8.9099999999999735E-2</v>
      </c>
      <c r="K299" s="339">
        <f t="shared" si="150"/>
        <v>0</v>
      </c>
      <c r="L299" s="339">
        <f t="shared" si="150"/>
        <v>0</v>
      </c>
      <c r="M299" s="339">
        <f t="shared" si="150"/>
        <v>0</v>
      </c>
      <c r="N299" s="340">
        <f t="shared" si="150"/>
        <v>0</v>
      </c>
      <c r="O299" s="311">
        <f t="shared" si="150"/>
        <v>4272.6623385599814</v>
      </c>
      <c r="P299" s="461">
        <f t="shared" si="150"/>
        <v>1591.1399999999994</v>
      </c>
      <c r="Q299" s="311">
        <f t="shared" si="150"/>
        <v>795.56999999999971</v>
      </c>
      <c r="R299" s="462"/>
      <c r="S299" s="307" t="s">
        <v>186</v>
      </c>
      <c r="X299" s="74"/>
      <c r="Y299" s="74"/>
    </row>
    <row r="300" spans="1:26" x14ac:dyDescent="0.25">
      <c r="A300" s="125"/>
      <c r="B300" s="7"/>
      <c r="C300" s="125"/>
      <c r="D300" s="125"/>
      <c r="E300" s="125"/>
      <c r="F300" s="125"/>
      <c r="G300" s="483"/>
      <c r="H300" s="483"/>
      <c r="I300" s="536"/>
      <c r="J300" s="536"/>
      <c r="K300" s="484"/>
      <c r="L300" s="484"/>
      <c r="M300" s="484"/>
      <c r="N300" s="485"/>
      <c r="O300" s="483"/>
      <c r="P300" s="486"/>
      <c r="Q300" s="483"/>
      <c r="R300" s="487"/>
      <c r="S300" s="483"/>
      <c r="T300" s="6"/>
      <c r="U300" s="6"/>
      <c r="V300" s="6"/>
    </row>
    <row r="301" spans="1:26" x14ac:dyDescent="0.25">
      <c r="A301" s="394"/>
      <c r="B301" s="321" t="s">
        <v>294</v>
      </c>
      <c r="C301" s="385"/>
      <c r="W301" s="75"/>
      <c r="Y301" s="350"/>
      <c r="Z301" s="75"/>
    </row>
    <row r="302" spans="1:26" x14ac:dyDescent="0.25">
      <c r="A302" s="313" t="s">
        <v>164</v>
      </c>
      <c r="B302" s="308"/>
      <c r="C302" s="322"/>
      <c r="D302" s="319" t="s">
        <v>19</v>
      </c>
      <c r="E302" s="318" t="s">
        <v>59</v>
      </c>
      <c r="F302" s="319" t="s">
        <v>27</v>
      </c>
      <c r="G302" s="320" t="s">
        <v>35</v>
      </c>
      <c r="H302" s="309" t="s">
        <v>36</v>
      </c>
      <c r="I302" s="309" t="s">
        <v>35</v>
      </c>
      <c r="J302" s="320" t="s">
        <v>36</v>
      </c>
      <c r="K302" s="320" t="s">
        <v>39</v>
      </c>
      <c r="L302" s="320" t="s">
        <v>40</v>
      </c>
      <c r="M302" s="320" t="s">
        <v>42</v>
      </c>
      <c r="N302" s="320" t="s">
        <v>2</v>
      </c>
      <c r="O302" s="323" t="s">
        <v>184</v>
      </c>
      <c r="P302" s="332" t="s">
        <v>166</v>
      </c>
      <c r="Q302" s="332" t="s">
        <v>188</v>
      </c>
      <c r="R302" s="310"/>
      <c r="W302" s="75"/>
      <c r="Y302" s="351"/>
      <c r="Z302" s="350"/>
    </row>
    <row r="303" spans="1:26" x14ac:dyDescent="0.25">
      <c r="A303" s="26" t="s">
        <v>28</v>
      </c>
      <c r="B303" s="27" t="s">
        <v>261</v>
      </c>
      <c r="C303" s="62" t="s">
        <v>31</v>
      </c>
      <c r="D303" s="62" t="s">
        <v>30</v>
      </c>
      <c r="E303" s="62" t="s">
        <v>161</v>
      </c>
      <c r="F303" s="262" t="s">
        <v>56</v>
      </c>
      <c r="G303" s="312">
        <v>23546.915199999999</v>
      </c>
      <c r="H303" s="312">
        <v>16895.627799999998</v>
      </c>
      <c r="I303" s="237">
        <v>2.8818999999999999</v>
      </c>
      <c r="J303" s="237">
        <v>2.8818999999999999</v>
      </c>
      <c r="K303" s="312"/>
      <c r="L303" s="312"/>
      <c r="M303" s="312"/>
      <c r="N303" s="312"/>
      <c r="O303" s="245">
        <f t="shared" ref="O303:O304" si="151">G303*I303+H303*J303</f>
        <v>116551.36467169999</v>
      </c>
      <c r="P303" s="243">
        <f>ROUND(37.24%*O303,2)</f>
        <v>43403.73</v>
      </c>
      <c r="Q303" s="243">
        <f t="shared" ref="Q303:Q304" si="152">ROUND(R303*P303,2)</f>
        <v>21701.87</v>
      </c>
      <c r="R303" s="244">
        <v>0.5</v>
      </c>
      <c r="W303" s="74"/>
      <c r="Y303" s="74"/>
    </row>
    <row r="304" spans="1:26" x14ac:dyDescent="0.25">
      <c r="A304" s="326" t="s">
        <v>28</v>
      </c>
      <c r="B304" s="335" t="str">
        <f>B303</f>
        <v>88 GAS -Pisco</v>
      </c>
      <c r="C304" s="336" t="s">
        <v>31</v>
      </c>
      <c r="D304" s="337" t="s">
        <v>190</v>
      </c>
      <c r="E304" s="337"/>
      <c r="F304" s="342" t="str">
        <f>F303</f>
        <v xml:space="preserve"> MM BTU</v>
      </c>
      <c r="G304" s="537">
        <f>+G303</f>
        <v>23546.915199999999</v>
      </c>
      <c r="H304" s="387">
        <f>+H303</f>
        <v>16895.627799999998</v>
      </c>
      <c r="I304" s="328">
        <v>2.9253</v>
      </c>
      <c r="J304" s="328">
        <v>2.9253</v>
      </c>
      <c r="K304" s="328"/>
      <c r="L304" s="328"/>
      <c r="M304" s="328"/>
      <c r="N304" s="327"/>
      <c r="O304" s="327">
        <f t="shared" si="151"/>
        <v>118306.57103789999</v>
      </c>
      <c r="P304" s="327">
        <f>ROUND(37.24%*O304,2)</f>
        <v>44057.37</v>
      </c>
      <c r="Q304" s="327">
        <f t="shared" si="152"/>
        <v>22028.69</v>
      </c>
      <c r="R304" s="199">
        <v>0.5</v>
      </c>
      <c r="W304" s="74"/>
      <c r="Y304" s="74"/>
      <c r="Z304" s="74"/>
    </row>
    <row r="305" spans="1:26" x14ac:dyDescent="0.25">
      <c r="A305" s="329"/>
      <c r="B305" s="338" t="s">
        <v>185</v>
      </c>
      <c r="C305" s="100"/>
      <c r="D305" s="210"/>
      <c r="E305" s="210"/>
      <c r="F305" s="329"/>
      <c r="G305" s="311">
        <f t="shared" ref="G305:Q305" si="153">G304-G303</f>
        <v>0</v>
      </c>
      <c r="H305" s="388">
        <f t="shared" si="153"/>
        <v>0</v>
      </c>
      <c r="I305" s="339">
        <f t="shared" si="153"/>
        <v>4.3400000000000105E-2</v>
      </c>
      <c r="J305" s="339">
        <f t="shared" si="153"/>
        <v>4.3400000000000105E-2</v>
      </c>
      <c r="K305" s="339">
        <f t="shared" si="153"/>
        <v>0</v>
      </c>
      <c r="L305" s="339">
        <f t="shared" si="153"/>
        <v>0</v>
      </c>
      <c r="M305" s="339">
        <f t="shared" si="153"/>
        <v>0</v>
      </c>
      <c r="N305" s="340">
        <f t="shared" si="153"/>
        <v>0</v>
      </c>
      <c r="O305" s="311">
        <f t="shared" si="153"/>
        <v>1755.2063662</v>
      </c>
      <c r="P305" s="461">
        <f t="shared" si="153"/>
        <v>653.63999999999942</v>
      </c>
      <c r="Q305" s="311">
        <f t="shared" si="153"/>
        <v>326.81999999999971</v>
      </c>
      <c r="R305" s="462"/>
      <c r="S305" s="307" t="s">
        <v>186</v>
      </c>
      <c r="X305" s="74"/>
      <c r="Y305" s="74"/>
    </row>
    <row r="306" spans="1:26" x14ac:dyDescent="0.25">
      <c r="A306" s="125"/>
      <c r="B306" s="7"/>
      <c r="C306" s="125"/>
      <c r="D306" s="125"/>
      <c r="E306" s="125"/>
      <c r="F306" s="125"/>
      <c r="G306" s="483"/>
      <c r="H306" s="483"/>
      <c r="I306" s="536"/>
      <c r="J306" s="536"/>
      <c r="K306" s="484"/>
      <c r="L306" s="484"/>
      <c r="M306" s="484"/>
      <c r="N306" s="485"/>
      <c r="O306" s="483"/>
      <c r="P306" s="486"/>
      <c r="Q306" s="483"/>
      <c r="R306" s="487"/>
      <c r="S306" s="483"/>
      <c r="T306" s="6"/>
      <c r="U306" s="6"/>
      <c r="V306" s="6"/>
    </row>
    <row r="307" spans="1:26" x14ac:dyDescent="0.25">
      <c r="A307" s="394"/>
      <c r="B307" s="321" t="s">
        <v>293</v>
      </c>
      <c r="C307" s="385"/>
      <c r="W307" s="75"/>
      <c r="Y307" s="350"/>
      <c r="Z307" s="75"/>
    </row>
    <row r="308" spans="1:26" x14ac:dyDescent="0.25">
      <c r="A308" s="313" t="s">
        <v>164</v>
      </c>
      <c r="B308" s="308"/>
      <c r="C308" s="322"/>
      <c r="D308" s="319" t="s">
        <v>19</v>
      </c>
      <c r="E308" s="318" t="s">
        <v>59</v>
      </c>
      <c r="F308" s="319" t="s">
        <v>27</v>
      </c>
      <c r="G308" s="320" t="s">
        <v>35</v>
      </c>
      <c r="H308" s="309" t="s">
        <v>36</v>
      </c>
      <c r="I308" s="309" t="s">
        <v>35</v>
      </c>
      <c r="J308" s="320" t="s">
        <v>36</v>
      </c>
      <c r="K308" s="320" t="s">
        <v>39</v>
      </c>
      <c r="L308" s="320" t="s">
        <v>40</v>
      </c>
      <c r="M308" s="320" t="s">
        <v>42</v>
      </c>
      <c r="N308" s="320" t="s">
        <v>2</v>
      </c>
      <c r="O308" s="323" t="s">
        <v>184</v>
      </c>
      <c r="P308" s="332" t="s">
        <v>166</v>
      </c>
      <c r="Q308" s="332" t="s">
        <v>188</v>
      </c>
      <c r="R308" s="310"/>
      <c r="W308" s="75"/>
      <c r="Y308" s="351"/>
      <c r="Z308" s="350"/>
    </row>
    <row r="309" spans="1:26" x14ac:dyDescent="0.25">
      <c r="A309" s="26" t="s">
        <v>28</v>
      </c>
      <c r="B309" s="27" t="s">
        <v>261</v>
      </c>
      <c r="C309" s="62" t="s">
        <v>31</v>
      </c>
      <c r="D309" s="62" t="s">
        <v>30</v>
      </c>
      <c r="E309" s="62" t="s">
        <v>161</v>
      </c>
      <c r="F309" s="262" t="s">
        <v>56</v>
      </c>
      <c r="G309" s="312">
        <v>19564.926599999999</v>
      </c>
      <c r="H309" s="312">
        <v>20877.2997</v>
      </c>
      <c r="I309" s="237">
        <v>2.9272999999999998</v>
      </c>
      <c r="J309" s="237">
        <v>2.9272999999999998</v>
      </c>
      <c r="K309" s="312"/>
      <c r="L309" s="312"/>
      <c r="M309" s="312"/>
      <c r="N309" s="312"/>
      <c r="O309" s="245">
        <f t="shared" ref="O309:O310" si="154">G309*I309+H309*J309</f>
        <v>118386.52904798998</v>
      </c>
      <c r="P309" s="243">
        <f>ROUND(37.24%*O309,2)</f>
        <v>44087.14</v>
      </c>
      <c r="Q309" s="243">
        <f t="shared" ref="Q309:Q310" si="155">ROUND(R309*P309,2)</f>
        <v>22043.57</v>
      </c>
      <c r="R309" s="244">
        <v>0.5</v>
      </c>
      <c r="W309" s="74"/>
      <c r="Y309" s="74"/>
    </row>
    <row r="310" spans="1:26" x14ac:dyDescent="0.25">
      <c r="A310" s="326" t="s">
        <v>28</v>
      </c>
      <c r="B310" s="335" t="str">
        <f>B309</f>
        <v>88 GAS -Pisco</v>
      </c>
      <c r="C310" s="336" t="s">
        <v>31</v>
      </c>
      <c r="D310" s="337" t="s">
        <v>190</v>
      </c>
      <c r="E310" s="337"/>
      <c r="F310" s="342" t="str">
        <f>F309</f>
        <v xml:space="preserve"> MM BTU</v>
      </c>
      <c r="G310" s="537">
        <f>+G309</f>
        <v>19564.926599999999</v>
      </c>
      <c r="H310" s="387">
        <f>+H309</f>
        <v>20877.2997</v>
      </c>
      <c r="I310" s="328">
        <v>2.9106000000000001</v>
      </c>
      <c r="J310" s="328">
        <v>2.9106000000000001</v>
      </c>
      <c r="K310" s="328"/>
      <c r="L310" s="328"/>
      <c r="M310" s="328"/>
      <c r="N310" s="327"/>
      <c r="O310" s="327">
        <f t="shared" si="154"/>
        <v>117711.14386878</v>
      </c>
      <c r="P310" s="327">
        <f>ROUND(37.24%*O310,2)</f>
        <v>43835.63</v>
      </c>
      <c r="Q310" s="327">
        <f t="shared" si="155"/>
        <v>21917.82</v>
      </c>
      <c r="R310" s="199">
        <v>0.5</v>
      </c>
      <c r="W310" s="74"/>
      <c r="Y310" s="74"/>
      <c r="Z310" s="74"/>
    </row>
    <row r="311" spans="1:26" x14ac:dyDescent="0.25">
      <c r="A311" s="329"/>
      <c r="B311" s="338" t="s">
        <v>185</v>
      </c>
      <c r="C311" s="100"/>
      <c r="D311" s="210"/>
      <c r="E311" s="210"/>
      <c r="F311" s="329"/>
      <c r="G311" s="311">
        <f t="shared" ref="G311:Q311" si="156">G310-G309</f>
        <v>0</v>
      </c>
      <c r="H311" s="388">
        <f t="shared" si="156"/>
        <v>0</v>
      </c>
      <c r="I311" s="339">
        <f t="shared" si="156"/>
        <v>-1.6699999999999715E-2</v>
      </c>
      <c r="J311" s="339">
        <f t="shared" si="156"/>
        <v>-1.6699999999999715E-2</v>
      </c>
      <c r="K311" s="339">
        <f t="shared" si="156"/>
        <v>0</v>
      </c>
      <c r="L311" s="339">
        <f t="shared" si="156"/>
        <v>0</v>
      </c>
      <c r="M311" s="339">
        <f t="shared" si="156"/>
        <v>0</v>
      </c>
      <c r="N311" s="340">
        <f t="shared" si="156"/>
        <v>0</v>
      </c>
      <c r="O311" s="311">
        <f t="shared" si="156"/>
        <v>-675.38517920998856</v>
      </c>
      <c r="P311" s="461">
        <f t="shared" si="156"/>
        <v>-251.51000000000204</v>
      </c>
      <c r="Q311" s="311">
        <f t="shared" si="156"/>
        <v>-125.75</v>
      </c>
      <c r="R311" s="462"/>
      <c r="S311" s="307" t="s">
        <v>186</v>
      </c>
      <c r="X311" s="74"/>
      <c r="Y311" s="74"/>
    </row>
    <row r="312" spans="1:26" x14ac:dyDescent="0.25">
      <c r="A312" s="125"/>
      <c r="B312" s="7"/>
      <c r="C312" s="125"/>
      <c r="D312" s="125"/>
      <c r="E312" s="125"/>
      <c r="F312" s="125"/>
      <c r="G312" s="483"/>
      <c r="H312" s="483"/>
      <c r="I312" s="536"/>
      <c r="J312" s="536"/>
      <c r="K312" s="484"/>
      <c r="L312" s="484"/>
      <c r="M312" s="484"/>
      <c r="N312" s="485"/>
      <c r="O312" s="483"/>
      <c r="P312" s="486"/>
      <c r="Q312" s="483"/>
      <c r="R312" s="487"/>
      <c r="S312" s="483"/>
      <c r="T312" s="6"/>
      <c r="U312" s="6"/>
      <c r="V312" s="6"/>
    </row>
    <row r="313" spans="1:26" x14ac:dyDescent="0.25">
      <c r="A313" s="394"/>
      <c r="B313" s="321" t="s">
        <v>295</v>
      </c>
      <c r="C313" s="385"/>
      <c r="W313" s="75"/>
      <c r="Y313" s="350"/>
      <c r="Z313" s="75"/>
    </row>
    <row r="314" spans="1:26" x14ac:dyDescent="0.25">
      <c r="A314" s="313" t="s">
        <v>164</v>
      </c>
      <c r="B314" s="308"/>
      <c r="C314" s="322"/>
      <c r="D314" s="319" t="s">
        <v>19</v>
      </c>
      <c r="E314" s="318" t="s">
        <v>59</v>
      </c>
      <c r="F314" s="319" t="s">
        <v>27</v>
      </c>
      <c r="G314" s="320" t="s">
        <v>35</v>
      </c>
      <c r="H314" s="309" t="s">
        <v>36</v>
      </c>
      <c r="I314" s="309" t="s">
        <v>35</v>
      </c>
      <c r="J314" s="320" t="s">
        <v>36</v>
      </c>
      <c r="K314" s="320" t="s">
        <v>39</v>
      </c>
      <c r="L314" s="320" t="s">
        <v>40</v>
      </c>
      <c r="M314" s="320" t="s">
        <v>42</v>
      </c>
      <c r="N314" s="320" t="s">
        <v>2</v>
      </c>
      <c r="O314" s="323" t="s">
        <v>184</v>
      </c>
      <c r="P314" s="332" t="s">
        <v>166</v>
      </c>
      <c r="Q314" s="332" t="s">
        <v>188</v>
      </c>
      <c r="R314" s="310"/>
      <c r="W314" s="75"/>
      <c r="Y314" s="351"/>
      <c r="Z314" s="350"/>
    </row>
    <row r="315" spans="1:26" x14ac:dyDescent="0.25">
      <c r="A315" s="26" t="s">
        <v>28</v>
      </c>
      <c r="B315" s="27" t="s">
        <v>261</v>
      </c>
      <c r="C315" s="62" t="s">
        <v>31</v>
      </c>
      <c r="D315" s="62" t="s">
        <v>30</v>
      </c>
      <c r="E315" s="62" t="s">
        <v>161</v>
      </c>
      <c r="F315" s="262" t="s">
        <v>56</v>
      </c>
      <c r="G315" s="312">
        <v>21379.106299999999</v>
      </c>
      <c r="H315" s="312">
        <v>21089.808099999998</v>
      </c>
      <c r="I315" s="237">
        <v>2.9121999999999999</v>
      </c>
      <c r="J315" s="237">
        <v>2.9121999999999999</v>
      </c>
      <c r="K315" s="312"/>
      <c r="L315" s="312"/>
      <c r="M315" s="312"/>
      <c r="N315" s="312"/>
      <c r="O315" s="245">
        <f t="shared" ref="O315:O316" si="157">G315*I315+H315*J315</f>
        <v>123677.97251567998</v>
      </c>
      <c r="P315" s="243">
        <f>ROUND(37.24%*O315,2)</f>
        <v>46057.68</v>
      </c>
      <c r="Q315" s="243">
        <f t="shared" ref="Q315:Q316" si="158">ROUND(R315*P315,2)</f>
        <v>23028.84</v>
      </c>
      <c r="R315" s="244">
        <v>0.5</v>
      </c>
      <c r="W315" s="74"/>
      <c r="Y315" s="74"/>
    </row>
    <row r="316" spans="1:26" x14ac:dyDescent="0.25">
      <c r="A316" s="326" t="s">
        <v>28</v>
      </c>
      <c r="B316" s="335" t="str">
        <f>B315</f>
        <v>88 GAS -Pisco</v>
      </c>
      <c r="C316" s="336" t="s">
        <v>31</v>
      </c>
      <c r="D316" s="337" t="s">
        <v>190</v>
      </c>
      <c r="E316" s="337"/>
      <c r="F316" s="342" t="str">
        <f>F315</f>
        <v xml:space="preserve"> MM BTU</v>
      </c>
      <c r="G316" s="537">
        <f>+G315</f>
        <v>21379.106299999999</v>
      </c>
      <c r="H316" s="387">
        <f>+H315</f>
        <v>21089.808099999998</v>
      </c>
      <c r="I316" s="328">
        <v>2.9068999999999998</v>
      </c>
      <c r="J316" s="328">
        <v>2.9068999999999998</v>
      </c>
      <c r="K316" s="328"/>
      <c r="L316" s="328"/>
      <c r="M316" s="328"/>
      <c r="N316" s="327"/>
      <c r="O316" s="327">
        <f t="shared" si="157"/>
        <v>123452.88726935998</v>
      </c>
      <c r="P316" s="327">
        <f>ROUND(37.24%*O316,2)</f>
        <v>45973.86</v>
      </c>
      <c r="Q316" s="327">
        <f t="shared" si="158"/>
        <v>22986.93</v>
      </c>
      <c r="R316" s="199">
        <v>0.5</v>
      </c>
      <c r="W316" s="74"/>
      <c r="Y316" s="74"/>
      <c r="Z316" s="74"/>
    </row>
    <row r="317" spans="1:26" x14ac:dyDescent="0.25">
      <c r="A317" s="329"/>
      <c r="B317" s="338" t="s">
        <v>185</v>
      </c>
      <c r="C317" s="100"/>
      <c r="D317" s="210"/>
      <c r="E317" s="210"/>
      <c r="F317" s="329"/>
      <c r="G317" s="311">
        <f t="shared" ref="G317:Q317" si="159">G316-G315</f>
        <v>0</v>
      </c>
      <c r="H317" s="388">
        <f t="shared" si="159"/>
        <v>0</v>
      </c>
      <c r="I317" s="339">
        <f t="shared" si="159"/>
        <v>-5.3000000000000824E-3</v>
      </c>
      <c r="J317" s="339">
        <f t="shared" si="159"/>
        <v>-5.3000000000000824E-3</v>
      </c>
      <c r="K317" s="339">
        <f t="shared" si="159"/>
        <v>0</v>
      </c>
      <c r="L317" s="339">
        <f t="shared" si="159"/>
        <v>0</v>
      </c>
      <c r="M317" s="339">
        <f t="shared" si="159"/>
        <v>0</v>
      </c>
      <c r="N317" s="340">
        <f t="shared" si="159"/>
        <v>0</v>
      </c>
      <c r="O317" s="311">
        <f t="shared" si="159"/>
        <v>-225.08524631999899</v>
      </c>
      <c r="P317" s="461">
        <f t="shared" si="159"/>
        <v>-83.819999999999709</v>
      </c>
      <c r="Q317" s="311">
        <f t="shared" si="159"/>
        <v>-41.909999999999854</v>
      </c>
      <c r="R317" s="462"/>
      <c r="S317" s="307" t="s">
        <v>186</v>
      </c>
      <c r="X317" s="74"/>
      <c r="Y317" s="74"/>
    </row>
    <row r="318" spans="1:26" x14ac:dyDescent="0.25">
      <c r="A318" s="125"/>
      <c r="B318" s="7"/>
      <c r="C318" s="125"/>
      <c r="D318" s="125"/>
      <c r="E318" s="125"/>
      <c r="F318" s="125"/>
      <c r="G318" s="483"/>
      <c r="H318" s="483"/>
      <c r="I318" s="536"/>
      <c r="J318" s="536"/>
      <c r="K318" s="484"/>
      <c r="L318" s="484"/>
      <c r="M318" s="484"/>
      <c r="N318" s="485"/>
      <c r="O318" s="483"/>
      <c r="P318" s="486"/>
      <c r="Q318" s="483"/>
      <c r="R318" s="487"/>
      <c r="S318" s="483"/>
      <c r="T318" s="6"/>
      <c r="U318" s="6"/>
      <c r="V318" s="6"/>
    </row>
    <row r="319" spans="1:26" x14ac:dyDescent="0.25">
      <c r="A319" s="394"/>
      <c r="B319" s="321" t="s">
        <v>296</v>
      </c>
      <c r="C319" s="385"/>
      <c r="W319" s="75"/>
      <c r="Y319" s="350"/>
      <c r="Z319" s="75"/>
    </row>
    <row r="320" spans="1:26" x14ac:dyDescent="0.25">
      <c r="A320" s="313" t="s">
        <v>164</v>
      </c>
      <c r="B320" s="308"/>
      <c r="C320" s="322"/>
      <c r="D320" s="319" t="s">
        <v>19</v>
      </c>
      <c r="E320" s="318" t="s">
        <v>59</v>
      </c>
      <c r="F320" s="319" t="s">
        <v>27</v>
      </c>
      <c r="G320" s="320" t="s">
        <v>35</v>
      </c>
      <c r="H320" s="309" t="s">
        <v>36</v>
      </c>
      <c r="I320" s="309" t="s">
        <v>35</v>
      </c>
      <c r="J320" s="320" t="s">
        <v>36</v>
      </c>
      <c r="K320" s="320" t="s">
        <v>39</v>
      </c>
      <c r="L320" s="320" t="s">
        <v>40</v>
      </c>
      <c r="M320" s="320" t="s">
        <v>42</v>
      </c>
      <c r="N320" s="320" t="s">
        <v>2</v>
      </c>
      <c r="O320" s="323" t="s">
        <v>184</v>
      </c>
      <c r="P320" s="332" t="s">
        <v>166</v>
      </c>
      <c r="Q320" s="332" t="s">
        <v>188</v>
      </c>
      <c r="R320" s="310"/>
      <c r="W320" s="75"/>
      <c r="Y320" s="351"/>
      <c r="Z320" s="350"/>
    </row>
    <row r="321" spans="1:26" x14ac:dyDescent="0.25">
      <c r="A321" s="26" t="s">
        <v>28</v>
      </c>
      <c r="B321" s="27" t="s">
        <v>261</v>
      </c>
      <c r="C321" s="62" t="s">
        <v>31</v>
      </c>
      <c r="D321" s="62" t="s">
        <v>30</v>
      </c>
      <c r="E321" s="62" t="s">
        <v>161</v>
      </c>
      <c r="F321" s="262" t="s">
        <v>56</v>
      </c>
      <c r="G321" s="312">
        <v>20358.802800000001</v>
      </c>
      <c r="H321" s="312">
        <v>21048.1751</v>
      </c>
      <c r="I321" s="237">
        <v>2.9009999999999998</v>
      </c>
      <c r="J321" s="237">
        <v>2.9009999999999998</v>
      </c>
      <c r="K321" s="312"/>
      <c r="L321" s="312"/>
      <c r="M321" s="312"/>
      <c r="N321" s="312"/>
      <c r="O321" s="245">
        <f t="shared" ref="O321:O322" si="160">G321*I321+H321*J321</f>
        <v>120121.6428879</v>
      </c>
      <c r="P321" s="243">
        <f>ROUND(37.24%*O321,2)</f>
        <v>44733.3</v>
      </c>
      <c r="Q321" s="243">
        <f t="shared" ref="Q321:Q322" si="161">ROUND(R321*P321,2)</f>
        <v>22366.65</v>
      </c>
      <c r="R321" s="244">
        <v>0.5</v>
      </c>
      <c r="W321" s="74"/>
      <c r="Y321" s="74"/>
    </row>
    <row r="322" spans="1:26" x14ac:dyDescent="0.25">
      <c r="A322" s="326" t="s">
        <v>28</v>
      </c>
      <c r="B322" s="335" t="str">
        <f>B321</f>
        <v>88 GAS -Pisco</v>
      </c>
      <c r="C322" s="336" t="s">
        <v>31</v>
      </c>
      <c r="D322" s="337" t="s">
        <v>190</v>
      </c>
      <c r="E322" s="337"/>
      <c r="F322" s="342" t="str">
        <f>F321</f>
        <v xml:space="preserve"> MM BTU</v>
      </c>
      <c r="G322" s="537">
        <f>+G321</f>
        <v>20358.802800000001</v>
      </c>
      <c r="H322" s="387">
        <f>+H321</f>
        <v>21048.1751</v>
      </c>
      <c r="I322" s="328">
        <v>2.9028</v>
      </c>
      <c r="J322" s="328">
        <v>2.9028</v>
      </c>
      <c r="K322" s="328"/>
      <c r="L322" s="328"/>
      <c r="M322" s="328"/>
      <c r="N322" s="327"/>
      <c r="O322" s="327">
        <f t="shared" si="160"/>
        <v>120196.17544812002</v>
      </c>
      <c r="P322" s="327">
        <f>ROUND(37.24%*O322,2)</f>
        <v>44761.06</v>
      </c>
      <c r="Q322" s="327">
        <f t="shared" si="161"/>
        <v>22380.53</v>
      </c>
      <c r="R322" s="199">
        <v>0.5</v>
      </c>
      <c r="W322" s="74"/>
      <c r="Y322" s="74"/>
      <c r="Z322" s="74"/>
    </row>
    <row r="323" spans="1:26" x14ac:dyDescent="0.25">
      <c r="A323" s="329"/>
      <c r="B323" s="338" t="s">
        <v>185</v>
      </c>
      <c r="C323" s="100"/>
      <c r="D323" s="210"/>
      <c r="E323" s="210"/>
      <c r="F323" s="329"/>
      <c r="G323" s="311">
        <f t="shared" ref="G323:Q323" si="162">G322-G321</f>
        <v>0</v>
      </c>
      <c r="H323" s="388">
        <f t="shared" si="162"/>
        <v>0</v>
      </c>
      <c r="I323" s="339">
        <f t="shared" si="162"/>
        <v>1.8000000000002458E-3</v>
      </c>
      <c r="J323" s="339">
        <f t="shared" si="162"/>
        <v>1.8000000000002458E-3</v>
      </c>
      <c r="K323" s="339">
        <f t="shared" si="162"/>
        <v>0</v>
      </c>
      <c r="L323" s="339">
        <f t="shared" si="162"/>
        <v>0</v>
      </c>
      <c r="M323" s="339">
        <f t="shared" si="162"/>
        <v>0</v>
      </c>
      <c r="N323" s="340">
        <f t="shared" si="162"/>
        <v>0</v>
      </c>
      <c r="O323" s="311">
        <f t="shared" si="162"/>
        <v>74.532560220017331</v>
      </c>
      <c r="P323" s="461">
        <f t="shared" si="162"/>
        <v>27.759999999994761</v>
      </c>
      <c r="Q323" s="311">
        <f t="shared" si="162"/>
        <v>13.879999999997381</v>
      </c>
      <c r="R323" s="462"/>
      <c r="S323" s="307" t="s">
        <v>186</v>
      </c>
      <c r="X323" s="74"/>
      <c r="Y323" s="74"/>
    </row>
    <row r="324" spans="1:26" x14ac:dyDescent="0.25">
      <c r="A324" s="125"/>
      <c r="B324" s="7"/>
      <c r="C324" s="125"/>
      <c r="D324" s="125"/>
      <c r="E324" s="125"/>
      <c r="F324" s="125"/>
      <c r="G324" s="483"/>
      <c r="H324" s="483"/>
      <c r="I324" s="536"/>
      <c r="J324" s="536"/>
      <c r="K324" s="484"/>
      <c r="L324" s="484"/>
      <c r="M324" s="484"/>
      <c r="N324" s="485"/>
      <c r="O324" s="483"/>
      <c r="P324" s="486"/>
      <c r="Q324" s="483"/>
      <c r="R324" s="487"/>
      <c r="S324" s="483"/>
      <c r="T324" s="6"/>
      <c r="U324" s="6"/>
      <c r="V324" s="6"/>
    </row>
    <row r="325" spans="1:26" x14ac:dyDescent="0.25">
      <c r="A325" s="394"/>
      <c r="B325" s="321" t="s">
        <v>297</v>
      </c>
      <c r="C325" s="385"/>
      <c r="W325" s="75"/>
      <c r="Y325" s="350"/>
      <c r="Z325" s="75"/>
    </row>
    <row r="326" spans="1:26" x14ac:dyDescent="0.25">
      <c r="A326" s="313" t="s">
        <v>164</v>
      </c>
      <c r="B326" s="308"/>
      <c r="C326" s="322"/>
      <c r="D326" s="319" t="s">
        <v>19</v>
      </c>
      <c r="E326" s="318" t="s">
        <v>59</v>
      </c>
      <c r="F326" s="319" t="s">
        <v>27</v>
      </c>
      <c r="G326" s="320" t="s">
        <v>35</v>
      </c>
      <c r="H326" s="309" t="s">
        <v>36</v>
      </c>
      <c r="I326" s="309" t="s">
        <v>35</v>
      </c>
      <c r="J326" s="320" t="s">
        <v>36</v>
      </c>
      <c r="K326" s="320" t="s">
        <v>39</v>
      </c>
      <c r="L326" s="320" t="s">
        <v>40</v>
      </c>
      <c r="M326" s="320" t="s">
        <v>42</v>
      </c>
      <c r="N326" s="320" t="s">
        <v>2</v>
      </c>
      <c r="O326" s="323" t="s">
        <v>184</v>
      </c>
      <c r="P326" s="332" t="s">
        <v>166</v>
      </c>
      <c r="Q326" s="332" t="s">
        <v>188</v>
      </c>
      <c r="R326" s="310"/>
      <c r="W326" s="75"/>
      <c r="Y326" s="351"/>
      <c r="Z326" s="350"/>
    </row>
    <row r="327" spans="1:26" x14ac:dyDescent="0.25">
      <c r="A327" s="26" t="s">
        <v>28</v>
      </c>
      <c r="B327" s="27" t="s">
        <v>261</v>
      </c>
      <c r="C327" s="62" t="s">
        <v>31</v>
      </c>
      <c r="D327" s="62" t="s">
        <v>30</v>
      </c>
      <c r="E327" s="62" t="s">
        <v>161</v>
      </c>
      <c r="F327" s="262" t="s">
        <v>56</v>
      </c>
      <c r="G327" s="312">
        <v>21740.535800000001</v>
      </c>
      <c r="H327" s="312">
        <v>23870.67</v>
      </c>
      <c r="I327" s="237">
        <v>2.9045000000000001</v>
      </c>
      <c r="J327" s="237">
        <v>2.9045000000000001</v>
      </c>
      <c r="K327" s="312"/>
      <c r="L327" s="312"/>
      <c r="M327" s="312"/>
      <c r="N327" s="312"/>
      <c r="O327" s="245">
        <f t="shared" ref="O327:O328" si="163">G327*I327+H327*J327</f>
        <v>132477.74724610001</v>
      </c>
      <c r="P327" s="243">
        <f>ROUND(37.24%*O327,2)</f>
        <v>49334.71</v>
      </c>
      <c r="Q327" s="243">
        <f t="shared" ref="Q327:Q328" si="164">ROUND(R327*P327,2)</f>
        <v>24667.360000000001</v>
      </c>
      <c r="R327" s="244">
        <v>0.5</v>
      </c>
      <c r="W327" s="74"/>
      <c r="Y327" s="74"/>
    </row>
    <row r="328" spans="1:26" x14ac:dyDescent="0.25">
      <c r="A328" s="326" t="s">
        <v>28</v>
      </c>
      <c r="B328" s="335" t="str">
        <f>B327</f>
        <v>88 GAS -Pisco</v>
      </c>
      <c r="C328" s="336" t="s">
        <v>31</v>
      </c>
      <c r="D328" s="337" t="s">
        <v>190</v>
      </c>
      <c r="E328" s="337"/>
      <c r="F328" s="342" t="str">
        <f>F327</f>
        <v xml:space="preserve"> MM BTU</v>
      </c>
      <c r="G328" s="537">
        <f>+G327</f>
        <v>21740.535800000001</v>
      </c>
      <c r="H328" s="387">
        <f>+H327</f>
        <v>23870.67</v>
      </c>
      <c r="I328" s="328">
        <v>2.7416</v>
      </c>
      <c r="J328" s="328">
        <v>2.7416</v>
      </c>
      <c r="K328" s="328"/>
      <c r="L328" s="328"/>
      <c r="M328" s="328"/>
      <c r="N328" s="327"/>
      <c r="O328" s="327">
        <f t="shared" si="163"/>
        <v>125047.68182128001</v>
      </c>
      <c r="P328" s="327">
        <f>ROUND(37.24%*O328,2)</f>
        <v>46567.76</v>
      </c>
      <c r="Q328" s="327">
        <f t="shared" si="164"/>
        <v>23283.88</v>
      </c>
      <c r="R328" s="199">
        <v>0.5</v>
      </c>
      <c r="W328" s="74"/>
      <c r="Y328" s="74"/>
      <c r="Z328" s="74"/>
    </row>
    <row r="329" spans="1:26" x14ac:dyDescent="0.25">
      <c r="A329" s="329"/>
      <c r="B329" s="338" t="s">
        <v>185</v>
      </c>
      <c r="C329" s="100"/>
      <c r="D329" s="210"/>
      <c r="E329" s="210"/>
      <c r="F329" s="329"/>
      <c r="G329" s="311">
        <f t="shared" ref="G329:Q329" si="165">G328-G327</f>
        <v>0</v>
      </c>
      <c r="H329" s="388">
        <f t="shared" si="165"/>
        <v>0</v>
      </c>
      <c r="I329" s="339">
        <f t="shared" si="165"/>
        <v>-0.16290000000000004</v>
      </c>
      <c r="J329" s="339">
        <f t="shared" si="165"/>
        <v>-0.16290000000000004</v>
      </c>
      <c r="K329" s="339">
        <f t="shared" si="165"/>
        <v>0</v>
      </c>
      <c r="L329" s="339">
        <f t="shared" si="165"/>
        <v>0</v>
      </c>
      <c r="M329" s="339">
        <f t="shared" si="165"/>
        <v>0</v>
      </c>
      <c r="N329" s="340">
        <f t="shared" si="165"/>
        <v>0</v>
      </c>
      <c r="O329" s="311">
        <f t="shared" si="165"/>
        <v>-7430.0654248200008</v>
      </c>
      <c r="P329" s="461">
        <f t="shared" si="165"/>
        <v>-2766.9499999999971</v>
      </c>
      <c r="Q329" s="311">
        <f t="shared" si="165"/>
        <v>-1383.4799999999996</v>
      </c>
      <c r="R329" s="462"/>
      <c r="S329" s="307" t="s">
        <v>186</v>
      </c>
      <c r="X329" s="74"/>
      <c r="Y329" s="74"/>
    </row>
    <row r="330" spans="1:26" x14ac:dyDescent="0.25">
      <c r="A330" s="125"/>
      <c r="B330" s="7"/>
      <c r="C330" s="125"/>
      <c r="D330" s="125"/>
      <c r="E330" s="125"/>
      <c r="F330" s="125"/>
      <c r="G330" s="483"/>
      <c r="H330" s="483"/>
      <c r="I330" s="536"/>
      <c r="J330" s="536"/>
      <c r="K330" s="484"/>
      <c r="L330" s="484"/>
      <c r="M330" s="484"/>
      <c r="N330" s="485"/>
      <c r="O330" s="483"/>
      <c r="P330" s="486"/>
      <c r="Q330" s="483"/>
      <c r="R330" s="487"/>
      <c r="S330" s="483"/>
      <c r="T330" s="6"/>
      <c r="U330" s="6"/>
      <c r="V330" s="6"/>
    </row>
    <row r="331" spans="1:26" x14ac:dyDescent="0.25">
      <c r="A331" s="394"/>
      <c r="B331" s="321" t="s">
        <v>298</v>
      </c>
      <c r="C331" s="385"/>
      <c r="W331" s="75"/>
      <c r="Y331" s="350"/>
      <c r="Z331" s="75"/>
    </row>
    <row r="332" spans="1:26" x14ac:dyDescent="0.25">
      <c r="A332" s="313" t="s">
        <v>164</v>
      </c>
      <c r="B332" s="308"/>
      <c r="C332" s="322"/>
      <c r="D332" s="319" t="s">
        <v>19</v>
      </c>
      <c r="E332" s="318" t="s">
        <v>59</v>
      </c>
      <c r="F332" s="319" t="s">
        <v>27</v>
      </c>
      <c r="G332" s="320" t="s">
        <v>35</v>
      </c>
      <c r="H332" s="309" t="s">
        <v>36</v>
      </c>
      <c r="I332" s="309" t="s">
        <v>35</v>
      </c>
      <c r="J332" s="320" t="s">
        <v>36</v>
      </c>
      <c r="K332" s="320" t="s">
        <v>39</v>
      </c>
      <c r="L332" s="320" t="s">
        <v>40</v>
      </c>
      <c r="M332" s="320" t="s">
        <v>42</v>
      </c>
      <c r="N332" s="320" t="s">
        <v>2</v>
      </c>
      <c r="O332" s="323" t="s">
        <v>184</v>
      </c>
      <c r="P332" s="332" t="s">
        <v>166</v>
      </c>
      <c r="Q332" s="332" t="s">
        <v>188</v>
      </c>
      <c r="R332" s="310"/>
      <c r="W332" s="75"/>
      <c r="Y332" s="351"/>
      <c r="Z332" s="350"/>
    </row>
    <row r="333" spans="1:26" x14ac:dyDescent="0.25">
      <c r="A333" s="26" t="s">
        <v>28</v>
      </c>
      <c r="B333" s="27" t="s">
        <v>261</v>
      </c>
      <c r="C333" s="62" t="s">
        <v>31</v>
      </c>
      <c r="D333" s="62" t="s">
        <v>30</v>
      </c>
      <c r="E333" s="62" t="s">
        <v>161</v>
      </c>
      <c r="F333" s="262" t="s">
        <v>56</v>
      </c>
      <c r="G333" s="312">
        <v>21161.37</v>
      </c>
      <c r="H333" s="312">
        <v>19015.93</v>
      </c>
      <c r="I333" s="237">
        <v>2.7404000000000002</v>
      </c>
      <c r="J333" s="237">
        <v>2.7404000000000002</v>
      </c>
      <c r="K333" s="312"/>
      <c r="L333" s="312"/>
      <c r="M333" s="312"/>
      <c r="N333" s="312"/>
      <c r="O333" s="245">
        <f t="shared" ref="O333:O334" si="166">G333*I333+H333*J333</f>
        <v>110101.87292000001</v>
      </c>
      <c r="P333" s="243">
        <f>ROUND(37.24%*O333,2)</f>
        <v>41001.94</v>
      </c>
      <c r="Q333" s="243">
        <f t="shared" ref="Q333:Q334" si="167">ROUND(R333*P333,2)</f>
        <v>20500.97</v>
      </c>
      <c r="R333" s="244">
        <v>0.5</v>
      </c>
      <c r="W333" s="74"/>
      <c r="Y333" s="74"/>
    </row>
    <row r="334" spans="1:26" x14ac:dyDescent="0.25">
      <c r="A334" s="326" t="s">
        <v>28</v>
      </c>
      <c r="B334" s="335" t="str">
        <f>B333</f>
        <v>88 GAS -Pisco</v>
      </c>
      <c r="C334" s="336" t="s">
        <v>31</v>
      </c>
      <c r="D334" s="337" t="s">
        <v>190</v>
      </c>
      <c r="E334" s="337"/>
      <c r="F334" s="342" t="str">
        <f>F333</f>
        <v xml:space="preserve"> MM BTU</v>
      </c>
      <c r="G334" s="537">
        <f>+G333</f>
        <v>21161.37</v>
      </c>
      <c r="H334" s="387">
        <f>+H333</f>
        <v>19015.93</v>
      </c>
      <c r="I334" s="328">
        <v>2.7776999999999998</v>
      </c>
      <c r="J334" s="328">
        <v>2.7776999999999998</v>
      </c>
      <c r="K334" s="328"/>
      <c r="L334" s="328"/>
      <c r="M334" s="328"/>
      <c r="N334" s="327"/>
      <c r="O334" s="327">
        <f t="shared" si="166"/>
        <v>111600.48621</v>
      </c>
      <c r="P334" s="327">
        <f>ROUND(37.24%*O334,2)</f>
        <v>41560.019999999997</v>
      </c>
      <c r="Q334" s="327">
        <f t="shared" si="167"/>
        <v>20780.009999999998</v>
      </c>
      <c r="R334" s="199">
        <v>0.5</v>
      </c>
      <c r="W334" s="74"/>
      <c r="Y334" s="74"/>
      <c r="Z334" s="74"/>
    </row>
    <row r="335" spans="1:26" x14ac:dyDescent="0.25">
      <c r="A335" s="329"/>
      <c r="B335" s="338" t="s">
        <v>185</v>
      </c>
      <c r="C335" s="100"/>
      <c r="D335" s="210"/>
      <c r="E335" s="210"/>
      <c r="F335" s="329"/>
      <c r="G335" s="311">
        <f t="shared" ref="G335:Q335" si="168">G334-G333</f>
        <v>0</v>
      </c>
      <c r="H335" s="388">
        <f t="shared" si="168"/>
        <v>0</v>
      </c>
      <c r="I335" s="339">
        <f t="shared" si="168"/>
        <v>3.7299999999999667E-2</v>
      </c>
      <c r="J335" s="339">
        <f t="shared" si="168"/>
        <v>3.7299999999999667E-2</v>
      </c>
      <c r="K335" s="339">
        <f t="shared" si="168"/>
        <v>0</v>
      </c>
      <c r="L335" s="339">
        <f t="shared" si="168"/>
        <v>0</v>
      </c>
      <c r="M335" s="339">
        <f t="shared" si="168"/>
        <v>0</v>
      </c>
      <c r="N335" s="340">
        <f t="shared" si="168"/>
        <v>0</v>
      </c>
      <c r="O335" s="311">
        <f t="shared" si="168"/>
        <v>1498.6132899999939</v>
      </c>
      <c r="P335" s="461">
        <f t="shared" si="168"/>
        <v>558.07999999999447</v>
      </c>
      <c r="Q335" s="311">
        <f t="shared" si="168"/>
        <v>279.03999999999724</v>
      </c>
      <c r="R335" s="462"/>
      <c r="S335" s="307" t="s">
        <v>186</v>
      </c>
      <c r="X335" s="74"/>
      <c r="Y335" s="74"/>
    </row>
    <row r="336" spans="1:26" x14ac:dyDescent="0.25">
      <c r="A336" s="125"/>
      <c r="B336" s="7"/>
      <c r="C336" s="125"/>
      <c r="D336" s="125"/>
      <c r="E336" s="125"/>
      <c r="F336" s="125"/>
      <c r="G336" s="483"/>
      <c r="H336" s="483"/>
      <c r="I336" s="536"/>
      <c r="J336" s="536"/>
      <c r="K336" s="484"/>
      <c r="L336" s="484"/>
      <c r="M336" s="484"/>
      <c r="N336" s="485"/>
      <c r="O336" s="483"/>
      <c r="P336" s="486"/>
      <c r="Q336" s="483"/>
      <c r="R336" s="487"/>
      <c r="S336" s="483"/>
      <c r="T336" s="6"/>
      <c r="U336" s="6"/>
      <c r="V336" s="6"/>
    </row>
    <row r="337" spans="1:26" x14ac:dyDescent="0.25">
      <c r="A337" s="394"/>
      <c r="B337" s="321" t="s">
        <v>299</v>
      </c>
      <c r="C337" s="385"/>
      <c r="W337" s="75"/>
      <c r="Y337" s="350"/>
      <c r="Z337" s="75"/>
    </row>
    <row r="338" spans="1:26" x14ac:dyDescent="0.25">
      <c r="A338" s="313" t="s">
        <v>164</v>
      </c>
      <c r="B338" s="308"/>
      <c r="C338" s="322"/>
      <c r="D338" s="319" t="s">
        <v>19</v>
      </c>
      <c r="E338" s="318" t="s">
        <v>59</v>
      </c>
      <c r="F338" s="319" t="s">
        <v>27</v>
      </c>
      <c r="G338" s="320" t="s">
        <v>35</v>
      </c>
      <c r="H338" s="309" t="s">
        <v>36</v>
      </c>
      <c r="I338" s="309" t="s">
        <v>35</v>
      </c>
      <c r="J338" s="320" t="s">
        <v>36</v>
      </c>
      <c r="K338" s="320" t="s">
        <v>39</v>
      </c>
      <c r="L338" s="320" t="s">
        <v>40</v>
      </c>
      <c r="M338" s="320" t="s">
        <v>42</v>
      </c>
      <c r="N338" s="320" t="s">
        <v>2</v>
      </c>
      <c r="O338" s="323" t="s">
        <v>184</v>
      </c>
      <c r="P338" s="332" t="s">
        <v>166</v>
      </c>
      <c r="Q338" s="332" t="s">
        <v>188</v>
      </c>
      <c r="R338" s="310"/>
      <c r="W338" s="75"/>
      <c r="Y338" s="351"/>
      <c r="Z338" s="350"/>
    </row>
    <row r="339" spans="1:26" x14ac:dyDescent="0.25">
      <c r="A339" s="26" t="s">
        <v>28</v>
      </c>
      <c r="B339" s="27" t="s">
        <v>261</v>
      </c>
      <c r="C339" s="62" t="s">
        <v>31</v>
      </c>
      <c r="D339" s="62" t="s">
        <v>30</v>
      </c>
      <c r="E339" s="62" t="s">
        <v>161</v>
      </c>
      <c r="F339" s="262" t="s">
        <v>56</v>
      </c>
      <c r="G339" s="312">
        <v>24645.119999999999</v>
      </c>
      <c r="H339" s="312">
        <v>19268.77</v>
      </c>
      <c r="I339" s="237">
        <v>2.7789999999999999</v>
      </c>
      <c r="J339" s="237">
        <v>2.7789999999999999</v>
      </c>
      <c r="K339" s="312"/>
      <c r="L339" s="312"/>
      <c r="M339" s="312"/>
      <c r="N339" s="312"/>
      <c r="O339" s="245">
        <f t="shared" ref="O339:O340" si="169">G339*I339+H339*J339</f>
        <v>122036.70030999999</v>
      </c>
      <c r="P339" s="243">
        <f>ROUND(37.24%*O339,2)</f>
        <v>45446.47</v>
      </c>
      <c r="Q339" s="243">
        <f t="shared" ref="Q339:Q340" si="170">ROUND(R339*P339,2)</f>
        <v>22723.24</v>
      </c>
      <c r="R339" s="244">
        <v>0.5</v>
      </c>
      <c r="W339" s="74"/>
      <c r="Y339" s="74"/>
    </row>
    <row r="340" spans="1:26" x14ac:dyDescent="0.25">
      <c r="A340" s="326" t="s">
        <v>28</v>
      </c>
      <c r="B340" s="335" t="str">
        <f>B339</f>
        <v>88 GAS -Pisco</v>
      </c>
      <c r="C340" s="336" t="s">
        <v>31</v>
      </c>
      <c r="D340" s="337" t="s">
        <v>190</v>
      </c>
      <c r="E340" s="337"/>
      <c r="F340" s="342" t="str">
        <f>F339</f>
        <v xml:space="preserve"> MM BTU</v>
      </c>
      <c r="G340" s="537">
        <f>+G339</f>
        <v>24645.119999999999</v>
      </c>
      <c r="H340" s="387">
        <f>+H339</f>
        <v>19268.77</v>
      </c>
      <c r="I340" s="328">
        <v>2.7776000000000001</v>
      </c>
      <c r="J340" s="328">
        <v>2.7776000000000001</v>
      </c>
      <c r="K340" s="328"/>
      <c r="L340" s="328"/>
      <c r="M340" s="328"/>
      <c r="N340" s="327"/>
      <c r="O340" s="327">
        <f t="shared" si="169"/>
        <v>121975.220864</v>
      </c>
      <c r="P340" s="327">
        <f>ROUND(37.24%*O340,2)</f>
        <v>45423.57</v>
      </c>
      <c r="Q340" s="327">
        <f t="shared" si="170"/>
        <v>22711.79</v>
      </c>
      <c r="R340" s="199">
        <v>0.5</v>
      </c>
      <c r="W340" s="74"/>
      <c r="Y340" s="74"/>
      <c r="Z340" s="74"/>
    </row>
    <row r="341" spans="1:26" x14ac:dyDescent="0.25">
      <c r="A341" s="329"/>
      <c r="B341" s="338" t="s">
        <v>185</v>
      </c>
      <c r="C341" s="100"/>
      <c r="D341" s="210"/>
      <c r="E341" s="210"/>
      <c r="F341" s="329"/>
      <c r="G341" s="311">
        <f t="shared" ref="G341:Q341" si="171">G340-G339</f>
        <v>0</v>
      </c>
      <c r="H341" s="388">
        <f t="shared" si="171"/>
        <v>0</v>
      </c>
      <c r="I341" s="339">
        <f t="shared" si="171"/>
        <v>-1.3999999999998458E-3</v>
      </c>
      <c r="J341" s="339">
        <f t="shared" si="171"/>
        <v>-1.3999999999998458E-3</v>
      </c>
      <c r="K341" s="339">
        <f t="shared" si="171"/>
        <v>0</v>
      </c>
      <c r="L341" s="339">
        <f t="shared" si="171"/>
        <v>0</v>
      </c>
      <c r="M341" s="339">
        <f t="shared" si="171"/>
        <v>0</v>
      </c>
      <c r="N341" s="340">
        <f t="shared" si="171"/>
        <v>0</v>
      </c>
      <c r="O341" s="311">
        <f t="shared" si="171"/>
        <v>-61.479445999983</v>
      </c>
      <c r="P341" s="461">
        <f t="shared" si="171"/>
        <v>-22.900000000001455</v>
      </c>
      <c r="Q341" s="311">
        <f t="shared" si="171"/>
        <v>-11.450000000000728</v>
      </c>
      <c r="R341" s="462"/>
      <c r="S341" s="307" t="s">
        <v>186</v>
      </c>
      <c r="X341" s="74"/>
      <c r="Y341" s="74"/>
    </row>
    <row r="342" spans="1:26" x14ac:dyDescent="0.25">
      <c r="A342" s="125"/>
      <c r="B342" s="7"/>
      <c r="C342" s="125"/>
      <c r="D342" s="125"/>
      <c r="E342" s="125"/>
      <c r="F342" s="125"/>
      <c r="G342" s="483"/>
      <c r="H342" s="483"/>
      <c r="I342" s="536"/>
      <c r="J342" s="536"/>
      <c r="K342" s="484"/>
      <c r="L342" s="484"/>
      <c r="M342" s="484"/>
      <c r="N342" s="485"/>
      <c r="O342" s="483"/>
      <c r="P342" s="486"/>
      <c r="Q342" s="483"/>
      <c r="R342" s="487"/>
      <c r="S342" s="483"/>
      <c r="T342" s="6"/>
      <c r="U342" s="6"/>
      <c r="V342" s="6"/>
    </row>
    <row r="343" spans="1:26" x14ac:dyDescent="0.25">
      <c r="A343" s="394"/>
      <c r="B343" s="321" t="s">
        <v>300</v>
      </c>
      <c r="C343" s="385"/>
      <c r="W343" s="75"/>
      <c r="Y343" s="350"/>
      <c r="Z343" s="75"/>
    </row>
    <row r="344" spans="1:26" x14ac:dyDescent="0.25">
      <c r="A344" s="313" t="s">
        <v>164</v>
      </c>
      <c r="B344" s="308"/>
      <c r="C344" s="322"/>
      <c r="D344" s="319" t="s">
        <v>19</v>
      </c>
      <c r="E344" s="318" t="s">
        <v>59</v>
      </c>
      <c r="F344" s="319" t="s">
        <v>27</v>
      </c>
      <c r="G344" s="320" t="s">
        <v>35</v>
      </c>
      <c r="H344" s="309" t="s">
        <v>36</v>
      </c>
      <c r="I344" s="309" t="s">
        <v>35</v>
      </c>
      <c r="J344" s="320" t="s">
        <v>36</v>
      </c>
      <c r="K344" s="320" t="s">
        <v>39</v>
      </c>
      <c r="L344" s="320" t="s">
        <v>40</v>
      </c>
      <c r="M344" s="320" t="s">
        <v>42</v>
      </c>
      <c r="N344" s="320" t="s">
        <v>2</v>
      </c>
      <c r="O344" s="323" t="s">
        <v>184</v>
      </c>
      <c r="P344" s="332" t="s">
        <v>166</v>
      </c>
      <c r="Q344" s="332" t="s">
        <v>188</v>
      </c>
      <c r="R344" s="310"/>
      <c r="W344" s="75"/>
      <c r="Y344" s="351"/>
      <c r="Z344" s="350"/>
    </row>
    <row r="345" spans="1:26" x14ac:dyDescent="0.25">
      <c r="A345" s="26" t="s">
        <v>28</v>
      </c>
      <c r="B345" s="27" t="s">
        <v>261</v>
      </c>
      <c r="C345" s="62" t="s">
        <v>31</v>
      </c>
      <c r="D345" s="62" t="s">
        <v>30</v>
      </c>
      <c r="E345" s="62" t="s">
        <v>161</v>
      </c>
      <c r="F345" s="262" t="s">
        <v>56</v>
      </c>
      <c r="G345" s="312">
        <v>22059.93</v>
      </c>
      <c r="H345" s="312">
        <v>18955.97</v>
      </c>
      <c r="I345" s="237">
        <v>2.7774000000000001</v>
      </c>
      <c r="J345" s="237">
        <v>2.7774000000000001</v>
      </c>
      <c r="K345" s="312"/>
      <c r="L345" s="312"/>
      <c r="M345" s="312"/>
      <c r="N345" s="312"/>
      <c r="O345" s="245">
        <f t="shared" ref="O345:O346" si="172">G345*I345+H345*J345</f>
        <v>113917.56066000002</v>
      </c>
      <c r="P345" s="243">
        <f>ROUND(37.24%*O345,2)</f>
        <v>42422.9</v>
      </c>
      <c r="Q345" s="243">
        <f t="shared" ref="Q345:Q346" si="173">ROUND(R345*P345,2)</f>
        <v>21211.45</v>
      </c>
      <c r="R345" s="244">
        <v>0.5</v>
      </c>
      <c r="W345" s="74"/>
      <c r="Y345" s="74"/>
    </row>
    <row r="346" spans="1:26" x14ac:dyDescent="0.25">
      <c r="A346" s="326" t="s">
        <v>28</v>
      </c>
      <c r="B346" s="335" t="str">
        <f>B345</f>
        <v>88 GAS -Pisco</v>
      </c>
      <c r="C346" s="336" t="s">
        <v>31</v>
      </c>
      <c r="D346" s="337" t="s">
        <v>190</v>
      </c>
      <c r="E346" s="337"/>
      <c r="F346" s="342" t="str">
        <f>F345</f>
        <v xml:space="preserve"> MM BTU</v>
      </c>
      <c r="G346" s="537">
        <f>+G345</f>
        <v>22059.93</v>
      </c>
      <c r="H346" s="387">
        <f>+H345</f>
        <v>18955.97</v>
      </c>
      <c r="I346" s="328">
        <v>2.7519</v>
      </c>
      <c r="J346" s="328">
        <v>2.7519</v>
      </c>
      <c r="K346" s="328"/>
      <c r="L346" s="328"/>
      <c r="M346" s="328"/>
      <c r="N346" s="327"/>
      <c r="O346" s="327">
        <f t="shared" si="172"/>
        <v>112871.65521</v>
      </c>
      <c r="P346" s="327">
        <f>ROUND(37.24%*O346,2)</f>
        <v>42033.4</v>
      </c>
      <c r="Q346" s="327">
        <f t="shared" si="173"/>
        <v>21016.7</v>
      </c>
      <c r="R346" s="199">
        <v>0.5</v>
      </c>
      <c r="W346" s="74"/>
      <c r="Y346" s="74"/>
      <c r="Z346" s="74"/>
    </row>
    <row r="347" spans="1:26" x14ac:dyDescent="0.25">
      <c r="A347" s="329"/>
      <c r="B347" s="338" t="s">
        <v>185</v>
      </c>
      <c r="C347" s="100"/>
      <c r="D347" s="210"/>
      <c r="E347" s="210"/>
      <c r="F347" s="329"/>
      <c r="G347" s="311">
        <f t="shared" ref="G347:Q347" si="174">G346-G345</f>
        <v>0</v>
      </c>
      <c r="H347" s="388">
        <f t="shared" si="174"/>
        <v>0</v>
      </c>
      <c r="I347" s="339">
        <f t="shared" si="174"/>
        <v>-2.5500000000000078E-2</v>
      </c>
      <c r="J347" s="339">
        <f t="shared" si="174"/>
        <v>-2.5500000000000078E-2</v>
      </c>
      <c r="K347" s="339">
        <f t="shared" si="174"/>
        <v>0</v>
      </c>
      <c r="L347" s="339">
        <f t="shared" si="174"/>
        <v>0</v>
      </c>
      <c r="M347" s="339">
        <f t="shared" si="174"/>
        <v>0</v>
      </c>
      <c r="N347" s="340">
        <f t="shared" si="174"/>
        <v>0</v>
      </c>
      <c r="O347" s="311">
        <f t="shared" si="174"/>
        <v>-1045.9054500000202</v>
      </c>
      <c r="P347" s="461">
        <f t="shared" si="174"/>
        <v>-389.5</v>
      </c>
      <c r="Q347" s="311">
        <f t="shared" si="174"/>
        <v>-194.75</v>
      </c>
      <c r="R347" s="462"/>
      <c r="S347" s="307" t="s">
        <v>186</v>
      </c>
      <c r="X347" s="74"/>
      <c r="Y347" s="74"/>
    </row>
    <row r="348" spans="1:26" x14ac:dyDescent="0.25">
      <c r="A348" s="125"/>
      <c r="B348" s="7"/>
      <c r="C348" s="125"/>
      <c r="D348" s="125"/>
      <c r="E348" s="125"/>
      <c r="F348" s="125"/>
      <c r="G348" s="483"/>
      <c r="H348" s="483"/>
      <c r="I348" s="536"/>
      <c r="J348" s="536"/>
      <c r="K348" s="484"/>
      <c r="L348" s="484"/>
      <c r="M348" s="484"/>
      <c r="N348" s="485"/>
      <c r="O348" s="483"/>
      <c r="P348" s="486"/>
      <c r="Q348" s="483"/>
      <c r="R348" s="487"/>
      <c r="S348" s="483"/>
      <c r="T348" s="6"/>
      <c r="U348" s="6"/>
      <c r="V348" s="6"/>
    </row>
    <row r="349" spans="1:26" x14ac:dyDescent="0.25">
      <c r="A349" s="394"/>
      <c r="B349" s="321" t="s">
        <v>301</v>
      </c>
      <c r="C349" s="385"/>
      <c r="W349" s="75"/>
      <c r="Y349" s="350"/>
      <c r="Z349" s="75"/>
    </row>
    <row r="350" spans="1:26" x14ac:dyDescent="0.25">
      <c r="A350" s="313" t="s">
        <v>164</v>
      </c>
      <c r="B350" s="308"/>
      <c r="C350" s="322"/>
      <c r="D350" s="319" t="s">
        <v>19</v>
      </c>
      <c r="E350" s="318" t="s">
        <v>59</v>
      </c>
      <c r="F350" s="319" t="s">
        <v>27</v>
      </c>
      <c r="G350" s="320" t="s">
        <v>35</v>
      </c>
      <c r="H350" s="309" t="s">
        <v>36</v>
      </c>
      <c r="I350" s="309" t="s">
        <v>35</v>
      </c>
      <c r="J350" s="320" t="s">
        <v>36</v>
      </c>
      <c r="K350" s="320" t="s">
        <v>39</v>
      </c>
      <c r="L350" s="320" t="s">
        <v>40</v>
      </c>
      <c r="M350" s="320" t="s">
        <v>42</v>
      </c>
      <c r="N350" s="320" t="s">
        <v>2</v>
      </c>
      <c r="O350" s="323" t="s">
        <v>184</v>
      </c>
      <c r="P350" s="332" t="s">
        <v>166</v>
      </c>
      <c r="Q350" s="332" t="s">
        <v>188</v>
      </c>
      <c r="R350" s="310"/>
      <c r="W350" s="75"/>
      <c r="Y350" s="351"/>
      <c r="Z350" s="350"/>
    </row>
    <row r="351" spans="1:26" x14ac:dyDescent="0.25">
      <c r="A351" s="26" t="s">
        <v>28</v>
      </c>
      <c r="B351" s="27" t="s">
        <v>261</v>
      </c>
      <c r="C351" s="62" t="s">
        <v>31</v>
      </c>
      <c r="D351" s="62" t="s">
        <v>30</v>
      </c>
      <c r="E351" s="62" t="s">
        <v>161</v>
      </c>
      <c r="F351" s="262" t="s">
        <v>56</v>
      </c>
      <c r="G351" s="312">
        <v>23375.038799999998</v>
      </c>
      <c r="H351" s="312">
        <v>17210.830000000002</v>
      </c>
      <c r="I351" s="237">
        <v>2.7538999999999998</v>
      </c>
      <c r="J351" s="237">
        <v>2.7538999999999998</v>
      </c>
      <c r="K351" s="312"/>
      <c r="L351" s="312"/>
      <c r="M351" s="312"/>
      <c r="N351" s="312"/>
      <c r="O351" s="245">
        <f t="shared" ref="O351:O352" si="175">G351*I351+H351*J351</f>
        <v>111769.42408832</v>
      </c>
      <c r="P351" s="243">
        <f>ROUND(37.24%*O351,2)</f>
        <v>41622.93</v>
      </c>
      <c r="Q351" s="243">
        <f t="shared" ref="Q351:Q352" si="176">ROUND(R351*P351,2)</f>
        <v>20811.47</v>
      </c>
      <c r="R351" s="244">
        <v>0.5</v>
      </c>
      <c r="W351" s="74"/>
      <c r="Y351" s="74"/>
    </row>
    <row r="352" spans="1:26" x14ac:dyDescent="0.25">
      <c r="A352" s="326" t="s">
        <v>28</v>
      </c>
      <c r="B352" s="335" t="str">
        <f>B351</f>
        <v>88 GAS -Pisco</v>
      </c>
      <c r="C352" s="336" t="s">
        <v>31</v>
      </c>
      <c r="D352" s="337" t="s">
        <v>190</v>
      </c>
      <c r="E352" s="337"/>
      <c r="F352" s="342" t="str">
        <f>F351</f>
        <v xml:space="preserve"> MM BTU</v>
      </c>
      <c r="G352" s="537">
        <f>+G351</f>
        <v>23375.038799999998</v>
      </c>
      <c r="H352" s="387">
        <f>+H351</f>
        <v>17210.830000000002</v>
      </c>
      <c r="I352" s="328">
        <v>2.6956000000000002</v>
      </c>
      <c r="J352" s="328">
        <v>2.6956000000000002</v>
      </c>
      <c r="K352" s="328"/>
      <c r="L352" s="328"/>
      <c r="M352" s="328"/>
      <c r="N352" s="327"/>
      <c r="O352" s="327">
        <f t="shared" si="175"/>
        <v>109403.26793728</v>
      </c>
      <c r="P352" s="327">
        <f>ROUND(37.24%*O352,2)</f>
        <v>40741.78</v>
      </c>
      <c r="Q352" s="327">
        <f t="shared" si="176"/>
        <v>20370.89</v>
      </c>
      <c r="R352" s="199">
        <v>0.5</v>
      </c>
      <c r="W352" s="74"/>
      <c r="Y352" s="74"/>
      <c r="Z352" s="74"/>
    </row>
    <row r="353" spans="1:26" x14ac:dyDescent="0.25">
      <c r="A353" s="329"/>
      <c r="B353" s="338" t="s">
        <v>185</v>
      </c>
      <c r="C353" s="100"/>
      <c r="D353" s="210"/>
      <c r="E353" s="210"/>
      <c r="F353" s="329"/>
      <c r="G353" s="311">
        <f t="shared" ref="G353:Q353" si="177">G352-G351</f>
        <v>0</v>
      </c>
      <c r="H353" s="388">
        <f t="shared" si="177"/>
        <v>0</v>
      </c>
      <c r="I353" s="339">
        <f t="shared" si="177"/>
        <v>-5.8299999999999574E-2</v>
      </c>
      <c r="J353" s="339">
        <f t="shared" si="177"/>
        <v>-5.8299999999999574E-2</v>
      </c>
      <c r="K353" s="339">
        <f t="shared" si="177"/>
        <v>0</v>
      </c>
      <c r="L353" s="339">
        <f t="shared" si="177"/>
        <v>0</v>
      </c>
      <c r="M353" s="339">
        <f t="shared" si="177"/>
        <v>0</v>
      </c>
      <c r="N353" s="340">
        <f t="shared" si="177"/>
        <v>0</v>
      </c>
      <c r="O353" s="311">
        <f t="shared" si="177"/>
        <v>-2366.1561510399915</v>
      </c>
      <c r="P353" s="461">
        <f t="shared" si="177"/>
        <v>-881.15000000000146</v>
      </c>
      <c r="Q353" s="311">
        <f t="shared" si="177"/>
        <v>-440.58000000000175</v>
      </c>
      <c r="R353" s="462"/>
      <c r="S353" s="307" t="s">
        <v>186</v>
      </c>
      <c r="X353" s="74"/>
      <c r="Y353" s="74"/>
    </row>
    <row r="354" spans="1:26" x14ac:dyDescent="0.25">
      <c r="A354" s="125"/>
      <c r="B354" s="7"/>
      <c r="C354" s="125"/>
      <c r="D354" s="125"/>
      <c r="E354" s="125"/>
      <c r="F354" s="125"/>
      <c r="G354" s="483"/>
      <c r="H354" s="483"/>
      <c r="I354" s="536"/>
      <c r="J354" s="536"/>
      <c r="K354" s="484"/>
      <c r="L354" s="484"/>
      <c r="M354" s="484"/>
      <c r="N354" s="485"/>
      <c r="O354" s="483"/>
      <c r="P354" s="486"/>
      <c r="Q354" s="483"/>
      <c r="R354" s="487"/>
      <c r="S354" s="483"/>
      <c r="T354" s="6"/>
      <c r="U354" s="6"/>
      <c r="V354" s="6"/>
    </row>
    <row r="355" spans="1:26" x14ac:dyDescent="0.25">
      <c r="A355" s="394"/>
      <c r="B355" s="321" t="s">
        <v>302</v>
      </c>
      <c r="C355" s="385"/>
      <c r="W355" s="75"/>
      <c r="Y355" s="350"/>
      <c r="Z355" s="75"/>
    </row>
    <row r="356" spans="1:26" x14ac:dyDescent="0.25">
      <c r="A356" s="313" t="s">
        <v>164</v>
      </c>
      <c r="B356" s="308"/>
      <c r="C356" s="322"/>
      <c r="D356" s="319" t="s">
        <v>19</v>
      </c>
      <c r="E356" s="318" t="s">
        <v>59</v>
      </c>
      <c r="F356" s="319" t="s">
        <v>27</v>
      </c>
      <c r="G356" s="320" t="s">
        <v>35</v>
      </c>
      <c r="H356" s="309" t="s">
        <v>36</v>
      </c>
      <c r="I356" s="309" t="s">
        <v>35</v>
      </c>
      <c r="J356" s="320" t="s">
        <v>36</v>
      </c>
      <c r="K356" s="320" t="s">
        <v>39</v>
      </c>
      <c r="L356" s="320" t="s">
        <v>40</v>
      </c>
      <c r="M356" s="320" t="s">
        <v>42</v>
      </c>
      <c r="N356" s="320" t="s">
        <v>2</v>
      </c>
      <c r="O356" s="323" t="s">
        <v>184</v>
      </c>
      <c r="P356" s="332" t="s">
        <v>166</v>
      </c>
      <c r="Q356" s="332" t="s">
        <v>188</v>
      </c>
      <c r="R356" s="310"/>
      <c r="W356" s="75"/>
      <c r="Y356" s="351"/>
      <c r="Z356" s="350"/>
    </row>
    <row r="357" spans="1:26" x14ac:dyDescent="0.25">
      <c r="A357" s="26" t="s">
        <v>28</v>
      </c>
      <c r="B357" s="27" t="s">
        <v>261</v>
      </c>
      <c r="C357" s="62" t="s">
        <v>31</v>
      </c>
      <c r="D357" s="62" t="s">
        <v>30</v>
      </c>
      <c r="E357" s="62" t="s">
        <v>161</v>
      </c>
      <c r="F357" s="262" t="s">
        <v>56</v>
      </c>
      <c r="G357" s="312">
        <v>18906.919999999998</v>
      </c>
      <c r="H357" s="312">
        <v>23031.4</v>
      </c>
      <c r="I357" s="237">
        <v>2.6966000000000001</v>
      </c>
      <c r="J357" s="237">
        <v>2.6966000000000001</v>
      </c>
      <c r="K357" s="312"/>
      <c r="L357" s="312"/>
      <c r="M357" s="312"/>
      <c r="N357" s="312"/>
      <c r="O357" s="245">
        <f t="shared" ref="O357:O358" si="178">G357*I357+H357*J357</f>
        <v>113090.873712</v>
      </c>
      <c r="P357" s="243">
        <f>ROUND(37.24%*O357,2)</f>
        <v>42115.040000000001</v>
      </c>
      <c r="Q357" s="243">
        <f t="shared" ref="Q357:Q358" si="179">ROUND(R357*P357,2)</f>
        <v>21057.52</v>
      </c>
      <c r="R357" s="244">
        <v>0.5</v>
      </c>
      <c r="W357" s="74"/>
      <c r="Y357" s="74"/>
    </row>
    <row r="358" spans="1:26" x14ac:dyDescent="0.25">
      <c r="A358" s="326" t="s">
        <v>28</v>
      </c>
      <c r="B358" s="335" t="str">
        <f>B357</f>
        <v>88 GAS -Pisco</v>
      </c>
      <c r="C358" s="336" t="s">
        <v>31</v>
      </c>
      <c r="D358" s="337" t="s">
        <v>190</v>
      </c>
      <c r="E358" s="337"/>
      <c r="F358" s="342" t="str">
        <f>F357</f>
        <v xml:space="preserve"> MM BTU</v>
      </c>
      <c r="G358" s="537">
        <f>+G357</f>
        <v>18906.919999999998</v>
      </c>
      <c r="H358" s="387">
        <f>+H357</f>
        <v>23031.4</v>
      </c>
      <c r="I358" s="328">
        <v>2.7118000000000002</v>
      </c>
      <c r="J358" s="328">
        <v>2.7118000000000002</v>
      </c>
      <c r="K358" s="328"/>
      <c r="L358" s="328"/>
      <c r="M358" s="328"/>
      <c r="N358" s="327"/>
      <c r="O358" s="327">
        <f t="shared" si="178"/>
        <v>113728.33617600001</v>
      </c>
      <c r="P358" s="327">
        <f>ROUND(37.24%*O358,2)</f>
        <v>42352.43</v>
      </c>
      <c r="Q358" s="327">
        <f t="shared" si="179"/>
        <v>21176.22</v>
      </c>
      <c r="R358" s="199">
        <v>0.5</v>
      </c>
      <c r="W358" s="74"/>
      <c r="Y358" s="74"/>
      <c r="Z358" s="74"/>
    </row>
    <row r="359" spans="1:26" x14ac:dyDescent="0.25">
      <c r="A359" s="329"/>
      <c r="B359" s="338" t="s">
        <v>185</v>
      </c>
      <c r="C359" s="100"/>
      <c r="D359" s="210"/>
      <c r="E359" s="210"/>
      <c r="F359" s="329"/>
      <c r="G359" s="311">
        <f t="shared" ref="G359:Q359" si="180">G358-G357</f>
        <v>0</v>
      </c>
      <c r="H359" s="388">
        <f t="shared" si="180"/>
        <v>0</v>
      </c>
      <c r="I359" s="339">
        <f t="shared" si="180"/>
        <v>1.5200000000000102E-2</v>
      </c>
      <c r="J359" s="339">
        <f t="shared" si="180"/>
        <v>1.5200000000000102E-2</v>
      </c>
      <c r="K359" s="339">
        <f t="shared" si="180"/>
        <v>0</v>
      </c>
      <c r="L359" s="339">
        <f t="shared" si="180"/>
        <v>0</v>
      </c>
      <c r="M359" s="339">
        <f t="shared" si="180"/>
        <v>0</v>
      </c>
      <c r="N359" s="340">
        <f t="shared" si="180"/>
        <v>0</v>
      </c>
      <c r="O359" s="311">
        <f t="shared" si="180"/>
        <v>637.4624640000111</v>
      </c>
      <c r="P359" s="461">
        <f t="shared" si="180"/>
        <v>237.38999999999942</v>
      </c>
      <c r="Q359" s="311">
        <f t="shared" si="180"/>
        <v>118.70000000000073</v>
      </c>
      <c r="R359" s="462"/>
      <c r="S359" s="307" t="s">
        <v>186</v>
      </c>
      <c r="X359" s="74"/>
      <c r="Y359" s="74"/>
    </row>
    <row r="360" spans="1:26" x14ac:dyDescent="0.25">
      <c r="A360" s="125"/>
      <c r="B360" s="7"/>
      <c r="C360" s="125"/>
      <c r="D360" s="125"/>
      <c r="E360" s="125"/>
      <c r="F360" s="125"/>
      <c r="G360" s="483"/>
      <c r="H360" s="483"/>
      <c r="I360" s="536"/>
      <c r="J360" s="536"/>
      <c r="K360" s="484"/>
      <c r="L360" s="484"/>
      <c r="M360" s="484"/>
      <c r="N360" s="485"/>
      <c r="O360" s="483"/>
      <c r="P360" s="486"/>
      <c r="Q360" s="483"/>
      <c r="R360" s="487"/>
      <c r="S360" s="483"/>
      <c r="T360" s="6"/>
      <c r="U360" s="6"/>
      <c r="V360" s="6"/>
    </row>
    <row r="361" spans="1:26" x14ac:dyDescent="0.25">
      <c r="A361" s="394"/>
      <c r="B361" s="321" t="s">
        <v>303</v>
      </c>
      <c r="C361" s="385"/>
      <c r="W361" s="75"/>
      <c r="Y361" s="350"/>
      <c r="Z361" s="75"/>
    </row>
    <row r="362" spans="1:26" x14ac:dyDescent="0.25">
      <c r="A362" s="313" t="s">
        <v>164</v>
      </c>
      <c r="B362" s="308"/>
      <c r="C362" s="322"/>
      <c r="D362" s="319" t="s">
        <v>19</v>
      </c>
      <c r="E362" s="318" t="s">
        <v>59</v>
      </c>
      <c r="F362" s="319" t="s">
        <v>27</v>
      </c>
      <c r="G362" s="320" t="s">
        <v>35</v>
      </c>
      <c r="H362" s="309" t="s">
        <v>36</v>
      </c>
      <c r="I362" s="309" t="s">
        <v>35</v>
      </c>
      <c r="J362" s="320" t="s">
        <v>36</v>
      </c>
      <c r="K362" s="320" t="s">
        <v>39</v>
      </c>
      <c r="L362" s="320" t="s">
        <v>40</v>
      </c>
      <c r="M362" s="320" t="s">
        <v>42</v>
      </c>
      <c r="N362" s="320" t="s">
        <v>2</v>
      </c>
      <c r="O362" s="323" t="s">
        <v>184</v>
      </c>
      <c r="P362" s="332" t="s">
        <v>166</v>
      </c>
      <c r="Q362" s="332" t="s">
        <v>188</v>
      </c>
      <c r="R362" s="310"/>
      <c r="W362" s="75"/>
      <c r="Y362" s="351"/>
      <c r="Z362" s="350"/>
    </row>
    <row r="363" spans="1:26" x14ac:dyDescent="0.25">
      <c r="A363" s="26" t="s">
        <v>28</v>
      </c>
      <c r="B363" s="27" t="s">
        <v>261</v>
      </c>
      <c r="C363" s="62" t="s">
        <v>31</v>
      </c>
      <c r="D363" s="62" t="s">
        <v>30</v>
      </c>
      <c r="E363" s="62" t="s">
        <v>161</v>
      </c>
      <c r="F363" s="262" t="s">
        <v>56</v>
      </c>
      <c r="G363" s="312">
        <v>18456.39</v>
      </c>
      <c r="H363" s="312">
        <v>5255.54</v>
      </c>
      <c r="I363" s="237">
        <v>2.7107999999999999</v>
      </c>
      <c r="J363" s="237">
        <v>2.7107999999999999</v>
      </c>
      <c r="K363" s="312"/>
      <c r="L363" s="312"/>
      <c r="M363" s="312"/>
      <c r="N363" s="312"/>
      <c r="O363" s="245">
        <f t="shared" ref="O363:O364" si="181">G363*I363+H363*J363</f>
        <v>64278.299843999994</v>
      </c>
      <c r="P363" s="243">
        <f>ROUND(37.24%*O363,2)</f>
        <v>23937.24</v>
      </c>
      <c r="Q363" s="243">
        <f t="shared" ref="Q363:Q364" si="182">ROUND(R363*P363,2)</f>
        <v>11968.62</v>
      </c>
      <c r="R363" s="244">
        <v>0.5</v>
      </c>
      <c r="W363" s="74"/>
      <c r="Y363" s="74"/>
    </row>
    <row r="364" spans="1:26" x14ac:dyDescent="0.25">
      <c r="A364" s="326" t="s">
        <v>28</v>
      </c>
      <c r="B364" s="335" t="str">
        <f>B363</f>
        <v>88 GAS -Pisco</v>
      </c>
      <c r="C364" s="336" t="s">
        <v>31</v>
      </c>
      <c r="D364" s="337" t="s">
        <v>190</v>
      </c>
      <c r="E364" s="337"/>
      <c r="F364" s="342" t="str">
        <f>F363</f>
        <v xml:space="preserve"> MM BTU</v>
      </c>
      <c r="G364" s="537">
        <f>+G363</f>
        <v>18456.39</v>
      </c>
      <c r="H364" s="387">
        <f>+H363</f>
        <v>5255.54</v>
      </c>
      <c r="I364" s="328">
        <v>2.7610999999999999</v>
      </c>
      <c r="J364" s="328">
        <v>2.7610999999999999</v>
      </c>
      <c r="K364" s="328"/>
      <c r="L364" s="328"/>
      <c r="M364" s="328"/>
      <c r="N364" s="327"/>
      <c r="O364" s="327">
        <f t="shared" si="181"/>
        <v>65471.009922999991</v>
      </c>
      <c r="P364" s="327">
        <f>ROUND(37.24%*O364,2)</f>
        <v>24381.4</v>
      </c>
      <c r="Q364" s="327">
        <f t="shared" si="182"/>
        <v>12190.7</v>
      </c>
      <c r="R364" s="199">
        <v>0.5</v>
      </c>
      <c r="W364" s="74"/>
      <c r="Y364" s="74"/>
      <c r="Z364" s="74"/>
    </row>
    <row r="365" spans="1:26" x14ac:dyDescent="0.25">
      <c r="A365" s="329"/>
      <c r="B365" s="338" t="s">
        <v>185</v>
      </c>
      <c r="C365" s="100"/>
      <c r="D365" s="210"/>
      <c r="E365" s="210"/>
      <c r="F365" s="329"/>
      <c r="G365" s="311">
        <f t="shared" ref="G365:Q365" si="183">G364-G363</f>
        <v>0</v>
      </c>
      <c r="H365" s="388">
        <f t="shared" si="183"/>
        <v>0</v>
      </c>
      <c r="I365" s="339">
        <f t="shared" si="183"/>
        <v>5.0300000000000011E-2</v>
      </c>
      <c r="J365" s="339">
        <f t="shared" si="183"/>
        <v>5.0300000000000011E-2</v>
      </c>
      <c r="K365" s="339">
        <f t="shared" si="183"/>
        <v>0</v>
      </c>
      <c r="L365" s="339">
        <f t="shared" si="183"/>
        <v>0</v>
      </c>
      <c r="M365" s="339">
        <f t="shared" si="183"/>
        <v>0</v>
      </c>
      <c r="N365" s="340">
        <f t="shared" si="183"/>
        <v>0</v>
      </c>
      <c r="O365" s="311">
        <f t="shared" si="183"/>
        <v>1192.7100789999968</v>
      </c>
      <c r="P365" s="461">
        <f t="shared" si="183"/>
        <v>444.15999999999985</v>
      </c>
      <c r="Q365" s="311">
        <f t="shared" si="183"/>
        <v>222.07999999999993</v>
      </c>
      <c r="R365" s="462"/>
      <c r="S365" s="307" t="s">
        <v>186</v>
      </c>
      <c r="X365" s="74"/>
      <c r="Y365" s="74"/>
    </row>
    <row r="366" spans="1:26" x14ac:dyDescent="0.25">
      <c r="A366" s="125"/>
      <c r="B366" s="7"/>
      <c r="C366" s="125"/>
      <c r="D366" s="125"/>
      <c r="E366" s="125"/>
      <c r="F366" s="125"/>
      <c r="G366" s="483"/>
      <c r="H366" s="483"/>
      <c r="I366" s="536"/>
      <c r="J366" s="536"/>
      <c r="K366" s="484"/>
      <c r="L366" s="484"/>
      <c r="M366" s="484"/>
      <c r="N366" s="485"/>
      <c r="O366" s="483"/>
      <c r="P366" s="486"/>
      <c r="Q366" s="483"/>
      <c r="R366" s="487"/>
      <c r="S366" s="483"/>
      <c r="T366" s="6"/>
      <c r="U366" s="6"/>
      <c r="V366" s="6"/>
    </row>
    <row r="367" spans="1:26" x14ac:dyDescent="0.25">
      <c r="A367" s="394"/>
      <c r="B367" s="321" t="s">
        <v>304</v>
      </c>
      <c r="C367" s="385"/>
      <c r="W367" s="75"/>
      <c r="Y367" s="350"/>
      <c r="Z367" s="75"/>
    </row>
    <row r="368" spans="1:26" x14ac:dyDescent="0.25">
      <c r="A368" s="313" t="s">
        <v>164</v>
      </c>
      <c r="B368" s="308"/>
      <c r="C368" s="322"/>
      <c r="D368" s="319" t="s">
        <v>19</v>
      </c>
      <c r="E368" s="318" t="s">
        <v>59</v>
      </c>
      <c r="F368" s="319" t="s">
        <v>27</v>
      </c>
      <c r="G368" s="320" t="s">
        <v>35</v>
      </c>
      <c r="H368" s="309" t="s">
        <v>36</v>
      </c>
      <c r="I368" s="309" t="s">
        <v>35</v>
      </c>
      <c r="J368" s="320" t="s">
        <v>36</v>
      </c>
      <c r="K368" s="320" t="s">
        <v>39</v>
      </c>
      <c r="L368" s="320" t="s">
        <v>40</v>
      </c>
      <c r="M368" s="320" t="s">
        <v>42</v>
      </c>
      <c r="N368" s="320" t="s">
        <v>2</v>
      </c>
      <c r="O368" s="323" t="s">
        <v>184</v>
      </c>
      <c r="P368" s="332" t="s">
        <v>166</v>
      </c>
      <c r="Q368" s="332" t="s">
        <v>188</v>
      </c>
      <c r="R368" s="310"/>
      <c r="W368" s="75"/>
      <c r="Y368" s="351"/>
      <c r="Z368" s="350"/>
    </row>
    <row r="369" spans="1:26" x14ac:dyDescent="0.25">
      <c r="A369" s="26" t="s">
        <v>28</v>
      </c>
      <c r="B369" s="27" t="s">
        <v>261</v>
      </c>
      <c r="C369" s="62" t="s">
        <v>31</v>
      </c>
      <c r="D369" s="62" t="s">
        <v>30</v>
      </c>
      <c r="E369" s="62" t="s">
        <v>161</v>
      </c>
      <c r="F369" s="262" t="s">
        <v>56</v>
      </c>
      <c r="G369" s="312">
        <v>22243.97</v>
      </c>
      <c r="H369" s="312">
        <v>24094.240000000002</v>
      </c>
      <c r="I369" s="237">
        <v>2.7612999999999999</v>
      </c>
      <c r="J369" s="237">
        <v>2.7612999999999999</v>
      </c>
      <c r="K369" s="312"/>
      <c r="L369" s="312"/>
      <c r="M369" s="312"/>
      <c r="N369" s="312"/>
      <c r="O369" s="245">
        <f t="shared" ref="O369:O370" si="184">G369*I369+H369*J369</f>
        <v>127953.69927300001</v>
      </c>
      <c r="P369" s="243">
        <f>ROUND(37.24%*O369,2)</f>
        <v>47649.96</v>
      </c>
      <c r="Q369" s="243">
        <f t="shared" ref="Q369:Q370" si="185">ROUND(R369*P369,2)</f>
        <v>23824.98</v>
      </c>
      <c r="R369" s="244">
        <v>0.5</v>
      </c>
      <c r="W369" s="74"/>
      <c r="Y369" s="74"/>
    </row>
    <row r="370" spans="1:26" x14ac:dyDescent="0.25">
      <c r="A370" s="326" t="s">
        <v>28</v>
      </c>
      <c r="B370" s="335" t="str">
        <f>B369</f>
        <v>88 GAS -Pisco</v>
      </c>
      <c r="C370" s="336" t="s">
        <v>31</v>
      </c>
      <c r="D370" s="337" t="s">
        <v>190</v>
      </c>
      <c r="E370" s="337"/>
      <c r="F370" s="342" t="str">
        <f>F369</f>
        <v xml:space="preserve"> MM BTU</v>
      </c>
      <c r="G370" s="537">
        <f>+G369</f>
        <v>22243.97</v>
      </c>
      <c r="H370" s="387">
        <f>+H369</f>
        <v>24094.240000000002</v>
      </c>
      <c r="I370" s="328">
        <v>2.7694999999999999</v>
      </c>
      <c r="J370" s="328">
        <v>2.7694999999999999</v>
      </c>
      <c r="K370" s="328"/>
      <c r="L370" s="328"/>
      <c r="M370" s="328"/>
      <c r="N370" s="327"/>
      <c r="O370" s="327">
        <f t="shared" si="184"/>
        <v>128333.67259500001</v>
      </c>
      <c r="P370" s="327">
        <f>ROUND(37.24%*O370,2)</f>
        <v>47791.46</v>
      </c>
      <c r="Q370" s="327">
        <f t="shared" si="185"/>
        <v>23895.73</v>
      </c>
      <c r="R370" s="199">
        <v>0.5</v>
      </c>
      <c r="W370" s="74"/>
      <c r="Y370" s="74"/>
      <c r="Z370" s="74"/>
    </row>
    <row r="371" spans="1:26" x14ac:dyDescent="0.25">
      <c r="A371" s="329"/>
      <c r="B371" s="338" t="s">
        <v>185</v>
      </c>
      <c r="C371" s="100"/>
      <c r="D371" s="210"/>
      <c r="E371" s="210"/>
      <c r="F371" s="329"/>
      <c r="G371" s="311">
        <f t="shared" ref="G371:Q371" si="186">G370-G369</f>
        <v>0</v>
      </c>
      <c r="H371" s="388">
        <f t="shared" si="186"/>
        <v>0</v>
      </c>
      <c r="I371" s="339">
        <f t="shared" si="186"/>
        <v>8.1999999999999851E-3</v>
      </c>
      <c r="J371" s="339">
        <f t="shared" si="186"/>
        <v>8.1999999999999851E-3</v>
      </c>
      <c r="K371" s="339">
        <f t="shared" si="186"/>
        <v>0</v>
      </c>
      <c r="L371" s="339">
        <f t="shared" si="186"/>
        <v>0</v>
      </c>
      <c r="M371" s="339">
        <f t="shared" si="186"/>
        <v>0</v>
      </c>
      <c r="N371" s="340">
        <f t="shared" si="186"/>
        <v>0</v>
      </c>
      <c r="O371" s="311">
        <f t="shared" si="186"/>
        <v>379.97332200000528</v>
      </c>
      <c r="P371" s="461">
        <f t="shared" si="186"/>
        <v>141.5</v>
      </c>
      <c r="Q371" s="311">
        <f t="shared" si="186"/>
        <v>70.75</v>
      </c>
      <c r="R371" s="462"/>
      <c r="S371" s="307" t="s">
        <v>186</v>
      </c>
      <c r="X371" s="74"/>
      <c r="Y371" s="74"/>
    </row>
    <row r="372" spans="1:26" x14ac:dyDescent="0.25">
      <c r="A372" s="125"/>
      <c r="B372" s="7"/>
      <c r="C372" s="125"/>
      <c r="D372" s="125"/>
      <c r="E372" s="125"/>
      <c r="F372" s="125"/>
      <c r="G372" s="483"/>
      <c r="H372" s="483"/>
      <c r="I372" s="536"/>
      <c r="J372" s="536"/>
      <c r="K372" s="484"/>
      <c r="L372" s="484"/>
      <c r="M372" s="484"/>
      <c r="N372" s="485"/>
      <c r="O372" s="483"/>
      <c r="P372" s="486"/>
      <c r="Q372" s="483"/>
      <c r="R372" s="487"/>
      <c r="S372" s="483"/>
      <c r="T372" s="6"/>
      <c r="U372" s="6"/>
      <c r="V372" s="6"/>
    </row>
    <row r="373" spans="1:26" x14ac:dyDescent="0.25">
      <c r="A373" s="394"/>
      <c r="B373" s="321" t="s">
        <v>305</v>
      </c>
      <c r="C373" s="385"/>
      <c r="W373" s="75"/>
      <c r="Y373" s="350"/>
      <c r="Z373" s="75"/>
    </row>
    <row r="374" spans="1:26" x14ac:dyDescent="0.25">
      <c r="A374" s="313" t="s">
        <v>164</v>
      </c>
      <c r="B374" s="308"/>
      <c r="C374" s="322"/>
      <c r="D374" s="319" t="s">
        <v>19</v>
      </c>
      <c r="E374" s="318" t="s">
        <v>59</v>
      </c>
      <c r="F374" s="319" t="s">
        <v>27</v>
      </c>
      <c r="G374" s="320" t="s">
        <v>35</v>
      </c>
      <c r="H374" s="309" t="s">
        <v>36</v>
      </c>
      <c r="I374" s="309" t="s">
        <v>35</v>
      </c>
      <c r="J374" s="320" t="s">
        <v>36</v>
      </c>
      <c r="K374" s="320" t="s">
        <v>39</v>
      </c>
      <c r="L374" s="320" t="s">
        <v>40</v>
      </c>
      <c r="M374" s="320" t="s">
        <v>42</v>
      </c>
      <c r="N374" s="320" t="s">
        <v>2</v>
      </c>
      <c r="O374" s="323" t="s">
        <v>184</v>
      </c>
      <c r="P374" s="332" t="s">
        <v>166</v>
      </c>
      <c r="Q374" s="332" t="s">
        <v>188</v>
      </c>
      <c r="R374" s="310"/>
      <c r="W374" s="75"/>
      <c r="Y374" s="351"/>
      <c r="Z374" s="350"/>
    </row>
    <row r="375" spans="1:26" x14ac:dyDescent="0.25">
      <c r="A375" s="26" t="s">
        <v>28</v>
      </c>
      <c r="B375" s="27" t="s">
        <v>261</v>
      </c>
      <c r="C375" s="62" t="s">
        <v>31</v>
      </c>
      <c r="D375" s="62" t="s">
        <v>30</v>
      </c>
      <c r="E375" s="62" t="s">
        <v>161</v>
      </c>
      <c r="F375" s="262" t="s">
        <v>56</v>
      </c>
      <c r="G375" s="312">
        <v>19546.21</v>
      </c>
      <c r="H375" s="312">
        <v>22889.84</v>
      </c>
      <c r="I375" s="237">
        <v>2.7694000000000001</v>
      </c>
      <c r="J375" s="237">
        <v>2.7694000000000001</v>
      </c>
      <c r="K375" s="312"/>
      <c r="L375" s="312"/>
      <c r="M375" s="312"/>
      <c r="N375" s="312"/>
      <c r="O375" s="245">
        <f t="shared" ref="O375:O376" si="187">G375*I375+H375*J375</f>
        <v>117522.39687</v>
      </c>
      <c r="P375" s="243">
        <f>ROUND(37.24%*O375,2)</f>
        <v>43765.34</v>
      </c>
      <c r="Q375" s="243">
        <f t="shared" ref="Q375:Q376" si="188">ROUND(R375*P375,2)</f>
        <v>21882.67</v>
      </c>
      <c r="R375" s="244">
        <v>0.5</v>
      </c>
      <c r="W375" s="74"/>
      <c r="Y375" s="74"/>
    </row>
    <row r="376" spans="1:26" x14ac:dyDescent="0.25">
      <c r="A376" s="326" t="s">
        <v>28</v>
      </c>
      <c r="B376" s="335" t="str">
        <f>B375</f>
        <v>88 GAS -Pisco</v>
      </c>
      <c r="C376" s="336" t="s">
        <v>31</v>
      </c>
      <c r="D376" s="337" t="s">
        <v>190</v>
      </c>
      <c r="E376" s="337"/>
      <c r="F376" s="342" t="str">
        <f>F375</f>
        <v xml:space="preserve"> MM BTU</v>
      </c>
      <c r="G376" s="537">
        <f>+G375</f>
        <v>19546.21</v>
      </c>
      <c r="H376" s="387">
        <f>+H375</f>
        <v>22889.84</v>
      </c>
      <c r="I376" s="328">
        <v>2.7726000000000002</v>
      </c>
      <c r="J376" s="328">
        <v>2.7726000000000002</v>
      </c>
      <c r="K376" s="328"/>
      <c r="L376" s="328"/>
      <c r="M376" s="328"/>
      <c r="N376" s="327"/>
      <c r="O376" s="327">
        <f t="shared" si="187"/>
        <v>117658.19223</v>
      </c>
      <c r="P376" s="327">
        <f>ROUND(37.24%*O376,2)</f>
        <v>43815.91</v>
      </c>
      <c r="Q376" s="327">
        <f t="shared" si="188"/>
        <v>21907.96</v>
      </c>
      <c r="R376" s="199">
        <v>0.5</v>
      </c>
      <c r="W376" s="74"/>
      <c r="Y376" s="74"/>
      <c r="Z376" s="74"/>
    </row>
    <row r="377" spans="1:26" x14ac:dyDescent="0.25">
      <c r="A377" s="329"/>
      <c r="B377" s="338" t="s">
        <v>185</v>
      </c>
      <c r="C377" s="100"/>
      <c r="D377" s="210"/>
      <c r="E377" s="210"/>
      <c r="F377" s="329"/>
      <c r="G377" s="311">
        <f t="shared" ref="G377:Q377" si="189">G376-G375</f>
        <v>0</v>
      </c>
      <c r="H377" s="388">
        <f t="shared" si="189"/>
        <v>0</v>
      </c>
      <c r="I377" s="339">
        <f t="shared" si="189"/>
        <v>3.2000000000000917E-3</v>
      </c>
      <c r="J377" s="339">
        <f t="shared" si="189"/>
        <v>3.2000000000000917E-3</v>
      </c>
      <c r="K377" s="339">
        <f t="shared" si="189"/>
        <v>0</v>
      </c>
      <c r="L377" s="339">
        <f t="shared" si="189"/>
        <v>0</v>
      </c>
      <c r="M377" s="339">
        <f t="shared" si="189"/>
        <v>0</v>
      </c>
      <c r="N377" s="340">
        <f t="shared" si="189"/>
        <v>0</v>
      </c>
      <c r="O377" s="311">
        <f t="shared" si="189"/>
        <v>135.79536000000371</v>
      </c>
      <c r="P377" s="461">
        <f t="shared" si="189"/>
        <v>50.570000000006985</v>
      </c>
      <c r="Q377" s="311">
        <f t="shared" si="189"/>
        <v>25.290000000000873</v>
      </c>
      <c r="R377" s="462"/>
      <c r="S377" s="307" t="s">
        <v>186</v>
      </c>
      <c r="X377" s="74"/>
      <c r="Y377" s="74"/>
    </row>
    <row r="378" spans="1:26" x14ac:dyDescent="0.25">
      <c r="A378" s="125"/>
      <c r="B378" s="7"/>
      <c r="C378" s="125"/>
      <c r="D378" s="125"/>
      <c r="E378" s="125"/>
      <c r="F378" s="125"/>
      <c r="G378" s="483"/>
      <c r="H378" s="483"/>
      <c r="I378" s="536"/>
      <c r="J378" s="536"/>
      <c r="K378" s="484"/>
      <c r="L378" s="484"/>
      <c r="M378" s="484"/>
      <c r="N378" s="485"/>
      <c r="O378" s="483"/>
      <c r="P378" s="486"/>
      <c r="Q378" s="483"/>
      <c r="R378" s="487"/>
      <c r="S378" s="483"/>
      <c r="T378" s="6"/>
      <c r="U378" s="6"/>
      <c r="V378" s="6"/>
    </row>
    <row r="379" spans="1:26" x14ac:dyDescent="0.25">
      <c r="A379" s="394"/>
      <c r="B379" s="321" t="s">
        <v>306</v>
      </c>
      <c r="C379" s="385"/>
      <c r="T379" s="346"/>
      <c r="W379" s="75"/>
      <c r="Y379" s="350"/>
      <c r="Z379" s="75"/>
    </row>
    <row r="380" spans="1:26" x14ac:dyDescent="0.25">
      <c r="A380" s="313" t="s">
        <v>164</v>
      </c>
      <c r="B380" s="308"/>
      <c r="C380" s="322"/>
      <c r="D380" s="319" t="s">
        <v>19</v>
      </c>
      <c r="E380" s="318" t="s">
        <v>59</v>
      </c>
      <c r="F380" s="319" t="s">
        <v>27</v>
      </c>
      <c r="G380" s="320" t="s">
        <v>35</v>
      </c>
      <c r="H380" s="309" t="s">
        <v>36</v>
      </c>
      <c r="I380" s="309" t="s">
        <v>35</v>
      </c>
      <c r="J380" s="320" t="s">
        <v>36</v>
      </c>
      <c r="K380" s="320" t="s">
        <v>39</v>
      </c>
      <c r="L380" s="320" t="s">
        <v>40</v>
      </c>
      <c r="M380" s="320" t="s">
        <v>42</v>
      </c>
      <c r="N380" s="320" t="s">
        <v>2</v>
      </c>
      <c r="O380" s="323" t="s">
        <v>184</v>
      </c>
      <c r="P380" s="332" t="s">
        <v>166</v>
      </c>
      <c r="Q380" s="332" t="s">
        <v>188</v>
      </c>
      <c r="R380" s="310"/>
      <c r="W380" s="75"/>
      <c r="Y380" s="351"/>
      <c r="Z380" s="350"/>
    </row>
    <row r="381" spans="1:26" x14ac:dyDescent="0.25">
      <c r="A381" s="26" t="s">
        <v>28</v>
      </c>
      <c r="B381" s="27" t="s">
        <v>261</v>
      </c>
      <c r="C381" s="62" t="s">
        <v>31</v>
      </c>
      <c r="D381" s="62" t="s">
        <v>30</v>
      </c>
      <c r="E381" s="62" t="s">
        <v>161</v>
      </c>
      <c r="F381" s="262" t="s">
        <v>56</v>
      </c>
      <c r="G381" s="312">
        <v>19622.03</v>
      </c>
      <c r="H381" s="312">
        <v>26376.2</v>
      </c>
      <c r="I381" s="237">
        <v>2.7726999999999999</v>
      </c>
      <c r="J381" s="237">
        <v>2.7726999999999999</v>
      </c>
      <c r="K381" s="312"/>
      <c r="L381" s="312"/>
      <c r="M381" s="312"/>
      <c r="N381" s="312"/>
      <c r="O381" s="245">
        <f t="shared" ref="O381:O382" si="190">G381*I381+H381*J381</f>
        <v>127539.292321</v>
      </c>
      <c r="P381" s="243">
        <f>ROUND(37.24%*O381,2)</f>
        <v>47495.63</v>
      </c>
      <c r="Q381" s="243">
        <f t="shared" ref="Q381:Q382" si="191">ROUND(R381*P381,2)</f>
        <v>23747.82</v>
      </c>
      <c r="R381" s="244">
        <v>0.5</v>
      </c>
      <c r="W381" s="74"/>
      <c r="Y381" s="74"/>
    </row>
    <row r="382" spans="1:26" x14ac:dyDescent="0.25">
      <c r="A382" s="326" t="s">
        <v>28</v>
      </c>
      <c r="B382" s="335" t="str">
        <f>B381</f>
        <v>88 GAS -Pisco</v>
      </c>
      <c r="C382" s="336" t="s">
        <v>31</v>
      </c>
      <c r="D382" s="337" t="s">
        <v>190</v>
      </c>
      <c r="E382" s="337"/>
      <c r="F382" s="342" t="str">
        <f>F381</f>
        <v xml:space="preserve"> MM BTU</v>
      </c>
      <c r="G382" s="537">
        <f>+G381</f>
        <v>19622.03</v>
      </c>
      <c r="H382" s="387">
        <f>+H381</f>
        <v>26376.2</v>
      </c>
      <c r="I382" s="328">
        <v>2.7709999999999999</v>
      </c>
      <c r="J382" s="328">
        <v>2.7709999999999999</v>
      </c>
      <c r="K382" s="328"/>
      <c r="L382" s="328"/>
      <c r="M382" s="328"/>
      <c r="N382" s="327"/>
      <c r="O382" s="327">
        <f t="shared" si="190"/>
        <v>127461.09533000001</v>
      </c>
      <c r="P382" s="327">
        <f>ROUND(37.24%*O382,2)</f>
        <v>47466.51</v>
      </c>
      <c r="Q382" s="327">
        <f t="shared" si="191"/>
        <v>23733.26</v>
      </c>
      <c r="R382" s="199">
        <v>0.5</v>
      </c>
      <c r="W382" s="74"/>
      <c r="Y382" s="74"/>
      <c r="Z382" s="74"/>
    </row>
    <row r="383" spans="1:26" x14ac:dyDescent="0.25">
      <c r="A383" s="329"/>
      <c r="B383" s="338" t="s">
        <v>185</v>
      </c>
      <c r="C383" s="100"/>
      <c r="D383" s="210"/>
      <c r="E383" s="210"/>
      <c r="F383" s="329"/>
      <c r="G383" s="311">
        <f t="shared" ref="G383:Q383" si="192">G382-G381</f>
        <v>0</v>
      </c>
      <c r="H383" s="388">
        <f t="shared" si="192"/>
        <v>0</v>
      </c>
      <c r="I383" s="339">
        <f t="shared" si="192"/>
        <v>-1.7000000000000348E-3</v>
      </c>
      <c r="J383" s="339">
        <f t="shared" si="192"/>
        <v>-1.7000000000000348E-3</v>
      </c>
      <c r="K383" s="339">
        <f t="shared" si="192"/>
        <v>0</v>
      </c>
      <c r="L383" s="339">
        <f t="shared" si="192"/>
        <v>0</v>
      </c>
      <c r="M383" s="339">
        <f t="shared" si="192"/>
        <v>0</v>
      </c>
      <c r="N383" s="340">
        <f t="shared" si="192"/>
        <v>0</v>
      </c>
      <c r="O383" s="311">
        <f t="shared" si="192"/>
        <v>-78.196990999989794</v>
      </c>
      <c r="P383" s="461">
        <f t="shared" si="192"/>
        <v>-29.119999999995343</v>
      </c>
      <c r="Q383" s="311">
        <f t="shared" si="192"/>
        <v>-14.56000000000131</v>
      </c>
      <c r="R383" s="462"/>
      <c r="S383" s="307" t="s">
        <v>186</v>
      </c>
      <c r="X383" s="74"/>
      <c r="Y383" s="74"/>
    </row>
    <row r="384" spans="1:26" x14ac:dyDescent="0.25">
      <c r="A384" s="125"/>
      <c r="B384" s="7"/>
      <c r="C384" s="125"/>
      <c r="D384" s="125"/>
      <c r="E384" s="125"/>
      <c r="F384" s="125"/>
      <c r="G384" s="483"/>
      <c r="H384" s="483"/>
      <c r="I384" s="536"/>
      <c r="J384" s="536"/>
      <c r="K384" s="484"/>
      <c r="L384" s="484"/>
      <c r="M384" s="484"/>
      <c r="N384" s="485"/>
      <c r="O384" s="483"/>
      <c r="P384" s="486"/>
      <c r="Q384" s="483"/>
      <c r="R384" s="487"/>
      <c r="S384" s="483"/>
      <c r="T384" s="6"/>
      <c r="U384" s="6"/>
      <c r="V384" s="6"/>
    </row>
    <row r="385" spans="1:26" x14ac:dyDescent="0.25">
      <c r="A385" s="394"/>
      <c r="B385" s="321" t="s">
        <v>307</v>
      </c>
      <c r="C385" s="385"/>
      <c r="T385" s="346"/>
      <c r="W385" s="75"/>
      <c r="Y385" s="350"/>
      <c r="Z385" s="75"/>
    </row>
    <row r="386" spans="1:26" x14ac:dyDescent="0.25">
      <c r="A386" s="313" t="s">
        <v>164</v>
      </c>
      <c r="B386" s="308"/>
      <c r="C386" s="322"/>
      <c r="D386" s="319" t="s">
        <v>19</v>
      </c>
      <c r="E386" s="318" t="s">
        <v>59</v>
      </c>
      <c r="F386" s="319" t="s">
        <v>27</v>
      </c>
      <c r="G386" s="320" t="s">
        <v>35</v>
      </c>
      <c r="H386" s="309" t="s">
        <v>36</v>
      </c>
      <c r="I386" s="309" t="s">
        <v>35</v>
      </c>
      <c r="J386" s="320" t="s">
        <v>36</v>
      </c>
      <c r="K386" s="320" t="s">
        <v>39</v>
      </c>
      <c r="L386" s="320" t="s">
        <v>40</v>
      </c>
      <c r="M386" s="320" t="s">
        <v>42</v>
      </c>
      <c r="N386" s="320" t="s">
        <v>2</v>
      </c>
      <c r="O386" s="323" t="s">
        <v>184</v>
      </c>
      <c r="P386" s="332" t="s">
        <v>166</v>
      </c>
      <c r="Q386" s="332" t="s">
        <v>188</v>
      </c>
      <c r="R386" s="310"/>
      <c r="W386" s="75"/>
      <c r="Y386" s="351"/>
      <c r="Z386" s="350"/>
    </row>
    <row r="387" spans="1:26" x14ac:dyDescent="0.25">
      <c r="A387" s="26" t="s">
        <v>28</v>
      </c>
      <c r="B387" s="27" t="s">
        <v>261</v>
      </c>
      <c r="C387" s="62" t="s">
        <v>31</v>
      </c>
      <c r="D387" s="62" t="s">
        <v>30</v>
      </c>
      <c r="E387" s="62" t="s">
        <v>161</v>
      </c>
      <c r="F387" s="262" t="s">
        <v>56</v>
      </c>
      <c r="G387" s="312">
        <v>24061.160100000001</v>
      </c>
      <c r="H387" s="312">
        <v>22103.116399999999</v>
      </c>
      <c r="I387" s="237">
        <v>2.7711999999999999</v>
      </c>
      <c r="J387" s="237">
        <v>2.7711999999999999</v>
      </c>
      <c r="K387" s="312"/>
      <c r="L387" s="312"/>
      <c r="M387" s="312"/>
      <c r="N387" s="312"/>
      <c r="O387" s="245">
        <f t="shared" ref="O387:O388" si="193">G387*I387+H387*J387</f>
        <v>127930.44303679999</v>
      </c>
      <c r="P387" s="243">
        <f>ROUND(37.24%*O387,2)</f>
        <v>47641.3</v>
      </c>
      <c r="Q387" s="243">
        <f t="shared" ref="Q387:Q388" si="194">ROUND(R387*P387,2)</f>
        <v>23820.65</v>
      </c>
      <c r="R387" s="244">
        <v>0.5</v>
      </c>
      <c r="W387" s="74"/>
      <c r="Y387" s="74"/>
    </row>
    <row r="388" spans="1:26" x14ac:dyDescent="0.25">
      <c r="A388" s="326" t="s">
        <v>28</v>
      </c>
      <c r="B388" s="335" t="str">
        <f>B387</f>
        <v>88 GAS -Pisco</v>
      </c>
      <c r="C388" s="336" t="s">
        <v>31</v>
      </c>
      <c r="D388" s="337" t="s">
        <v>190</v>
      </c>
      <c r="E388" s="337"/>
      <c r="F388" s="342" t="str">
        <f>F387</f>
        <v xml:space="preserve"> MM BTU</v>
      </c>
      <c r="G388" s="537">
        <f>+G387</f>
        <v>24061.160100000001</v>
      </c>
      <c r="H388" s="387">
        <f>+H387</f>
        <v>22103.116399999999</v>
      </c>
      <c r="I388" s="328">
        <v>2.7753999999999999</v>
      </c>
      <c r="J388" s="328">
        <v>2.7753999999999999</v>
      </c>
      <c r="K388" s="328"/>
      <c r="L388" s="328"/>
      <c r="M388" s="328"/>
      <c r="N388" s="327"/>
      <c r="O388" s="327">
        <f t="shared" si="193"/>
        <v>128124.3329981</v>
      </c>
      <c r="P388" s="327">
        <f>ROUND(37.24%*O388,2)</f>
        <v>47713.5</v>
      </c>
      <c r="Q388" s="327">
        <f t="shared" si="194"/>
        <v>23856.75</v>
      </c>
      <c r="R388" s="199">
        <v>0.5</v>
      </c>
      <c r="W388" s="74"/>
      <c r="Y388" s="74"/>
      <c r="Z388" s="74"/>
    </row>
    <row r="389" spans="1:26" x14ac:dyDescent="0.25">
      <c r="A389" s="329"/>
      <c r="B389" s="338" t="s">
        <v>185</v>
      </c>
      <c r="C389" s="100"/>
      <c r="D389" s="210"/>
      <c r="E389" s="210"/>
      <c r="F389" s="329"/>
      <c r="G389" s="311">
        <f t="shared" ref="G389:Q389" si="195">G388-G387</f>
        <v>0</v>
      </c>
      <c r="H389" s="388">
        <f t="shared" si="195"/>
        <v>0</v>
      </c>
      <c r="I389" s="339">
        <f t="shared" si="195"/>
        <v>4.1999999999999815E-3</v>
      </c>
      <c r="J389" s="339">
        <f t="shared" si="195"/>
        <v>4.1999999999999815E-3</v>
      </c>
      <c r="K389" s="339">
        <f t="shared" si="195"/>
        <v>0</v>
      </c>
      <c r="L389" s="339">
        <f t="shared" si="195"/>
        <v>0</v>
      </c>
      <c r="M389" s="339">
        <f t="shared" si="195"/>
        <v>0</v>
      </c>
      <c r="N389" s="340">
        <f t="shared" si="195"/>
        <v>0</v>
      </c>
      <c r="O389" s="311">
        <f t="shared" si="195"/>
        <v>193.88996130001033</v>
      </c>
      <c r="P389" s="461">
        <f t="shared" si="195"/>
        <v>72.19999999999709</v>
      </c>
      <c r="Q389" s="311">
        <f t="shared" si="195"/>
        <v>36.099999999998545</v>
      </c>
      <c r="R389" s="462"/>
      <c r="S389" s="307" t="s">
        <v>186</v>
      </c>
      <c r="X389" s="74"/>
      <c r="Y389" s="74"/>
    </row>
    <row r="390" spans="1:26" x14ac:dyDescent="0.25">
      <c r="A390" s="125"/>
      <c r="B390" s="7"/>
      <c r="C390" s="125"/>
      <c r="D390" s="125"/>
      <c r="E390" s="125"/>
      <c r="F390" s="125"/>
      <c r="G390" s="483"/>
      <c r="H390" s="483"/>
      <c r="I390" s="536"/>
      <c r="J390" s="536"/>
      <c r="K390" s="484"/>
      <c r="L390" s="484"/>
      <c r="M390" s="484"/>
      <c r="N390" s="485"/>
      <c r="O390" s="483"/>
      <c r="P390" s="486"/>
      <c r="Q390" s="483"/>
      <c r="R390" s="487"/>
      <c r="S390" s="483"/>
      <c r="T390" s="6"/>
      <c r="U390" s="6"/>
      <c r="V390" s="6"/>
    </row>
    <row r="391" spans="1:26" x14ac:dyDescent="0.25">
      <c r="A391" s="394"/>
      <c r="B391" s="321" t="s">
        <v>308</v>
      </c>
      <c r="C391" s="385"/>
      <c r="T391" s="346"/>
      <c r="W391" s="75"/>
      <c r="Y391" s="350"/>
      <c r="Z391" s="75"/>
    </row>
    <row r="392" spans="1:26" x14ac:dyDescent="0.25">
      <c r="A392" s="313" t="s">
        <v>164</v>
      </c>
      <c r="B392" s="308"/>
      <c r="C392" s="322"/>
      <c r="D392" s="319" t="s">
        <v>19</v>
      </c>
      <c r="E392" s="318" t="s">
        <v>59</v>
      </c>
      <c r="F392" s="319" t="s">
        <v>27</v>
      </c>
      <c r="G392" s="320" t="s">
        <v>35</v>
      </c>
      <c r="H392" s="309" t="s">
        <v>36</v>
      </c>
      <c r="I392" s="309" t="s">
        <v>35</v>
      </c>
      <c r="J392" s="320" t="s">
        <v>36</v>
      </c>
      <c r="K392" s="320" t="s">
        <v>39</v>
      </c>
      <c r="L392" s="320" t="s">
        <v>40</v>
      </c>
      <c r="M392" s="320" t="s">
        <v>42</v>
      </c>
      <c r="N392" s="320" t="s">
        <v>2</v>
      </c>
      <c r="O392" s="323" t="s">
        <v>184</v>
      </c>
      <c r="P392" s="332" t="s">
        <v>166</v>
      </c>
      <c r="Q392" s="332" t="s">
        <v>188</v>
      </c>
      <c r="R392" s="310"/>
      <c r="W392" s="75"/>
      <c r="Y392" s="351"/>
      <c r="Z392" s="350"/>
    </row>
    <row r="393" spans="1:26" x14ac:dyDescent="0.25">
      <c r="A393" s="26" t="s">
        <v>28</v>
      </c>
      <c r="B393" s="27" t="s">
        <v>261</v>
      </c>
      <c r="C393" s="62" t="s">
        <v>31</v>
      </c>
      <c r="D393" s="62" t="s">
        <v>30</v>
      </c>
      <c r="E393" s="62" t="s">
        <v>161</v>
      </c>
      <c r="F393" s="262" t="s">
        <v>56</v>
      </c>
      <c r="G393" s="312">
        <v>24300.12</v>
      </c>
      <c r="H393" s="312">
        <v>25520.17</v>
      </c>
      <c r="I393" s="237">
        <v>2.7753000000000001</v>
      </c>
      <c r="J393" s="237">
        <v>2.7753000000000001</v>
      </c>
      <c r="K393" s="312"/>
      <c r="L393" s="312"/>
      <c r="M393" s="312"/>
      <c r="N393" s="312"/>
      <c r="O393" s="245">
        <f t="shared" ref="O393:O394" si="196">G393*I393+H393*J393</f>
        <v>138266.250837</v>
      </c>
      <c r="P393" s="243">
        <f>ROUND(37.24%*O393,2)</f>
        <v>51490.35</v>
      </c>
      <c r="Q393" s="243">
        <f t="shared" ref="Q393:Q394" si="197">ROUND(R393*P393,2)</f>
        <v>25745.18</v>
      </c>
      <c r="R393" s="244">
        <v>0.5</v>
      </c>
      <c r="W393" s="74"/>
      <c r="Y393" s="74"/>
    </row>
    <row r="394" spans="1:26" x14ac:dyDescent="0.25">
      <c r="A394" s="326" t="s">
        <v>28</v>
      </c>
      <c r="B394" s="335" t="str">
        <f>B393</f>
        <v>88 GAS -Pisco</v>
      </c>
      <c r="C394" s="336" t="s">
        <v>31</v>
      </c>
      <c r="D394" s="337" t="s">
        <v>190</v>
      </c>
      <c r="E394" s="337"/>
      <c r="F394" s="342" t="str">
        <f>F393</f>
        <v xml:space="preserve"> MM BTU</v>
      </c>
      <c r="G394" s="537">
        <f>+G393</f>
        <v>24300.12</v>
      </c>
      <c r="H394" s="387">
        <f>+H393</f>
        <v>25520.17</v>
      </c>
      <c r="I394" s="328">
        <v>2.7631000000000001</v>
      </c>
      <c r="J394" s="328">
        <v>2.7631000000000001</v>
      </c>
      <c r="K394" s="328"/>
      <c r="L394" s="328"/>
      <c r="M394" s="328"/>
      <c r="N394" s="327"/>
      <c r="O394" s="327">
        <f t="shared" si="196"/>
        <v>137658.44329899998</v>
      </c>
      <c r="P394" s="327">
        <f>ROUND(37.24%*O394,2)</f>
        <v>51264</v>
      </c>
      <c r="Q394" s="327">
        <f t="shared" si="197"/>
        <v>25632</v>
      </c>
      <c r="R394" s="199">
        <v>0.5</v>
      </c>
      <c r="W394" s="74"/>
      <c r="Y394" s="74"/>
      <c r="Z394" s="74"/>
    </row>
    <row r="395" spans="1:26" x14ac:dyDescent="0.25">
      <c r="A395" s="329"/>
      <c r="B395" s="338" t="s">
        <v>185</v>
      </c>
      <c r="C395" s="100"/>
      <c r="D395" s="210"/>
      <c r="E395" s="210"/>
      <c r="F395" s="329"/>
      <c r="G395" s="311">
        <f t="shared" ref="G395:Q395" si="198">G394-G393</f>
        <v>0</v>
      </c>
      <c r="H395" s="388">
        <f t="shared" si="198"/>
        <v>0</v>
      </c>
      <c r="I395" s="339">
        <f t="shared" si="198"/>
        <v>-1.2199999999999989E-2</v>
      </c>
      <c r="J395" s="339">
        <f t="shared" si="198"/>
        <v>-1.2199999999999989E-2</v>
      </c>
      <c r="K395" s="339">
        <f t="shared" si="198"/>
        <v>0</v>
      </c>
      <c r="L395" s="339">
        <f t="shared" si="198"/>
        <v>0</v>
      </c>
      <c r="M395" s="339">
        <f t="shared" si="198"/>
        <v>0</v>
      </c>
      <c r="N395" s="340">
        <f t="shared" si="198"/>
        <v>0</v>
      </c>
      <c r="O395" s="311">
        <f t="shared" si="198"/>
        <v>-607.80753800002276</v>
      </c>
      <c r="P395" s="461">
        <f t="shared" si="198"/>
        <v>-226.34999999999854</v>
      </c>
      <c r="Q395" s="311">
        <f t="shared" si="198"/>
        <v>-113.18000000000029</v>
      </c>
      <c r="R395" s="462"/>
      <c r="S395" s="307" t="s">
        <v>186</v>
      </c>
      <c r="X395" s="74"/>
      <c r="Y395" s="74"/>
    </row>
    <row r="396" spans="1:26" x14ac:dyDescent="0.25">
      <c r="A396" s="125"/>
      <c r="B396" s="7"/>
      <c r="C396" s="125"/>
      <c r="D396" s="125"/>
      <c r="E396" s="125"/>
      <c r="F396" s="125"/>
      <c r="G396" s="483"/>
      <c r="H396" s="483"/>
      <c r="I396" s="536"/>
      <c r="J396" s="536"/>
      <c r="K396" s="484"/>
      <c r="L396" s="484"/>
      <c r="M396" s="484"/>
      <c r="N396" s="485"/>
      <c r="O396" s="483"/>
      <c r="P396" s="486"/>
      <c r="Q396" s="483"/>
      <c r="R396" s="487"/>
      <c r="S396" s="483"/>
      <c r="T396" s="6"/>
      <c r="U396" s="6"/>
      <c r="V396" s="6"/>
    </row>
    <row r="397" spans="1:26" x14ac:dyDescent="0.25">
      <c r="A397" s="394"/>
      <c r="B397" s="321" t="s">
        <v>309</v>
      </c>
      <c r="C397" s="385"/>
      <c r="T397" s="346"/>
      <c r="W397" s="75"/>
      <c r="Y397" s="350"/>
      <c r="Z397" s="75"/>
    </row>
    <row r="398" spans="1:26" x14ac:dyDescent="0.25">
      <c r="A398" s="313" t="s">
        <v>164</v>
      </c>
      <c r="B398" s="308"/>
      <c r="C398" s="322"/>
      <c r="D398" s="319" t="s">
        <v>19</v>
      </c>
      <c r="E398" s="318" t="s">
        <v>59</v>
      </c>
      <c r="F398" s="319" t="s">
        <v>27</v>
      </c>
      <c r="G398" s="320" t="s">
        <v>35</v>
      </c>
      <c r="H398" s="309" t="s">
        <v>36</v>
      </c>
      <c r="I398" s="309" t="s">
        <v>35</v>
      </c>
      <c r="J398" s="320" t="s">
        <v>36</v>
      </c>
      <c r="K398" s="320" t="s">
        <v>39</v>
      </c>
      <c r="L398" s="320" t="s">
        <v>40</v>
      </c>
      <c r="M398" s="320" t="s">
        <v>42</v>
      </c>
      <c r="N398" s="320" t="s">
        <v>2</v>
      </c>
      <c r="O398" s="323" t="s">
        <v>184</v>
      </c>
      <c r="P398" s="332" t="s">
        <v>166</v>
      </c>
      <c r="Q398" s="332" t="s">
        <v>188</v>
      </c>
      <c r="R398" s="310"/>
      <c r="W398" s="75"/>
      <c r="Y398" s="351"/>
      <c r="Z398" s="350"/>
    </row>
    <row r="399" spans="1:26" x14ac:dyDescent="0.25">
      <c r="A399" s="26" t="s">
        <v>28</v>
      </c>
      <c r="B399" s="27" t="s">
        <v>261</v>
      </c>
      <c r="C399" s="62" t="s">
        <v>31</v>
      </c>
      <c r="D399" s="62" t="s">
        <v>30</v>
      </c>
      <c r="E399" s="62" t="s">
        <v>161</v>
      </c>
      <c r="F399" s="262" t="s">
        <v>56</v>
      </c>
      <c r="G399" s="312">
        <v>21481.439999999999</v>
      </c>
      <c r="H399" s="312">
        <v>31441.16</v>
      </c>
      <c r="I399" s="237">
        <v>2.7627999999999999</v>
      </c>
      <c r="J399" s="237">
        <v>2.7627999999999999</v>
      </c>
      <c r="K399" s="312"/>
      <c r="L399" s="312"/>
      <c r="M399" s="312"/>
      <c r="N399" s="312"/>
      <c r="O399" s="245">
        <f t="shared" ref="O399:O400" si="199">G399*I399+H399*J399</f>
        <v>146214.55927999999</v>
      </c>
      <c r="P399" s="243">
        <f>ROUND(37.24%*O399,2)</f>
        <v>54450.3</v>
      </c>
      <c r="Q399" s="243">
        <f t="shared" ref="Q399:Q400" si="200">ROUND(R399*P399,2)</f>
        <v>27225.15</v>
      </c>
      <c r="R399" s="244">
        <v>0.5</v>
      </c>
      <c r="W399" s="74"/>
      <c r="Y399" s="74"/>
    </row>
    <row r="400" spans="1:26" x14ac:dyDescent="0.25">
      <c r="A400" s="326" t="s">
        <v>28</v>
      </c>
      <c r="B400" s="335" t="str">
        <f>B399</f>
        <v>88 GAS -Pisco</v>
      </c>
      <c r="C400" s="336" t="s">
        <v>31</v>
      </c>
      <c r="D400" s="337" t="s">
        <v>190</v>
      </c>
      <c r="E400" s="337"/>
      <c r="F400" s="342" t="str">
        <f>F399</f>
        <v xml:space="preserve"> MM BTU</v>
      </c>
      <c r="G400" s="537">
        <f>+G399</f>
        <v>21481.439999999999</v>
      </c>
      <c r="H400" s="387">
        <f>+H399</f>
        <v>31441.16</v>
      </c>
      <c r="I400" s="328">
        <v>2.8784000000000001</v>
      </c>
      <c r="J400" s="328">
        <v>2.8784000000000001</v>
      </c>
      <c r="K400" s="328"/>
      <c r="L400" s="328"/>
      <c r="M400" s="328"/>
      <c r="N400" s="327"/>
      <c r="O400" s="327">
        <f t="shared" si="199"/>
        <v>152332.41183999999</v>
      </c>
      <c r="P400" s="327">
        <f>ROUND(37.24%*O400,2)</f>
        <v>56728.59</v>
      </c>
      <c r="Q400" s="327">
        <f t="shared" si="200"/>
        <v>28364.3</v>
      </c>
      <c r="R400" s="199">
        <v>0.5</v>
      </c>
      <c r="W400" s="74"/>
      <c r="Y400" s="74"/>
      <c r="Z400" s="74"/>
    </row>
    <row r="401" spans="1:26" x14ac:dyDescent="0.25">
      <c r="A401" s="329"/>
      <c r="B401" s="338" t="s">
        <v>185</v>
      </c>
      <c r="C401" s="100"/>
      <c r="D401" s="210"/>
      <c r="E401" s="210"/>
      <c r="F401" s="329"/>
      <c r="G401" s="311">
        <f t="shared" ref="G401:Q401" si="201">G400-G399</f>
        <v>0</v>
      </c>
      <c r="H401" s="388">
        <f t="shared" si="201"/>
        <v>0</v>
      </c>
      <c r="I401" s="339">
        <f t="shared" si="201"/>
        <v>0.11560000000000015</v>
      </c>
      <c r="J401" s="339">
        <f t="shared" si="201"/>
        <v>0.11560000000000015</v>
      </c>
      <c r="K401" s="339">
        <f t="shared" si="201"/>
        <v>0</v>
      </c>
      <c r="L401" s="339">
        <f t="shared" si="201"/>
        <v>0</v>
      </c>
      <c r="M401" s="339">
        <f t="shared" si="201"/>
        <v>0</v>
      </c>
      <c r="N401" s="340">
        <f t="shared" si="201"/>
        <v>0</v>
      </c>
      <c r="O401" s="311">
        <f t="shared" si="201"/>
        <v>6117.8525599999994</v>
      </c>
      <c r="P401" s="461">
        <f t="shared" si="201"/>
        <v>2278.2899999999936</v>
      </c>
      <c r="Q401" s="311">
        <f t="shared" si="201"/>
        <v>1139.1499999999978</v>
      </c>
      <c r="R401" s="462"/>
      <c r="S401" s="307" t="s">
        <v>186</v>
      </c>
      <c r="X401" s="74"/>
      <c r="Y401" s="74"/>
    </row>
    <row r="402" spans="1:26" x14ac:dyDescent="0.25">
      <c r="A402" s="125"/>
      <c r="B402" s="7"/>
      <c r="C402" s="125"/>
      <c r="D402" s="125"/>
      <c r="E402" s="125"/>
      <c r="F402" s="125"/>
      <c r="G402" s="483"/>
      <c r="H402" s="483"/>
      <c r="I402" s="536"/>
      <c r="J402" s="536"/>
      <c r="K402" s="484"/>
      <c r="L402" s="484"/>
      <c r="M402" s="484"/>
      <c r="N402" s="485"/>
      <c r="O402" s="483"/>
      <c r="P402" s="486"/>
      <c r="Q402" s="483"/>
      <c r="R402" s="487"/>
      <c r="S402" s="483"/>
      <c r="T402" s="6"/>
      <c r="U402" s="6"/>
      <c r="V402" s="6"/>
    </row>
    <row r="403" spans="1:26" x14ac:dyDescent="0.25">
      <c r="A403" s="394"/>
      <c r="B403" s="321" t="s">
        <v>310</v>
      </c>
      <c r="C403" s="385"/>
      <c r="T403" s="346"/>
      <c r="W403" s="75"/>
      <c r="Y403" s="350"/>
      <c r="Z403" s="75"/>
    </row>
    <row r="404" spans="1:26" x14ac:dyDescent="0.25">
      <c r="A404" s="313" t="s">
        <v>164</v>
      </c>
      <c r="B404" s="308"/>
      <c r="C404" s="322"/>
      <c r="D404" s="319" t="s">
        <v>19</v>
      </c>
      <c r="E404" s="318" t="s">
        <v>59</v>
      </c>
      <c r="F404" s="319" t="s">
        <v>27</v>
      </c>
      <c r="G404" s="320" t="s">
        <v>35</v>
      </c>
      <c r="H404" s="309" t="s">
        <v>36</v>
      </c>
      <c r="I404" s="309" t="s">
        <v>35</v>
      </c>
      <c r="J404" s="320" t="s">
        <v>36</v>
      </c>
      <c r="K404" s="320" t="s">
        <v>39</v>
      </c>
      <c r="L404" s="320" t="s">
        <v>40</v>
      </c>
      <c r="M404" s="320" t="s">
        <v>42</v>
      </c>
      <c r="N404" s="320" t="s">
        <v>2</v>
      </c>
      <c r="O404" s="323" t="s">
        <v>184</v>
      </c>
      <c r="P404" s="332" t="s">
        <v>166</v>
      </c>
      <c r="Q404" s="332" t="s">
        <v>188</v>
      </c>
      <c r="R404" s="310"/>
      <c r="W404" s="75"/>
      <c r="Y404" s="351"/>
      <c r="Z404" s="350"/>
    </row>
    <row r="405" spans="1:26" x14ac:dyDescent="0.25">
      <c r="A405" s="26" t="s">
        <v>28</v>
      </c>
      <c r="B405" s="27" t="s">
        <v>261</v>
      </c>
      <c r="C405" s="62" t="s">
        <v>31</v>
      </c>
      <c r="D405" s="62" t="s">
        <v>30</v>
      </c>
      <c r="E405" s="62" t="s">
        <v>161</v>
      </c>
      <c r="F405" s="262" t="s">
        <v>56</v>
      </c>
      <c r="G405" s="312">
        <v>5329.8662000000004</v>
      </c>
      <c r="H405" s="312">
        <v>20568.6021</v>
      </c>
      <c r="I405" s="237">
        <v>2.8782999999999999</v>
      </c>
      <c r="J405" s="237">
        <v>2.8782999999999999</v>
      </c>
      <c r="K405" s="312"/>
      <c r="L405" s="312"/>
      <c r="M405" s="312"/>
      <c r="N405" s="312"/>
      <c r="O405" s="245">
        <f t="shared" ref="O405:O406" si="202">G405*I405+H405*J405</f>
        <v>74543.561307889991</v>
      </c>
      <c r="P405" s="243">
        <f>ROUND(37.24%*O405,2)</f>
        <v>27760.02</v>
      </c>
      <c r="Q405" s="243">
        <f>ROUND(R405*P405,2)</f>
        <v>13880.01</v>
      </c>
      <c r="R405" s="244">
        <v>0.5</v>
      </c>
      <c r="W405" s="74"/>
      <c r="Y405" s="74"/>
    </row>
    <row r="406" spans="1:26" x14ac:dyDescent="0.25">
      <c r="A406" s="326" t="s">
        <v>28</v>
      </c>
      <c r="B406" s="335" t="str">
        <f>B405</f>
        <v>88 GAS -Pisco</v>
      </c>
      <c r="C406" s="336" t="s">
        <v>31</v>
      </c>
      <c r="D406" s="337" t="s">
        <v>190</v>
      </c>
      <c r="E406" s="337"/>
      <c r="F406" s="342" t="str">
        <f>F405</f>
        <v xml:space="preserve"> MM BTU</v>
      </c>
      <c r="G406" s="537">
        <f>+G405</f>
        <v>5329.8662000000004</v>
      </c>
      <c r="H406" s="387">
        <f>+H405</f>
        <v>20568.6021</v>
      </c>
      <c r="I406" s="328">
        <v>2.8683999999999998</v>
      </c>
      <c r="J406" s="328">
        <v>2.8683999999999998</v>
      </c>
      <c r="K406" s="328"/>
      <c r="L406" s="328"/>
      <c r="M406" s="328"/>
      <c r="N406" s="327"/>
      <c r="O406" s="327">
        <f t="shared" si="202"/>
        <v>74287.166471720004</v>
      </c>
      <c r="P406" s="327">
        <f>ROUND(37.24%*O406,2)</f>
        <v>27664.54</v>
      </c>
      <c r="Q406" s="327">
        <f>ROUND(R406*P406,2)</f>
        <v>13832.27</v>
      </c>
      <c r="R406" s="199">
        <v>0.5</v>
      </c>
      <c r="W406" s="74"/>
      <c r="Y406" s="74"/>
      <c r="Z406" s="74"/>
    </row>
    <row r="407" spans="1:26" x14ac:dyDescent="0.25">
      <c r="A407" s="329"/>
      <c r="B407" s="338" t="s">
        <v>185</v>
      </c>
      <c r="C407" s="100"/>
      <c r="D407" s="210"/>
      <c r="E407" s="210"/>
      <c r="F407" s="329"/>
      <c r="G407" s="311">
        <f t="shared" ref="G407:Q407" si="203">G406-G405</f>
        <v>0</v>
      </c>
      <c r="H407" s="388">
        <f t="shared" si="203"/>
        <v>0</v>
      </c>
      <c r="I407" s="339">
        <f t="shared" si="203"/>
        <v>-9.9000000000000199E-3</v>
      </c>
      <c r="J407" s="339">
        <f t="shared" si="203"/>
        <v>-9.9000000000000199E-3</v>
      </c>
      <c r="K407" s="339">
        <f t="shared" si="203"/>
        <v>0</v>
      </c>
      <c r="L407" s="339">
        <f t="shared" si="203"/>
        <v>0</v>
      </c>
      <c r="M407" s="339">
        <f t="shared" si="203"/>
        <v>0</v>
      </c>
      <c r="N407" s="340">
        <f t="shared" si="203"/>
        <v>0</v>
      </c>
      <c r="O407" s="311">
        <f t="shared" si="203"/>
        <v>-256.39483616998768</v>
      </c>
      <c r="P407" s="461">
        <f t="shared" si="203"/>
        <v>-95.479999999999563</v>
      </c>
      <c r="Q407" s="311">
        <f t="shared" si="203"/>
        <v>-47.739999999999782</v>
      </c>
      <c r="R407" s="462"/>
      <c r="S407" s="307" t="s">
        <v>186</v>
      </c>
      <c r="X407" s="74"/>
      <c r="Y407" s="74"/>
    </row>
    <row r="408" spans="1:26" x14ac:dyDescent="0.25">
      <c r="A408" s="125"/>
      <c r="B408" s="7"/>
      <c r="C408" s="125"/>
      <c r="D408" s="125"/>
      <c r="E408" s="125"/>
      <c r="F408" s="125"/>
      <c r="G408" s="483"/>
      <c r="H408" s="483"/>
      <c r="I408" s="536"/>
      <c r="J408" s="536"/>
      <c r="K408" s="484"/>
      <c r="L408" s="484"/>
      <c r="M408" s="484"/>
      <c r="N408" s="485"/>
      <c r="O408" s="483"/>
      <c r="P408" s="486"/>
      <c r="Q408" s="483"/>
      <c r="R408" s="487"/>
      <c r="S408" s="483"/>
      <c r="T408" s="6"/>
      <c r="U408" s="6"/>
      <c r="V408" s="6"/>
    </row>
    <row r="409" spans="1:26" x14ac:dyDescent="0.25">
      <c r="A409" s="125"/>
      <c r="B409" s="7"/>
      <c r="C409" s="125"/>
      <c r="D409" s="125"/>
      <c r="E409" s="125"/>
      <c r="F409" s="125"/>
      <c r="G409" s="483"/>
      <c r="H409" s="483"/>
      <c r="I409" s="536"/>
      <c r="J409" s="536"/>
      <c r="K409" s="484"/>
      <c r="L409" s="484"/>
      <c r="M409" s="484"/>
      <c r="N409" s="485"/>
      <c r="O409" s="483"/>
      <c r="P409" s="486"/>
      <c r="Q409" s="483"/>
      <c r="R409" s="487"/>
      <c r="S409" s="483"/>
      <c r="T409" s="6"/>
      <c r="U409" s="6"/>
      <c r="V409" s="6"/>
    </row>
    <row r="410" spans="1:26" x14ac:dyDescent="0.25">
      <c r="A410" s="394" t="s">
        <v>235</v>
      </c>
      <c r="B410" s="321" t="s">
        <v>245</v>
      </c>
    </row>
    <row r="411" spans="1:26" x14ac:dyDescent="0.25">
      <c r="A411" s="313" t="s">
        <v>236</v>
      </c>
      <c r="B411" s="308"/>
      <c r="C411" s="322"/>
      <c r="D411" s="319" t="s">
        <v>19</v>
      </c>
      <c r="E411" s="318" t="s">
        <v>59</v>
      </c>
      <c r="F411" s="319" t="s">
        <v>27</v>
      </c>
      <c r="G411" s="320" t="s">
        <v>35</v>
      </c>
      <c r="H411" s="309" t="s">
        <v>36</v>
      </c>
      <c r="I411" s="309" t="s">
        <v>35</v>
      </c>
      <c r="J411" s="320" t="s">
        <v>36</v>
      </c>
      <c r="K411" s="320" t="s">
        <v>39</v>
      </c>
      <c r="L411" s="320" t="s">
        <v>40</v>
      </c>
      <c r="M411" s="320" t="s">
        <v>42</v>
      </c>
      <c r="N411" s="397" t="s">
        <v>2</v>
      </c>
      <c r="O411" s="323" t="s">
        <v>184</v>
      </c>
      <c r="P411" s="332" t="s">
        <v>166</v>
      </c>
      <c r="Q411" s="332" t="s">
        <v>47</v>
      </c>
      <c r="R411" s="310"/>
      <c r="S411" s="332" t="s">
        <v>48</v>
      </c>
      <c r="T411" s="310"/>
    </row>
    <row r="412" spans="1:26" x14ac:dyDescent="0.25">
      <c r="A412" s="324" t="s">
        <v>28</v>
      </c>
      <c r="B412" s="325" t="s">
        <v>167</v>
      </c>
      <c r="C412" s="62" t="s">
        <v>31</v>
      </c>
      <c r="D412" s="62" t="s">
        <v>21</v>
      </c>
      <c r="E412" s="62" t="s">
        <v>101</v>
      </c>
      <c r="F412" s="260" t="s">
        <v>37</v>
      </c>
      <c r="G412" s="236"/>
      <c r="H412" s="236"/>
      <c r="I412" s="238"/>
      <c r="J412" s="237"/>
      <c r="K412" s="312"/>
      <c r="L412" s="312"/>
      <c r="M412" s="312"/>
      <c r="N412" s="236">
        <v>0</v>
      </c>
      <c r="O412" s="245">
        <f>ROUND(G412*I412,2)+ROUND(H412*J412,2)-K412-L412-M412-N412</f>
        <v>0</v>
      </c>
      <c r="P412" s="243">
        <f>ROUND(18.75%*O412,2)</f>
        <v>0</v>
      </c>
      <c r="Q412" s="243">
        <f>ROUND($O412*R412,2)</f>
        <v>0</v>
      </c>
      <c r="R412" s="244">
        <v>0.15</v>
      </c>
      <c r="S412" s="243">
        <f>ROUND($O412*T412,2)</f>
        <v>0</v>
      </c>
      <c r="T412" s="286">
        <v>3.7499999999999999E-2</v>
      </c>
    </row>
    <row r="413" spans="1:26" x14ac:dyDescent="0.25">
      <c r="A413" s="326" t="s">
        <v>28</v>
      </c>
      <c r="B413" s="335" t="s">
        <v>167</v>
      </c>
      <c r="C413" s="62" t="s">
        <v>31</v>
      </c>
      <c r="D413" s="62" t="s">
        <v>190</v>
      </c>
      <c r="E413" s="62"/>
      <c r="F413" s="342" t="s">
        <v>37</v>
      </c>
      <c r="G413" s="327"/>
      <c r="H413" s="327">
        <v>1460</v>
      </c>
      <c r="I413" s="476"/>
      <c r="J413" s="240">
        <v>57.582500000000003</v>
      </c>
      <c r="K413" s="328"/>
      <c r="L413" s="328"/>
      <c r="M413" s="328"/>
      <c r="N413" s="493"/>
      <c r="O413" s="344">
        <f t="shared" ref="O413" si="204">ROUND(G413*I413,2)+ROUND(H413*J413,2)-K413-L413-M413-N413</f>
        <v>84070.45</v>
      </c>
      <c r="P413" s="345">
        <f>ROUND(18.75%*O413,2)</f>
        <v>15763.21</v>
      </c>
      <c r="Q413" s="345">
        <f>ROUND($O413*R413,2)</f>
        <v>12610.57</v>
      </c>
      <c r="R413" s="50">
        <v>0.15</v>
      </c>
      <c r="S413" s="345">
        <f>ROUND($O413*T413,2)</f>
        <v>3152.64</v>
      </c>
      <c r="T413" s="466">
        <v>3.7499999999999999E-2</v>
      </c>
    </row>
    <row r="414" spans="1:26" x14ac:dyDescent="0.25">
      <c r="A414" s="329"/>
      <c r="B414" s="338"/>
      <c r="C414" s="100"/>
      <c r="D414" s="210"/>
      <c r="E414" s="210"/>
      <c r="F414" s="329"/>
      <c r="G414" s="386">
        <f>+G413-G412</f>
        <v>0</v>
      </c>
      <c r="H414" s="386">
        <f>+H413-H412</f>
        <v>1460</v>
      </c>
      <c r="I414" s="330">
        <f>+I413-I412</f>
        <v>0</v>
      </c>
      <c r="J414" s="490">
        <f>+J413-J412</f>
        <v>57.582500000000003</v>
      </c>
      <c r="K414" s="389"/>
      <c r="L414" s="389"/>
      <c r="M414" s="389"/>
      <c r="N414" s="399">
        <f>SUM(N412:N413)</f>
        <v>0</v>
      </c>
      <c r="O414" s="330">
        <f>+O413-O412</f>
        <v>84070.45</v>
      </c>
      <c r="P414" s="331">
        <f>+P413-P412</f>
        <v>15763.21</v>
      </c>
      <c r="Q414" s="330">
        <f>+Q413-Q412</f>
        <v>12610.57</v>
      </c>
      <c r="R414" s="341"/>
      <c r="S414" s="382">
        <f>+S413-S412</f>
        <v>3152.64</v>
      </c>
      <c r="T414" s="378"/>
      <c r="U414" s="307" t="s">
        <v>186</v>
      </c>
    </row>
    <row r="415" spans="1:26" x14ac:dyDescent="0.25">
      <c r="A415" s="125"/>
      <c r="B415" s="7"/>
      <c r="C415" s="125"/>
      <c r="D415" s="125"/>
      <c r="E415" s="125"/>
      <c r="F415" s="125"/>
      <c r="G415" s="483"/>
      <c r="H415" s="483"/>
      <c r="I415" s="483"/>
      <c r="J415" s="483"/>
      <c r="K415" s="484"/>
      <c r="L415" s="484"/>
      <c r="M415" s="484"/>
      <c r="N415" s="485"/>
      <c r="O415" s="483"/>
      <c r="P415" s="486"/>
      <c r="Q415" s="483"/>
      <c r="R415" s="150"/>
      <c r="S415" s="488"/>
      <c r="T415" s="6"/>
    </row>
    <row r="416" spans="1:26" x14ac:dyDescent="0.25">
      <c r="A416" s="394"/>
      <c r="B416" s="321" t="s">
        <v>245</v>
      </c>
      <c r="Q416" s="346"/>
    </row>
    <row r="417" spans="1:22" x14ac:dyDescent="0.25">
      <c r="A417" s="313" t="s">
        <v>24</v>
      </c>
      <c r="B417" s="308"/>
      <c r="C417" s="322"/>
      <c r="D417" s="319" t="s">
        <v>19</v>
      </c>
      <c r="E417" s="318" t="s">
        <v>59</v>
      </c>
      <c r="F417" s="319" t="s">
        <v>27</v>
      </c>
      <c r="G417" s="320" t="s">
        <v>35</v>
      </c>
      <c r="H417" s="309" t="s">
        <v>36</v>
      </c>
      <c r="I417" s="309" t="s">
        <v>35</v>
      </c>
      <c r="J417" s="320" t="s">
        <v>36</v>
      </c>
      <c r="K417" s="320" t="s">
        <v>39</v>
      </c>
      <c r="L417" s="320" t="s">
        <v>40</v>
      </c>
      <c r="M417" s="320" t="s">
        <v>42</v>
      </c>
      <c r="N417" s="397" t="s">
        <v>2</v>
      </c>
      <c r="O417" s="323" t="s">
        <v>184</v>
      </c>
      <c r="P417" s="332" t="s">
        <v>166</v>
      </c>
      <c r="Q417" s="332" t="s">
        <v>47</v>
      </c>
      <c r="R417" s="310"/>
      <c r="S417" s="332" t="s">
        <v>48</v>
      </c>
      <c r="T417" s="310"/>
    </row>
    <row r="418" spans="1:22" x14ac:dyDescent="0.25">
      <c r="A418" s="324" t="s">
        <v>28</v>
      </c>
      <c r="B418" s="325" t="s">
        <v>10</v>
      </c>
      <c r="C418" s="62" t="s">
        <v>31</v>
      </c>
      <c r="D418" s="62" t="s">
        <v>21</v>
      </c>
      <c r="E418" s="62" t="s">
        <v>101</v>
      </c>
      <c r="F418" s="260" t="s">
        <v>37</v>
      </c>
      <c r="G418" s="236"/>
      <c r="H418" s="236"/>
      <c r="I418" s="236"/>
      <c r="J418" s="540"/>
      <c r="K418" s="312"/>
      <c r="L418" s="312"/>
      <c r="M418" s="312"/>
      <c r="N418" s="236"/>
      <c r="O418" s="245">
        <f t="shared" ref="O418:O419" si="205">ROUND(G418*I418,2)+ROUND(H418*J418,2)-K418-L418-M418-N418</f>
        <v>0</v>
      </c>
      <c r="P418" s="243">
        <f>ROUND(18.75%*O418,2)</f>
        <v>0</v>
      </c>
      <c r="Q418" s="243">
        <f>ROUND($O418*R418,2)</f>
        <v>0</v>
      </c>
      <c r="R418" s="244">
        <v>0.15</v>
      </c>
      <c r="S418" s="243">
        <f>ROUND($O418*T418,2)</f>
        <v>0</v>
      </c>
      <c r="T418" s="286">
        <v>3.7499999999999999E-2</v>
      </c>
    </row>
    <row r="419" spans="1:22" x14ac:dyDescent="0.25">
      <c r="A419" s="326" t="s">
        <v>28</v>
      </c>
      <c r="B419" s="335" t="str">
        <f>+B418</f>
        <v>31-B</v>
      </c>
      <c r="C419" s="62" t="s">
        <v>31</v>
      </c>
      <c r="D419" s="62" t="s">
        <v>190</v>
      </c>
      <c r="E419" s="62" t="str">
        <f>+E418</f>
        <v>F2</v>
      </c>
      <c r="F419" s="342" t="str">
        <f>F418</f>
        <v>Bls</v>
      </c>
      <c r="G419" s="369"/>
      <c r="H419" s="369">
        <v>1293</v>
      </c>
      <c r="I419" s="369"/>
      <c r="J419" s="541">
        <v>68.201400000000007</v>
      </c>
      <c r="K419" s="328"/>
      <c r="L419" s="328"/>
      <c r="M419" s="328"/>
      <c r="N419" s="455"/>
      <c r="O419" s="344">
        <f t="shared" si="205"/>
        <v>88184.41</v>
      </c>
      <c r="P419" s="345">
        <f>ROUND(18.75%*O419,2)</f>
        <v>16534.580000000002</v>
      </c>
      <c r="Q419" s="345">
        <f>ROUND($O419*R419,2)</f>
        <v>13227.66</v>
      </c>
      <c r="R419" s="50">
        <v>0.15</v>
      </c>
      <c r="S419" s="345">
        <f>ROUND($O419*T419,2)</f>
        <v>3306.92</v>
      </c>
      <c r="T419" s="466">
        <v>3.7499999999999999E-2</v>
      </c>
    </row>
    <row r="420" spans="1:22" x14ac:dyDescent="0.25">
      <c r="A420" s="329"/>
      <c r="B420" s="338"/>
      <c r="C420" s="100"/>
      <c r="D420" s="210"/>
      <c r="E420" s="210"/>
      <c r="F420" s="329"/>
      <c r="G420" s="330">
        <f>+G419-G418</f>
        <v>0</v>
      </c>
      <c r="H420" s="330">
        <f>+H419-H418</f>
        <v>1293</v>
      </c>
      <c r="I420" s="330">
        <f>+I419-I418</f>
        <v>0</v>
      </c>
      <c r="J420" s="490">
        <f>+J419-J418</f>
        <v>68.201400000000007</v>
      </c>
      <c r="K420" s="489"/>
      <c r="L420" s="389"/>
      <c r="M420" s="389"/>
      <c r="N420" s="399">
        <f>SUM(N418:N419)</f>
        <v>0</v>
      </c>
      <c r="O420" s="330">
        <f>+O419-O418</f>
        <v>88184.41</v>
      </c>
      <c r="P420" s="331">
        <f>+P419-P418</f>
        <v>16534.580000000002</v>
      </c>
      <c r="Q420" s="330">
        <f>+Q419-Q418</f>
        <v>13227.66</v>
      </c>
      <c r="R420" s="341"/>
      <c r="S420" s="382">
        <f>+S419-S418</f>
        <v>3306.92</v>
      </c>
      <c r="T420" s="378"/>
      <c r="U420" s="307" t="s">
        <v>186</v>
      </c>
    </row>
    <row r="421" spans="1:22" x14ac:dyDescent="0.25">
      <c r="A421" s="125"/>
      <c r="B421" s="7"/>
      <c r="C421" s="125"/>
      <c r="D421" s="125"/>
      <c r="E421" s="125"/>
      <c r="F421" s="125"/>
      <c r="G421" s="483"/>
      <c r="H421" s="483"/>
      <c r="I421" s="483"/>
      <c r="J421" s="483"/>
      <c r="K421" s="484"/>
      <c r="L421" s="484"/>
      <c r="M421" s="484"/>
      <c r="N421" s="485"/>
      <c r="O421" s="483"/>
      <c r="P421" s="483"/>
      <c r="Q421" s="483"/>
      <c r="R421" s="150"/>
      <c r="S421" s="483"/>
      <c r="T421" s="6"/>
    </row>
    <row r="422" spans="1:22" x14ac:dyDescent="0.25">
      <c r="A422" s="125"/>
      <c r="B422" s="7"/>
      <c r="C422" s="125"/>
      <c r="D422" s="125"/>
      <c r="E422" s="125"/>
      <c r="F422" s="125"/>
      <c r="G422" s="483"/>
      <c r="H422" s="483"/>
      <c r="I422" s="483"/>
      <c r="J422" s="483"/>
      <c r="K422" s="484"/>
      <c r="L422" s="484"/>
      <c r="M422" s="484"/>
      <c r="N422" s="485"/>
      <c r="O422" s="483"/>
      <c r="P422" s="486"/>
      <c r="Q422" s="483"/>
      <c r="R422" s="487"/>
      <c r="S422" s="488"/>
      <c r="T422" s="6"/>
    </row>
    <row r="423" spans="1:22" x14ac:dyDescent="0.25">
      <c r="A423" s="394"/>
      <c r="B423" s="321" t="s">
        <v>245</v>
      </c>
    </row>
    <row r="424" spans="1:22" x14ac:dyDescent="0.25">
      <c r="A424" s="313" t="s">
        <v>195</v>
      </c>
      <c r="B424" s="308"/>
      <c r="C424" s="322"/>
      <c r="D424" s="319" t="s">
        <v>19</v>
      </c>
      <c r="E424" s="318" t="s">
        <v>59</v>
      </c>
      <c r="F424" s="319" t="s">
        <v>27</v>
      </c>
      <c r="G424" s="320" t="s">
        <v>35</v>
      </c>
      <c r="H424" s="309" t="s">
        <v>36</v>
      </c>
      <c r="I424" s="309" t="s">
        <v>35</v>
      </c>
      <c r="J424" s="320" t="s">
        <v>36</v>
      </c>
      <c r="K424" s="320" t="s">
        <v>39</v>
      </c>
      <c r="L424" s="320" t="s">
        <v>40</v>
      </c>
      <c r="M424" s="320" t="s">
        <v>42</v>
      </c>
      <c r="N424" s="397" t="s">
        <v>2</v>
      </c>
      <c r="O424" s="323" t="s">
        <v>184</v>
      </c>
      <c r="P424" s="332" t="s">
        <v>166</v>
      </c>
      <c r="Q424" s="332" t="s">
        <v>239</v>
      </c>
      <c r="R424" s="310"/>
      <c r="S424" s="346"/>
    </row>
    <row r="425" spans="1:22" x14ac:dyDescent="0.25">
      <c r="A425" s="324" t="s">
        <v>28</v>
      </c>
      <c r="B425" s="325" t="s">
        <v>11</v>
      </c>
      <c r="C425" s="62" t="s">
        <v>31</v>
      </c>
      <c r="D425" s="62" t="s">
        <v>21</v>
      </c>
      <c r="E425" s="62" t="s">
        <v>101</v>
      </c>
      <c r="F425" s="260" t="s">
        <v>37</v>
      </c>
      <c r="G425" s="236"/>
      <c r="H425" s="236"/>
      <c r="I425" s="236"/>
      <c r="J425" s="540"/>
      <c r="K425" s="312"/>
      <c r="L425" s="312"/>
      <c r="M425" s="312"/>
      <c r="N425" s="236"/>
      <c r="O425" s="245">
        <f>ROUND(G425*I425,2)+ROUND(H425*J425,2)-K425-L425-M425-N425</f>
        <v>0</v>
      </c>
      <c r="P425" s="243">
        <f>ROUND(15%*O425,2)</f>
        <v>0</v>
      </c>
      <c r="Q425" s="243">
        <f>ROUND($O425*R425,2)</f>
        <v>0</v>
      </c>
      <c r="R425" s="244">
        <v>0.15</v>
      </c>
    </row>
    <row r="426" spans="1:22" x14ac:dyDescent="0.25">
      <c r="A426" s="326" t="s">
        <v>28</v>
      </c>
      <c r="B426" s="335" t="str">
        <f>+B425</f>
        <v>31-D</v>
      </c>
      <c r="C426" s="62" t="s">
        <v>31</v>
      </c>
      <c r="D426" s="62" t="s">
        <v>190</v>
      </c>
      <c r="E426" s="62" t="str">
        <f>+E425</f>
        <v>F2</v>
      </c>
      <c r="F426" s="342" t="str">
        <f>F425</f>
        <v>Bls</v>
      </c>
      <c r="G426" s="369"/>
      <c r="H426" s="369">
        <v>2156</v>
      </c>
      <c r="I426" s="369"/>
      <c r="J426" s="541">
        <v>68.201400000000007</v>
      </c>
      <c r="K426" s="328"/>
      <c r="L426" s="328"/>
      <c r="M426" s="328"/>
      <c r="N426" s="455"/>
      <c r="O426" s="344">
        <f>ROUND(G426*I426,2)+ROUND(H426*J426,2)-K426-L426-M426-N426</f>
        <v>147042.22</v>
      </c>
      <c r="P426" s="345">
        <f>ROUND(15%*O426,2)</f>
        <v>22056.33</v>
      </c>
      <c r="Q426" s="345">
        <f>ROUND($O426*R426,2)</f>
        <v>22056.33</v>
      </c>
      <c r="R426" s="50">
        <v>0.15</v>
      </c>
    </row>
    <row r="427" spans="1:22" x14ac:dyDescent="0.25">
      <c r="A427" s="329"/>
      <c r="B427" s="338"/>
      <c r="C427" s="100"/>
      <c r="D427" s="210"/>
      <c r="E427" s="210"/>
      <c r="F427" s="329"/>
      <c r="G427" s="330">
        <f>+G426-G425</f>
        <v>0</v>
      </c>
      <c r="H427" s="330">
        <f>+H426-H425</f>
        <v>2156</v>
      </c>
      <c r="I427" s="330">
        <f>+I426-I425</f>
        <v>0</v>
      </c>
      <c r="J427" s="490">
        <f>+J426-J425</f>
        <v>68.201400000000007</v>
      </c>
      <c r="K427" s="489"/>
      <c r="L427" s="389"/>
      <c r="M427" s="389"/>
      <c r="N427" s="399">
        <f>SUM(N425:N426)</f>
        <v>0</v>
      </c>
      <c r="O427" s="330">
        <f>+O426-O425</f>
        <v>147042.22</v>
      </c>
      <c r="P427" s="331">
        <f>+P426-P425</f>
        <v>22056.33</v>
      </c>
      <c r="Q427" s="330">
        <f>+Q426-Q425</f>
        <v>22056.33</v>
      </c>
      <c r="R427" s="341"/>
    </row>
    <row r="428" spans="1:22" x14ac:dyDescent="0.25">
      <c r="A428" s="125"/>
      <c r="B428" s="7"/>
      <c r="C428" s="125"/>
      <c r="D428" s="125"/>
      <c r="E428" s="125"/>
      <c r="F428" s="125"/>
      <c r="G428" s="483"/>
      <c r="H428" s="483"/>
      <c r="I428" s="536"/>
      <c r="J428" s="536"/>
      <c r="K428" s="484"/>
      <c r="L428" s="484"/>
      <c r="M428" s="484"/>
      <c r="N428" s="485"/>
      <c r="O428" s="483"/>
      <c r="P428" s="486"/>
      <c r="Q428" s="483"/>
      <c r="R428" s="487"/>
      <c r="S428" s="483"/>
      <c r="T428" s="6"/>
      <c r="U428" s="6"/>
      <c r="V428" s="6"/>
    </row>
    <row r="429" spans="1:22" x14ac:dyDescent="0.25">
      <c r="A429" s="125"/>
      <c r="B429" s="7"/>
      <c r="C429" s="125"/>
      <c r="D429" s="125"/>
      <c r="E429" s="125"/>
      <c r="F429" s="125"/>
      <c r="G429" s="483"/>
      <c r="H429" s="483"/>
      <c r="I429" s="536"/>
      <c r="J429" s="536"/>
      <c r="K429" s="484"/>
      <c r="L429" s="484"/>
      <c r="M429" s="484"/>
      <c r="N429" s="485"/>
      <c r="O429" s="483"/>
      <c r="P429" s="486"/>
      <c r="Q429" s="483"/>
      <c r="R429" s="487"/>
      <c r="S429" s="483"/>
      <c r="T429" s="6"/>
      <c r="U429" s="6"/>
      <c r="V429" s="6"/>
    </row>
    <row r="430" spans="1:22" x14ac:dyDescent="0.25">
      <c r="A430" s="394" t="s">
        <v>205</v>
      </c>
      <c r="B430" s="321" t="s">
        <v>260</v>
      </c>
      <c r="N430" s="395"/>
    </row>
    <row r="431" spans="1:22" x14ac:dyDescent="0.25">
      <c r="A431" s="313" t="s">
        <v>164</v>
      </c>
      <c r="B431" s="308"/>
      <c r="C431" s="322"/>
      <c r="D431" s="319" t="s">
        <v>19</v>
      </c>
      <c r="E431" s="318" t="s">
        <v>59</v>
      </c>
      <c r="F431" s="319" t="s">
        <v>27</v>
      </c>
      <c r="G431" s="320" t="s">
        <v>35</v>
      </c>
      <c r="H431" s="309" t="s">
        <v>36</v>
      </c>
      <c r="I431" s="309" t="s">
        <v>35</v>
      </c>
      <c r="J431" s="320" t="s">
        <v>36</v>
      </c>
      <c r="K431" s="320" t="s">
        <v>39</v>
      </c>
      <c r="L431" s="320" t="s">
        <v>40</v>
      </c>
      <c r="M431" s="320" t="s">
        <v>42</v>
      </c>
      <c r="N431" s="397" t="s">
        <v>2</v>
      </c>
      <c r="O431" s="323" t="s">
        <v>184</v>
      </c>
      <c r="P431" s="332" t="s">
        <v>166</v>
      </c>
      <c r="Q431" s="332" t="s">
        <v>43</v>
      </c>
      <c r="R431" s="310"/>
      <c r="S431" s="548" t="s">
        <v>44</v>
      </c>
      <c r="T431" s="310"/>
      <c r="U431" s="532"/>
      <c r="V431" s="532"/>
    </row>
    <row r="432" spans="1:22" x14ac:dyDescent="0.25">
      <c r="A432" s="324" t="s">
        <v>28</v>
      </c>
      <c r="B432" s="325" t="s">
        <v>228</v>
      </c>
      <c r="C432" s="260" t="s">
        <v>31</v>
      </c>
      <c r="D432" s="334" t="s">
        <v>21</v>
      </c>
      <c r="E432" s="334" t="s">
        <v>101</v>
      </c>
      <c r="F432" s="506" t="s">
        <v>37</v>
      </c>
      <c r="G432" s="236">
        <v>55673</v>
      </c>
      <c r="H432" s="236">
        <v>62945</v>
      </c>
      <c r="I432" s="238">
        <v>61.302300000000002</v>
      </c>
      <c r="J432" s="237">
        <v>64.704800000000006</v>
      </c>
      <c r="K432" s="225"/>
      <c r="L432" s="225"/>
      <c r="M432" s="225"/>
      <c r="N432" s="225"/>
      <c r="O432" s="245">
        <f t="shared" ref="O432:O433" si="206">ROUND(G432*I432,2)+ROUND(H432*J432,2)-K432-L432-M432-N432</f>
        <v>7485726.5899999999</v>
      </c>
      <c r="P432" s="243">
        <f t="shared" ref="P432:P433" si="207">ROUND(18.75%*O432,2)</f>
        <v>1403573.74</v>
      </c>
      <c r="Q432" s="243">
        <f>ROUND($O432*R432,2)</f>
        <v>1122858.99</v>
      </c>
      <c r="R432" s="244">
        <v>0.15</v>
      </c>
      <c r="S432" s="243">
        <f>ROUND($O432*T432,2)</f>
        <v>280714.75</v>
      </c>
      <c r="T432" s="286">
        <v>3.7499999999999999E-2</v>
      </c>
      <c r="U432" s="533"/>
      <c r="V432" s="533"/>
    </row>
    <row r="433" spans="1:22" x14ac:dyDescent="0.25">
      <c r="A433" s="326" t="s">
        <v>28</v>
      </c>
      <c r="B433" s="335" t="str">
        <f>B432</f>
        <v>VII-VI Petroleo</v>
      </c>
      <c r="C433" s="62" t="s">
        <v>31</v>
      </c>
      <c r="D433" s="337" t="s">
        <v>190</v>
      </c>
      <c r="E433" s="337"/>
      <c r="F433" s="342" t="str">
        <f>F432</f>
        <v>Bls</v>
      </c>
      <c r="G433" s="327">
        <f>+G432</f>
        <v>55673</v>
      </c>
      <c r="H433" s="327">
        <f t="shared" ref="H433" si="208">+H432</f>
        <v>62945</v>
      </c>
      <c r="I433" s="476">
        <v>61.103400000000001</v>
      </c>
      <c r="J433" s="476">
        <v>64.505899999999997</v>
      </c>
      <c r="K433" s="328"/>
      <c r="L433" s="328"/>
      <c r="M433" s="328"/>
      <c r="N433" s="455"/>
      <c r="O433" s="245">
        <f t="shared" si="206"/>
        <v>7462133.4699999997</v>
      </c>
      <c r="P433" s="243">
        <f t="shared" si="207"/>
        <v>1399150.03</v>
      </c>
      <c r="Q433" s="243">
        <f>ROUND($O433*R433,2)</f>
        <v>1119320.02</v>
      </c>
      <c r="R433" s="244">
        <v>0.15</v>
      </c>
      <c r="S433" s="243">
        <f>ROUND($O433*T433,2)</f>
        <v>279830.01</v>
      </c>
      <c r="T433" s="286">
        <v>3.7499999999999999E-2</v>
      </c>
      <c r="U433" s="533"/>
      <c r="V433" s="533"/>
    </row>
    <row r="434" spans="1:22" x14ac:dyDescent="0.25">
      <c r="A434" s="329"/>
      <c r="B434" s="338" t="s">
        <v>185</v>
      </c>
      <c r="C434" s="100"/>
      <c r="D434" s="210"/>
      <c r="E434" s="210"/>
      <c r="F434" s="329"/>
      <c r="G434" s="386">
        <f>+G433-G432</f>
        <v>0</v>
      </c>
      <c r="H434" s="386">
        <f t="shared" ref="H434:J434" si="209">+H433-H432</f>
        <v>0</v>
      </c>
      <c r="I434" s="490">
        <f t="shared" si="209"/>
        <v>-0.19890000000000185</v>
      </c>
      <c r="J434" s="490">
        <f t="shared" si="209"/>
        <v>-0.19890000000000896</v>
      </c>
      <c r="K434" s="389">
        <f t="shared" ref="K434:Q434" si="210">K433-K432</f>
        <v>0</v>
      </c>
      <c r="L434" s="389">
        <f t="shared" si="210"/>
        <v>0</v>
      </c>
      <c r="M434" s="389">
        <f t="shared" si="210"/>
        <v>0</v>
      </c>
      <c r="N434" s="399">
        <f t="shared" si="210"/>
        <v>0</v>
      </c>
      <c r="O434" s="311">
        <f t="shared" si="210"/>
        <v>-23593.120000000112</v>
      </c>
      <c r="P434" s="461">
        <f t="shared" si="210"/>
        <v>-4423.7099999999627</v>
      </c>
      <c r="Q434" s="311">
        <f t="shared" si="210"/>
        <v>-3538.9699999999721</v>
      </c>
      <c r="R434" s="462"/>
      <c r="S434" s="311">
        <f>+S433-S432</f>
        <v>-884.73999999999069</v>
      </c>
      <c r="T434" s="371"/>
      <c r="U434" s="6"/>
      <c r="V434" s="6"/>
    </row>
    <row r="435" spans="1:22" x14ac:dyDescent="0.25">
      <c r="A435" s="125"/>
      <c r="B435" s="7"/>
      <c r="C435" s="125"/>
      <c r="D435" s="125"/>
      <c r="E435" s="125"/>
      <c r="F435" s="125"/>
      <c r="G435" s="483"/>
      <c r="H435" s="483"/>
      <c r="I435" s="536"/>
      <c r="J435" s="536"/>
      <c r="K435" s="484"/>
      <c r="L435" s="484"/>
      <c r="M435" s="484"/>
      <c r="N435" s="485"/>
      <c r="O435" s="483"/>
      <c r="P435" s="486"/>
      <c r="Q435" s="483"/>
      <c r="R435" s="487"/>
      <c r="S435" s="483"/>
      <c r="T435" s="6"/>
      <c r="U435" s="6"/>
      <c r="V435" s="6"/>
    </row>
    <row r="436" spans="1:22" x14ac:dyDescent="0.25">
      <c r="T436" s="346"/>
    </row>
    <row r="437" spans="1:22" x14ac:dyDescent="0.25">
      <c r="N437" s="395" t="s">
        <v>1</v>
      </c>
      <c r="O437" s="72">
        <f>O434+O427+O420+O414+O407+O401+O395+O389+O383+O377+O371+O365+O359+O353+O347+O341+O335+O329+O323+O317+O311+O305+O299+O293+O287+O281+O275+O269+O263+O257+O251+O245+O239+O233+O227+O221+O215+O209+O203+O197+O191+O185+O179+O173+O167+O161+O155+O149+O143+O137+O131+O125+O119+O113+O107+O101+O95+O89</f>
        <v>2622270.3778975252</v>
      </c>
      <c r="P437" s="72">
        <f>P434+P427+P420+P414+P407+P401+P395+P389+P383+P377+P371+P365+P359+P353+P347+P341+P335+P329+P323+P317+P311+P305+P299+P293+P287+P281+P275+P269+P263+P257+P251+P245+P239+P233+P227+P221+P215+P209+P203+P197+P191+P185+P179+P173+P167+P161+P155+P149+P143+P137+P131+P125+P119+P113+P107+P101+P95+P89</f>
        <v>-77872.21015799942</v>
      </c>
      <c r="Q437" s="72">
        <f>Q434+Q427+Q420+Q414+Q407+Q401+Q395+Q389+Q383+Q377+Q371+Q365+Q359+Q353+Q347+Q341+Q335+Q329+Q323+Q317+Q311+Q305+Q299+Q293+Q287+Q281+Q275+Q269+Q263+Q257+Q251+Q245+Q239+Q233+Q227+Q221+Q215+Q209+Q203+Q197+Q191+Q185+Q179+Q173+Q167+Q161+Q155+Q149+Q143+Q137+Q131+Q125+Q119+Q113+Q107+Q101+Q95+Q89</f>
        <v>-19545.719999998924</v>
      </c>
      <c r="R437" s="72"/>
      <c r="S437" s="72">
        <f>S434+S420+S414</f>
        <v>5574.8200000000088</v>
      </c>
      <c r="T437" s="72"/>
    </row>
    <row r="438" spans="1:22" x14ac:dyDescent="0.25">
      <c r="N438" s="395"/>
      <c r="O438" s="395"/>
      <c r="P438" s="72"/>
      <c r="Q438" s="72"/>
      <c r="R438" s="72"/>
      <c r="S438" s="72"/>
      <c r="T438" s="72"/>
    </row>
    <row r="439" spans="1:22" x14ac:dyDescent="0.25">
      <c r="M439" s="550" t="s">
        <v>205</v>
      </c>
      <c r="N439" s="395" t="s">
        <v>206</v>
      </c>
      <c r="O439" s="497">
        <f>O434</f>
        <v>-23593.120000000112</v>
      </c>
      <c r="P439" s="497">
        <f t="shared" ref="P439:S439" si="211">P434</f>
        <v>-4423.7099999999627</v>
      </c>
      <c r="Q439" s="497">
        <f t="shared" si="211"/>
        <v>-3538.9699999999721</v>
      </c>
      <c r="R439" s="497"/>
      <c r="S439" s="497">
        <f t="shared" si="211"/>
        <v>-884.73999999999069</v>
      </c>
      <c r="T439" s="497"/>
    </row>
    <row r="440" spans="1:22" x14ac:dyDescent="0.25">
      <c r="N440" s="395"/>
      <c r="O440" s="498">
        <f>O439</f>
        <v>-23593.120000000112</v>
      </c>
      <c r="P440" s="498">
        <f t="shared" ref="P440:S440" si="212">P439</f>
        <v>-4423.7099999999627</v>
      </c>
      <c r="Q440" s="498">
        <f t="shared" si="212"/>
        <v>-3538.9699999999721</v>
      </c>
      <c r="R440" s="498"/>
      <c r="S440" s="498">
        <f t="shared" si="212"/>
        <v>-884.73999999999069</v>
      </c>
      <c r="T440" s="498"/>
    </row>
    <row r="441" spans="1:22" x14ac:dyDescent="0.25">
      <c r="N441" s="395"/>
      <c r="O441" s="498"/>
      <c r="P441" s="498"/>
      <c r="Q441" s="498"/>
      <c r="R441" s="498"/>
      <c r="S441" s="498"/>
      <c r="T441" s="498"/>
    </row>
    <row r="442" spans="1:22" x14ac:dyDescent="0.25">
      <c r="M442" s="550" t="s">
        <v>235</v>
      </c>
      <c r="N442" s="395" t="s">
        <v>238</v>
      </c>
      <c r="O442" s="491">
        <f>O427</f>
        <v>147042.22</v>
      </c>
      <c r="P442" s="491">
        <f t="shared" ref="P442:Q442" si="213">P427</f>
        <v>22056.33</v>
      </c>
      <c r="Q442" s="491">
        <f t="shared" si="213"/>
        <v>22056.33</v>
      </c>
      <c r="R442" s="348"/>
      <c r="S442" s="348"/>
      <c r="T442" s="498"/>
    </row>
    <row r="443" spans="1:22" x14ac:dyDescent="0.25">
      <c r="N443" s="395"/>
      <c r="O443" s="348">
        <f>O442</f>
        <v>147042.22</v>
      </c>
      <c r="P443" s="348">
        <f t="shared" ref="P443:Q443" si="214">P442</f>
        <v>22056.33</v>
      </c>
      <c r="Q443" s="348">
        <f t="shared" si="214"/>
        <v>22056.33</v>
      </c>
      <c r="R443" s="348"/>
      <c r="S443" s="348"/>
      <c r="T443" s="498"/>
    </row>
    <row r="444" spans="1:22" x14ac:dyDescent="0.25">
      <c r="N444" s="395"/>
      <c r="O444" s="395"/>
      <c r="P444" s="498"/>
      <c r="Q444" s="498"/>
      <c r="R444" s="498"/>
      <c r="S444" s="498"/>
      <c r="T444" s="498"/>
    </row>
    <row r="445" spans="1:22" x14ac:dyDescent="0.25">
      <c r="M445" s="550" t="s">
        <v>203</v>
      </c>
      <c r="N445" s="395" t="s">
        <v>237</v>
      </c>
      <c r="O445" s="546">
        <f>O419</f>
        <v>88184.41</v>
      </c>
      <c r="P445" s="546">
        <f t="shared" ref="P445:Q445" si="215">P419</f>
        <v>16534.580000000002</v>
      </c>
      <c r="Q445" s="546">
        <f t="shared" si="215"/>
        <v>13227.66</v>
      </c>
      <c r="R445" s="546"/>
      <c r="S445" s="546">
        <f t="shared" ref="S445" si="216">S419</f>
        <v>3306.92</v>
      </c>
      <c r="T445" s="498"/>
    </row>
    <row r="446" spans="1:22" x14ac:dyDescent="0.25">
      <c r="N446" s="395" t="s">
        <v>230</v>
      </c>
      <c r="O446" s="491">
        <f>O414</f>
        <v>84070.45</v>
      </c>
      <c r="P446" s="491">
        <f t="shared" ref="P446:Q446" si="217">P414</f>
        <v>15763.21</v>
      </c>
      <c r="Q446" s="491">
        <f t="shared" si="217"/>
        <v>12610.57</v>
      </c>
      <c r="R446" s="547"/>
      <c r="S446" s="491">
        <f t="shared" ref="S446" si="218">S414</f>
        <v>3152.64</v>
      </c>
      <c r="T446" s="498"/>
    </row>
    <row r="447" spans="1:22" x14ac:dyDescent="0.25">
      <c r="N447" s="395"/>
      <c r="O447" s="348">
        <f>SUM(O445:O446)</f>
        <v>172254.86</v>
      </c>
      <c r="P447" s="348">
        <f t="shared" ref="P447:S447" si="219">SUM(P445:P446)</f>
        <v>32297.79</v>
      </c>
      <c r="Q447" s="348">
        <f t="shared" si="219"/>
        <v>25838.23</v>
      </c>
      <c r="R447" s="348"/>
      <c r="S447" s="348">
        <f t="shared" si="219"/>
        <v>6459.5599999999995</v>
      </c>
      <c r="T447" s="498"/>
    </row>
    <row r="448" spans="1:22" x14ac:dyDescent="0.25">
      <c r="N448" s="395"/>
      <c r="O448" s="348"/>
      <c r="P448" s="348"/>
      <c r="Q448" s="348"/>
      <c r="R448" s="498"/>
      <c r="S448" s="498"/>
      <c r="T448" s="498"/>
    </row>
    <row r="449" spans="1:20" x14ac:dyDescent="0.25">
      <c r="M449" s="550" t="s">
        <v>187</v>
      </c>
      <c r="N449" s="395" t="s">
        <v>207</v>
      </c>
      <c r="O449" s="74">
        <f>O89</f>
        <v>429.27016221010126</v>
      </c>
      <c r="P449" s="74">
        <f t="shared" ref="P449:Q449" si="220">P89</f>
        <v>159.85999999998603</v>
      </c>
      <c r="Q449" s="74">
        <f t="shared" si="220"/>
        <v>79.929999999993015</v>
      </c>
      <c r="R449" s="74"/>
      <c r="S449" s="74"/>
      <c r="T449" s="74"/>
    </row>
    <row r="450" spans="1:20" x14ac:dyDescent="0.25">
      <c r="N450" s="395" t="s">
        <v>192</v>
      </c>
      <c r="O450" s="496">
        <f>O95</f>
        <v>884982.94348400086</v>
      </c>
      <c r="P450" s="496">
        <f t="shared" ref="P450:Q450" si="221">P95</f>
        <v>85322.528652000008</v>
      </c>
      <c r="Q450" s="496">
        <f t="shared" si="221"/>
        <v>42661.270000000019</v>
      </c>
      <c r="R450" s="496"/>
      <c r="S450" s="74"/>
      <c r="T450" s="74"/>
    </row>
    <row r="451" spans="1:20" x14ac:dyDescent="0.25">
      <c r="N451" s="395" t="s">
        <v>204</v>
      </c>
      <c r="O451" s="192">
        <f>O119</f>
        <v>2433323.4070000015</v>
      </c>
      <c r="P451" s="192">
        <f t="shared" ref="P451:Q451" si="222">P119</f>
        <v>156198.80119000003</v>
      </c>
      <c r="Q451" s="192">
        <f t="shared" si="222"/>
        <v>78099.400000000023</v>
      </c>
      <c r="R451" s="496"/>
      <c r="S451" s="74"/>
      <c r="T451" s="74"/>
    </row>
    <row r="452" spans="1:20" x14ac:dyDescent="0.25">
      <c r="N452" s="395" t="s">
        <v>202</v>
      </c>
      <c r="O452" s="496">
        <f>O101+O107</f>
        <v>-979388.74633045495</v>
      </c>
      <c r="P452" s="496">
        <f t="shared" ref="P452:Q452" si="223">P101+P107</f>
        <v>-364724.3599999994</v>
      </c>
      <c r="Q452" s="496">
        <f t="shared" si="223"/>
        <v>-182362.16999999899</v>
      </c>
      <c r="R452" s="496"/>
      <c r="S452" s="74"/>
      <c r="T452" s="74"/>
    </row>
    <row r="453" spans="1:20" x14ac:dyDescent="0.25">
      <c r="N453" s="395" t="s">
        <v>262</v>
      </c>
      <c r="O453" s="496">
        <f>O407+O401+O395+O389+O383+O377+O371+O365+O359+O353+O347+O341+O335+O329+O323+O317+O311+O305+O299+O293+O287+O281+O275+O269+O263+O257+O251+O245+O239+O233+O227+O221+O215+O209+O203+O197+O191+O185+O179+O173+O167+O161+O155+O149+O143+O137+O131+O125</f>
        <v>-12658.265949481953</v>
      </c>
      <c r="P453" s="496">
        <f>P407+P401+P395+P389+P383+P377+P371+P365+P359+P353+P347+P341+P335+P329+P323+P317+P311+P305+P299+P293+P287+P281+P275+P269+P263+P257+P251+P245+P239+P233+P227+P221+P215+P209+P203+P197+P191+P185+P179+P173+P167+P161+P155+P149+P143+P137+P131+P125</f>
        <v>-4713.9400000000278</v>
      </c>
      <c r="Q453" s="496">
        <f>Q407+Q401+Q395+Q389+Q383+Q377+Q371+Q365+Q359+Q353+Q347+Q341+Q335+Q329+Q323+Q317+Q311+Q305+Q299+Q293+Q287+Q281+Q275+Q269+Q263+Q257+Q251+Q245+Q239+Q233+Q227+Q221+Q215+Q209+Q203+Q197+Q191+Q185+Q179+Q173+Q167+Q161+Q155+Q149+Q143+Q137+Q131+Q125</f>
        <v>-2356.9800000000241</v>
      </c>
      <c r="R453" s="496"/>
      <c r="S453" s="74"/>
      <c r="T453" s="74"/>
    </row>
    <row r="454" spans="1:20" x14ac:dyDescent="0.25">
      <c r="N454" s="395"/>
      <c r="O454" s="522">
        <f>SUM(O449:O453)</f>
        <v>2326688.6083662752</v>
      </c>
      <c r="P454" s="522">
        <f>SUM(P449:P453)</f>
        <v>-127757.11015799941</v>
      </c>
      <c r="Q454" s="522">
        <f>SUM(Q449:Q453)</f>
        <v>-63878.549999998984</v>
      </c>
      <c r="R454" s="522"/>
      <c r="S454" s="538"/>
      <c r="T454" s="74"/>
    </row>
    <row r="455" spans="1:20" x14ac:dyDescent="0.25">
      <c r="N455" s="395"/>
      <c r="O455" s="395"/>
      <c r="P455" s="74"/>
      <c r="Q455" s="74"/>
      <c r="R455" s="74"/>
      <c r="S455" s="74"/>
      <c r="T455" s="74"/>
    </row>
    <row r="456" spans="1:20" x14ac:dyDescent="0.25">
      <c r="N456" s="395" t="s">
        <v>1</v>
      </c>
      <c r="O456" s="498">
        <f>+O454+O447+O443+O440</f>
        <v>2622392.5683662752</v>
      </c>
      <c r="P456" s="498">
        <f>+P454+P447+P443+P440</f>
        <v>-77826.700157999367</v>
      </c>
      <c r="Q456" s="498">
        <f>+Q454+Q447+Q443+Q440</f>
        <v>-19522.959999998959</v>
      </c>
      <c r="R456" s="496"/>
      <c r="S456" s="498">
        <f>+S454+S447+S443+S440</f>
        <v>5574.8200000000088</v>
      </c>
      <c r="T456" s="496"/>
    </row>
    <row r="457" spans="1:20" x14ac:dyDescent="0.25">
      <c r="N457" s="395"/>
      <c r="O457" s="395"/>
      <c r="P457" s="74"/>
      <c r="Q457" s="74"/>
      <c r="R457" s="74"/>
      <c r="S457" s="74"/>
      <c r="T457" s="74"/>
    </row>
    <row r="458" spans="1:20" x14ac:dyDescent="0.25">
      <c r="N458" s="395" t="s">
        <v>209</v>
      </c>
      <c r="O458" s="74">
        <f>+O456-O437</f>
        <v>122.19046874996275</v>
      </c>
      <c r="P458" s="74">
        <f>+P456-P437</f>
        <v>45.510000000052969</v>
      </c>
      <c r="Q458" s="74">
        <f>+Q456-Q437</f>
        <v>22.759999999965657</v>
      </c>
      <c r="R458" s="74"/>
      <c r="S458" s="74">
        <f>+S456-S437</f>
        <v>0</v>
      </c>
      <c r="T458" s="74"/>
    </row>
    <row r="460" spans="1:20" x14ac:dyDescent="0.25">
      <c r="A460" s="125"/>
      <c r="B460" s="7"/>
      <c r="C460" s="125"/>
      <c r="D460" s="125"/>
      <c r="E460" s="125"/>
      <c r="F460" s="125"/>
      <c r="G460" s="483"/>
      <c r="H460" s="483"/>
      <c r="I460" s="483"/>
      <c r="J460" s="483"/>
      <c r="K460" s="484"/>
      <c r="L460" s="484"/>
      <c r="M460" s="484"/>
      <c r="N460" s="485"/>
      <c r="O460" s="483">
        <f>+O330</f>
        <v>0</v>
      </c>
      <c r="P460" s="483">
        <f>+P330</f>
        <v>0</v>
      </c>
      <c r="Q460" s="483">
        <f>+Q330</f>
        <v>0</v>
      </c>
      <c r="R460" s="150"/>
    </row>
    <row r="464" spans="1:20" x14ac:dyDescent="0.25">
      <c r="O464" s="74"/>
    </row>
    <row r="465" spans="15:15" x14ac:dyDescent="0.25">
      <c r="O465" s="551"/>
    </row>
  </sheetData>
  <mergeCells count="2">
    <mergeCell ref="C7:C8"/>
    <mergeCell ref="O7:O8"/>
  </mergeCells>
  <printOptions horizontalCentered="1" verticalCentered="1"/>
  <pageMargins left="0.25" right="0.25" top="0.5" bottom="0.5" header="0" footer="0"/>
  <pageSetup paperSize="9" scale="51"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90"/>
  <sheetViews>
    <sheetView view="pageBreakPreview" topLeftCell="D1" zoomScale="95" zoomScaleNormal="95" zoomScaleSheetLayoutView="95" workbookViewId="0">
      <selection activeCell="D90" sqref="A90:XFD210"/>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8.1796875" style="307" customWidth="1"/>
    <col min="6" max="6" width="9.81640625" style="307" customWidth="1"/>
    <col min="7" max="11" width="10.453125" style="217" customWidth="1"/>
    <col min="12" max="14" width="10.453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44197</v>
      </c>
      <c r="F1" s="300">
        <v>3.6549999999999998</v>
      </c>
    </row>
    <row r="2" spans="1:20" x14ac:dyDescent="0.25">
      <c r="A2" s="3" t="s">
        <v>0</v>
      </c>
    </row>
    <row r="3" spans="1:20" x14ac:dyDescent="0.25">
      <c r="A3" s="144" t="s">
        <v>109</v>
      </c>
      <c r="B3" s="214"/>
      <c r="C3" s="144"/>
      <c r="D3" s="144"/>
      <c r="E3" s="144"/>
      <c r="F3" s="144"/>
      <c r="G3" s="144"/>
      <c r="H3" s="144"/>
      <c r="I3" s="144"/>
      <c r="J3" s="144"/>
      <c r="K3" s="144"/>
      <c r="L3" s="144"/>
      <c r="M3" s="144"/>
      <c r="N3" s="144"/>
      <c r="O3" s="144"/>
      <c r="P3" s="144"/>
      <c r="Q3" s="144"/>
      <c r="R3" s="144"/>
      <c r="S3" s="144"/>
      <c r="T3" s="144"/>
    </row>
    <row r="4" spans="1:20" x14ac:dyDescent="0.25">
      <c r="A4" s="143" t="s">
        <v>385</v>
      </c>
      <c r="B4" s="215"/>
      <c r="C4" s="143"/>
      <c r="D4" s="143"/>
      <c r="E4" s="143"/>
      <c r="F4" s="143"/>
      <c r="G4" s="143"/>
      <c r="H4" s="143"/>
      <c r="I4" s="143"/>
      <c r="J4" s="143"/>
      <c r="K4" s="143"/>
      <c r="L4" s="143"/>
      <c r="M4" s="143"/>
      <c r="N4" s="143"/>
      <c r="O4" s="143"/>
      <c r="P4" s="143"/>
      <c r="Q4" s="143"/>
      <c r="R4" s="143"/>
      <c r="S4" s="143"/>
      <c r="T4" s="143"/>
    </row>
    <row r="5" spans="1:20" x14ac:dyDescent="0.25">
      <c r="A5" s="143" t="s">
        <v>386</v>
      </c>
      <c r="B5" s="215"/>
      <c r="C5" s="143"/>
      <c r="D5" s="143"/>
      <c r="E5" s="143"/>
      <c r="F5" s="143"/>
      <c r="G5" s="143"/>
      <c r="H5" s="143"/>
      <c r="I5" s="143"/>
      <c r="J5" s="143"/>
      <c r="K5" s="143"/>
      <c r="L5" s="143"/>
      <c r="M5" s="143"/>
      <c r="N5" s="143"/>
      <c r="O5" s="143"/>
      <c r="P5" s="143"/>
      <c r="Q5" s="143"/>
      <c r="R5" s="143"/>
      <c r="S5" s="143"/>
      <c r="T5" s="143"/>
    </row>
    <row r="6" spans="1:20" x14ac:dyDescent="0.25">
      <c r="E6" s="74"/>
      <c r="F6" s="74"/>
      <c r="G6" s="293"/>
      <c r="H6" s="218"/>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236"/>
      <c r="H10" s="236">
        <v>17592</v>
      </c>
      <c r="I10" s="238"/>
      <c r="J10" s="238">
        <v>53.881999999999998</v>
      </c>
      <c r="K10" s="312"/>
      <c r="L10" s="312"/>
      <c r="M10" s="312"/>
      <c r="N10" s="312">
        <v>236.13929999999999</v>
      </c>
      <c r="O10" s="245">
        <v>947656.00069999998</v>
      </c>
      <c r="P10" s="243">
        <v>177685.5</v>
      </c>
      <c r="Q10" s="243">
        <v>142148.4</v>
      </c>
      <c r="R10" s="244">
        <v>0.15</v>
      </c>
      <c r="S10" s="243">
        <v>35537.1</v>
      </c>
      <c r="T10" s="286">
        <v>3.7499999999999999E-2</v>
      </c>
    </row>
    <row r="11" spans="1:20" x14ac:dyDescent="0.25">
      <c r="A11" s="26" t="s">
        <v>28</v>
      </c>
      <c r="B11" s="27" t="s">
        <v>14</v>
      </c>
      <c r="C11" s="62" t="s">
        <v>29</v>
      </c>
      <c r="D11" s="28" t="s">
        <v>21</v>
      </c>
      <c r="E11" s="62" t="s">
        <v>98</v>
      </c>
      <c r="F11" s="260" t="s">
        <v>56</v>
      </c>
      <c r="G11" s="236"/>
      <c r="H11" s="236">
        <v>130347.93</v>
      </c>
      <c r="I11" s="238"/>
      <c r="J11" s="238">
        <v>3.173</v>
      </c>
      <c r="K11" s="312"/>
      <c r="L11" s="312"/>
      <c r="M11" s="312"/>
      <c r="N11" s="312">
        <v>661.19280000000003</v>
      </c>
      <c r="O11" s="245">
        <v>412932.78719999996</v>
      </c>
      <c r="P11" s="243">
        <v>77424.899999999994</v>
      </c>
      <c r="Q11" s="243">
        <v>61939.92</v>
      </c>
      <c r="R11" s="244">
        <v>0.15</v>
      </c>
      <c r="S11" s="243">
        <v>15484.98</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v>0.15</v>
      </c>
      <c r="S12" s="243"/>
      <c r="T12" s="286">
        <v>3.7499999999999999E-2</v>
      </c>
    </row>
    <row r="13" spans="1:20" x14ac:dyDescent="0.25">
      <c r="A13" s="26" t="s">
        <v>28</v>
      </c>
      <c r="B13" s="27" t="s">
        <v>3</v>
      </c>
      <c r="C13" s="62" t="s">
        <v>31</v>
      </c>
      <c r="D13" s="28" t="s">
        <v>30</v>
      </c>
      <c r="E13" s="62" t="s">
        <v>101</v>
      </c>
      <c r="F13" s="260" t="s">
        <v>37</v>
      </c>
      <c r="G13" s="236">
        <v>6265</v>
      </c>
      <c r="H13" s="236">
        <v>6586</v>
      </c>
      <c r="I13" s="238">
        <v>54.513800000000003</v>
      </c>
      <c r="J13" s="238">
        <v>55.3384</v>
      </c>
      <c r="K13" s="312"/>
      <c r="L13" s="312"/>
      <c r="M13" s="312"/>
      <c r="N13" s="312">
        <v>607.21960000000001</v>
      </c>
      <c r="O13" s="245">
        <v>705380.44040000008</v>
      </c>
      <c r="P13" s="243">
        <v>132258.82999999999</v>
      </c>
      <c r="Q13" s="243">
        <v>105807.07</v>
      </c>
      <c r="R13" s="244">
        <v>0.15</v>
      </c>
      <c r="S13" s="243">
        <v>26451.77</v>
      </c>
      <c r="T13" s="286">
        <v>3.7499999999999999E-2</v>
      </c>
    </row>
    <row r="14" spans="1:20" x14ac:dyDescent="0.25">
      <c r="A14" s="267" t="s">
        <v>28</v>
      </c>
      <c r="B14" s="271" t="s">
        <v>176</v>
      </c>
      <c r="C14" s="260" t="s">
        <v>29</v>
      </c>
      <c r="D14" s="268" t="s">
        <v>21</v>
      </c>
      <c r="E14" s="260" t="s">
        <v>98</v>
      </c>
      <c r="F14" s="260" t="s">
        <v>56</v>
      </c>
      <c r="G14" s="236">
        <v>26813.919999999998</v>
      </c>
      <c r="H14" s="236">
        <v>31263</v>
      </c>
      <c r="I14" s="238">
        <v>2.2439</v>
      </c>
      <c r="J14" s="238">
        <v>2.2315</v>
      </c>
      <c r="K14" s="312"/>
      <c r="L14" s="312"/>
      <c r="M14" s="312"/>
      <c r="N14" s="312">
        <v>651.07209999999998</v>
      </c>
      <c r="O14" s="245">
        <v>129280.06790000001</v>
      </c>
      <c r="P14" s="243">
        <v>24240.01</v>
      </c>
      <c r="Q14" s="243">
        <v>19392.009999999998</v>
      </c>
      <c r="R14" s="244">
        <v>0.15</v>
      </c>
      <c r="S14" s="243">
        <v>4848</v>
      </c>
      <c r="T14" s="286">
        <v>3.7499999999999999E-2</v>
      </c>
    </row>
    <row r="15" spans="1:20" x14ac:dyDescent="0.25">
      <c r="A15" s="26" t="s">
        <v>28</v>
      </c>
      <c r="B15" s="27" t="s">
        <v>4</v>
      </c>
      <c r="C15" s="62" t="s">
        <v>31</v>
      </c>
      <c r="D15" s="28" t="s">
        <v>30</v>
      </c>
      <c r="E15" s="62" t="s">
        <v>101</v>
      </c>
      <c r="F15" s="260" t="s">
        <v>37</v>
      </c>
      <c r="G15" s="236">
        <v>8850</v>
      </c>
      <c r="H15" s="236">
        <v>9535</v>
      </c>
      <c r="I15" s="238">
        <v>53.304200000000002</v>
      </c>
      <c r="J15" s="238">
        <v>54.459800000000001</v>
      </c>
      <c r="K15" s="312"/>
      <c r="L15" s="312"/>
      <c r="M15" s="312"/>
      <c r="N15" s="312">
        <v>435.17410000000001</v>
      </c>
      <c r="O15" s="245">
        <v>990581.18590000004</v>
      </c>
      <c r="P15" s="243">
        <v>185733.97</v>
      </c>
      <c r="Q15" s="243">
        <v>148587.18</v>
      </c>
      <c r="R15" s="244">
        <v>0.15</v>
      </c>
      <c r="S15" s="243">
        <v>37146.79</v>
      </c>
      <c r="T15" s="286">
        <v>3.7499999999999999E-2</v>
      </c>
    </row>
    <row r="16" spans="1:20" x14ac:dyDescent="0.25">
      <c r="A16" s="26" t="s">
        <v>28</v>
      </c>
      <c r="B16" s="27" t="s">
        <v>5</v>
      </c>
      <c r="C16" s="62" t="s">
        <v>31</v>
      </c>
      <c r="D16" s="28" t="s">
        <v>30</v>
      </c>
      <c r="E16" s="62" t="s">
        <v>101</v>
      </c>
      <c r="F16" s="260" t="s">
        <v>37</v>
      </c>
      <c r="G16" s="236">
        <v>28451</v>
      </c>
      <c r="H16" s="236">
        <v>29677</v>
      </c>
      <c r="I16" s="238">
        <v>53.304200000000002</v>
      </c>
      <c r="J16" s="238">
        <v>54.459800000000001</v>
      </c>
      <c r="K16" s="312"/>
      <c r="L16" s="312"/>
      <c r="M16" s="312"/>
      <c r="N16" s="312">
        <v>1119.9835</v>
      </c>
      <c r="O16" s="245">
        <v>3131641.2864999999</v>
      </c>
      <c r="P16" s="243">
        <v>587182.74</v>
      </c>
      <c r="Q16" s="243">
        <v>469746.19</v>
      </c>
      <c r="R16" s="244">
        <v>0.15</v>
      </c>
      <c r="S16" s="243">
        <v>117436.55</v>
      </c>
      <c r="T16" s="286">
        <v>3.7499999999999999E-2</v>
      </c>
    </row>
    <row r="17" spans="1:20" x14ac:dyDescent="0.25">
      <c r="A17" s="26" t="s">
        <v>28</v>
      </c>
      <c r="B17" s="27" t="s">
        <v>331</v>
      </c>
      <c r="C17" s="62" t="s">
        <v>31</v>
      </c>
      <c r="D17" s="28" t="s">
        <v>30</v>
      </c>
      <c r="E17" s="62" t="s">
        <v>101</v>
      </c>
      <c r="F17" s="260" t="s">
        <v>56</v>
      </c>
      <c r="G17" s="236">
        <v>12149.21</v>
      </c>
      <c r="H17" s="236">
        <v>5383.34</v>
      </c>
      <c r="I17" s="238">
        <v>3.1615000000000002</v>
      </c>
      <c r="J17" s="238">
        <v>3.1615000000000002</v>
      </c>
      <c r="K17" s="312"/>
      <c r="L17" s="312"/>
      <c r="M17" s="312"/>
      <c r="N17" s="312"/>
      <c r="O17" s="245">
        <v>55429.16</v>
      </c>
      <c r="P17" s="243">
        <v>10392.969999999999</v>
      </c>
      <c r="Q17" s="243">
        <v>8314.3700000000008</v>
      </c>
      <c r="R17" s="244">
        <v>0.15</v>
      </c>
      <c r="S17" s="243">
        <v>2078.59</v>
      </c>
      <c r="T17" s="286">
        <v>3.7499999999999999E-2</v>
      </c>
    </row>
    <row r="18" spans="1:20" x14ac:dyDescent="0.25">
      <c r="A18" s="26" t="s">
        <v>28</v>
      </c>
      <c r="B18" s="27" t="s">
        <v>17</v>
      </c>
      <c r="C18" s="62" t="s">
        <v>29</v>
      </c>
      <c r="D18" s="28" t="s">
        <v>21</v>
      </c>
      <c r="E18" s="62" t="s">
        <v>98</v>
      </c>
      <c r="F18" s="260" t="s">
        <v>37</v>
      </c>
      <c r="G18" s="236"/>
      <c r="H18" s="236">
        <v>2631</v>
      </c>
      <c r="I18" s="238"/>
      <c r="J18" s="238">
        <v>53.881999999999998</v>
      </c>
      <c r="K18" s="312"/>
      <c r="L18" s="312"/>
      <c r="M18" s="312"/>
      <c r="N18" s="312">
        <v>512.76390000000004</v>
      </c>
      <c r="O18" s="245">
        <v>141250.77610000002</v>
      </c>
      <c r="P18" s="243">
        <v>26484.52</v>
      </c>
      <c r="Q18" s="243">
        <v>21187.62</v>
      </c>
      <c r="R18" s="244">
        <v>0.15</v>
      </c>
      <c r="S18" s="243">
        <v>5296.9</v>
      </c>
      <c r="T18" s="286">
        <v>3.7499999999999999E-2</v>
      </c>
    </row>
    <row r="19" spans="1:20" x14ac:dyDescent="0.25">
      <c r="A19" s="26" t="s">
        <v>28</v>
      </c>
      <c r="B19" s="27" t="s">
        <v>6</v>
      </c>
      <c r="C19" s="62" t="s">
        <v>31</v>
      </c>
      <c r="D19" s="28" t="s">
        <v>30</v>
      </c>
      <c r="E19" s="62" t="s">
        <v>101</v>
      </c>
      <c r="F19" s="260" t="s">
        <v>37</v>
      </c>
      <c r="G19" s="236">
        <v>51835</v>
      </c>
      <c r="H19" s="236">
        <v>52329</v>
      </c>
      <c r="I19" s="238">
        <v>52.754199999999997</v>
      </c>
      <c r="J19" s="238">
        <v>53.909799999999997</v>
      </c>
      <c r="K19" s="312"/>
      <c r="L19" s="312"/>
      <c r="M19" s="312"/>
      <c r="N19" s="312">
        <v>3123.8058999999998</v>
      </c>
      <c r="O19" s="245">
        <v>5552436.0740999999</v>
      </c>
      <c r="P19" s="243">
        <v>1041081.76</v>
      </c>
      <c r="Q19" s="243">
        <v>832865.41</v>
      </c>
      <c r="R19" s="244">
        <v>0.15</v>
      </c>
      <c r="S19" s="243">
        <v>208216.35</v>
      </c>
      <c r="T19" s="286">
        <v>3.7499999999999999E-2</v>
      </c>
    </row>
    <row r="20" spans="1:20" x14ac:dyDescent="0.25">
      <c r="A20" s="26" t="s">
        <v>28</v>
      </c>
      <c r="B20" s="29" t="s">
        <v>158</v>
      </c>
      <c r="C20" s="62" t="s">
        <v>29</v>
      </c>
      <c r="D20" s="28" t="s">
        <v>21</v>
      </c>
      <c r="E20" s="62" t="s">
        <v>98</v>
      </c>
      <c r="F20" s="260" t="s">
        <v>37</v>
      </c>
      <c r="G20" s="236"/>
      <c r="H20" s="236"/>
      <c r="I20" s="238"/>
      <c r="J20" s="238"/>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236">
        <v>61491.14</v>
      </c>
      <c r="H21" s="236">
        <v>44546.67</v>
      </c>
      <c r="I21" s="363">
        <v>2.3734000000000002</v>
      </c>
      <c r="J21" s="238">
        <v>2.3734000000000002</v>
      </c>
      <c r="K21" s="312"/>
      <c r="L21" s="312"/>
      <c r="M21" s="312"/>
      <c r="N21" s="312">
        <v>732.03729999999996</v>
      </c>
      <c r="O21" s="245">
        <v>250938.10270000002</v>
      </c>
      <c r="P21" s="243">
        <v>47050.89</v>
      </c>
      <c r="Q21" s="243">
        <v>37640.720000000001</v>
      </c>
      <c r="R21" s="244">
        <v>0.15</v>
      </c>
      <c r="S21" s="243">
        <v>9410.18</v>
      </c>
      <c r="T21" s="286">
        <v>3.7499999999999999E-2</v>
      </c>
    </row>
    <row r="22" spans="1:20" x14ac:dyDescent="0.25">
      <c r="A22" s="26" t="s">
        <v>28</v>
      </c>
      <c r="B22" s="27" t="s">
        <v>18</v>
      </c>
      <c r="C22" s="62" t="s">
        <v>31</v>
      </c>
      <c r="D22" s="28" t="s">
        <v>30</v>
      </c>
      <c r="E22" s="62" t="s">
        <v>101</v>
      </c>
      <c r="F22" s="260" t="s">
        <v>37</v>
      </c>
      <c r="G22" s="236">
        <v>2002</v>
      </c>
      <c r="H22" s="236">
        <v>2901</v>
      </c>
      <c r="I22" s="238">
        <v>53.304200000000002</v>
      </c>
      <c r="J22" s="238">
        <v>54.459800000000001</v>
      </c>
      <c r="K22" s="312"/>
      <c r="L22" s="312"/>
      <c r="M22" s="312"/>
      <c r="N22" s="312">
        <v>253.00800000000001</v>
      </c>
      <c r="O22" s="245">
        <v>264449.88200000004</v>
      </c>
      <c r="P22" s="243">
        <v>49584.35</v>
      </c>
      <c r="Q22" s="243">
        <v>39667.480000000003</v>
      </c>
      <c r="R22" s="244">
        <v>0.15</v>
      </c>
      <c r="S22" s="243">
        <v>9916.8700000000008</v>
      </c>
      <c r="T22" s="286">
        <v>3.7499999999999999E-2</v>
      </c>
    </row>
    <row r="23" spans="1:20" x14ac:dyDescent="0.25">
      <c r="A23" s="26" t="s">
        <v>28</v>
      </c>
      <c r="B23" s="29" t="s">
        <v>20</v>
      </c>
      <c r="C23" s="62" t="s">
        <v>31</v>
      </c>
      <c r="D23" s="28" t="s">
        <v>30</v>
      </c>
      <c r="E23" s="62" t="s">
        <v>101</v>
      </c>
      <c r="F23" s="260" t="s">
        <v>37</v>
      </c>
      <c r="G23" s="236">
        <v>182223</v>
      </c>
      <c r="H23" s="236">
        <v>191910</v>
      </c>
      <c r="I23" s="238">
        <v>53.304200000000002</v>
      </c>
      <c r="J23" s="238">
        <v>54.459800000000001</v>
      </c>
      <c r="K23" s="312"/>
      <c r="L23" s="312"/>
      <c r="M23" s="312"/>
      <c r="N23" s="312">
        <v>3909.819</v>
      </c>
      <c r="O23" s="245">
        <v>20160721.641000003</v>
      </c>
      <c r="P23" s="243">
        <v>3780135.31</v>
      </c>
      <c r="Q23" s="243">
        <v>3024108.25</v>
      </c>
      <c r="R23" s="244">
        <v>0.15</v>
      </c>
      <c r="S23" s="243">
        <v>756027.06</v>
      </c>
      <c r="T23" s="286">
        <v>3.7499999999999999E-2</v>
      </c>
    </row>
    <row r="24" spans="1:20" x14ac:dyDescent="0.25">
      <c r="A24" s="26" t="s">
        <v>28</v>
      </c>
      <c r="B24" s="27" t="s">
        <v>8</v>
      </c>
      <c r="C24" s="62" t="s">
        <v>31</v>
      </c>
      <c r="D24" s="28" t="s">
        <v>21</v>
      </c>
      <c r="E24" s="62" t="s">
        <v>101</v>
      </c>
      <c r="F24" s="260" t="s">
        <v>56</v>
      </c>
      <c r="G24" s="236">
        <v>267428.8</v>
      </c>
      <c r="H24" s="236">
        <v>266391.19</v>
      </c>
      <c r="I24" s="363">
        <v>1.8721000000000001</v>
      </c>
      <c r="J24" s="238">
        <v>1.8721000000000001</v>
      </c>
      <c r="K24" s="312"/>
      <c r="L24" s="312"/>
      <c r="M24" s="312"/>
      <c r="N24" s="312">
        <v>772.51710000000003</v>
      </c>
      <c r="O24" s="245">
        <v>998591.89289999998</v>
      </c>
      <c r="P24" s="243">
        <v>187235.98</v>
      </c>
      <c r="Q24" s="243">
        <v>149788.78</v>
      </c>
      <c r="R24" s="244">
        <v>0.15</v>
      </c>
      <c r="S24" s="243">
        <v>37447.199999999997</v>
      </c>
      <c r="T24" s="286">
        <v>3.7499999999999999E-2</v>
      </c>
    </row>
    <row r="25" spans="1:20" x14ac:dyDescent="0.25">
      <c r="A25" s="26" t="s">
        <v>28</v>
      </c>
      <c r="B25" s="29" t="s">
        <v>57</v>
      </c>
      <c r="C25" s="62" t="s">
        <v>31</v>
      </c>
      <c r="D25" s="28" t="s">
        <v>21</v>
      </c>
      <c r="E25" s="62" t="s">
        <v>101</v>
      </c>
      <c r="F25" s="260" t="s">
        <v>37</v>
      </c>
      <c r="G25" s="236"/>
      <c r="H25" s="236"/>
      <c r="I25" s="238"/>
      <c r="J25" s="238"/>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236">
        <v>397</v>
      </c>
      <c r="H26" s="236">
        <v>540</v>
      </c>
      <c r="I26" s="238">
        <v>54.305799999999998</v>
      </c>
      <c r="J26" s="238">
        <v>54.922400000000003</v>
      </c>
      <c r="K26" s="312"/>
      <c r="L26" s="312"/>
      <c r="M26" s="312"/>
      <c r="N26" s="312">
        <v>276.62189999999998</v>
      </c>
      <c r="O26" s="245">
        <v>50940.878100000002</v>
      </c>
      <c r="P26" s="243">
        <v>9551.41</v>
      </c>
      <c r="Q26" s="243">
        <v>7641.13</v>
      </c>
      <c r="R26" s="244">
        <v>0.15</v>
      </c>
      <c r="S26" s="243">
        <v>1910.28</v>
      </c>
      <c r="T26" s="286">
        <v>3.7499999999999999E-2</v>
      </c>
    </row>
    <row r="27" spans="1:20" x14ac:dyDescent="0.25">
      <c r="A27" s="26" t="s">
        <v>28</v>
      </c>
      <c r="B27" s="29" t="s">
        <v>168</v>
      </c>
      <c r="C27" s="62" t="s">
        <v>31</v>
      </c>
      <c r="D27" s="28" t="s">
        <v>30</v>
      </c>
      <c r="E27" s="62" t="s">
        <v>101</v>
      </c>
      <c r="F27" s="260" t="s">
        <v>37</v>
      </c>
      <c r="G27" s="236">
        <v>13785</v>
      </c>
      <c r="H27" s="236">
        <v>21066</v>
      </c>
      <c r="I27" s="238">
        <v>51.324199999999998</v>
      </c>
      <c r="J27" s="238">
        <v>52.479799999999997</v>
      </c>
      <c r="K27" s="312"/>
      <c r="L27" s="312"/>
      <c r="M27" s="312"/>
      <c r="N27" s="312">
        <v>2624.5351999999998</v>
      </c>
      <c r="O27" s="245">
        <v>1810419.0347999998</v>
      </c>
      <c r="P27" s="243">
        <v>339453.57</v>
      </c>
      <c r="Q27" s="243">
        <v>271562.86</v>
      </c>
      <c r="R27" s="244">
        <v>0.15</v>
      </c>
      <c r="S27" s="243">
        <v>67890.710000000006</v>
      </c>
      <c r="T27" s="286">
        <v>3.7499999999999999E-2</v>
      </c>
    </row>
    <row r="28" spans="1:20" x14ac:dyDescent="0.25">
      <c r="A28" s="26" t="s">
        <v>28</v>
      </c>
      <c r="B28" s="29" t="s">
        <v>191</v>
      </c>
      <c r="C28" s="62" t="s">
        <v>31</v>
      </c>
      <c r="D28" s="28" t="s">
        <v>30</v>
      </c>
      <c r="E28" s="62" t="s">
        <v>101</v>
      </c>
      <c r="F28" s="260" t="s">
        <v>37</v>
      </c>
      <c r="G28" s="236"/>
      <c r="H28" s="236"/>
      <c r="I28" s="238"/>
      <c r="J28" s="238"/>
      <c r="K28" s="312"/>
      <c r="L28" s="312"/>
      <c r="M28" s="312"/>
      <c r="N28" s="312"/>
      <c r="O28" s="245">
        <v>0</v>
      </c>
      <c r="P28" s="243">
        <v>0</v>
      </c>
      <c r="Q28" s="243">
        <v>0</v>
      </c>
      <c r="R28" s="244">
        <v>0.15</v>
      </c>
      <c r="S28" s="243">
        <v>0</v>
      </c>
      <c r="T28" s="286">
        <v>3.7499999999999999E-2</v>
      </c>
    </row>
    <row r="29" spans="1:20" x14ac:dyDescent="0.25">
      <c r="A29" s="26" t="s">
        <v>28</v>
      </c>
      <c r="B29" s="29" t="s">
        <v>324</v>
      </c>
      <c r="C29" s="62" t="s">
        <v>31</v>
      </c>
      <c r="D29" s="28" t="s">
        <v>30</v>
      </c>
      <c r="E29" s="62" t="s">
        <v>101</v>
      </c>
      <c r="F29" s="260" t="s">
        <v>56</v>
      </c>
      <c r="G29" s="236">
        <v>109238.63</v>
      </c>
      <c r="H29" s="236">
        <v>111420.98</v>
      </c>
      <c r="I29" s="238">
        <v>1.5</v>
      </c>
      <c r="J29" s="238">
        <v>1.5</v>
      </c>
      <c r="K29" s="312"/>
      <c r="L29" s="312"/>
      <c r="M29" s="312"/>
      <c r="N29" s="312">
        <v>1089.6215999999999</v>
      </c>
      <c r="O29" s="245">
        <v>329899.79840000003</v>
      </c>
      <c r="P29" s="243">
        <v>61856.21</v>
      </c>
      <c r="Q29" s="243">
        <v>49484.97</v>
      </c>
      <c r="R29" s="244">
        <v>0.15</v>
      </c>
      <c r="S29" s="243">
        <v>12371.24</v>
      </c>
      <c r="T29" s="286">
        <v>3.7499999999999999E-2</v>
      </c>
    </row>
    <row r="30" spans="1:20" x14ac:dyDescent="0.25">
      <c r="A30" s="26" t="s">
        <v>28</v>
      </c>
      <c r="B30" s="29" t="s">
        <v>325</v>
      </c>
      <c r="C30" s="62" t="s">
        <v>31</v>
      </c>
      <c r="D30" s="28" t="s">
        <v>30</v>
      </c>
      <c r="E30" s="62" t="s">
        <v>101</v>
      </c>
      <c r="F30" s="260" t="s">
        <v>56</v>
      </c>
      <c r="G30" s="236">
        <v>67408.289999999994</v>
      </c>
      <c r="H30" s="236">
        <v>100421.55</v>
      </c>
      <c r="I30" s="238">
        <v>3.2732999999999999</v>
      </c>
      <c r="J30" s="238">
        <v>3.3239000000000001</v>
      </c>
      <c r="K30" s="312"/>
      <c r="L30" s="312"/>
      <c r="M30" s="312"/>
      <c r="N30" s="312"/>
      <c r="O30" s="245">
        <v>554438.75</v>
      </c>
      <c r="P30" s="243">
        <v>103957.27</v>
      </c>
      <c r="Q30" s="243">
        <v>83165.81</v>
      </c>
      <c r="R30" s="244">
        <v>0.15</v>
      </c>
      <c r="S30" s="243">
        <v>20791.45</v>
      </c>
      <c r="T30" s="286">
        <v>3.7499999999999999E-2</v>
      </c>
    </row>
    <row r="31" spans="1:20" x14ac:dyDescent="0.25">
      <c r="A31" s="26" t="s">
        <v>28</v>
      </c>
      <c r="B31" s="29" t="s">
        <v>323</v>
      </c>
      <c r="C31" s="62" t="s">
        <v>31</v>
      </c>
      <c r="D31" s="28" t="s">
        <v>30</v>
      </c>
      <c r="E31" s="62" t="s">
        <v>101</v>
      </c>
      <c r="F31" s="260" t="s">
        <v>56</v>
      </c>
      <c r="G31" s="236"/>
      <c r="H31" s="236"/>
      <c r="I31" s="238"/>
      <c r="J31" s="238"/>
      <c r="K31" s="312"/>
      <c r="L31" s="312"/>
      <c r="M31" s="312"/>
      <c r="N31" s="312"/>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c r="H32" s="236"/>
      <c r="I32" s="238"/>
      <c r="J32" s="238"/>
      <c r="K32" s="312"/>
      <c r="L32" s="312"/>
      <c r="M32" s="312"/>
      <c r="N32" s="312"/>
      <c r="O32" s="245">
        <v>0</v>
      </c>
      <c r="P32" s="243">
        <v>0</v>
      </c>
      <c r="Q32" s="243">
        <v>0</v>
      </c>
      <c r="R32" s="244">
        <v>0.15</v>
      </c>
      <c r="S32" s="243">
        <v>0</v>
      </c>
      <c r="T32" s="286">
        <v>3.7499999999999999E-2</v>
      </c>
    </row>
    <row r="33" spans="1:20" x14ac:dyDescent="0.25">
      <c r="A33" s="26" t="s">
        <v>28</v>
      </c>
      <c r="B33" s="29" t="s">
        <v>336</v>
      </c>
      <c r="C33" s="62" t="s">
        <v>31</v>
      </c>
      <c r="D33" s="28" t="s">
        <v>30</v>
      </c>
      <c r="E33" s="62" t="s">
        <v>101</v>
      </c>
      <c r="F33" s="260" t="s">
        <v>56</v>
      </c>
      <c r="G33" s="236">
        <v>1905.46</v>
      </c>
      <c r="H33" s="312">
        <v>2452.02</v>
      </c>
      <c r="I33" s="237">
        <v>3.1</v>
      </c>
      <c r="J33" s="237">
        <v>3.1</v>
      </c>
      <c r="K33" s="312"/>
      <c r="L33" s="312"/>
      <c r="M33" s="312"/>
      <c r="N33" s="236"/>
      <c r="O33" s="245">
        <v>13508.19</v>
      </c>
      <c r="P33" s="243">
        <v>2532.79</v>
      </c>
      <c r="Q33" s="243">
        <v>2026.23</v>
      </c>
      <c r="R33" s="244">
        <v>0.15</v>
      </c>
      <c r="S33" s="243">
        <v>506.56</v>
      </c>
      <c r="T33" s="286">
        <v>3.7499999999999999E-2</v>
      </c>
    </row>
    <row r="34" spans="1:20" x14ac:dyDescent="0.25">
      <c r="A34" s="26" t="s">
        <v>28</v>
      </c>
      <c r="B34" s="27" t="s">
        <v>15</v>
      </c>
      <c r="C34" s="62" t="s">
        <v>29</v>
      </c>
      <c r="D34" s="28" t="s">
        <v>21</v>
      </c>
      <c r="E34" s="62" t="s">
        <v>98</v>
      </c>
      <c r="F34" s="260" t="s">
        <v>37</v>
      </c>
      <c r="G34" s="236"/>
      <c r="H34" s="236">
        <v>178202</v>
      </c>
      <c r="I34" s="238"/>
      <c r="J34" s="238">
        <v>55.3215</v>
      </c>
      <c r="K34" s="312"/>
      <c r="L34" s="312"/>
      <c r="M34" s="312"/>
      <c r="N34" s="312">
        <v>843.35889999999995</v>
      </c>
      <c r="O34" s="245">
        <v>9857558.5811000001</v>
      </c>
      <c r="P34" s="243">
        <v>1848292.23</v>
      </c>
      <c r="Q34" s="243">
        <v>1478633.79</v>
      </c>
      <c r="R34" s="244">
        <v>0.15</v>
      </c>
      <c r="S34" s="243">
        <v>369658.45</v>
      </c>
      <c r="T34" s="286">
        <v>3.7499999999999999E-2</v>
      </c>
    </row>
    <row r="35" spans="1:20" x14ac:dyDescent="0.25">
      <c r="A35" s="26" t="s">
        <v>28</v>
      </c>
      <c r="B35" s="27" t="s">
        <v>16</v>
      </c>
      <c r="C35" s="62" t="s">
        <v>29</v>
      </c>
      <c r="D35" s="28" t="s">
        <v>21</v>
      </c>
      <c r="E35" s="62" t="s">
        <v>98</v>
      </c>
      <c r="F35" s="260" t="s">
        <v>56</v>
      </c>
      <c r="G35" s="236"/>
      <c r="H35" s="236">
        <v>209790.37</v>
      </c>
      <c r="I35" s="238"/>
      <c r="J35" s="238">
        <v>5.3624000000000001</v>
      </c>
      <c r="K35" s="312"/>
      <c r="L35" s="312"/>
      <c r="M35" s="312"/>
      <c r="N35" s="312">
        <v>745.53060000000005</v>
      </c>
      <c r="O35" s="245">
        <v>1124234.3493999999</v>
      </c>
      <c r="P35" s="243">
        <v>210793.94</v>
      </c>
      <c r="Q35" s="243">
        <v>168635.15</v>
      </c>
      <c r="R35" s="244">
        <v>0.15</v>
      </c>
      <c r="S35" s="243">
        <v>42158.79</v>
      </c>
      <c r="T35" s="286">
        <v>3.7499999999999999E-2</v>
      </c>
    </row>
    <row r="36" spans="1:20" x14ac:dyDescent="0.25">
      <c r="A36" s="26" t="s">
        <v>28</v>
      </c>
      <c r="B36" s="27" t="s">
        <v>173</v>
      </c>
      <c r="C36" s="62" t="s">
        <v>31</v>
      </c>
      <c r="D36" s="28" t="s">
        <v>30</v>
      </c>
      <c r="E36" s="62" t="s">
        <v>101</v>
      </c>
      <c r="F36" s="260" t="s">
        <v>37</v>
      </c>
      <c r="G36" s="236">
        <v>198</v>
      </c>
      <c r="H36" s="236">
        <v>230</v>
      </c>
      <c r="I36" s="238">
        <v>53.304200000000002</v>
      </c>
      <c r="J36" s="238">
        <v>54.459800000000001</v>
      </c>
      <c r="K36" s="312"/>
      <c r="L36" s="312"/>
      <c r="M36" s="312"/>
      <c r="N36" s="312">
        <v>161.92490000000001</v>
      </c>
      <c r="O36" s="245">
        <v>22918.055099999998</v>
      </c>
      <c r="P36" s="243">
        <v>4297.1400000000003</v>
      </c>
      <c r="Q36" s="243">
        <v>859.43</v>
      </c>
      <c r="R36" s="286">
        <v>3.7499999999999999E-2</v>
      </c>
      <c r="S36" s="243">
        <v>3437.71</v>
      </c>
      <c r="T36" s="244">
        <v>0.15</v>
      </c>
    </row>
    <row r="37" spans="1:20" x14ac:dyDescent="0.25">
      <c r="A37" s="26" t="s">
        <v>28</v>
      </c>
      <c r="B37" s="216" t="s">
        <v>169</v>
      </c>
      <c r="C37" s="62" t="s">
        <v>31</v>
      </c>
      <c r="D37" s="28" t="s">
        <v>30</v>
      </c>
      <c r="E37" s="62" t="s">
        <v>101</v>
      </c>
      <c r="F37" s="260" t="s">
        <v>37</v>
      </c>
      <c r="G37" s="236"/>
      <c r="H37" s="236"/>
      <c r="I37" s="238"/>
      <c r="J37" s="238"/>
      <c r="K37" s="312"/>
      <c r="L37" s="312"/>
      <c r="M37" s="312"/>
      <c r="N37" s="312"/>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312"/>
      <c r="L38" s="312"/>
      <c r="M38" s="312"/>
      <c r="N38" s="312"/>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24340</v>
      </c>
      <c r="I39" s="238"/>
      <c r="J39" s="238">
        <v>60.038499999999999</v>
      </c>
      <c r="K39" s="312"/>
      <c r="L39" s="312"/>
      <c r="M39" s="312"/>
      <c r="N39" s="312">
        <v>809.62429999999995</v>
      </c>
      <c r="O39" s="245">
        <v>1460527.4657000001</v>
      </c>
      <c r="P39" s="243">
        <v>273848.90000000002</v>
      </c>
      <c r="Q39" s="243">
        <v>219079.12</v>
      </c>
      <c r="R39" s="247">
        <v>0.15</v>
      </c>
      <c r="S39" s="243">
        <v>54769.78</v>
      </c>
      <c r="T39" s="286">
        <v>3.7499999999999999E-2</v>
      </c>
    </row>
    <row r="40" spans="1:20" x14ac:dyDescent="0.25">
      <c r="A40" s="30" t="s">
        <v>28</v>
      </c>
      <c r="B40" s="216" t="s">
        <v>178</v>
      </c>
      <c r="C40" s="62" t="s">
        <v>31</v>
      </c>
      <c r="D40" s="28" t="s">
        <v>30</v>
      </c>
      <c r="E40" s="62" t="s">
        <v>101</v>
      </c>
      <c r="F40" s="260" t="s">
        <v>56</v>
      </c>
      <c r="G40" s="236"/>
      <c r="H40" s="236"/>
      <c r="I40" s="238"/>
      <c r="J40" s="238"/>
      <c r="K40" s="312"/>
      <c r="L40" s="312"/>
      <c r="M40" s="312"/>
      <c r="N40" s="312"/>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-50344.819999999978</v>
      </c>
      <c r="P41" s="245">
        <v>-9439.6699999999801</v>
      </c>
      <c r="Q41" s="245">
        <v>-7551.7199999999903</v>
      </c>
      <c r="R41" s="245"/>
      <c r="S41" s="245">
        <v>-1887.930000000003</v>
      </c>
      <c r="T41" s="244"/>
    </row>
    <row r="42" spans="1:20" x14ac:dyDescent="0.25">
      <c r="A42" s="34"/>
      <c r="B42" s="165" t="s">
        <v>108</v>
      </c>
      <c r="C42" s="35" t="s">
        <v>343</v>
      </c>
      <c r="D42" s="43"/>
      <c r="E42" s="44"/>
      <c r="F42" s="270"/>
      <c r="G42" s="239"/>
      <c r="H42" s="239"/>
      <c r="I42" s="240"/>
      <c r="J42" s="240"/>
      <c r="K42" s="239"/>
      <c r="L42" s="239"/>
      <c r="M42" s="239"/>
      <c r="N42" s="239"/>
      <c r="O42" s="249">
        <v>48915389.579999998</v>
      </c>
      <c r="P42" s="250">
        <v>9171635.5200000014</v>
      </c>
      <c r="Q42" s="251">
        <v>7334730.1700000009</v>
      </c>
      <c r="R42" s="252"/>
      <c r="S42" s="253">
        <v>1836905.3800000001</v>
      </c>
      <c r="T42" s="252"/>
    </row>
    <row r="43" spans="1:20" x14ac:dyDescent="0.25">
      <c r="A43" s="136"/>
      <c r="B43" s="137"/>
      <c r="C43" s="35" t="s">
        <v>344</v>
      </c>
      <c r="D43" s="148"/>
      <c r="E43" s="148"/>
      <c r="F43" s="149"/>
      <c r="G43" s="299"/>
      <c r="H43" s="299"/>
      <c r="I43" s="221"/>
      <c r="J43" s="221"/>
      <c r="K43" s="299"/>
      <c r="L43" s="299"/>
      <c r="M43" s="299"/>
      <c r="N43" s="299"/>
      <c r="O43" s="228"/>
      <c r="P43" s="229">
        <v>33522327.829999998</v>
      </c>
      <c r="Q43" s="495">
        <v>26808438.77</v>
      </c>
      <c r="R43" s="151"/>
      <c r="S43" s="494">
        <v>6713889.1600000001</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24482</v>
      </c>
      <c r="H46" s="236">
        <v>23827</v>
      </c>
      <c r="I46" s="238">
        <v>42.470500000000001</v>
      </c>
      <c r="J46" s="238">
        <v>43.357999999999997</v>
      </c>
      <c r="K46" s="312"/>
      <c r="L46" s="312"/>
      <c r="M46" s="312"/>
      <c r="N46" s="312">
        <v>3258.7442000000001</v>
      </c>
      <c r="O46" s="245">
        <v>2069595.1058</v>
      </c>
      <c r="P46" s="243">
        <v>310439.27</v>
      </c>
      <c r="Q46" s="243">
        <v>310439.27</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2069595.1058</v>
      </c>
      <c r="P48" s="250">
        <v>310439.27</v>
      </c>
      <c r="Q48" s="250">
        <v>310439.27</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1134655.53</v>
      </c>
      <c r="Q49" s="495">
        <v>1134655.53</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8"/>
      <c r="J53" s="238"/>
      <c r="K53" s="312"/>
      <c r="L53" s="312"/>
      <c r="M53" s="312"/>
      <c r="N53" s="245"/>
      <c r="O53" s="245">
        <v>0</v>
      </c>
      <c r="P53" s="243">
        <v>0</v>
      </c>
      <c r="Q53" s="391">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53261.23</v>
      </c>
      <c r="H56" s="236">
        <v>868.55</v>
      </c>
      <c r="I56" s="238">
        <v>3.6549999999999998</v>
      </c>
      <c r="J56" s="238">
        <v>3.6549999999999998</v>
      </c>
      <c r="K56" s="312"/>
      <c r="L56" s="312"/>
      <c r="M56" s="312"/>
      <c r="N56" s="243">
        <v>408.1848</v>
      </c>
      <c r="O56" s="245">
        <v>197436.16519999999</v>
      </c>
      <c r="P56" s="243">
        <v>37019.279999999999</v>
      </c>
      <c r="Q56" s="391">
        <v>7403.86</v>
      </c>
      <c r="R56" s="286">
        <v>3.7499999999999999E-2</v>
      </c>
      <c r="S56" s="243">
        <v>29615.42</v>
      </c>
      <c r="T56" s="244">
        <v>0.15</v>
      </c>
    </row>
    <row r="57" spans="1:20" x14ac:dyDescent="0.25">
      <c r="A57" s="26" t="s">
        <v>28</v>
      </c>
      <c r="B57" s="29" t="s">
        <v>75</v>
      </c>
      <c r="C57" s="62" t="s">
        <v>31</v>
      </c>
      <c r="D57" s="62" t="s">
        <v>30</v>
      </c>
      <c r="E57" s="62" t="s">
        <v>103</v>
      </c>
      <c r="F57" s="261" t="s">
        <v>37</v>
      </c>
      <c r="G57" s="236">
        <v>6888</v>
      </c>
      <c r="H57" s="236">
        <v>7391</v>
      </c>
      <c r="I57" s="238">
        <v>44.292099999999998</v>
      </c>
      <c r="J57" s="238">
        <v>44.7044</v>
      </c>
      <c r="K57" s="312"/>
      <c r="L57" s="312"/>
      <c r="M57" s="312"/>
      <c r="N57" s="243">
        <v>1848.6455000000001</v>
      </c>
      <c r="O57" s="245">
        <v>633645.55449999997</v>
      </c>
      <c r="P57" s="243">
        <v>118808.54</v>
      </c>
      <c r="Q57" s="391">
        <v>23761.71</v>
      </c>
      <c r="R57" s="286">
        <v>3.7499999999999999E-2</v>
      </c>
      <c r="S57" s="243">
        <v>95046.83</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141002</v>
      </c>
      <c r="H60" s="236">
        <v>100506</v>
      </c>
      <c r="I60" s="238">
        <v>38.080599999999997</v>
      </c>
      <c r="J60" s="238">
        <v>39.190199999999997</v>
      </c>
      <c r="K60" s="236"/>
      <c r="L60" s="312"/>
      <c r="M60" s="312"/>
      <c r="N60" s="245">
        <v>4358.4836999999998</v>
      </c>
      <c r="O60" s="245">
        <v>9303932.5163000003</v>
      </c>
      <c r="P60" s="243">
        <v>1744487.35</v>
      </c>
      <c r="Q60" s="391">
        <v>1395589.88</v>
      </c>
      <c r="R60" s="244">
        <v>0.15</v>
      </c>
      <c r="S60" s="243">
        <v>348897.47</v>
      </c>
      <c r="T60" s="286">
        <v>3.7499999999999999E-2</v>
      </c>
    </row>
    <row r="61" spans="1:20" x14ac:dyDescent="0.25">
      <c r="A61" s="26" t="s">
        <v>28</v>
      </c>
      <c r="B61" s="302">
        <v>67</v>
      </c>
      <c r="C61" s="62" t="s">
        <v>31</v>
      </c>
      <c r="D61" s="62" t="s">
        <v>30</v>
      </c>
      <c r="E61" s="62" t="s">
        <v>101</v>
      </c>
      <c r="F61" s="261" t="s">
        <v>37</v>
      </c>
      <c r="G61" s="236"/>
      <c r="H61" s="236"/>
      <c r="I61" s="238"/>
      <c r="J61" s="238"/>
      <c r="K61" s="236"/>
      <c r="L61" s="312"/>
      <c r="M61" s="312"/>
      <c r="N61" s="245"/>
      <c r="O61" s="245">
        <v>0</v>
      </c>
      <c r="P61" s="243">
        <v>0</v>
      </c>
      <c r="Q61" s="391">
        <v>0</v>
      </c>
      <c r="R61" s="244">
        <v>0.15</v>
      </c>
      <c r="S61" s="243">
        <v>0</v>
      </c>
      <c r="T61" s="286">
        <v>3.7499999999999999E-2</v>
      </c>
    </row>
    <row r="62" spans="1:20" x14ac:dyDescent="0.25">
      <c r="A62" s="21" t="s">
        <v>28</v>
      </c>
      <c r="B62" s="33" t="s">
        <v>54</v>
      </c>
      <c r="C62" s="61"/>
      <c r="D62" s="31"/>
      <c r="E62" s="31"/>
      <c r="F62" s="263"/>
      <c r="G62" s="312"/>
      <c r="H62" s="312"/>
      <c r="I62" s="237"/>
      <c r="J62" s="237"/>
      <c r="K62" s="312"/>
      <c r="L62" s="312"/>
      <c r="M62" s="312"/>
      <c r="N62" s="312"/>
      <c r="O62" s="245"/>
      <c r="P62" s="243"/>
      <c r="Q62" s="243"/>
      <c r="R62" s="312"/>
      <c r="S62" s="312"/>
      <c r="T62" s="244"/>
    </row>
    <row r="63" spans="1:20" x14ac:dyDescent="0.25">
      <c r="A63" s="34"/>
      <c r="B63" s="165" t="s">
        <v>108</v>
      </c>
      <c r="C63" s="35" t="s">
        <v>347</v>
      </c>
      <c r="D63" s="22"/>
      <c r="E63" s="22"/>
      <c r="F63" s="279"/>
      <c r="G63" s="277"/>
      <c r="H63" s="277"/>
      <c r="I63" s="278"/>
      <c r="J63" s="265"/>
      <c r="K63" s="264"/>
      <c r="L63" s="264"/>
      <c r="M63" s="264"/>
      <c r="N63" s="249"/>
      <c r="O63" s="249">
        <v>10135014.236</v>
      </c>
      <c r="P63" s="250">
        <v>1900315.1700000002</v>
      </c>
      <c r="Q63" s="250">
        <v>1426755.45</v>
      </c>
      <c r="R63" s="266"/>
      <c r="S63" s="250">
        <v>473559.72</v>
      </c>
      <c r="T63" s="252"/>
    </row>
    <row r="64" spans="1:20" x14ac:dyDescent="0.25">
      <c r="A64" s="157"/>
      <c r="B64" s="158"/>
      <c r="C64" s="35" t="s">
        <v>348</v>
      </c>
      <c r="D64" s="114"/>
      <c r="E64" s="114"/>
      <c r="F64" s="157"/>
      <c r="G64" s="227"/>
      <c r="H64" s="227"/>
      <c r="I64" s="224"/>
      <c r="J64" s="224"/>
      <c r="K64" s="227"/>
      <c r="L64" s="227"/>
      <c r="M64" s="227"/>
      <c r="N64" s="227"/>
      <c r="O64" s="230"/>
      <c r="P64" s="231">
        <v>6945651.9500000002</v>
      </c>
      <c r="Q64" s="494">
        <v>5214791.17</v>
      </c>
      <c r="R64" s="172"/>
      <c r="S64" s="494">
        <v>1730860.78</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730522</v>
      </c>
      <c r="H66" s="312">
        <v>779045</v>
      </c>
      <c r="I66" s="237">
        <v>36.252200000000002</v>
      </c>
      <c r="J66" s="237">
        <v>37.510100000000001</v>
      </c>
      <c r="K66" s="312"/>
      <c r="L66" s="312"/>
      <c r="M66" s="312"/>
      <c r="N66" s="312"/>
      <c r="O66" s="245">
        <v>55705085.502900004</v>
      </c>
      <c r="P66" s="281">
        <v>20744573.84</v>
      </c>
      <c r="Q66" s="243">
        <v>10372286.92</v>
      </c>
      <c r="R66" s="244">
        <v>0.5</v>
      </c>
      <c r="S66" s="243"/>
      <c r="T66" s="286"/>
    </row>
    <row r="67" spans="1:20" x14ac:dyDescent="0.25">
      <c r="A67" s="26" t="s">
        <v>28</v>
      </c>
      <c r="B67" s="27" t="s">
        <v>162</v>
      </c>
      <c r="C67" s="62" t="s">
        <v>31</v>
      </c>
      <c r="D67" s="62" t="s">
        <v>30</v>
      </c>
      <c r="E67" s="62" t="s">
        <v>161</v>
      </c>
      <c r="F67" s="262" t="s">
        <v>56</v>
      </c>
      <c r="G67" s="312">
        <v>7784608.4900000002</v>
      </c>
      <c r="H67" s="312">
        <v>7875338.1299999999</v>
      </c>
      <c r="I67" s="237">
        <v>2.1198000000000001</v>
      </c>
      <c r="J67" s="237">
        <v>2.1198000000000001</v>
      </c>
      <c r="K67" s="312"/>
      <c r="L67" s="312"/>
      <c r="M67" s="312"/>
      <c r="N67" s="312"/>
      <c r="O67" s="245">
        <v>33195954.845076002</v>
      </c>
      <c r="P67" s="281">
        <v>12362173.58</v>
      </c>
      <c r="Q67" s="243">
        <v>6181086.79</v>
      </c>
      <c r="R67" s="244">
        <v>0.5</v>
      </c>
      <c r="S67" s="243"/>
      <c r="T67" s="244"/>
    </row>
    <row r="68" spans="1:20" x14ac:dyDescent="0.25">
      <c r="A68" s="26" t="s">
        <v>28</v>
      </c>
      <c r="B68" s="27" t="s">
        <v>181</v>
      </c>
      <c r="C68" s="62" t="s">
        <v>31</v>
      </c>
      <c r="D68" s="62" t="s">
        <v>30</v>
      </c>
      <c r="E68" s="62" t="s">
        <v>161</v>
      </c>
      <c r="F68" s="262" t="s">
        <v>56</v>
      </c>
      <c r="G68" s="312">
        <v>26937.95</v>
      </c>
      <c r="H68" s="312">
        <v>17758.12</v>
      </c>
      <c r="I68" s="237">
        <v>2.8586</v>
      </c>
      <c r="J68" s="237">
        <v>2.8586</v>
      </c>
      <c r="K68" s="312"/>
      <c r="L68" s="312"/>
      <c r="M68" s="312"/>
      <c r="N68" s="312"/>
      <c r="O68" s="245">
        <v>127768.185702</v>
      </c>
      <c r="P68" s="281">
        <v>47580.87</v>
      </c>
      <c r="Q68" s="243">
        <v>23790.44</v>
      </c>
      <c r="R68" s="244">
        <v>0.5</v>
      </c>
      <c r="S68" s="243"/>
      <c r="T68" s="244"/>
    </row>
    <row r="69" spans="1:20" ht="12" customHeight="1" x14ac:dyDescent="0.25">
      <c r="A69" s="26" t="s">
        <v>28</v>
      </c>
      <c r="B69" s="27" t="s">
        <v>182</v>
      </c>
      <c r="C69" s="62" t="s">
        <v>31</v>
      </c>
      <c r="D69" s="62" t="s">
        <v>30</v>
      </c>
      <c r="E69" s="62" t="s">
        <v>161</v>
      </c>
      <c r="F69" s="262" t="s">
        <v>56</v>
      </c>
      <c r="G69" s="312">
        <v>906020.25</v>
      </c>
      <c r="H69" s="312">
        <v>1112851.31</v>
      </c>
      <c r="I69" s="237">
        <v>12.821999999999999</v>
      </c>
      <c r="J69" s="237">
        <v>2.8769999999999998</v>
      </c>
      <c r="K69" s="312"/>
      <c r="L69" s="312"/>
      <c r="M69" s="312"/>
      <c r="N69" s="312"/>
      <c r="O69" s="245">
        <v>14818664.86437</v>
      </c>
      <c r="P69" s="281">
        <v>5631092.6500000004</v>
      </c>
      <c r="Q69" s="243">
        <v>2815546.33</v>
      </c>
      <c r="R69" s="314">
        <v>0.5</v>
      </c>
      <c r="S69" s="243"/>
      <c r="T69" s="244"/>
    </row>
    <row r="70" spans="1:20" x14ac:dyDescent="0.25">
      <c r="A70" s="26" t="s">
        <v>28</v>
      </c>
      <c r="B70" s="29" t="s">
        <v>171</v>
      </c>
      <c r="C70" s="62" t="s">
        <v>31</v>
      </c>
      <c r="D70" s="62" t="s">
        <v>30</v>
      </c>
      <c r="E70" s="62" t="s">
        <v>161</v>
      </c>
      <c r="F70" s="261" t="s">
        <v>37</v>
      </c>
      <c r="G70" s="312">
        <v>365476</v>
      </c>
      <c r="H70" s="312">
        <v>410555</v>
      </c>
      <c r="I70" s="237">
        <v>36.248600000000003</v>
      </c>
      <c r="J70" s="237">
        <v>37.515300000000003</v>
      </c>
      <c r="K70" s="312"/>
      <c r="L70" s="312"/>
      <c r="M70" s="312"/>
      <c r="N70" s="312"/>
      <c r="O70" s="245">
        <v>28650087.325100005</v>
      </c>
      <c r="P70" s="281">
        <v>11460034.93</v>
      </c>
      <c r="Q70" s="243">
        <v>5730017.4699999997</v>
      </c>
      <c r="R70" s="244">
        <v>0.5</v>
      </c>
      <c r="S70" s="243"/>
      <c r="T70" s="244"/>
    </row>
    <row r="71" spans="1:20" x14ac:dyDescent="0.25">
      <c r="A71" s="26" t="s">
        <v>28</v>
      </c>
      <c r="B71" s="29" t="s">
        <v>172</v>
      </c>
      <c r="C71" s="62" t="s">
        <v>31</v>
      </c>
      <c r="D71" s="62" t="s">
        <v>30</v>
      </c>
      <c r="E71" s="62" t="s">
        <v>161</v>
      </c>
      <c r="F71" s="261" t="s">
        <v>56</v>
      </c>
      <c r="G71" s="312">
        <v>6235556.5099999998</v>
      </c>
      <c r="H71" s="312">
        <v>7039503.71</v>
      </c>
      <c r="I71" s="237">
        <v>12.821999999999999</v>
      </c>
      <c r="J71" s="237">
        <v>2.8769999999999998</v>
      </c>
      <c r="K71" s="312"/>
      <c r="L71" s="312"/>
      <c r="M71" s="312"/>
      <c r="N71" s="312"/>
      <c r="O71" s="245">
        <v>100204957.74488999</v>
      </c>
      <c r="P71" s="281">
        <v>38077883.950000003</v>
      </c>
      <c r="Q71" s="243">
        <v>19038941.98</v>
      </c>
      <c r="R71" s="244">
        <v>0.5</v>
      </c>
      <c r="S71" s="243"/>
      <c r="T71" s="244"/>
    </row>
    <row r="72" spans="1:20" x14ac:dyDescent="0.25">
      <c r="A72" s="26" t="s">
        <v>28</v>
      </c>
      <c r="B72" s="32" t="s">
        <v>177</v>
      </c>
      <c r="C72" s="62" t="s">
        <v>31</v>
      </c>
      <c r="D72" s="62" t="s">
        <v>30</v>
      </c>
      <c r="E72" s="62" t="s">
        <v>161</v>
      </c>
      <c r="F72" s="261" t="s">
        <v>56</v>
      </c>
      <c r="G72" s="312">
        <v>256861.8</v>
      </c>
      <c r="H72" s="312">
        <v>249661.27</v>
      </c>
      <c r="I72" s="237">
        <v>1.9232</v>
      </c>
      <c r="J72" s="237">
        <v>1.9232</v>
      </c>
      <c r="K72" s="236"/>
      <c r="L72" s="312"/>
      <c r="M72" s="312"/>
      <c r="N72" s="236"/>
      <c r="O72" s="245">
        <v>974145.16822399991</v>
      </c>
      <c r="P72" s="281">
        <v>362771.66</v>
      </c>
      <c r="Q72" s="243">
        <v>181385.83</v>
      </c>
      <c r="R72" s="244">
        <v>0.5</v>
      </c>
      <c r="S72" s="243"/>
      <c r="T72" s="286"/>
    </row>
    <row r="73" spans="1:20" x14ac:dyDescent="0.25">
      <c r="A73" s="26" t="s">
        <v>28</v>
      </c>
      <c r="B73" s="32" t="s">
        <v>179</v>
      </c>
      <c r="C73" s="62" t="s">
        <v>31</v>
      </c>
      <c r="D73" s="62" t="s">
        <v>30</v>
      </c>
      <c r="E73" s="62" t="s">
        <v>161</v>
      </c>
      <c r="F73" s="261" t="s">
        <v>37</v>
      </c>
      <c r="G73" s="312">
        <v>187265</v>
      </c>
      <c r="H73" s="312">
        <v>127785</v>
      </c>
      <c r="I73" s="237">
        <v>32.722700000000003</v>
      </c>
      <c r="J73" s="237">
        <v>33.961100000000002</v>
      </c>
      <c r="K73" s="236"/>
      <c r="L73" s="312"/>
      <c r="M73" s="312"/>
      <c r="N73" s="236"/>
      <c r="O73" s="245">
        <v>10467535.579</v>
      </c>
      <c r="P73" s="281">
        <v>649063.55842399993</v>
      </c>
      <c r="Q73" s="243">
        <v>324531.78000000003</v>
      </c>
      <c r="R73" s="244">
        <v>0.5</v>
      </c>
      <c r="S73" s="243"/>
      <c r="T73" s="286"/>
    </row>
    <row r="74" spans="1:20" x14ac:dyDescent="0.25">
      <c r="A74" s="26" t="s">
        <v>28</v>
      </c>
      <c r="B74" s="302" t="s">
        <v>180</v>
      </c>
      <c r="C74" s="62" t="s">
        <v>31</v>
      </c>
      <c r="D74" s="62" t="s">
        <v>30</v>
      </c>
      <c r="E74" s="62" t="s">
        <v>161</v>
      </c>
      <c r="F74" s="261" t="s">
        <v>56</v>
      </c>
      <c r="G74" s="312">
        <v>3073714.37</v>
      </c>
      <c r="H74" s="312">
        <v>2077352.72</v>
      </c>
      <c r="I74" s="237">
        <v>4.1340000000000003</v>
      </c>
      <c r="J74" s="237">
        <v>4.1340000000000003</v>
      </c>
      <c r="K74" s="472"/>
      <c r="L74" s="312"/>
      <c r="M74" s="312"/>
      <c r="N74" s="236"/>
      <c r="O74" s="245">
        <v>21294511.350060001</v>
      </c>
      <c r="P74" s="281">
        <v>2049013.859377</v>
      </c>
      <c r="Q74" s="243">
        <v>1024506.93</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327">
        <v>19737332.169906013</v>
      </c>
      <c r="P75" s="327">
        <v>2741107.2355499966</v>
      </c>
      <c r="Q75" s="327">
        <v>1370553.6199999989</v>
      </c>
      <c r="R75" s="160"/>
      <c r="S75" s="201"/>
      <c r="T75" s="160"/>
    </row>
    <row r="76" spans="1:20" x14ac:dyDescent="0.25">
      <c r="A76" s="34"/>
      <c r="B76" s="165" t="s">
        <v>108</v>
      </c>
      <c r="C76" s="35" t="s">
        <v>349</v>
      </c>
      <c r="D76" s="22"/>
      <c r="E76" s="22"/>
      <c r="F76" s="297"/>
      <c r="G76" s="282">
        <v>6492418.3099999996</v>
      </c>
      <c r="H76" s="282">
        <v>7289164.9799999995</v>
      </c>
      <c r="I76" s="356"/>
      <c r="J76" s="282"/>
      <c r="K76" s="294"/>
      <c r="L76" s="287"/>
      <c r="M76" s="353"/>
      <c r="N76" s="219"/>
      <c r="O76" s="650">
        <v>285176042.735228</v>
      </c>
      <c r="P76" s="650">
        <v>94125296.133350998</v>
      </c>
      <c r="Q76" s="650">
        <v>47062648.089999996</v>
      </c>
      <c r="R76" s="199"/>
      <c r="S76" s="207"/>
      <c r="T76" s="160"/>
    </row>
    <row r="77" spans="1:20" x14ac:dyDescent="0.25">
      <c r="A77" s="157"/>
      <c r="B77" s="158"/>
      <c r="C77" s="35" t="s">
        <v>350</v>
      </c>
      <c r="D77" s="114"/>
      <c r="E77" s="114"/>
      <c r="F77" s="297"/>
      <c r="G77" s="283">
        <v>12.390806991144105</v>
      </c>
      <c r="H77" s="283">
        <v>2.8443313856965275</v>
      </c>
      <c r="I77" s="357"/>
      <c r="J77" s="282"/>
      <c r="K77" s="295"/>
      <c r="L77" s="288"/>
      <c r="M77" s="478"/>
      <c r="N77" s="479"/>
      <c r="O77" s="479"/>
      <c r="P77" s="209"/>
      <c r="Q77" s="627">
        <v>172013978.76894999</v>
      </c>
      <c r="R77" s="198"/>
      <c r="S77" s="207"/>
      <c r="T77" s="160"/>
    </row>
    <row r="78" spans="1:20" x14ac:dyDescent="0.25">
      <c r="A78" s="10" t="s">
        <v>55</v>
      </c>
      <c r="B78" s="308"/>
      <c r="C78" s="308"/>
      <c r="D78" s="308"/>
      <c r="E78" s="308"/>
      <c r="F78" s="298"/>
      <c r="G78" s="637"/>
      <c r="H78" s="284">
        <v>20732800.728133999</v>
      </c>
      <c r="I78" s="282">
        <v>20732800.728133999</v>
      </c>
      <c r="J78" s="282">
        <v>101179102.913114</v>
      </c>
      <c r="K78" s="358">
        <v>-80446302.184980005</v>
      </c>
      <c r="L78" s="359"/>
      <c r="M78" s="311">
        <v>0</v>
      </c>
      <c r="N78" s="311">
        <v>29440.008199999997</v>
      </c>
      <c r="O78" s="311">
        <v>346296041.65702802</v>
      </c>
      <c r="P78" s="311">
        <v>58445038.050000004</v>
      </c>
      <c r="Q78" s="211">
        <v>213616614.17894998</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G80" s="307"/>
      <c r="H80" s="99" t="s">
        <v>77</v>
      </c>
      <c r="I80" s="307"/>
      <c r="J80" s="72"/>
      <c r="K80" s="72"/>
      <c r="L80" s="6"/>
      <c r="M80" s="6"/>
      <c r="N80" s="220"/>
      <c r="O80" s="280">
        <v>309943823.04999995</v>
      </c>
      <c r="P80" s="285"/>
      <c r="Q80" s="220"/>
      <c r="R80" s="6"/>
      <c r="S80" s="285"/>
      <c r="T80" s="6"/>
    </row>
    <row r="81" spans="1:20" x14ac:dyDescent="0.25">
      <c r="A81" s="6"/>
      <c r="B81" s="126" t="s">
        <v>78</v>
      </c>
      <c r="C81" s="127" t="s">
        <v>79</v>
      </c>
      <c r="D81" s="128"/>
      <c r="E81" s="129" t="s">
        <v>35</v>
      </c>
      <c r="F81" s="129" t="s">
        <v>80</v>
      </c>
      <c r="G81" s="307"/>
      <c r="H81" s="100" t="s">
        <v>35</v>
      </c>
      <c r="I81" s="308"/>
      <c r="J81" s="308"/>
      <c r="K81" s="308"/>
      <c r="L81" s="101"/>
      <c r="M81" s="6"/>
      <c r="N81" s="451"/>
      <c r="O81" s="390">
        <v>-36352218.607028067</v>
      </c>
      <c r="P81" s="285"/>
      <c r="R81" s="6"/>
      <c r="S81" s="6"/>
      <c r="T81" s="6"/>
    </row>
    <row r="82" spans="1:20" x14ac:dyDescent="0.25">
      <c r="A82" s="7"/>
      <c r="B82" s="102" t="s">
        <v>81</v>
      </c>
      <c r="C82" s="103" t="s">
        <v>82</v>
      </c>
      <c r="D82" s="104"/>
      <c r="E82" s="105">
        <v>53.7042</v>
      </c>
      <c r="F82" s="105">
        <v>54.649799999999999</v>
      </c>
      <c r="G82" s="307"/>
      <c r="H82" s="106" t="s">
        <v>387</v>
      </c>
      <c r="I82" s="6"/>
      <c r="J82" s="6"/>
      <c r="K82" s="6"/>
      <c r="L82" s="107"/>
      <c r="M82" s="393">
        <v>6.2200000337121024E-2</v>
      </c>
      <c r="N82" s="393">
        <v>6.4199999463479832E-2</v>
      </c>
      <c r="O82" s="402"/>
      <c r="P82" s="473"/>
      <c r="Q82" s="6"/>
      <c r="R82" s="6"/>
      <c r="S82" s="6"/>
      <c r="T82" s="6"/>
    </row>
    <row r="83" spans="1:20" x14ac:dyDescent="0.25">
      <c r="A83" s="6"/>
      <c r="B83" s="108" t="s">
        <v>83</v>
      </c>
      <c r="C83" s="109" t="s">
        <v>84</v>
      </c>
      <c r="D83" s="110"/>
      <c r="E83" s="111">
        <v>39.493600000000001</v>
      </c>
      <c r="F83" s="111">
        <v>39.256999999999998</v>
      </c>
      <c r="G83" s="307"/>
      <c r="H83" s="113">
        <v>44.292071146916001</v>
      </c>
      <c r="I83" s="114"/>
      <c r="J83" s="114"/>
      <c r="K83" s="114"/>
      <c r="L83" s="115"/>
      <c r="M83" s="393">
        <v>9.4199999857272176E-2</v>
      </c>
      <c r="N83" s="393">
        <v>9.8900000237297003E-2</v>
      </c>
      <c r="O83" s="405"/>
      <c r="P83" s="220"/>
      <c r="Q83" s="6"/>
      <c r="R83" s="6"/>
      <c r="S83" s="6"/>
      <c r="T83" s="6"/>
    </row>
    <row r="84" spans="1:20" x14ac:dyDescent="0.25">
      <c r="A84" s="6"/>
      <c r="B84" s="108" t="s">
        <v>85</v>
      </c>
      <c r="C84" s="109" t="s">
        <v>86</v>
      </c>
      <c r="D84" s="110"/>
      <c r="E84" s="111"/>
      <c r="F84" s="111"/>
      <c r="G84" s="6"/>
      <c r="H84" s="307"/>
      <c r="I84" s="116"/>
      <c r="J84" s="6"/>
      <c r="K84" s="6"/>
      <c r="L84" s="6"/>
      <c r="M84" s="393">
        <v>0.39999999969547706</v>
      </c>
      <c r="N84" s="393">
        <v>0.39999999979093542</v>
      </c>
      <c r="O84" s="403"/>
      <c r="P84" s="6"/>
      <c r="Q84" s="6"/>
      <c r="R84" s="6"/>
      <c r="S84" s="6"/>
      <c r="T84" s="6"/>
    </row>
    <row r="85" spans="1:20" x14ac:dyDescent="0.25">
      <c r="A85" s="6"/>
      <c r="B85" s="108" t="s">
        <v>87</v>
      </c>
      <c r="C85" s="109" t="s">
        <v>88</v>
      </c>
      <c r="D85" s="110"/>
      <c r="E85" s="117">
        <v>0.65510000000000002</v>
      </c>
      <c r="F85" s="117">
        <v>0.65310000000000001</v>
      </c>
      <c r="G85" s="6"/>
      <c r="H85" s="100" t="s">
        <v>80</v>
      </c>
      <c r="I85" s="118"/>
      <c r="J85" s="308"/>
      <c r="K85" s="308"/>
      <c r="L85" s="101"/>
      <c r="M85" s="393">
        <v>0.38000000287019686</v>
      </c>
      <c r="N85" s="393"/>
      <c r="O85" s="403"/>
      <c r="P85" s="6"/>
      <c r="Q85" s="6"/>
      <c r="R85" s="6"/>
      <c r="S85" s="6"/>
      <c r="T85" s="6"/>
    </row>
    <row r="86" spans="1:20" x14ac:dyDescent="0.25">
      <c r="A86" s="6"/>
      <c r="B86" s="108" t="s">
        <v>89</v>
      </c>
      <c r="C86" s="109" t="s">
        <v>90</v>
      </c>
      <c r="D86" s="110"/>
      <c r="E86" s="119"/>
      <c r="F86" s="112"/>
      <c r="G86" s="6"/>
      <c r="H86" s="106" t="s">
        <v>388</v>
      </c>
      <c r="I86" s="116"/>
      <c r="J86" s="6"/>
      <c r="K86" s="6"/>
      <c r="L86" s="107"/>
      <c r="M86" s="7"/>
      <c r="N86" s="473"/>
      <c r="O86" s="403"/>
      <c r="P86" s="6"/>
      <c r="Q86" s="6"/>
      <c r="R86" s="6"/>
      <c r="S86" s="6"/>
      <c r="T86" s="6"/>
    </row>
    <row r="87" spans="1:20" x14ac:dyDescent="0.25">
      <c r="A87" s="6"/>
      <c r="B87" s="120" t="s">
        <v>91</v>
      </c>
      <c r="C87" s="121" t="s">
        <v>92</v>
      </c>
      <c r="D87" s="122"/>
      <c r="E87" s="123">
        <v>7.1769999999999996</v>
      </c>
      <c r="F87" s="123">
        <v>7.1769999999999996</v>
      </c>
      <c r="G87" s="6"/>
      <c r="H87" s="113">
        <v>44.704421719923999</v>
      </c>
      <c r="I87" s="124"/>
      <c r="J87" s="114"/>
      <c r="K87" s="114"/>
      <c r="L87" s="115"/>
      <c r="M87" s="403"/>
      <c r="N87" s="403"/>
      <c r="O87" s="403"/>
      <c r="P87" s="6"/>
      <c r="Q87" s="6"/>
      <c r="R87" s="6"/>
      <c r="S87" s="6"/>
      <c r="T87" s="6"/>
    </row>
    <row r="88" spans="1:20" x14ac:dyDescent="0.25">
      <c r="A88" s="5"/>
      <c r="C88" s="4"/>
      <c r="D88" s="4"/>
      <c r="G88" s="307"/>
      <c r="H88" s="190"/>
      <c r="I88" s="307"/>
      <c r="J88" s="307"/>
      <c r="K88" s="307"/>
      <c r="M88" s="406"/>
      <c r="N88" s="406"/>
      <c r="O88" s="406"/>
    </row>
    <row r="89" spans="1:20" x14ac:dyDescent="0.25">
      <c r="G89" s="307"/>
      <c r="H89" s="307"/>
      <c r="I89" s="307"/>
      <c r="J89" s="307"/>
      <c r="K89" s="307"/>
    </row>
    <row r="90" spans="1:20" x14ac:dyDescent="0.25">
      <c r="Q90" s="346"/>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7"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90625" defaultRowHeight="13.2" x14ac:dyDescent="0.25"/>
  <cols>
    <col min="1" max="1" width="3" style="307" customWidth="1"/>
    <col min="2" max="2" width="9.54296875" style="307" customWidth="1"/>
    <col min="3" max="4" width="7.1796875" style="307" customWidth="1"/>
    <col min="5" max="5" width="7.453125" style="307" customWidth="1"/>
    <col min="6" max="6" width="9.81640625" style="307" customWidth="1"/>
    <col min="7" max="8" width="10.453125" style="217" customWidth="1"/>
    <col min="9" max="10" width="10" style="217" customWidth="1"/>
    <col min="11" max="11" width="11.08984375" style="217" customWidth="1"/>
    <col min="12" max="12" width="11.54296875" style="307" customWidth="1"/>
    <col min="13" max="13" width="9.54296875" style="307" customWidth="1"/>
    <col min="14" max="14" width="10.36328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21" width="11.36328125" style="307" customWidth="1"/>
    <col min="22" max="22" width="10.1796875" style="307" customWidth="1"/>
    <col min="23" max="23" width="10" style="307" customWidth="1"/>
    <col min="24" max="24" width="10.54296875" style="307" customWidth="1"/>
    <col min="25" max="16384" width="8.90625" style="307"/>
  </cols>
  <sheetData>
    <row r="1" spans="1:33" x14ac:dyDescent="0.25">
      <c r="A1" s="4" t="s">
        <v>51</v>
      </c>
      <c r="C1" s="3"/>
      <c r="D1" s="3"/>
      <c r="E1" s="9">
        <v>43101</v>
      </c>
      <c r="F1" s="300"/>
      <c r="U1" s="75" t="s">
        <v>60</v>
      </c>
      <c r="V1" s="75"/>
      <c r="W1" s="76">
        <f>DATE(YEAR(E1),MONTH(E1)+1,1)-DATE(YEAR(E1),MONTH(E1),1)</f>
        <v>31</v>
      </c>
    </row>
    <row r="2" spans="1:33" x14ac:dyDescent="0.25">
      <c r="A2" s="3" t="s">
        <v>0</v>
      </c>
    </row>
    <row r="3" spans="1:33" x14ac:dyDescent="0.25">
      <c r="A3" s="144" t="s">
        <v>109</v>
      </c>
      <c r="B3" s="214"/>
      <c r="C3" s="144"/>
      <c r="D3" s="144"/>
      <c r="E3" s="144"/>
      <c r="F3" s="144"/>
      <c r="G3" s="144"/>
      <c r="H3" s="144"/>
      <c r="I3" s="144"/>
      <c r="J3" s="144"/>
      <c r="K3" s="144"/>
      <c r="L3" s="144"/>
      <c r="M3" s="144"/>
      <c r="N3" s="144"/>
      <c r="O3" s="144"/>
      <c r="P3" s="144"/>
      <c r="Q3" s="144"/>
      <c r="R3" s="144"/>
      <c r="S3" s="144"/>
      <c r="T3" s="144"/>
      <c r="V3" s="4"/>
      <c r="W3" s="4"/>
    </row>
    <row r="4" spans="1:33" x14ac:dyDescent="0.25">
      <c r="A4" s="143" t="str">
        <f>"Correspondiente a  "&amp;TEXT(E1,"MMMMMMM YYYY")</f>
        <v>Correspondiente a  enero 2018</v>
      </c>
      <c r="B4" s="215"/>
      <c r="C4" s="143"/>
      <c r="D4" s="143"/>
      <c r="E4" s="143"/>
      <c r="F4" s="143"/>
      <c r="G4" s="143"/>
      <c r="H4" s="143"/>
      <c r="I4" s="143"/>
      <c r="J4" s="143"/>
      <c r="K4" s="143"/>
      <c r="L4" s="143"/>
      <c r="M4" s="143"/>
      <c r="N4" s="143"/>
      <c r="O4" s="143"/>
      <c r="P4" s="143"/>
      <c r="Q4" s="143"/>
      <c r="R4" s="143"/>
      <c r="S4" s="143"/>
      <c r="T4" s="143"/>
    </row>
    <row r="5" spans="1:33" x14ac:dyDescent="0.25">
      <c r="A5" s="143" t="str">
        <f>"Tipo de Cambio= "&amp;TEXT(F1,"0.000")</f>
        <v>Tipo de Cambio= 0.000</v>
      </c>
      <c r="B5" s="215"/>
      <c r="C5" s="143"/>
      <c r="D5" s="143"/>
      <c r="E5" s="143"/>
      <c r="F5" s="143"/>
      <c r="G5" s="143"/>
      <c r="H5" s="143"/>
      <c r="I5" s="143"/>
      <c r="J5" s="143"/>
      <c r="K5" s="143"/>
      <c r="L5" s="143"/>
      <c r="M5" s="143"/>
      <c r="N5" s="143"/>
      <c r="O5" s="143"/>
      <c r="P5" s="143"/>
      <c r="Q5" s="143"/>
      <c r="R5" s="143"/>
      <c r="S5" s="143"/>
      <c r="T5" s="143"/>
    </row>
    <row r="6" spans="1:33" x14ac:dyDescent="0.25">
      <c r="E6" s="74"/>
      <c r="F6" s="74"/>
      <c r="G6" s="293"/>
      <c r="H6" s="218"/>
    </row>
    <row r="7" spans="1:33"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c r="U7" s="145" t="s">
        <v>61</v>
      </c>
      <c r="V7" s="146"/>
      <c r="W7" s="146"/>
      <c r="X7" s="146"/>
      <c r="Y7" s="146"/>
      <c r="Z7" s="147"/>
      <c r="AA7" s="189" t="s">
        <v>62</v>
      </c>
      <c r="AB7" s="189"/>
      <c r="AC7" s="189"/>
      <c r="AD7" s="189"/>
      <c r="AE7" s="189"/>
      <c r="AF7" s="145"/>
      <c r="AG7" s="42" t="s">
        <v>63</v>
      </c>
    </row>
    <row r="8" spans="1:33"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c r="U8" s="145" t="s">
        <v>64</v>
      </c>
      <c r="V8" s="146"/>
      <c r="W8" s="147"/>
      <c r="X8" s="77" t="s">
        <v>65</v>
      </c>
      <c r="Y8" s="145" t="s">
        <v>66</v>
      </c>
      <c r="Z8" s="147"/>
      <c r="AA8" s="145" t="s">
        <v>64</v>
      </c>
      <c r="AB8" s="146"/>
      <c r="AC8" s="147"/>
      <c r="AD8" s="320" t="s">
        <v>65</v>
      </c>
      <c r="AE8" s="189" t="s">
        <v>66</v>
      </c>
      <c r="AF8" s="145"/>
      <c r="AG8" s="78" t="s">
        <v>1</v>
      </c>
    </row>
    <row r="9" spans="1:33" x14ac:dyDescent="0.25">
      <c r="A9" s="313" t="s">
        <v>23</v>
      </c>
      <c r="B9" s="19"/>
      <c r="C9" s="64"/>
      <c r="D9" s="24"/>
      <c r="E9" s="24"/>
      <c r="F9" s="313"/>
      <c r="G9" s="205"/>
      <c r="H9" s="208"/>
      <c r="I9" s="204"/>
      <c r="J9" s="205"/>
      <c r="K9" s="205"/>
      <c r="L9" s="205"/>
      <c r="M9" s="205"/>
      <c r="N9" s="205"/>
      <c r="O9" s="212"/>
      <c r="P9" s="205"/>
      <c r="Q9" s="203" t="s">
        <v>43</v>
      </c>
      <c r="R9" s="182"/>
      <c r="S9" s="203" t="s">
        <v>44</v>
      </c>
      <c r="T9" s="182"/>
      <c r="U9" s="79" t="s">
        <v>67</v>
      </c>
      <c r="V9" s="79" t="s">
        <v>97</v>
      </c>
      <c r="W9" s="79" t="s">
        <v>68</v>
      </c>
      <c r="X9" s="79" t="s">
        <v>69</v>
      </c>
      <c r="Y9" s="79" t="s">
        <v>69</v>
      </c>
      <c r="Z9" s="79" t="s">
        <v>70</v>
      </c>
      <c r="AA9" s="79" t="s">
        <v>71</v>
      </c>
      <c r="AB9" s="79" t="s">
        <v>97</v>
      </c>
      <c r="AC9" s="79" t="s">
        <v>72</v>
      </c>
      <c r="AD9" s="79" t="s">
        <v>73</v>
      </c>
      <c r="AE9" s="79" t="s">
        <v>73</v>
      </c>
      <c r="AF9" s="80" t="s">
        <v>70</v>
      </c>
      <c r="AG9" s="81" t="s">
        <v>74</v>
      </c>
    </row>
    <row r="10" spans="1:33" x14ac:dyDescent="0.25">
      <c r="A10" s="26" t="s">
        <v>28</v>
      </c>
      <c r="B10" s="27" t="s">
        <v>13</v>
      </c>
      <c r="C10" s="62" t="s">
        <v>29</v>
      </c>
      <c r="D10" s="28" t="s">
        <v>21</v>
      </c>
      <c r="E10" s="62" t="s">
        <v>98</v>
      </c>
      <c r="F10" s="260" t="s">
        <v>37</v>
      </c>
      <c r="G10" s="312"/>
      <c r="H10" s="236">
        <v>24582</v>
      </c>
      <c r="I10" s="237"/>
      <c r="J10" s="238">
        <v>67.081199999999995</v>
      </c>
      <c r="K10" s="312"/>
      <c r="L10" s="312"/>
      <c r="M10" s="312"/>
      <c r="N10" s="236">
        <v>683.58</v>
      </c>
      <c r="O10" s="236">
        <f t="shared" ref="O10:O29" si="0">ROUND(G10*I10,2)+ROUND(H10*J10,2)-K10-L10-M10-N10</f>
        <v>1648306.48</v>
      </c>
      <c r="P10" s="243">
        <f>ROUND(18.75%*O10,2)</f>
        <v>309057.46999999997</v>
      </c>
      <c r="Q10" s="243">
        <f>ROUND($O10*R10,2)</f>
        <v>247245.97</v>
      </c>
      <c r="R10" s="244">
        <v>0.15</v>
      </c>
      <c r="S10" s="243">
        <f t="shared" ref="S10:S34" si="1">ROUND($O10*T10,2)</f>
        <v>61811.49</v>
      </c>
      <c r="T10" s="286">
        <v>3.7499999999999999E-2</v>
      </c>
      <c r="U10" s="73">
        <f t="shared" ref="U10:U29" si="2">IF($F10&amp;"/Día"=W$9,SUM($G10:$H10),"")</f>
        <v>24582</v>
      </c>
      <c r="V10" s="73">
        <f>IF(U10&lt;&gt;"",$O10,"")</f>
        <v>1648306.48</v>
      </c>
      <c r="W10" s="82">
        <f>IF($F10&amp;"/Día"=W$9,ROUND(U10/$W$1,1),"")</f>
        <v>793</v>
      </c>
      <c r="X10" s="83">
        <f t="shared" ref="X10:X29" si="3">IF(U10=0,0,IF($F10&amp;"/Día"=W$9,ROUND(V10/U10,4),""))</f>
        <v>67.053399999999996</v>
      </c>
      <c r="Y10" s="83">
        <f t="shared" ref="Y10:Y29" si="4">IF(U10=0,0,IF($F10&amp;"/Día"=W$9,ROUND(Z10/U10,4),""))</f>
        <v>12.5725</v>
      </c>
      <c r="Z10" s="73">
        <f t="shared" ref="Z10:Z29" si="5">IF(U10&lt;&gt;"",$P10,"")</f>
        <v>309057.46999999997</v>
      </c>
      <c r="AA10" s="73" t="str">
        <f t="shared" ref="AA10:AA29" si="6">IF($F10&amp;"/Día"=AC$9,SUM($G10:$H10),"")</f>
        <v/>
      </c>
      <c r="AB10" s="73" t="str">
        <f>IF(AA10&lt;&gt;"",$O10,"")</f>
        <v/>
      </c>
      <c r="AC10" s="82" t="str">
        <f>IF($F10&amp;"/Día"=AC$9,ROUND(AA10/$W$1,1),"")</f>
        <v/>
      </c>
      <c r="AD10" s="83" t="str">
        <f t="shared" ref="AD10:AD29" si="7">IF(AA10=0,0,IF($F10&amp;"/Día"=AC$9,ROUND(AB10/AA10,4),""))</f>
        <v/>
      </c>
      <c r="AE10" s="83" t="str">
        <f t="shared" ref="AE10:AE29" si="8">IF(AA10=0,0,IF($F10&amp;"/Día"=AC$9,ROUND(AF10/AA10,4),""))</f>
        <v/>
      </c>
      <c r="AF10" s="73" t="str">
        <f t="shared" ref="AF10:AF29" si="9">IF(AA10&lt;&gt;"",$P10,"")</f>
        <v/>
      </c>
      <c r="AG10" s="54"/>
    </row>
    <row r="11" spans="1:33" x14ac:dyDescent="0.25">
      <c r="A11" s="26" t="s">
        <v>28</v>
      </c>
      <c r="B11" s="27" t="s">
        <v>14</v>
      </c>
      <c r="C11" s="62" t="s">
        <v>29</v>
      </c>
      <c r="D11" s="28" t="s">
        <v>21</v>
      </c>
      <c r="E11" s="62" t="s">
        <v>98</v>
      </c>
      <c r="F11" s="260" t="s">
        <v>56</v>
      </c>
      <c r="G11" s="312"/>
      <c r="H11" s="236">
        <v>253218.78</v>
      </c>
      <c r="I11" s="237"/>
      <c r="J11" s="238">
        <v>2.9822000000000002</v>
      </c>
      <c r="K11" s="312"/>
      <c r="L11" s="312"/>
      <c r="M11" s="312"/>
      <c r="N11" s="236">
        <v>1914.05</v>
      </c>
      <c r="O11" s="236">
        <f t="shared" si="0"/>
        <v>753235</v>
      </c>
      <c r="P11" s="243">
        <f t="shared" ref="P11:P35" si="10">ROUND(18.75%*O11,2)</f>
        <v>141231.56</v>
      </c>
      <c r="Q11" s="243">
        <f t="shared" ref="Q11:Q29" si="11">ROUND($O11*R11,2)</f>
        <v>112985.25</v>
      </c>
      <c r="R11" s="244">
        <v>0.15</v>
      </c>
      <c r="S11" s="243">
        <f t="shared" si="1"/>
        <v>28246.31</v>
      </c>
      <c r="T11" s="286">
        <v>3.7499999999999999E-2</v>
      </c>
      <c r="U11" s="45" t="str">
        <f t="shared" si="2"/>
        <v/>
      </c>
      <c r="V11" s="45" t="str">
        <f t="shared" ref="V11:V35" si="12">IF(U11&lt;&gt;"",$O11,"")</f>
        <v/>
      </c>
      <c r="W11" s="84" t="str">
        <f t="shared" ref="W11:W41" si="13">IF($F11&amp;"/Día"=W$9,ROUND(U11/$W$1,1),"")</f>
        <v/>
      </c>
      <c r="X11" s="85" t="str">
        <f t="shared" si="3"/>
        <v/>
      </c>
      <c r="Y11" s="85" t="str">
        <f t="shared" si="4"/>
        <v/>
      </c>
      <c r="Z11" s="45" t="str">
        <f t="shared" si="5"/>
        <v/>
      </c>
      <c r="AA11" s="45">
        <f t="shared" si="6"/>
        <v>253218.78</v>
      </c>
      <c r="AB11" s="45">
        <f t="shared" ref="AB11:AB35" si="14">IF(AA11&lt;&gt;"",$O11,"")</f>
        <v>753235</v>
      </c>
      <c r="AC11" s="84">
        <f t="shared" ref="AC11:AC41" si="15">IF($F11&amp;"/Día"=AC$9,ROUND(AA11/$W$1,1),"")</f>
        <v>8168.3</v>
      </c>
      <c r="AD11" s="85">
        <f t="shared" si="7"/>
        <v>2.9746000000000001</v>
      </c>
      <c r="AE11" s="85">
        <f t="shared" si="8"/>
        <v>0.55769999999999997</v>
      </c>
      <c r="AF11" s="45">
        <f t="shared" si="9"/>
        <v>141231.56</v>
      </c>
      <c r="AG11" s="55"/>
    </row>
    <row r="12" spans="1:33" x14ac:dyDescent="0.25">
      <c r="A12" s="26" t="s">
        <v>28</v>
      </c>
      <c r="B12" s="27" t="s">
        <v>3</v>
      </c>
      <c r="C12" s="62" t="s">
        <v>31</v>
      </c>
      <c r="D12" s="28" t="s">
        <v>30</v>
      </c>
      <c r="E12" s="62" t="s">
        <v>101</v>
      </c>
      <c r="F12" s="260" t="s">
        <v>37</v>
      </c>
      <c r="G12" s="236">
        <v>4562</v>
      </c>
      <c r="H12" s="236">
        <v>4721</v>
      </c>
      <c r="I12" s="238">
        <v>64.161299999999997</v>
      </c>
      <c r="J12" s="238">
        <v>65.157499999999999</v>
      </c>
      <c r="K12" s="312"/>
      <c r="L12" s="312"/>
      <c r="M12" s="312"/>
      <c r="N12" s="236">
        <v>1764.83</v>
      </c>
      <c r="O12" s="236">
        <f t="shared" si="0"/>
        <v>598547.57999999996</v>
      </c>
      <c r="P12" s="243">
        <f t="shared" si="10"/>
        <v>112227.67</v>
      </c>
      <c r="Q12" s="243">
        <f>ROUND($O12*R12,2)</f>
        <v>89782.14</v>
      </c>
      <c r="R12" s="244">
        <v>0.15</v>
      </c>
      <c r="S12" s="243">
        <f t="shared" si="1"/>
        <v>22445.53</v>
      </c>
      <c r="T12" s="286">
        <v>3.7499999999999999E-2</v>
      </c>
      <c r="U12" s="45">
        <f t="shared" si="2"/>
        <v>9283</v>
      </c>
      <c r="V12" s="45">
        <f t="shared" si="12"/>
        <v>598547.57999999996</v>
      </c>
      <c r="W12" s="84">
        <f t="shared" si="13"/>
        <v>299.5</v>
      </c>
      <c r="X12" s="85">
        <f t="shared" si="3"/>
        <v>64.477800000000002</v>
      </c>
      <c r="Y12" s="85">
        <f t="shared" si="4"/>
        <v>12.089600000000001</v>
      </c>
      <c r="Z12" s="45">
        <f t="shared" si="5"/>
        <v>112227.67</v>
      </c>
      <c r="AA12" s="45" t="str">
        <f t="shared" si="6"/>
        <v/>
      </c>
      <c r="AB12" s="45" t="str">
        <f t="shared" si="14"/>
        <v/>
      </c>
      <c r="AC12" s="84" t="str">
        <f t="shared" si="15"/>
        <v/>
      </c>
      <c r="AD12" s="85" t="str">
        <f t="shared" si="7"/>
        <v/>
      </c>
      <c r="AE12" s="85" t="str">
        <f t="shared" si="8"/>
        <v/>
      </c>
      <c r="AF12" s="45" t="str">
        <f t="shared" si="9"/>
        <v/>
      </c>
      <c r="AG12" s="55"/>
    </row>
    <row r="13" spans="1:33" x14ac:dyDescent="0.25">
      <c r="A13" s="267" t="s">
        <v>28</v>
      </c>
      <c r="B13" s="271" t="s">
        <v>176</v>
      </c>
      <c r="C13" s="260" t="s">
        <v>29</v>
      </c>
      <c r="D13" s="268" t="s">
        <v>21</v>
      </c>
      <c r="E13" s="260" t="s">
        <v>98</v>
      </c>
      <c r="F13" s="260" t="s">
        <v>56</v>
      </c>
      <c r="G13" s="236">
        <v>40281.6973</v>
      </c>
      <c r="H13" s="236">
        <v>44653.33</v>
      </c>
      <c r="I13" s="238">
        <v>2.5499999999999998</v>
      </c>
      <c r="J13" s="238">
        <v>2.5499999999999998</v>
      </c>
      <c r="K13" s="312"/>
      <c r="L13" s="312"/>
      <c r="M13" s="312"/>
      <c r="N13" s="236">
        <v>1884.53</v>
      </c>
      <c r="O13" s="236">
        <f>ROUND(G13*I13,2)+ROUND(H13*J13,2)-K13-L13-M13-N13</f>
        <v>214699.79</v>
      </c>
      <c r="P13" s="243">
        <f t="shared" si="10"/>
        <v>40256.21</v>
      </c>
      <c r="Q13" s="243">
        <f>ROUND($P13*R13/(R13+T13),2)</f>
        <v>32204.97</v>
      </c>
      <c r="R13" s="244">
        <v>0.15</v>
      </c>
      <c r="S13" s="243">
        <f>P13-Q13</f>
        <v>8051.239999999998</v>
      </c>
      <c r="T13" s="286">
        <v>3.7499999999999999E-2</v>
      </c>
      <c r="U13" s="45" t="str">
        <f t="shared" si="2"/>
        <v/>
      </c>
      <c r="V13" s="45" t="str">
        <f t="shared" si="12"/>
        <v/>
      </c>
      <c r="W13" s="84" t="str">
        <f t="shared" si="13"/>
        <v/>
      </c>
      <c r="X13" s="85" t="str">
        <f t="shared" si="3"/>
        <v/>
      </c>
      <c r="Y13" s="85" t="str">
        <f t="shared" si="4"/>
        <v/>
      </c>
      <c r="Z13" s="45" t="str">
        <f t="shared" si="5"/>
        <v/>
      </c>
      <c r="AA13" s="45">
        <f t="shared" si="6"/>
        <v>84935.027300000002</v>
      </c>
      <c r="AB13" s="45">
        <f t="shared" si="14"/>
        <v>214699.79</v>
      </c>
      <c r="AC13" s="84">
        <f t="shared" si="15"/>
        <v>2739.8</v>
      </c>
      <c r="AD13" s="85">
        <f t="shared" si="7"/>
        <v>2.5278</v>
      </c>
      <c r="AE13" s="85">
        <f t="shared" si="8"/>
        <v>0.47399999999999998</v>
      </c>
      <c r="AF13" s="45">
        <f t="shared" si="9"/>
        <v>40256.21</v>
      </c>
      <c r="AG13" s="55"/>
    </row>
    <row r="14" spans="1:33" x14ac:dyDescent="0.25">
      <c r="A14" s="26" t="s">
        <v>28</v>
      </c>
      <c r="B14" s="27" t="s">
        <v>4</v>
      </c>
      <c r="C14" s="62" t="s">
        <v>31</v>
      </c>
      <c r="D14" s="28" t="s">
        <v>30</v>
      </c>
      <c r="E14" s="62" t="s">
        <v>101</v>
      </c>
      <c r="F14" s="260" t="s">
        <v>37</v>
      </c>
      <c r="G14" s="236">
        <v>11836</v>
      </c>
      <c r="H14" s="236">
        <v>12495</v>
      </c>
      <c r="I14" s="238">
        <v>66.797200000000004</v>
      </c>
      <c r="J14" s="237">
        <v>67.317899999999995</v>
      </c>
      <c r="K14" s="312"/>
      <c r="L14" s="312"/>
      <c r="M14" s="312"/>
      <c r="N14" s="236">
        <v>1257.31</v>
      </c>
      <c r="O14" s="236">
        <f t="shared" si="0"/>
        <v>1630491.51</v>
      </c>
      <c r="P14" s="243">
        <f t="shared" si="10"/>
        <v>305717.15999999997</v>
      </c>
      <c r="Q14" s="243">
        <f t="shared" si="11"/>
        <v>244573.73</v>
      </c>
      <c r="R14" s="244">
        <v>0.15</v>
      </c>
      <c r="S14" s="243">
        <f t="shared" si="1"/>
        <v>61143.43</v>
      </c>
      <c r="T14" s="286">
        <v>3.7499999999999999E-2</v>
      </c>
      <c r="U14" s="45">
        <f t="shared" si="2"/>
        <v>24331</v>
      </c>
      <c r="V14" s="45">
        <f t="shared" si="12"/>
        <v>1630491.51</v>
      </c>
      <c r="W14" s="84">
        <f t="shared" si="13"/>
        <v>784.9</v>
      </c>
      <c r="X14" s="85">
        <f t="shared" si="3"/>
        <v>67.012900000000002</v>
      </c>
      <c r="Y14" s="85">
        <f t="shared" si="4"/>
        <v>12.5649</v>
      </c>
      <c r="Z14" s="45">
        <f t="shared" si="5"/>
        <v>305717.15999999997</v>
      </c>
      <c r="AA14" s="45" t="str">
        <f t="shared" si="6"/>
        <v/>
      </c>
      <c r="AB14" s="45" t="str">
        <f t="shared" si="14"/>
        <v/>
      </c>
      <c r="AC14" s="84" t="str">
        <f t="shared" si="15"/>
        <v/>
      </c>
      <c r="AD14" s="85" t="str">
        <f t="shared" si="7"/>
        <v/>
      </c>
      <c r="AE14" s="85" t="str">
        <f t="shared" si="8"/>
        <v/>
      </c>
      <c r="AF14" s="45" t="str">
        <f t="shared" si="9"/>
        <v/>
      </c>
      <c r="AG14" s="55"/>
    </row>
    <row r="15" spans="1:33" x14ac:dyDescent="0.25">
      <c r="A15" s="26" t="s">
        <v>28</v>
      </c>
      <c r="B15" s="27" t="s">
        <v>5</v>
      </c>
      <c r="C15" s="62" t="s">
        <v>31</v>
      </c>
      <c r="D15" s="28" t="s">
        <v>30</v>
      </c>
      <c r="E15" s="62" t="s">
        <v>101</v>
      </c>
      <c r="F15" s="260" t="s">
        <v>37</v>
      </c>
      <c r="G15" s="236">
        <v>17378</v>
      </c>
      <c r="H15" s="236">
        <v>20845</v>
      </c>
      <c r="I15" s="238">
        <v>66.797200000000004</v>
      </c>
      <c r="J15" s="237">
        <v>67.317899999999995</v>
      </c>
      <c r="K15" s="312"/>
      <c r="L15" s="312"/>
      <c r="M15" s="312"/>
      <c r="N15" s="236">
        <v>3247.24</v>
      </c>
      <c r="O15" s="236">
        <f t="shared" si="0"/>
        <v>2560796.13</v>
      </c>
      <c r="P15" s="243">
        <f t="shared" si="10"/>
        <v>480149.27</v>
      </c>
      <c r="Q15" s="243">
        <f t="shared" si="11"/>
        <v>384119.42</v>
      </c>
      <c r="R15" s="244">
        <v>0.15</v>
      </c>
      <c r="S15" s="243">
        <f t="shared" si="1"/>
        <v>96029.85</v>
      </c>
      <c r="T15" s="286">
        <v>3.7499999999999999E-2</v>
      </c>
      <c r="U15" s="45">
        <f t="shared" si="2"/>
        <v>38223</v>
      </c>
      <c r="V15" s="45">
        <f t="shared" si="12"/>
        <v>2560796.13</v>
      </c>
      <c r="W15" s="84">
        <f t="shared" si="13"/>
        <v>1233</v>
      </c>
      <c r="X15" s="85">
        <f t="shared" si="3"/>
        <v>66.996200000000002</v>
      </c>
      <c r="Y15" s="85">
        <f t="shared" si="4"/>
        <v>12.5618</v>
      </c>
      <c r="Z15" s="45">
        <f t="shared" si="5"/>
        <v>480149.27</v>
      </c>
      <c r="AA15" s="45" t="str">
        <f t="shared" si="6"/>
        <v/>
      </c>
      <c r="AB15" s="45" t="str">
        <f t="shared" si="14"/>
        <v/>
      </c>
      <c r="AC15" s="84" t="str">
        <f t="shared" si="15"/>
        <v/>
      </c>
      <c r="AD15" s="85" t="str">
        <f t="shared" si="7"/>
        <v/>
      </c>
      <c r="AE15" s="85" t="str">
        <f t="shared" si="8"/>
        <v/>
      </c>
      <c r="AF15" s="45" t="str">
        <f t="shared" si="9"/>
        <v/>
      </c>
      <c r="AG15" s="55"/>
    </row>
    <row r="16" spans="1:33" x14ac:dyDescent="0.25">
      <c r="A16" s="26" t="s">
        <v>28</v>
      </c>
      <c r="B16" s="27" t="s">
        <v>17</v>
      </c>
      <c r="C16" s="62" t="s">
        <v>29</v>
      </c>
      <c r="D16" s="28" t="s">
        <v>21</v>
      </c>
      <c r="E16" s="62" t="s">
        <v>98</v>
      </c>
      <c r="F16" s="260" t="s">
        <v>37</v>
      </c>
      <c r="G16" s="312"/>
      <c r="H16" s="236">
        <v>2532</v>
      </c>
      <c r="I16" s="237"/>
      <c r="J16" s="238">
        <v>67.081199999999995</v>
      </c>
      <c r="K16" s="312"/>
      <c r="L16" s="312"/>
      <c r="M16" s="312"/>
      <c r="N16" s="236">
        <v>1487.58</v>
      </c>
      <c r="O16" s="245">
        <f t="shared" si="0"/>
        <v>168362.02000000002</v>
      </c>
      <c r="P16" s="243">
        <f t="shared" si="10"/>
        <v>31567.88</v>
      </c>
      <c r="Q16" s="243">
        <f t="shared" si="11"/>
        <v>25254.3</v>
      </c>
      <c r="R16" s="244">
        <v>0.15</v>
      </c>
      <c r="S16" s="243">
        <f t="shared" si="1"/>
        <v>6313.58</v>
      </c>
      <c r="T16" s="286">
        <v>3.7499999999999999E-2</v>
      </c>
      <c r="U16" s="45">
        <f t="shared" si="2"/>
        <v>2532</v>
      </c>
      <c r="V16" s="45">
        <f t="shared" si="12"/>
        <v>168362.02000000002</v>
      </c>
      <c r="W16" s="84">
        <f t="shared" si="13"/>
        <v>81.7</v>
      </c>
      <c r="X16" s="85">
        <f t="shared" si="3"/>
        <v>66.493700000000004</v>
      </c>
      <c r="Y16" s="85">
        <f t="shared" si="4"/>
        <v>12.467599999999999</v>
      </c>
      <c r="Z16" s="45">
        <f t="shared" si="5"/>
        <v>31567.88</v>
      </c>
      <c r="AA16" s="45" t="str">
        <f t="shared" si="6"/>
        <v/>
      </c>
      <c r="AB16" s="45" t="str">
        <f t="shared" si="14"/>
        <v/>
      </c>
      <c r="AC16" s="84" t="str">
        <f t="shared" si="15"/>
        <v/>
      </c>
      <c r="AD16" s="85" t="str">
        <f t="shared" si="7"/>
        <v/>
      </c>
      <c r="AE16" s="85" t="str">
        <f t="shared" si="8"/>
        <v/>
      </c>
      <c r="AF16" s="45" t="str">
        <f t="shared" si="9"/>
        <v/>
      </c>
      <c r="AG16" s="55"/>
    </row>
    <row r="17" spans="1:33" x14ac:dyDescent="0.25">
      <c r="A17" s="26" t="s">
        <v>28</v>
      </c>
      <c r="B17" s="27" t="s">
        <v>6</v>
      </c>
      <c r="C17" s="62" t="s">
        <v>31</v>
      </c>
      <c r="D17" s="28" t="s">
        <v>30</v>
      </c>
      <c r="E17" s="62" t="s">
        <v>101</v>
      </c>
      <c r="F17" s="260" t="s">
        <v>37</v>
      </c>
      <c r="G17" s="236">
        <v>46815</v>
      </c>
      <c r="H17" s="236">
        <v>59830</v>
      </c>
      <c r="I17" s="238">
        <v>66.247200000000007</v>
      </c>
      <c r="J17" s="237">
        <v>66.767899999999997</v>
      </c>
      <c r="K17" s="312"/>
      <c r="L17" s="312"/>
      <c r="M17" s="312"/>
      <c r="N17" s="236">
        <v>2221.88</v>
      </c>
      <c r="O17" s="245">
        <f>ROUND(G17*I17,2)+ROUND(H17*J17,2)-K17-L17-M17-N17</f>
        <v>7093864.25</v>
      </c>
      <c r="P17" s="243">
        <f>ROUND(18.75%*O17,2)</f>
        <v>1330099.55</v>
      </c>
      <c r="Q17" s="243">
        <f>ROUND($O17*R17,2)</f>
        <v>1064079.6399999999</v>
      </c>
      <c r="R17" s="244">
        <v>0.15</v>
      </c>
      <c r="S17" s="243">
        <f t="shared" si="1"/>
        <v>266019.90999999997</v>
      </c>
      <c r="T17" s="286">
        <v>3.7499999999999999E-2</v>
      </c>
      <c r="U17" s="45">
        <f t="shared" si="2"/>
        <v>106645</v>
      </c>
      <c r="V17" s="45">
        <f t="shared" si="12"/>
        <v>7093864.25</v>
      </c>
      <c r="W17" s="84">
        <f t="shared" si="13"/>
        <v>3440.2</v>
      </c>
      <c r="X17" s="85">
        <f t="shared" si="3"/>
        <v>66.518500000000003</v>
      </c>
      <c r="Y17" s="85">
        <f t="shared" si="4"/>
        <v>12.472200000000001</v>
      </c>
      <c r="Z17" s="45">
        <f t="shared" si="5"/>
        <v>1330099.55</v>
      </c>
      <c r="AA17" s="45" t="str">
        <f t="shared" si="6"/>
        <v/>
      </c>
      <c r="AB17" s="45" t="str">
        <f t="shared" si="14"/>
        <v/>
      </c>
      <c r="AC17" s="84" t="str">
        <f t="shared" si="15"/>
        <v/>
      </c>
      <c r="AD17" s="85" t="str">
        <f t="shared" si="7"/>
        <v/>
      </c>
      <c r="AE17" s="85" t="str">
        <f t="shared" si="8"/>
        <v/>
      </c>
      <c r="AF17" s="45" t="str">
        <f t="shared" si="9"/>
        <v/>
      </c>
      <c r="AG17" s="55"/>
    </row>
    <row r="18" spans="1:33" x14ac:dyDescent="0.25">
      <c r="A18" s="26" t="s">
        <v>28</v>
      </c>
      <c r="B18" s="29" t="s">
        <v>158</v>
      </c>
      <c r="C18" s="62" t="s">
        <v>29</v>
      </c>
      <c r="D18" s="28" t="s">
        <v>21</v>
      </c>
      <c r="E18" s="62" t="s">
        <v>98</v>
      </c>
      <c r="F18" s="260" t="s">
        <v>37</v>
      </c>
      <c r="G18" s="312"/>
      <c r="H18" s="312"/>
      <c r="I18" s="237"/>
      <c r="J18" s="237"/>
      <c r="K18" s="312"/>
      <c r="L18" s="312"/>
      <c r="M18" s="312"/>
      <c r="N18" s="312"/>
      <c r="O18" s="245">
        <f t="shared" si="0"/>
        <v>0</v>
      </c>
      <c r="P18" s="243">
        <f t="shared" si="10"/>
        <v>0</v>
      </c>
      <c r="Q18" s="243">
        <f t="shared" si="11"/>
        <v>0</v>
      </c>
      <c r="R18" s="244">
        <v>0.15</v>
      </c>
      <c r="S18" s="243">
        <f t="shared" si="1"/>
        <v>0</v>
      </c>
      <c r="T18" s="286">
        <v>3.7499999999999999E-2</v>
      </c>
      <c r="U18" s="45">
        <f t="shared" si="2"/>
        <v>0</v>
      </c>
      <c r="V18" s="45">
        <f t="shared" si="12"/>
        <v>0</v>
      </c>
      <c r="W18" s="84">
        <f t="shared" si="13"/>
        <v>0</v>
      </c>
      <c r="X18" s="85">
        <f t="shared" si="3"/>
        <v>0</v>
      </c>
      <c r="Y18" s="85">
        <f t="shared" si="4"/>
        <v>0</v>
      </c>
      <c r="Z18" s="45">
        <f t="shared" si="5"/>
        <v>0</v>
      </c>
      <c r="AA18" s="45" t="str">
        <f t="shared" si="6"/>
        <v/>
      </c>
      <c r="AB18" s="45" t="str">
        <f t="shared" si="14"/>
        <v/>
      </c>
      <c r="AC18" s="84" t="str">
        <f t="shared" si="15"/>
        <v/>
      </c>
      <c r="AD18" s="85" t="str">
        <f t="shared" si="7"/>
        <v/>
      </c>
      <c r="AE18" s="85" t="str">
        <f t="shared" si="8"/>
        <v/>
      </c>
      <c r="AF18" s="45" t="str">
        <f t="shared" si="9"/>
        <v/>
      </c>
      <c r="AG18" s="55"/>
    </row>
    <row r="19" spans="1:33" x14ac:dyDescent="0.25">
      <c r="A19" s="26" t="s">
        <v>28</v>
      </c>
      <c r="B19" s="27" t="s">
        <v>7</v>
      </c>
      <c r="C19" s="62" t="s">
        <v>31</v>
      </c>
      <c r="D19" s="28" t="s">
        <v>30</v>
      </c>
      <c r="E19" s="62" t="s">
        <v>101</v>
      </c>
      <c r="F19" s="260" t="s">
        <v>56</v>
      </c>
      <c r="G19" s="312">
        <v>58474.37</v>
      </c>
      <c r="H19" s="236">
        <v>64682.42</v>
      </c>
      <c r="I19" s="349">
        <v>2.1707999999999998</v>
      </c>
      <c r="J19" s="237">
        <v>2.1707999999999998</v>
      </c>
      <c r="K19" s="312"/>
      <c r="L19" s="312"/>
      <c r="M19" s="312"/>
      <c r="N19" s="312">
        <v>2121.65</v>
      </c>
      <c r="O19" s="245">
        <f t="shared" si="0"/>
        <v>265227.11</v>
      </c>
      <c r="P19" s="243">
        <f t="shared" si="10"/>
        <v>49730.080000000002</v>
      </c>
      <c r="Q19" s="243">
        <f t="shared" si="11"/>
        <v>39784.07</v>
      </c>
      <c r="R19" s="244">
        <v>0.15</v>
      </c>
      <c r="S19" s="243">
        <f t="shared" si="1"/>
        <v>9946.02</v>
      </c>
      <c r="T19" s="286">
        <v>3.7499999999999999E-2</v>
      </c>
      <c r="U19" s="45" t="str">
        <f t="shared" si="2"/>
        <v/>
      </c>
      <c r="V19" s="45" t="str">
        <f t="shared" si="12"/>
        <v/>
      </c>
      <c r="W19" s="84" t="str">
        <f t="shared" si="13"/>
        <v/>
      </c>
      <c r="X19" s="85" t="str">
        <f t="shared" si="3"/>
        <v/>
      </c>
      <c r="Y19" s="85" t="str">
        <f t="shared" si="4"/>
        <v/>
      </c>
      <c r="Z19" s="45" t="str">
        <f t="shared" si="5"/>
        <v/>
      </c>
      <c r="AA19" s="45">
        <f t="shared" si="6"/>
        <v>123156.79000000001</v>
      </c>
      <c r="AB19" s="45">
        <f t="shared" si="14"/>
        <v>265227.11</v>
      </c>
      <c r="AC19" s="84">
        <f t="shared" si="15"/>
        <v>3972.8</v>
      </c>
      <c r="AD19" s="85">
        <f t="shared" si="7"/>
        <v>2.1536</v>
      </c>
      <c r="AE19" s="85">
        <f t="shared" si="8"/>
        <v>0.40379999999999999</v>
      </c>
      <c r="AF19" s="45">
        <f t="shared" si="9"/>
        <v>49730.080000000002</v>
      </c>
      <c r="AG19" s="55"/>
    </row>
    <row r="20" spans="1:33" x14ac:dyDescent="0.25">
      <c r="A20" s="26" t="s">
        <v>28</v>
      </c>
      <c r="B20" s="27" t="s">
        <v>18</v>
      </c>
      <c r="C20" s="62" t="s">
        <v>31</v>
      </c>
      <c r="D20" s="28" t="s">
        <v>30</v>
      </c>
      <c r="E20" s="62" t="s">
        <v>101</v>
      </c>
      <c r="F20" s="260" t="s">
        <v>37</v>
      </c>
      <c r="G20" s="312">
        <v>2083</v>
      </c>
      <c r="H20" s="312">
        <v>3260</v>
      </c>
      <c r="I20" s="237">
        <v>66.797200000000004</v>
      </c>
      <c r="J20" s="238">
        <v>67.317899999999995</v>
      </c>
      <c r="K20" s="312"/>
      <c r="L20" s="312"/>
      <c r="M20" s="312"/>
      <c r="N20" s="236">
        <v>737.78</v>
      </c>
      <c r="O20" s="245">
        <f t="shared" si="0"/>
        <v>357857.14</v>
      </c>
      <c r="P20" s="243">
        <f t="shared" si="10"/>
        <v>67098.210000000006</v>
      </c>
      <c r="Q20" s="243">
        <f t="shared" si="11"/>
        <v>53678.57</v>
      </c>
      <c r="R20" s="244">
        <v>0.15</v>
      </c>
      <c r="S20" s="243">
        <f t="shared" si="1"/>
        <v>13419.64</v>
      </c>
      <c r="T20" s="286">
        <v>3.7499999999999999E-2</v>
      </c>
      <c r="U20" s="45">
        <f t="shared" si="2"/>
        <v>5343</v>
      </c>
      <c r="V20" s="45">
        <f t="shared" si="12"/>
        <v>357857.14</v>
      </c>
      <c r="W20" s="84">
        <f t="shared" si="13"/>
        <v>172.4</v>
      </c>
      <c r="X20" s="85">
        <f t="shared" si="3"/>
        <v>66.976799999999997</v>
      </c>
      <c r="Y20" s="85">
        <f t="shared" si="4"/>
        <v>12.558199999999999</v>
      </c>
      <c r="Z20" s="45">
        <f t="shared" si="5"/>
        <v>67098.210000000006</v>
      </c>
      <c r="AA20" s="45" t="str">
        <f t="shared" si="6"/>
        <v/>
      </c>
      <c r="AB20" s="45" t="str">
        <f t="shared" si="14"/>
        <v/>
      </c>
      <c r="AC20" s="84" t="str">
        <f t="shared" si="15"/>
        <v/>
      </c>
      <c r="AD20" s="85" t="str">
        <f t="shared" si="7"/>
        <v/>
      </c>
      <c r="AE20" s="85" t="str">
        <f t="shared" si="8"/>
        <v/>
      </c>
      <c r="AF20" s="45" t="str">
        <f t="shared" si="9"/>
        <v/>
      </c>
      <c r="AG20" s="55"/>
    </row>
    <row r="21" spans="1:33" x14ac:dyDescent="0.25">
      <c r="A21" s="26" t="s">
        <v>28</v>
      </c>
      <c r="B21" s="29" t="s">
        <v>20</v>
      </c>
      <c r="C21" s="62" t="s">
        <v>31</v>
      </c>
      <c r="D21" s="28" t="s">
        <v>30</v>
      </c>
      <c r="E21" s="62" t="s">
        <v>101</v>
      </c>
      <c r="F21" s="260" t="s">
        <v>37</v>
      </c>
      <c r="G21" s="312">
        <v>195037</v>
      </c>
      <c r="H21" s="312">
        <v>205982</v>
      </c>
      <c r="I21" s="237">
        <v>66.797200000000004</v>
      </c>
      <c r="J21" s="238">
        <v>67.317899999999995</v>
      </c>
      <c r="K21" s="312"/>
      <c r="L21" s="312"/>
      <c r="M21" s="312"/>
      <c r="N21" s="236">
        <v>4334.18</v>
      </c>
      <c r="O21" s="245">
        <f t="shared" si="0"/>
        <v>26889867</v>
      </c>
      <c r="P21" s="243">
        <f t="shared" si="10"/>
        <v>5041850.0599999996</v>
      </c>
      <c r="Q21" s="243">
        <f t="shared" si="11"/>
        <v>4033480.05</v>
      </c>
      <c r="R21" s="244">
        <v>0.15</v>
      </c>
      <c r="S21" s="243">
        <f t="shared" si="1"/>
        <v>1008370.01</v>
      </c>
      <c r="T21" s="286">
        <v>3.7499999999999999E-2</v>
      </c>
      <c r="U21" s="45">
        <f t="shared" si="2"/>
        <v>401019</v>
      </c>
      <c r="V21" s="45">
        <f t="shared" si="12"/>
        <v>26889867</v>
      </c>
      <c r="W21" s="84">
        <f t="shared" si="13"/>
        <v>12936.1</v>
      </c>
      <c r="X21" s="85">
        <f t="shared" si="3"/>
        <v>67.053799999999995</v>
      </c>
      <c r="Y21" s="85">
        <f t="shared" si="4"/>
        <v>12.5726</v>
      </c>
      <c r="Z21" s="45">
        <f t="shared" si="5"/>
        <v>5041850.0599999996</v>
      </c>
      <c r="AA21" s="45" t="str">
        <f t="shared" si="6"/>
        <v/>
      </c>
      <c r="AB21" s="45" t="str">
        <f t="shared" si="14"/>
        <v/>
      </c>
      <c r="AC21" s="84" t="str">
        <f t="shared" si="15"/>
        <v/>
      </c>
      <c r="AD21" s="85" t="str">
        <f t="shared" si="7"/>
        <v/>
      </c>
      <c r="AE21" s="85" t="str">
        <f t="shared" si="8"/>
        <v/>
      </c>
      <c r="AF21" s="45" t="str">
        <f t="shared" si="9"/>
        <v/>
      </c>
      <c r="AG21" s="55"/>
    </row>
    <row r="22" spans="1:33" x14ac:dyDescent="0.25">
      <c r="A22" s="26" t="s">
        <v>28</v>
      </c>
      <c r="B22" s="27" t="s">
        <v>8</v>
      </c>
      <c r="C22" s="62" t="s">
        <v>31</v>
      </c>
      <c r="D22" s="28" t="s">
        <v>21</v>
      </c>
      <c r="E22" s="62" t="s">
        <v>101</v>
      </c>
      <c r="F22" s="260" t="s">
        <v>56</v>
      </c>
      <c r="G22" s="312">
        <v>251980.16</v>
      </c>
      <c r="H22" s="236">
        <v>254840.6</v>
      </c>
      <c r="I22" s="363">
        <v>1.8011999999999999</v>
      </c>
      <c r="J22" s="238">
        <v>1.8011999999999999</v>
      </c>
      <c r="K22" s="312"/>
      <c r="L22" s="312"/>
      <c r="M22" s="312"/>
      <c r="N22" s="236">
        <v>2235.16</v>
      </c>
      <c r="O22" s="245">
        <f t="shared" si="0"/>
        <v>910650.39</v>
      </c>
      <c r="P22" s="243">
        <f t="shared" si="10"/>
        <v>170746.95</v>
      </c>
      <c r="Q22" s="243">
        <f t="shared" si="11"/>
        <v>136597.56</v>
      </c>
      <c r="R22" s="244">
        <v>0.15</v>
      </c>
      <c r="S22" s="243">
        <f t="shared" si="1"/>
        <v>34149.39</v>
      </c>
      <c r="T22" s="286">
        <v>3.7499999999999999E-2</v>
      </c>
      <c r="U22" s="45" t="str">
        <f t="shared" si="2"/>
        <v/>
      </c>
      <c r="V22" s="45" t="str">
        <f t="shared" si="12"/>
        <v/>
      </c>
      <c r="W22" s="84" t="str">
        <f t="shared" si="13"/>
        <v/>
      </c>
      <c r="X22" s="85" t="str">
        <f t="shared" si="3"/>
        <v/>
      </c>
      <c r="Y22" s="85" t="str">
        <f t="shared" si="4"/>
        <v/>
      </c>
      <c r="Z22" s="45" t="str">
        <f t="shared" si="5"/>
        <v/>
      </c>
      <c r="AA22" s="45">
        <f t="shared" si="6"/>
        <v>506820.76</v>
      </c>
      <c r="AB22" s="45">
        <f t="shared" si="14"/>
        <v>910650.39</v>
      </c>
      <c r="AC22" s="84">
        <f t="shared" si="15"/>
        <v>16349.1</v>
      </c>
      <c r="AD22" s="85">
        <f t="shared" si="7"/>
        <v>1.7968</v>
      </c>
      <c r="AE22" s="85">
        <f t="shared" si="8"/>
        <v>0.33689999999999998</v>
      </c>
      <c r="AF22" s="45">
        <f t="shared" si="9"/>
        <v>170746.95</v>
      </c>
      <c r="AG22" s="55"/>
    </row>
    <row r="23" spans="1:33" x14ac:dyDescent="0.25">
      <c r="A23" s="26" t="s">
        <v>28</v>
      </c>
      <c r="B23" s="29" t="s">
        <v>57</v>
      </c>
      <c r="C23" s="62" t="s">
        <v>31</v>
      </c>
      <c r="D23" s="28" t="s">
        <v>21</v>
      </c>
      <c r="E23" s="62" t="s">
        <v>101</v>
      </c>
      <c r="F23" s="260" t="s">
        <v>37</v>
      </c>
      <c r="G23" s="312"/>
      <c r="H23" s="312"/>
      <c r="I23" s="237"/>
      <c r="J23" s="237"/>
      <c r="K23" s="312"/>
      <c r="L23" s="312"/>
      <c r="M23" s="312"/>
      <c r="N23" s="312"/>
      <c r="O23" s="245">
        <f t="shared" si="0"/>
        <v>0</v>
      </c>
      <c r="P23" s="243">
        <f t="shared" si="10"/>
        <v>0</v>
      </c>
      <c r="Q23" s="243">
        <f t="shared" si="11"/>
        <v>0</v>
      </c>
      <c r="R23" s="244">
        <v>0.15</v>
      </c>
      <c r="S23" s="243">
        <f t="shared" si="1"/>
        <v>0</v>
      </c>
      <c r="T23" s="286">
        <v>3.7499999999999999E-2</v>
      </c>
      <c r="U23" s="45">
        <f t="shared" si="2"/>
        <v>0</v>
      </c>
      <c r="V23" s="45">
        <f t="shared" si="12"/>
        <v>0</v>
      </c>
      <c r="W23" s="84">
        <f t="shared" si="13"/>
        <v>0</v>
      </c>
      <c r="X23" s="85">
        <f t="shared" si="3"/>
        <v>0</v>
      </c>
      <c r="Y23" s="85">
        <f t="shared" si="4"/>
        <v>0</v>
      </c>
      <c r="Z23" s="45">
        <f t="shared" si="5"/>
        <v>0</v>
      </c>
      <c r="AA23" s="45" t="str">
        <f t="shared" si="6"/>
        <v/>
      </c>
      <c r="AB23" s="45" t="str">
        <f t="shared" si="14"/>
        <v/>
      </c>
      <c r="AC23" s="84" t="str">
        <f t="shared" si="15"/>
        <v/>
      </c>
      <c r="AD23" s="85" t="str">
        <f t="shared" si="7"/>
        <v/>
      </c>
      <c r="AE23" s="85" t="str">
        <f t="shared" si="8"/>
        <v/>
      </c>
      <c r="AF23" s="45" t="str">
        <f t="shared" si="9"/>
        <v/>
      </c>
      <c r="AG23" s="55"/>
    </row>
    <row r="24" spans="1:33" x14ac:dyDescent="0.25">
      <c r="A24" s="26" t="s">
        <v>28</v>
      </c>
      <c r="B24" s="27" t="s">
        <v>9</v>
      </c>
      <c r="C24" s="62" t="s">
        <v>31</v>
      </c>
      <c r="D24" s="28" t="s">
        <v>30</v>
      </c>
      <c r="E24" s="62" t="s">
        <v>101</v>
      </c>
      <c r="F24" s="260" t="s">
        <v>37</v>
      </c>
      <c r="G24" s="312">
        <v>564</v>
      </c>
      <c r="H24" s="312">
        <v>535</v>
      </c>
      <c r="I24" s="237">
        <v>66.536500000000004</v>
      </c>
      <c r="J24" s="238">
        <v>67.701400000000007</v>
      </c>
      <c r="K24" s="312"/>
      <c r="L24" s="312"/>
      <c r="M24" s="312"/>
      <c r="N24" s="312">
        <v>802.26</v>
      </c>
      <c r="O24" s="245">
        <f t="shared" si="0"/>
        <v>72944.58</v>
      </c>
      <c r="P24" s="243">
        <f t="shared" si="10"/>
        <v>13677.11</v>
      </c>
      <c r="Q24" s="243">
        <f t="shared" si="11"/>
        <v>10941.69</v>
      </c>
      <c r="R24" s="244">
        <v>0.15</v>
      </c>
      <c r="S24" s="243">
        <f t="shared" si="1"/>
        <v>2735.42</v>
      </c>
      <c r="T24" s="286">
        <v>3.7499999999999999E-2</v>
      </c>
      <c r="U24" s="45">
        <f t="shared" si="2"/>
        <v>1099</v>
      </c>
      <c r="V24" s="45">
        <f t="shared" si="12"/>
        <v>72944.58</v>
      </c>
      <c r="W24" s="84">
        <f t="shared" si="13"/>
        <v>35.5</v>
      </c>
      <c r="X24" s="85">
        <f t="shared" si="3"/>
        <v>66.373599999999996</v>
      </c>
      <c r="Y24" s="85">
        <f t="shared" si="4"/>
        <v>12.4451</v>
      </c>
      <c r="Z24" s="45">
        <f t="shared" si="5"/>
        <v>13677.11</v>
      </c>
      <c r="AA24" s="45" t="str">
        <f t="shared" si="6"/>
        <v/>
      </c>
      <c r="AB24" s="45" t="str">
        <f t="shared" si="14"/>
        <v/>
      </c>
      <c r="AC24" s="84" t="str">
        <f t="shared" si="15"/>
        <v/>
      </c>
      <c r="AD24" s="85" t="str">
        <f t="shared" si="7"/>
        <v/>
      </c>
      <c r="AE24" s="85" t="str">
        <f t="shared" si="8"/>
        <v/>
      </c>
      <c r="AF24" s="45" t="str">
        <f t="shared" si="9"/>
        <v/>
      </c>
      <c r="AG24" s="55"/>
    </row>
    <row r="25" spans="1:33" x14ac:dyDescent="0.25">
      <c r="A25" s="26" t="s">
        <v>28</v>
      </c>
      <c r="B25" s="29" t="s">
        <v>168</v>
      </c>
      <c r="C25" s="62" t="s">
        <v>31</v>
      </c>
      <c r="D25" s="28" t="s">
        <v>30</v>
      </c>
      <c r="E25" s="62" t="s">
        <v>101</v>
      </c>
      <c r="F25" s="260" t="s">
        <v>37</v>
      </c>
      <c r="G25" s="236">
        <v>28828</v>
      </c>
      <c r="H25" s="236">
        <v>36208</v>
      </c>
      <c r="I25" s="238">
        <v>66.797200000000004</v>
      </c>
      <c r="J25" s="238">
        <v>67.317899999999995</v>
      </c>
      <c r="K25" s="312"/>
      <c r="L25" s="312"/>
      <c r="M25" s="312"/>
      <c r="N25" s="236">
        <v>1530.48</v>
      </c>
      <c r="O25" s="245">
        <f>ROUND(G25*I25,2)+ROUND(H25*J25,2)-K25-L25-M25-N25</f>
        <v>4361545.72</v>
      </c>
      <c r="P25" s="243">
        <f t="shared" si="10"/>
        <v>817789.82</v>
      </c>
      <c r="Q25" s="243">
        <f>ROUND($O25*R25,2)</f>
        <v>654231.86</v>
      </c>
      <c r="R25" s="244">
        <v>0.15</v>
      </c>
      <c r="S25" s="243">
        <f>ROUND($O25*T25,2)</f>
        <v>163557.96</v>
      </c>
      <c r="T25" s="286">
        <v>3.7499999999999999E-2</v>
      </c>
      <c r="U25" s="45">
        <f>IF($F25&amp;"/Día"=W$9,SUM($G25:$H25),"")</f>
        <v>65036</v>
      </c>
      <c r="V25" s="45">
        <f t="shared" si="12"/>
        <v>4361545.72</v>
      </c>
      <c r="W25" s="84">
        <f>IF($F25&amp;"/Día"=W$9,ROUND(U25/$W$1,1),"")</f>
        <v>2097.9</v>
      </c>
      <c r="X25" s="85">
        <f>IF(U25=0,0,IF($F25&amp;"/Día"=W$9,ROUND(V25/U25,4),""))</f>
        <v>67.063599999999994</v>
      </c>
      <c r="Y25" s="85">
        <f>IF(U25=0,0,IF($F25&amp;"/Día"=W$9,ROUND(Z25/U25,4),""))</f>
        <v>12.574400000000001</v>
      </c>
      <c r="Z25" s="45">
        <f>IF(U25&lt;&gt;"",$P25,"")</f>
        <v>817789.82</v>
      </c>
      <c r="AA25" s="45" t="str">
        <f>IF($F25&amp;"/Día"=AC$9,SUM($G25:$H25),"")</f>
        <v/>
      </c>
      <c r="AB25" s="45" t="str">
        <f t="shared" si="14"/>
        <v/>
      </c>
      <c r="AC25" s="84" t="str">
        <f>IF($F25&amp;"/Día"=AC$9,ROUND(AA25/$W$1,1),"")</f>
        <v/>
      </c>
      <c r="AD25" s="85" t="str">
        <f>IF(AA25=0,0,IF($F25&amp;"/Día"=AC$9,ROUND(AB25/AA25,4),""))</f>
        <v/>
      </c>
      <c r="AE25" s="85" t="str">
        <f>IF(AA25=0,0,IF($F25&amp;"/Día"=AC$9,ROUND(AF25/AA25,4),""))</f>
        <v/>
      </c>
      <c r="AF25" s="45" t="str">
        <f>IF(AA25&lt;&gt;"",$P25,"")</f>
        <v/>
      </c>
      <c r="AG25" s="55"/>
    </row>
    <row r="26" spans="1:33" x14ac:dyDescent="0.25">
      <c r="A26" s="26" t="s">
        <v>28</v>
      </c>
      <c r="B26" s="29" t="s">
        <v>191</v>
      </c>
      <c r="C26" s="62" t="s">
        <v>31</v>
      </c>
      <c r="D26" s="28" t="s">
        <v>30</v>
      </c>
      <c r="E26" s="62" t="s">
        <v>101</v>
      </c>
      <c r="F26" s="260" t="s">
        <v>37</v>
      </c>
      <c r="G26" s="236"/>
      <c r="H26" s="312"/>
      <c r="I26" s="237"/>
      <c r="J26" s="237"/>
      <c r="K26" s="312"/>
      <c r="L26" s="312"/>
      <c r="M26" s="312"/>
      <c r="N26" s="236"/>
      <c r="O26" s="245">
        <f>ROUND(G26*I26,2)+ROUND(H26*J26,2)-K26-L26-M26-N26</f>
        <v>0</v>
      </c>
      <c r="P26" s="243">
        <f>ROUND(18.75%*O26,2)</f>
        <v>0</v>
      </c>
      <c r="Q26" s="243">
        <f>ROUND($O26*R26,2)</f>
        <v>0</v>
      </c>
      <c r="R26" s="244">
        <v>0.15</v>
      </c>
      <c r="S26" s="243">
        <f>ROUND($O26*T26,2)</f>
        <v>0</v>
      </c>
      <c r="T26" s="286">
        <v>3.7499999999999999E-2</v>
      </c>
      <c r="U26" s="45">
        <f>IF($F26&amp;"/Día"=W$9,SUM($G26:$H26),"")</f>
        <v>0</v>
      </c>
      <c r="V26" s="45">
        <f>IF(U26&lt;&gt;"",$O26,"")</f>
        <v>0</v>
      </c>
      <c r="W26" s="84">
        <f>IF($F26&amp;"/Día"=W$9,ROUND(U26/$W$1,1),"")</f>
        <v>0</v>
      </c>
      <c r="X26" s="85">
        <f>IF(U26=0,0,IF($F26&amp;"/Día"=W$9,ROUND(V26/U26,4),""))</f>
        <v>0</v>
      </c>
      <c r="Y26" s="85">
        <f>IF(U26=0,0,IF($F26&amp;"/Día"=W$9,ROUND(Z26/U26,4),""))</f>
        <v>0</v>
      </c>
      <c r="Z26" s="45">
        <f>IF(U26&lt;&gt;"",$P26,"")</f>
        <v>0</v>
      </c>
      <c r="AA26" s="45" t="str">
        <f>IF($F26&amp;"/Día"=AC$9,SUM($G26:$H26),"")</f>
        <v/>
      </c>
      <c r="AB26" s="45" t="str">
        <f>IF(AA26&lt;&gt;"",$O26,"")</f>
        <v/>
      </c>
      <c r="AC26" s="84" t="str">
        <f>IF($F26&amp;"/Día"=AC$9,ROUND(AA26/$W$1,1),"")</f>
        <v/>
      </c>
      <c r="AD26" s="85" t="str">
        <f>IF(AA26=0,0,IF($F26&amp;"/Día"=AC$9,ROUND(AB26/AA26,4),""))</f>
        <v/>
      </c>
      <c r="AE26" s="85" t="str">
        <f>IF(AA26=0,0,IF($F26&amp;"/Día"=AC$9,ROUND(AF26/AA26,4),""))</f>
        <v/>
      </c>
      <c r="AF26" s="45" t="str">
        <f>IF(AA26&lt;&gt;"",$P26,"")</f>
        <v/>
      </c>
      <c r="AG26" s="55"/>
    </row>
    <row r="27" spans="1:33" x14ac:dyDescent="0.25">
      <c r="A27" s="26" t="s">
        <v>28</v>
      </c>
      <c r="B27" s="29" t="s">
        <v>160</v>
      </c>
      <c r="C27" s="62" t="s">
        <v>31</v>
      </c>
      <c r="D27" s="28" t="s">
        <v>30</v>
      </c>
      <c r="E27" s="62" t="s">
        <v>101</v>
      </c>
      <c r="F27" s="260" t="s">
        <v>56</v>
      </c>
      <c r="G27" s="236">
        <f>109679.9639+69454.7114</f>
        <v>179134.6753</v>
      </c>
      <c r="H27" s="312">
        <f>115352.29+94462.85</f>
        <v>209815.14</v>
      </c>
      <c r="I27" s="237">
        <v>2.4759774692264731</v>
      </c>
      <c r="J27" s="237">
        <v>2.6336074222289199</v>
      </c>
      <c r="K27" s="312"/>
      <c r="L27" s="312"/>
      <c r="M27" s="312"/>
      <c r="N27" s="236">
        <v>3163.29</v>
      </c>
      <c r="O27" s="245">
        <f t="shared" si="0"/>
        <v>992940.83999999985</v>
      </c>
      <c r="P27" s="243">
        <f t="shared" si="10"/>
        <v>186176.41</v>
      </c>
      <c r="Q27" s="243">
        <f t="shared" si="11"/>
        <v>148941.13</v>
      </c>
      <c r="R27" s="244">
        <v>0.15</v>
      </c>
      <c r="S27" s="243">
        <f t="shared" si="1"/>
        <v>37235.279999999999</v>
      </c>
      <c r="T27" s="286">
        <v>3.7499999999999999E-2</v>
      </c>
      <c r="U27" s="45" t="str">
        <f t="shared" si="2"/>
        <v/>
      </c>
      <c r="V27" s="45" t="str">
        <f t="shared" si="12"/>
        <v/>
      </c>
      <c r="W27" s="84" t="str">
        <f t="shared" si="13"/>
        <v/>
      </c>
      <c r="X27" s="85" t="str">
        <f t="shared" si="3"/>
        <v/>
      </c>
      <c r="Y27" s="85" t="str">
        <f t="shared" si="4"/>
        <v/>
      </c>
      <c r="Z27" s="45" t="str">
        <f t="shared" si="5"/>
        <v/>
      </c>
      <c r="AA27" s="45">
        <f t="shared" si="6"/>
        <v>388949.81530000002</v>
      </c>
      <c r="AB27" s="45">
        <f t="shared" si="14"/>
        <v>992940.83999999985</v>
      </c>
      <c r="AC27" s="84">
        <f t="shared" si="15"/>
        <v>12546.8</v>
      </c>
      <c r="AD27" s="85">
        <f t="shared" si="7"/>
        <v>2.5529000000000002</v>
      </c>
      <c r="AE27" s="85">
        <f t="shared" si="8"/>
        <v>0.47870000000000001</v>
      </c>
      <c r="AF27" s="45">
        <f t="shared" si="9"/>
        <v>186176.41</v>
      </c>
      <c r="AG27" s="55"/>
    </row>
    <row r="28" spans="1:33" x14ac:dyDescent="0.25">
      <c r="A28" s="26" t="s">
        <v>28</v>
      </c>
      <c r="B28" s="27" t="s">
        <v>15</v>
      </c>
      <c r="C28" s="62" t="s">
        <v>29</v>
      </c>
      <c r="D28" s="28" t="s">
        <v>21</v>
      </c>
      <c r="E28" s="62" t="s">
        <v>98</v>
      </c>
      <c r="F28" s="260" t="s">
        <v>37</v>
      </c>
      <c r="G28" s="312"/>
      <c r="H28" s="236">
        <f>39453+207131</f>
        <v>246584</v>
      </c>
      <c r="I28" s="237"/>
      <c r="J28" s="238">
        <v>64.0398</v>
      </c>
      <c r="K28" s="312"/>
      <c r="L28" s="312"/>
      <c r="M28" s="312"/>
      <c r="N28" s="236">
        <v>2445.75</v>
      </c>
      <c r="O28" s="245">
        <f t="shared" si="0"/>
        <v>15788744.289999999</v>
      </c>
      <c r="P28" s="243">
        <f t="shared" si="10"/>
        <v>2960389.55</v>
      </c>
      <c r="Q28" s="243">
        <f t="shared" si="11"/>
        <v>2368311.64</v>
      </c>
      <c r="R28" s="244">
        <v>0.15</v>
      </c>
      <c r="S28" s="243">
        <f t="shared" si="1"/>
        <v>592077.91</v>
      </c>
      <c r="T28" s="286">
        <v>3.7499999999999999E-2</v>
      </c>
      <c r="U28" s="45">
        <f t="shared" si="2"/>
        <v>246584</v>
      </c>
      <c r="V28" s="45">
        <f t="shared" si="12"/>
        <v>15788744.289999999</v>
      </c>
      <c r="W28" s="84">
        <f t="shared" si="13"/>
        <v>7954.3</v>
      </c>
      <c r="X28" s="85">
        <f t="shared" si="3"/>
        <v>64.029899999999998</v>
      </c>
      <c r="Y28" s="85">
        <f t="shared" si="4"/>
        <v>12.005599999999999</v>
      </c>
      <c r="Z28" s="45">
        <f t="shared" si="5"/>
        <v>2960389.55</v>
      </c>
      <c r="AA28" s="45" t="str">
        <f t="shared" si="6"/>
        <v/>
      </c>
      <c r="AB28" s="45" t="str">
        <f t="shared" si="14"/>
        <v/>
      </c>
      <c r="AC28" s="84" t="str">
        <f t="shared" si="15"/>
        <v/>
      </c>
      <c r="AD28" s="85" t="str">
        <f t="shared" si="7"/>
        <v/>
      </c>
      <c r="AE28" s="85" t="str">
        <f t="shared" si="8"/>
        <v/>
      </c>
      <c r="AF28" s="45" t="str">
        <f t="shared" si="9"/>
        <v/>
      </c>
      <c r="AG28" s="55"/>
    </row>
    <row r="29" spans="1:33" x14ac:dyDescent="0.25">
      <c r="A29" s="26" t="s">
        <v>28</v>
      </c>
      <c r="B29" s="27" t="s">
        <v>16</v>
      </c>
      <c r="C29" s="62" t="s">
        <v>29</v>
      </c>
      <c r="D29" s="28" t="s">
        <v>21</v>
      </c>
      <c r="E29" s="62" t="s">
        <v>98</v>
      </c>
      <c r="F29" s="260" t="s">
        <v>56</v>
      </c>
      <c r="G29" s="312"/>
      <c r="H29" s="236">
        <f>28128.11+153471.87+1104.62</f>
        <v>182704.59999999998</v>
      </c>
      <c r="I29" s="237"/>
      <c r="J29" s="480">
        <v>5.4650450508635302</v>
      </c>
      <c r="K29" s="312"/>
      <c r="L29" s="312"/>
      <c r="M29" s="312"/>
      <c r="N29" s="236">
        <v>2156.75</v>
      </c>
      <c r="O29" s="245">
        <f t="shared" si="0"/>
        <v>996332.12</v>
      </c>
      <c r="P29" s="243">
        <f t="shared" si="10"/>
        <v>186812.27</v>
      </c>
      <c r="Q29" s="243">
        <f t="shared" si="11"/>
        <v>149449.82</v>
      </c>
      <c r="R29" s="244">
        <v>0.15</v>
      </c>
      <c r="S29" s="243">
        <f t="shared" si="1"/>
        <v>37362.449999999997</v>
      </c>
      <c r="T29" s="286">
        <v>3.7499999999999999E-2</v>
      </c>
      <c r="U29" s="45" t="str">
        <f t="shared" si="2"/>
        <v/>
      </c>
      <c r="V29" s="45" t="str">
        <f t="shared" si="12"/>
        <v/>
      </c>
      <c r="W29" s="84" t="str">
        <f t="shared" si="13"/>
        <v/>
      </c>
      <c r="X29" s="85" t="str">
        <f t="shared" si="3"/>
        <v/>
      </c>
      <c r="Y29" s="85" t="str">
        <f t="shared" si="4"/>
        <v/>
      </c>
      <c r="Z29" s="45" t="str">
        <f t="shared" si="5"/>
        <v/>
      </c>
      <c r="AA29" s="45">
        <f t="shared" si="6"/>
        <v>182704.59999999998</v>
      </c>
      <c r="AB29" s="45">
        <f t="shared" si="14"/>
        <v>996332.12</v>
      </c>
      <c r="AC29" s="84">
        <f t="shared" si="15"/>
        <v>5893.7</v>
      </c>
      <c r="AD29" s="85">
        <f t="shared" si="7"/>
        <v>5.4531999999999998</v>
      </c>
      <c r="AE29" s="85">
        <f t="shared" si="8"/>
        <v>1.0225</v>
      </c>
      <c r="AF29" s="45">
        <f t="shared" si="9"/>
        <v>186812.27</v>
      </c>
      <c r="AG29" s="55"/>
    </row>
    <row r="30" spans="1:33" x14ac:dyDescent="0.25">
      <c r="A30" s="26" t="s">
        <v>28</v>
      </c>
      <c r="B30" s="27" t="s">
        <v>173</v>
      </c>
      <c r="C30" s="62" t="s">
        <v>31</v>
      </c>
      <c r="D30" s="28" t="s">
        <v>30</v>
      </c>
      <c r="E30" s="62" t="s">
        <v>101</v>
      </c>
      <c r="F30" s="260" t="s">
        <v>37</v>
      </c>
      <c r="G30" s="312">
        <v>480</v>
      </c>
      <c r="H30" s="236">
        <v>368</v>
      </c>
      <c r="I30" s="238">
        <v>66.797200000000004</v>
      </c>
      <c r="J30" s="238">
        <v>67.317899999999995</v>
      </c>
      <c r="K30" s="312"/>
      <c r="L30" s="312"/>
      <c r="M30" s="312"/>
      <c r="N30" s="236">
        <v>471.2</v>
      </c>
      <c r="O30" s="245">
        <f>ROUND(G30*I30,2)+ROUND(H30*J30,2)-K30-L30-M30-N30</f>
        <v>56364.450000000004</v>
      </c>
      <c r="P30" s="243">
        <f t="shared" si="10"/>
        <v>10568.33</v>
      </c>
      <c r="Q30" s="243">
        <f>ROUND($O30*R30,2)</f>
        <v>2113.67</v>
      </c>
      <c r="R30" s="286">
        <v>3.7499999999999999E-2</v>
      </c>
      <c r="S30" s="243">
        <f t="shared" si="1"/>
        <v>8454.67</v>
      </c>
      <c r="T30" s="244">
        <v>0.15</v>
      </c>
      <c r="U30" s="45">
        <f>IF($F30&amp;"/Día"=W$9,SUM($G30:$H30),"")</f>
        <v>848</v>
      </c>
      <c r="V30" s="45">
        <f t="shared" si="12"/>
        <v>56364.450000000004</v>
      </c>
      <c r="W30" s="84">
        <f>IF($F30&amp;"/Día"=W$9,ROUND(U30/$W$1,1),"")</f>
        <v>27.4</v>
      </c>
      <c r="X30" s="85">
        <f>IF(U30=0,0,IF($F30&amp;"/Día"=W$9,ROUND(V30/U30,4),""))</f>
        <v>66.467500000000001</v>
      </c>
      <c r="Y30" s="85">
        <f>IF(U30=0,0,IF($F30&amp;"/Día"=W$9,ROUND(Z30/U30,4),""))</f>
        <v>12.4627</v>
      </c>
      <c r="Z30" s="45">
        <f>IF(U30&lt;&gt;"",$P30,"")</f>
        <v>10568.33</v>
      </c>
      <c r="AA30" s="45" t="str">
        <f>IF($F30&amp;"/Día"=AC$9,SUM($G30:$H30),"")</f>
        <v/>
      </c>
      <c r="AB30" s="45" t="str">
        <f t="shared" si="14"/>
        <v/>
      </c>
      <c r="AC30" s="84" t="str">
        <f>IF($F30&amp;"/Día"=AC$9,ROUND(AA30/$W$1,1),"")</f>
        <v/>
      </c>
      <c r="AD30" s="85" t="str">
        <f>IF(AA30=0,0,IF($F30&amp;"/Día"=AC$9,ROUND(AB30/AA30,4),""))</f>
        <v/>
      </c>
      <c r="AE30" s="85" t="str">
        <f>IF(AA30=0,0,IF($F30&amp;"/Día"=AC$9,ROUND(AF30/AA30,4),""))</f>
        <v/>
      </c>
      <c r="AF30" s="45" t="str">
        <f>IF(AA30&lt;&gt;"",$P30,"")</f>
        <v/>
      </c>
      <c r="AG30" s="55"/>
    </row>
    <row r="31" spans="1:33" x14ac:dyDescent="0.25">
      <c r="A31" s="26" t="s">
        <v>28</v>
      </c>
      <c r="B31" s="216" t="s">
        <v>169</v>
      </c>
      <c r="C31" s="62" t="s">
        <v>31</v>
      </c>
      <c r="D31" s="28" t="s">
        <v>30</v>
      </c>
      <c r="E31" s="62" t="s">
        <v>101</v>
      </c>
      <c r="F31" s="260" t="s">
        <v>37</v>
      </c>
      <c r="G31" s="236"/>
      <c r="H31" s="236"/>
      <c r="I31" s="238"/>
      <c r="J31" s="238"/>
      <c r="K31" s="236"/>
      <c r="L31" s="312"/>
      <c r="M31" s="312"/>
      <c r="N31" s="236">
        <v>1450.98</v>
      </c>
      <c r="O31" s="245">
        <f>ROUND(G31*I31,2)+ROUND(H31*J31,2)-K31-L31-M31-N31</f>
        <v>-1450.98</v>
      </c>
      <c r="P31" s="243">
        <f t="shared" si="10"/>
        <v>-272.06</v>
      </c>
      <c r="Q31" s="243">
        <f>ROUND($O31*R31,2)</f>
        <v>-54.41</v>
      </c>
      <c r="R31" s="286">
        <v>3.7499999999999999E-2</v>
      </c>
      <c r="S31" s="243">
        <f t="shared" si="1"/>
        <v>-217.65</v>
      </c>
      <c r="T31" s="244">
        <v>0.15</v>
      </c>
      <c r="U31" s="45">
        <f>IF($F31&amp;"/Día"=W$9,SUM($G31:$H31),"")</f>
        <v>0</v>
      </c>
      <c r="V31" s="45">
        <f t="shared" si="12"/>
        <v>-1450.98</v>
      </c>
      <c r="W31" s="84">
        <f>IF($F31&amp;"/Día"=W$9,ROUND(U31/$W$1,1),"")</f>
        <v>0</v>
      </c>
      <c r="X31" s="85">
        <f>IF(U31=0,0,IF($F31&amp;"/Día"=W$9,ROUND(V31/U31,4),""))</f>
        <v>0</v>
      </c>
      <c r="Y31" s="85">
        <f>IF(U31=0,0,IF($F31&amp;"/Día"=W$9,ROUND(Z31/U31,4),""))</f>
        <v>0</v>
      </c>
      <c r="Z31" s="45">
        <f>IF(U31&lt;&gt;"",$P31,"")</f>
        <v>-272.06</v>
      </c>
      <c r="AA31" s="45" t="str">
        <f>IF($F31&amp;"/Día"=AC$9,SUM($G31:$H31),"")</f>
        <v/>
      </c>
      <c r="AB31" s="45" t="str">
        <f t="shared" si="14"/>
        <v/>
      </c>
      <c r="AC31" s="84" t="str">
        <f>IF($F31&amp;"/Día"=AC$9,ROUND(AA31/$W$1,1),"")</f>
        <v/>
      </c>
      <c r="AD31" s="85" t="str">
        <f>IF(AA31=0,0,IF($F31&amp;"/Día"=AC$9,ROUND(AB31/AA31,4),""))</f>
        <v/>
      </c>
      <c r="AE31" s="85" t="str">
        <f>IF(AA31=0,0,IF($F31&amp;"/Día"=AC$9,ROUND(AF31/AA31,4),""))</f>
        <v/>
      </c>
      <c r="AF31" s="45" t="str">
        <f>IF(AA31&lt;&gt;"",$P31,"")</f>
        <v/>
      </c>
      <c r="AG31" s="55"/>
    </row>
    <row r="32" spans="1:33" x14ac:dyDescent="0.25">
      <c r="A32" s="26" t="s">
        <v>28</v>
      </c>
      <c r="B32" s="216" t="s">
        <v>170</v>
      </c>
      <c r="C32" s="62" t="s">
        <v>31</v>
      </c>
      <c r="D32" s="28" t="s">
        <v>30</v>
      </c>
      <c r="E32" s="62" t="s">
        <v>101</v>
      </c>
      <c r="F32" s="260" t="s">
        <v>56</v>
      </c>
      <c r="G32" s="236"/>
      <c r="H32" s="236"/>
      <c r="I32" s="238"/>
      <c r="J32" s="238"/>
      <c r="K32" s="236"/>
      <c r="L32" s="312"/>
      <c r="M32" s="312"/>
      <c r="N32" s="236"/>
      <c r="O32" s="245">
        <f>ROUND(G32*I32,2)+ROUND(H32*J32,2)-K32-L32-M32-N32</f>
        <v>0</v>
      </c>
      <c r="P32" s="243">
        <f t="shared" si="10"/>
        <v>0</v>
      </c>
      <c r="Q32" s="243">
        <f>ROUND($O32*R32,2)</f>
        <v>0</v>
      </c>
      <c r="R32" s="286">
        <v>3.7499999999999999E-2</v>
      </c>
      <c r="S32" s="243">
        <f t="shared" si="1"/>
        <v>0</v>
      </c>
      <c r="T32" s="244">
        <v>0.15</v>
      </c>
      <c r="U32" s="45" t="str">
        <f>IF($F32&amp;"/Día"=W$9,SUM($G32:$H32),"")</f>
        <v/>
      </c>
      <c r="V32" s="45" t="str">
        <f t="shared" si="12"/>
        <v/>
      </c>
      <c r="W32" s="84" t="str">
        <f>IF($F32&amp;"/Día"=W$9,ROUND(U32/$W$1,1),"")</f>
        <v/>
      </c>
      <c r="X32" s="85" t="str">
        <f>IF(U32=0,0,IF($F32&amp;"/Día"=W$9,ROUND(V32/U32,4),""))</f>
        <v/>
      </c>
      <c r="Y32" s="85" t="str">
        <f>IF(U32=0,0,IF($F32&amp;"/Día"=W$9,ROUND(Z32/U32,4),""))</f>
        <v/>
      </c>
      <c r="Z32" s="45" t="str">
        <f>IF(U32&lt;&gt;"",$P32,"")</f>
        <v/>
      </c>
      <c r="AA32" s="45">
        <f>IF($F32&amp;"/Día"=AC$9,SUM($G32:$H32),"")</f>
        <v>0</v>
      </c>
      <c r="AB32" s="45">
        <f t="shared" si="14"/>
        <v>0</v>
      </c>
      <c r="AC32" s="84">
        <f>IF($F32&amp;"/Día"=AC$9,ROUND(AA32/$W$1,1),"")</f>
        <v>0</v>
      </c>
      <c r="AD32" s="85">
        <f>IF(AA32=0,0,IF($F32&amp;"/Día"=AC$9,ROUND(AB32/AA32,4),""))</f>
        <v>0</v>
      </c>
      <c r="AE32" s="85">
        <f>IF(AA32=0,0,IF($F32&amp;"/Día"=AC$9,ROUND(AF32/AA32,4),""))</f>
        <v>0</v>
      </c>
      <c r="AF32" s="45">
        <f>IF(AA32&lt;&gt;"",$P32,"")</f>
        <v>0</v>
      </c>
      <c r="AG32" s="55"/>
    </row>
    <row r="33" spans="1:33" x14ac:dyDescent="0.25">
      <c r="A33" s="30" t="s">
        <v>28</v>
      </c>
      <c r="B33" s="271" t="s">
        <v>174</v>
      </c>
      <c r="C33" s="260" t="s">
        <v>29</v>
      </c>
      <c r="D33" s="268" t="s">
        <v>21</v>
      </c>
      <c r="E33" s="260" t="s">
        <v>98</v>
      </c>
      <c r="F33" s="260" t="s">
        <v>37</v>
      </c>
      <c r="G33" s="236"/>
      <c r="H33" s="236">
        <f>5522+28988</f>
        <v>34510</v>
      </c>
      <c r="I33" s="238"/>
      <c r="J33" s="238">
        <v>59.056100000000001</v>
      </c>
      <c r="K33" s="236"/>
      <c r="L33" s="312"/>
      <c r="M33" s="312"/>
      <c r="N33" s="236">
        <v>2349.3200000000002</v>
      </c>
      <c r="O33" s="245">
        <f>ROUND(G33*I33,2)+ROUND(H33*J33,2)-K33-L33-M33-N33</f>
        <v>2035676.69</v>
      </c>
      <c r="P33" s="243">
        <f t="shared" si="10"/>
        <v>381689.38</v>
      </c>
      <c r="Q33" s="243">
        <f>ROUND($O33*R33,2)</f>
        <v>305351.5</v>
      </c>
      <c r="R33" s="247">
        <v>0.15</v>
      </c>
      <c r="S33" s="243">
        <f t="shared" si="1"/>
        <v>76337.88</v>
      </c>
      <c r="T33" s="286">
        <v>3.7499999999999999E-2</v>
      </c>
      <c r="U33" s="45">
        <f>IF($F33&amp;"/Día"=W$9,SUM($G33:$H33),"")</f>
        <v>34510</v>
      </c>
      <c r="V33" s="45">
        <f t="shared" si="12"/>
        <v>2035676.69</v>
      </c>
      <c r="W33" s="84">
        <f>IF($F33&amp;"/Día"=W$9,ROUND(U33/$W$1,1),"")</f>
        <v>1113.2</v>
      </c>
      <c r="X33" s="85">
        <f>IF(U33=0,0,IF($F33&amp;"/Día"=W$9,ROUND(V33/U33,4),""))</f>
        <v>58.988</v>
      </c>
      <c r="Y33" s="85">
        <f>IF(U33=0,0,IF($F33&amp;"/Día"=W$9,ROUND(Z33/U33,4),""))</f>
        <v>11.0603</v>
      </c>
      <c r="Z33" s="45">
        <f>IF(U33&lt;&gt;"",$P33,"")</f>
        <v>381689.38</v>
      </c>
      <c r="AA33" s="45" t="str">
        <f>IF($F33&amp;"/Día"=AC$9,SUM($G33:$H33),"")</f>
        <v/>
      </c>
      <c r="AB33" s="45" t="str">
        <f t="shared" si="14"/>
        <v/>
      </c>
      <c r="AC33" s="84" t="str">
        <f>IF($F33&amp;"/Día"=AC$9,ROUND(AA33/$W$1,1),"")</f>
        <v/>
      </c>
      <c r="AD33" s="85" t="str">
        <f>IF(AA33=0,0,IF($F33&amp;"/Día"=AC$9,ROUND(AB33/AA33,4),""))</f>
        <v/>
      </c>
      <c r="AE33" s="85" t="str">
        <f>IF(AA33=0,0,IF($F33&amp;"/Día"=AC$9,ROUND(AF33/AA33,4),""))</f>
        <v/>
      </c>
      <c r="AF33" s="45" t="str">
        <f>IF(AA33&lt;&gt;"",$P33,"")</f>
        <v/>
      </c>
      <c r="AG33" s="55"/>
    </row>
    <row r="34" spans="1:33" x14ac:dyDescent="0.25">
      <c r="A34" s="30" t="s">
        <v>28</v>
      </c>
      <c r="B34" s="216" t="s">
        <v>178</v>
      </c>
      <c r="C34" s="62" t="s">
        <v>31</v>
      </c>
      <c r="D34" s="28" t="s">
        <v>30</v>
      </c>
      <c r="E34" s="62" t="s">
        <v>101</v>
      </c>
      <c r="F34" s="260" t="s">
        <v>56</v>
      </c>
      <c r="G34" s="236"/>
      <c r="H34" s="236"/>
      <c r="I34" s="238"/>
      <c r="J34" s="238"/>
      <c r="K34" s="236"/>
      <c r="L34" s="312"/>
      <c r="M34" s="312"/>
      <c r="N34" s="236"/>
      <c r="O34" s="245">
        <f>ROUND(G34*I34,2)+ROUND(H34*J34,2)-K34-L34-M34-N34</f>
        <v>0</v>
      </c>
      <c r="P34" s="243">
        <f t="shared" si="10"/>
        <v>0</v>
      </c>
      <c r="Q34" s="243">
        <f>ROUND($O34*R34,2)</f>
        <v>0</v>
      </c>
      <c r="R34" s="275">
        <v>0.15</v>
      </c>
      <c r="S34" s="243">
        <f t="shared" si="1"/>
        <v>0</v>
      </c>
      <c r="T34" s="286">
        <v>3.7499999999999999E-2</v>
      </c>
      <c r="U34" s="45"/>
      <c r="V34" s="45"/>
      <c r="W34" s="84"/>
      <c r="X34" s="85"/>
      <c r="Y34" s="85"/>
      <c r="Z34" s="45"/>
      <c r="AA34" s="45"/>
      <c r="AB34" s="45"/>
      <c r="AC34" s="84"/>
      <c r="AD34" s="85"/>
      <c r="AE34" s="85"/>
      <c r="AF34" s="45"/>
      <c r="AG34" s="55"/>
    </row>
    <row r="35" spans="1:33" x14ac:dyDescent="0.25">
      <c r="A35" s="30" t="s">
        <v>28</v>
      </c>
      <c r="B35" s="33" t="s">
        <v>52</v>
      </c>
      <c r="C35" s="61"/>
      <c r="D35" s="61"/>
      <c r="E35" s="31"/>
      <c r="F35" s="269"/>
      <c r="G35" s="312"/>
      <c r="H35" s="312"/>
      <c r="I35" s="237"/>
      <c r="J35" s="237"/>
      <c r="K35" s="312"/>
      <c r="L35" s="312"/>
      <c r="M35" s="312"/>
      <c r="N35" s="312"/>
      <c r="O35" s="245">
        <f>+O149</f>
        <v>-23595.169999999925</v>
      </c>
      <c r="P35" s="243">
        <f t="shared" si="10"/>
        <v>-4424.09</v>
      </c>
      <c r="Q35" s="245">
        <f>+Q149</f>
        <v>-3539.2800000000279</v>
      </c>
      <c r="R35" s="275"/>
      <c r="S35" s="245">
        <f>+S149</f>
        <v>-884.82000000000698</v>
      </c>
      <c r="T35" s="244"/>
      <c r="U35" s="45" t="str">
        <f>IF($F35&amp;"/Día"=W$9,SUM($G35:$H35),"")</f>
        <v/>
      </c>
      <c r="V35" s="45" t="str">
        <f t="shared" si="12"/>
        <v/>
      </c>
      <c r="W35" s="84" t="str">
        <f>IF($F35&amp;"/Día"=W$9,ROUND(U35/$W$1,1),"")</f>
        <v/>
      </c>
      <c r="X35" s="85" t="str">
        <f>IF(U35=0,0,IF($F35&amp;"/Día"=W$9,ROUND(V35/U35,4),""))</f>
        <v/>
      </c>
      <c r="Y35" s="85" t="str">
        <f>IF(U35=0,0,IF($F35&amp;"/Día"=W$9,ROUND(Z35/U35,4),""))</f>
        <v/>
      </c>
      <c r="Z35" s="45" t="str">
        <f>IF(U35&lt;&gt;"",$P35,"")</f>
        <v/>
      </c>
      <c r="AA35" s="45" t="str">
        <f>IF($F35&amp;"/Día"=AC$9,SUM($G35:$H35),"")</f>
        <v/>
      </c>
      <c r="AB35" s="45" t="str">
        <f t="shared" si="14"/>
        <v/>
      </c>
      <c r="AC35" s="84" t="str">
        <f>IF($F35&amp;"/Día"=AC$9,ROUND(AA35/$W$1,1),"")</f>
        <v/>
      </c>
      <c r="AD35" s="85" t="str">
        <f>IF(AA35=0,0,IF($F35&amp;"/Día"=AC$9,ROUND(AB35/AA35,4),""))</f>
        <v/>
      </c>
      <c r="AE35" s="85" t="str">
        <f>IF(AA35=0,0,IF($F35&amp;"/Día"=AC$9,ROUND(AF35/AA35,4),""))</f>
        <v/>
      </c>
      <c r="AF35" s="45" t="str">
        <f>IF(AA35&lt;&gt;"",$P35,"")</f>
        <v/>
      </c>
      <c r="AG35" s="55"/>
    </row>
    <row r="36" spans="1:33" x14ac:dyDescent="0.25">
      <c r="A36" s="34"/>
      <c r="B36" s="165" t="s">
        <v>108</v>
      </c>
      <c r="C36" s="35" t="str">
        <f>TEXT(A$9,)&amp;" US$"</f>
        <v>Piura / Tumbes US$</v>
      </c>
      <c r="D36" s="43"/>
      <c r="E36" s="44"/>
      <c r="F36" s="270"/>
      <c r="G36" s="239"/>
      <c r="H36" s="239"/>
      <c r="I36" s="240"/>
      <c r="J36" s="240"/>
      <c r="K36" s="239"/>
      <c r="L36" s="239"/>
      <c r="M36" s="239"/>
      <c r="N36" s="239"/>
      <c r="O36" s="249">
        <f>SUM(O10:O35)</f>
        <v>67371406.939999998</v>
      </c>
      <c r="P36" s="250">
        <f>SUM(P10:P35)</f>
        <v>12632138.790000001</v>
      </c>
      <c r="Q36" s="251">
        <f>SUM(Q10:Q35)</f>
        <v>10099533.290000001</v>
      </c>
      <c r="R36" s="252"/>
      <c r="S36" s="253">
        <f>SUM(S10:S35)</f>
        <v>2532605.5</v>
      </c>
      <c r="T36" s="252"/>
      <c r="U36" s="86">
        <f>SUM(U10:U35)</f>
        <v>960035</v>
      </c>
      <c r="V36" s="86">
        <f>SUM(V10:V35)</f>
        <v>63261916.859999999</v>
      </c>
      <c r="W36" s="87">
        <f>SUM(W10:W35)</f>
        <v>30969.100000000002</v>
      </c>
      <c r="X36" s="88">
        <f>ROUND(V36/U36,4)</f>
        <v>65.895399999999995</v>
      </c>
      <c r="Y36" s="88">
        <f>ROUND(Z36/U36,4)</f>
        <v>12.355399999999999</v>
      </c>
      <c r="Z36" s="86">
        <f>SUM(Z10:Z35)</f>
        <v>11861609.4</v>
      </c>
      <c r="AA36" s="86">
        <f>SUM(AA10:AA35)</f>
        <v>1539785.7726000003</v>
      </c>
      <c r="AB36" s="86">
        <f>SUM(AB10:AB35)</f>
        <v>4133085.25</v>
      </c>
      <c r="AC36" s="87">
        <f>SUM(AC10:AC35)</f>
        <v>49670.5</v>
      </c>
      <c r="AD36" s="88">
        <f>ROUND(AB36/AA36,4)</f>
        <v>2.6842000000000001</v>
      </c>
      <c r="AE36" s="88">
        <f>ROUND(AF36/AA36,4)</f>
        <v>0.50329999999999997</v>
      </c>
      <c r="AF36" s="86">
        <f>SUM(AF10:AF35)</f>
        <v>774953.48</v>
      </c>
      <c r="AG36" s="48">
        <f>P36-Z36-AF36</f>
        <v>-4424.0899999993853</v>
      </c>
    </row>
    <row r="37" spans="1:33" x14ac:dyDescent="0.25">
      <c r="A37" s="136"/>
      <c r="B37" s="137"/>
      <c r="C37" s="35" t="str">
        <f>TEXT(A$9,)&amp;" S/."</f>
        <v>Piura / Tumbes S/.</v>
      </c>
      <c r="D37" s="148"/>
      <c r="E37" s="148"/>
      <c r="F37" s="149"/>
      <c r="G37" s="299"/>
      <c r="H37" s="299"/>
      <c r="I37" s="221"/>
      <c r="J37" s="221"/>
      <c r="K37" s="299"/>
      <c r="L37" s="299"/>
      <c r="M37" s="299"/>
      <c r="N37" s="299"/>
      <c r="O37" s="228"/>
      <c r="P37" s="229">
        <f>ROUND($F$1*P36,2)</f>
        <v>0</v>
      </c>
      <c r="Q37" s="229">
        <f>ROUND($F$1*Q36,2)</f>
        <v>0</v>
      </c>
      <c r="R37" s="151"/>
      <c r="S37" s="231">
        <f>ROUND($F$1*S36,2)</f>
        <v>0</v>
      </c>
      <c r="T37" s="172"/>
      <c r="U37" s="152"/>
      <c r="V37" s="152"/>
      <c r="W37" s="153"/>
      <c r="X37" s="154"/>
      <c r="Y37" s="154"/>
      <c r="Z37" s="152"/>
      <c r="AA37" s="152"/>
      <c r="AB37" s="152"/>
      <c r="AC37" s="153"/>
      <c r="AD37" s="154"/>
      <c r="AE37" s="154"/>
      <c r="AF37" s="152"/>
      <c r="AG37" s="152"/>
    </row>
    <row r="38" spans="1:33" x14ac:dyDescent="0.25">
      <c r="A38" s="313" t="s">
        <v>22</v>
      </c>
      <c r="B38" s="19"/>
      <c r="C38" s="63"/>
      <c r="D38" s="63"/>
      <c r="E38" s="20"/>
      <c r="F38" s="39"/>
      <c r="G38" s="241"/>
      <c r="H38" s="241"/>
      <c r="I38" s="242"/>
      <c r="J38" s="242"/>
      <c r="K38" s="241"/>
      <c r="L38" s="241"/>
      <c r="M38" s="241"/>
      <c r="N38" s="241"/>
      <c r="O38" s="254"/>
      <c r="P38" s="255"/>
      <c r="Q38" s="256" t="s">
        <v>49</v>
      </c>
      <c r="R38" s="234"/>
      <c r="S38" s="316"/>
      <c r="T38" s="317"/>
      <c r="U38" s="54"/>
      <c r="V38" s="54"/>
      <c r="W38" s="89"/>
      <c r="X38" s="90"/>
      <c r="Y38" s="90"/>
      <c r="Z38" s="90"/>
      <c r="AA38" s="54"/>
      <c r="AB38" s="54"/>
      <c r="AC38" s="89"/>
      <c r="AD38" s="90"/>
      <c r="AE38" s="90"/>
      <c r="AF38" s="90"/>
      <c r="AG38" s="51"/>
    </row>
    <row r="39" spans="1:33" x14ac:dyDescent="0.25">
      <c r="A39" s="30" t="s">
        <v>28</v>
      </c>
      <c r="B39" s="27" t="s">
        <v>11</v>
      </c>
      <c r="C39" s="62" t="s">
        <v>31</v>
      </c>
      <c r="D39" s="28" t="s">
        <v>30</v>
      </c>
      <c r="E39" s="62" t="s">
        <v>101</v>
      </c>
      <c r="F39" s="40" t="s">
        <v>37</v>
      </c>
      <c r="G39" s="236"/>
      <c r="H39" s="236">
        <v>2156</v>
      </c>
      <c r="I39" s="238"/>
      <c r="J39" s="238">
        <v>68.201400000000007</v>
      </c>
      <c r="K39" s="312"/>
      <c r="L39" s="312"/>
      <c r="M39" s="312"/>
      <c r="N39" s="236">
        <v>1112.44</v>
      </c>
      <c r="O39" s="245">
        <f>ROUND(G39*I39,2)+ROUND(H39*J39,2)-K39-L39-M39-N39</f>
        <v>145929.78</v>
      </c>
      <c r="P39" s="243">
        <f>ROUND(15%*O39,2)</f>
        <v>21889.47</v>
      </c>
      <c r="Q39" s="243">
        <f>ROUND($O39*R39,2)</f>
        <v>21889.47</v>
      </c>
      <c r="R39" s="244">
        <v>0.15</v>
      </c>
      <c r="S39" s="248"/>
      <c r="T39" s="247"/>
      <c r="U39" s="45">
        <f>IF($F39&amp;"/Día"=W$9,SUM($G39:$H39),"")</f>
        <v>2156</v>
      </c>
      <c r="V39" s="45">
        <f>IF(U39&lt;&gt;"",$O39,"")</f>
        <v>145929.78</v>
      </c>
      <c r="W39" s="84">
        <f t="shared" si="13"/>
        <v>69.5</v>
      </c>
      <c r="X39" s="85">
        <f>IF(U39=0,0,IF($F39&amp;"/Día"=W$9,ROUND(V39/U39,4),""))</f>
        <v>67.685400000000001</v>
      </c>
      <c r="Y39" s="85">
        <f>IF(U39=0,0,IF($F39&amp;"/Día"=W$9,ROUND(Z39/U39,4),""))</f>
        <v>10.152799999999999</v>
      </c>
      <c r="Z39" s="45">
        <f>IF(U39&lt;&gt;"",$P39,"")</f>
        <v>21889.47</v>
      </c>
      <c r="AA39" s="45" t="str">
        <f>IF($F39&amp;"/Día"=AC$9,SUM($G39:$H39),"")</f>
        <v/>
      </c>
      <c r="AB39" s="45" t="str">
        <f>IF(AA39&lt;&gt;"",$O39,"")</f>
        <v/>
      </c>
      <c r="AC39" s="84" t="str">
        <f t="shared" si="15"/>
        <v/>
      </c>
      <c r="AD39" s="85" t="str">
        <f>IF(AA39=0,0,IF($F39&amp;"/Día"=AC$9,ROUND(AB39/AA39,4),""))</f>
        <v/>
      </c>
      <c r="AE39" s="85" t="str">
        <f>IF(AA39=0,0,IF($F39&amp;"/Día"=AC$9,ROUND(AF39/AA39,4),""))</f>
        <v/>
      </c>
      <c r="AF39" s="45" t="str">
        <f>IF(AA39&lt;&gt;"",$P39,"")</f>
        <v/>
      </c>
      <c r="AG39" s="55"/>
    </row>
    <row r="40" spans="1:33" x14ac:dyDescent="0.25">
      <c r="A40" s="30" t="s">
        <v>28</v>
      </c>
      <c r="B40" s="315">
        <v>131</v>
      </c>
      <c r="C40" s="62" t="s">
        <v>31</v>
      </c>
      <c r="D40" s="28" t="s">
        <v>30</v>
      </c>
      <c r="E40" s="62" t="s">
        <v>101</v>
      </c>
      <c r="F40" s="40" t="s">
        <v>37</v>
      </c>
      <c r="G40" s="236">
        <v>41943</v>
      </c>
      <c r="H40" s="236">
        <v>45761</v>
      </c>
      <c r="I40" s="238">
        <v>64.135000000000005</v>
      </c>
      <c r="J40" s="238">
        <v>64.826400000000007</v>
      </c>
      <c r="K40" s="312"/>
      <c r="L40" s="312"/>
      <c r="M40" s="312"/>
      <c r="N40" s="236">
        <v>9444.89</v>
      </c>
      <c r="O40" s="245">
        <f>ROUND(G40*I40,2)+ROUND(H40*J40,2)-K40-L40-M40-N40</f>
        <v>5647090.3100000005</v>
      </c>
      <c r="P40" s="243">
        <f>ROUND(15%*O40,2)</f>
        <v>847063.55</v>
      </c>
      <c r="Q40" s="243">
        <f>ROUND($O40*R40,2)</f>
        <v>847063.55</v>
      </c>
      <c r="R40" s="244">
        <v>0.15</v>
      </c>
      <c r="S40" s="248"/>
      <c r="T40" s="247"/>
      <c r="U40" s="45">
        <f>IF($F40&amp;"/Día"=W$9,SUM($G40:$H40),"")</f>
        <v>87704</v>
      </c>
      <c r="V40" s="45">
        <f>IF(U40&lt;&gt;"",$O40,"")</f>
        <v>5647090.3100000005</v>
      </c>
      <c r="W40" s="84">
        <f t="shared" si="13"/>
        <v>2829.2</v>
      </c>
      <c r="X40" s="85">
        <f>IF(U40=0,0,IF($F40&amp;"/Día"=W$9,ROUND(V40/U40,4),""))</f>
        <v>64.388099999999994</v>
      </c>
      <c r="Y40" s="85">
        <f>IF(U40=0,0,IF($F40&amp;"/Día"=W$9,ROUND(Z40/U40,4),""))</f>
        <v>9.6582000000000008</v>
      </c>
      <c r="Z40" s="45">
        <f>IF(U40&lt;&gt;"",$P40,"")</f>
        <v>847063.55</v>
      </c>
      <c r="AA40" s="45" t="str">
        <f>IF($F40&amp;"/Día"=AC$9,SUM($G40:$H40),"")</f>
        <v/>
      </c>
      <c r="AB40" s="45" t="str">
        <f>IF(AA40&lt;&gt;"",$O40,"")</f>
        <v/>
      </c>
      <c r="AC40" s="84" t="str">
        <f t="shared" si="15"/>
        <v/>
      </c>
      <c r="AD40" s="85" t="str">
        <f>IF(AA40=0,0,IF($F40&amp;"/Día"=AC$9,ROUND(AB40/AA40,4),""))</f>
        <v/>
      </c>
      <c r="AE40" s="85" t="str">
        <f>IF(AA40=0,0,IF($F40&amp;"/Día"=AC$9,ROUND(AF40/AA40,4),""))</f>
        <v/>
      </c>
      <c r="AF40" s="45" t="str">
        <f>IF(AA40&lt;&gt;"",$P40,"")</f>
        <v/>
      </c>
      <c r="AG40" s="55"/>
    </row>
    <row r="41" spans="1:33" x14ac:dyDescent="0.25">
      <c r="A41" s="30" t="s">
        <v>28</v>
      </c>
      <c r="B41" s="33" t="s">
        <v>53</v>
      </c>
      <c r="C41" s="61"/>
      <c r="D41" s="61"/>
      <c r="E41" s="8"/>
      <c r="F41" s="235"/>
      <c r="G41" s="312"/>
      <c r="H41" s="312"/>
      <c r="I41" s="237"/>
      <c r="J41" s="237"/>
      <c r="K41" s="312"/>
      <c r="L41" s="312"/>
      <c r="M41" s="312"/>
      <c r="N41" s="312"/>
      <c r="O41" s="312"/>
      <c r="P41" s="243"/>
      <c r="Q41" s="246"/>
      <c r="R41" s="247"/>
      <c r="S41" s="248"/>
      <c r="T41" s="247"/>
      <c r="U41" s="45" t="str">
        <f>IF($F41&amp;"/Día"=W$9,SUM($G41:$H41),"")</f>
        <v/>
      </c>
      <c r="V41" s="45" t="str">
        <f>IF(U41&lt;&gt;"",$O41,"")</f>
        <v/>
      </c>
      <c r="W41" s="84" t="str">
        <f t="shared" si="13"/>
        <v/>
      </c>
      <c r="X41" s="85" t="str">
        <f>IF(U41=0,0,IF($F41&amp;"/Día"=W$9,ROUND(V41/U41,4),""))</f>
        <v/>
      </c>
      <c r="Y41" s="85" t="str">
        <f>IF(U41=0,0,IF($F41&amp;"/Día"=W$9,ROUND(Z41/U41,4),""))</f>
        <v/>
      </c>
      <c r="Z41" s="45" t="str">
        <f>IF(U41&lt;&gt;"",$P41,"")</f>
        <v/>
      </c>
      <c r="AA41" s="45" t="str">
        <f>IF($F41&amp;"/Día"=AC$9,SUM($G41:$H41),"")</f>
        <v/>
      </c>
      <c r="AB41" s="45" t="str">
        <f>IF(AA41&lt;&gt;"",$O41,"")</f>
        <v/>
      </c>
      <c r="AC41" s="84" t="str">
        <f t="shared" si="15"/>
        <v/>
      </c>
      <c r="AD41" s="85" t="str">
        <f>IF(AA41=0,0,IF($F41&amp;"/Día"=AC$9,ROUND(AB41/AA41,4),""))</f>
        <v/>
      </c>
      <c r="AE41" s="85" t="str">
        <f>IF(AA41=0,0,IF($F41&amp;"/Día"=AC$9,ROUND(AF41/AA41,4),""))</f>
        <v/>
      </c>
      <c r="AF41" s="45" t="str">
        <f>IF(AA41&lt;&gt;"",$P41,"")</f>
        <v/>
      </c>
      <c r="AG41" s="55"/>
    </row>
    <row r="42" spans="1:33" x14ac:dyDescent="0.25">
      <c r="A42" s="34"/>
      <c r="B42" s="165" t="s">
        <v>108</v>
      </c>
      <c r="C42" s="35" t="str">
        <f>TEXT(A$38,)&amp;" US$"</f>
        <v>Provincia Puerto Inca Huanuco US$</v>
      </c>
      <c r="D42" s="43"/>
      <c r="E42" s="44"/>
      <c r="F42" s="43"/>
      <c r="G42" s="239"/>
      <c r="H42" s="239"/>
      <c r="I42" s="240"/>
      <c r="J42" s="240"/>
      <c r="K42" s="239"/>
      <c r="L42" s="239"/>
      <c r="M42" s="239"/>
      <c r="N42" s="239"/>
      <c r="O42" s="249">
        <f>SUM(O39:O41)</f>
        <v>5793020.0900000008</v>
      </c>
      <c r="P42" s="250">
        <f>SUM(P39:P41)</f>
        <v>868953.02</v>
      </c>
      <c r="Q42" s="250">
        <f>SUM(Q39:Q41)</f>
        <v>868953.02</v>
      </c>
      <c r="R42" s="252"/>
      <c r="S42" s="250">
        <f>SUM(S39:S41)</f>
        <v>0</v>
      </c>
      <c r="T42" s="252"/>
      <c r="U42" s="48">
        <f>SUM(U39:U41)</f>
        <v>89860</v>
      </c>
      <c r="V42" s="48">
        <f>SUM(V39:V41)</f>
        <v>5793020.0900000008</v>
      </c>
      <c r="W42" s="91">
        <f>SUM(W39:W41)</f>
        <v>2898.7</v>
      </c>
      <c r="X42" s="92">
        <f>ROUND(V42/U42,4)</f>
        <v>64.467200000000005</v>
      </c>
      <c r="Y42" s="92">
        <f>ROUND(Z42/U42,4)</f>
        <v>9.6700999999999997</v>
      </c>
      <c r="Z42" s="48">
        <f>SUM(Z39:Z41)</f>
        <v>868953.02</v>
      </c>
      <c r="AA42" s="48">
        <f>SUM(AA39:AA41)</f>
        <v>0</v>
      </c>
      <c r="AB42" s="48">
        <f>SUM(AB39:AB41)</f>
        <v>0</v>
      </c>
      <c r="AC42" s="91">
        <f>SUM(AC39:AC41)</f>
        <v>0</v>
      </c>
      <c r="AD42" s="92">
        <f>IF(AA42=0,0,ROUND(AB42/AA42,4))</f>
        <v>0</v>
      </c>
      <c r="AE42" s="92">
        <f>IF(AA42=0,0,ROUND(AF42/AA42,4))</f>
        <v>0</v>
      </c>
      <c r="AF42" s="48">
        <f>SUM(AF39:AF41)</f>
        <v>0</v>
      </c>
      <c r="AG42" s="86">
        <f>P42-Z42-AF42</f>
        <v>0</v>
      </c>
    </row>
    <row r="43" spans="1:33" x14ac:dyDescent="0.25">
      <c r="A43" s="136"/>
      <c r="B43" s="137"/>
      <c r="C43" s="35" t="str">
        <f>TEXT(A$38,)&amp;" S/."</f>
        <v>Provincia Puerto Inca Huanuco S/.</v>
      </c>
      <c r="D43" s="148"/>
      <c r="E43" s="148"/>
      <c r="F43" s="149"/>
      <c r="G43" s="299"/>
      <c r="H43" s="299"/>
      <c r="I43" s="221"/>
      <c r="J43" s="221"/>
      <c r="K43" s="299"/>
      <c r="L43" s="299"/>
      <c r="M43" s="299"/>
      <c r="N43" s="299"/>
      <c r="O43" s="228"/>
      <c r="P43" s="229">
        <f>ROUND($F$1*P42,2)</f>
        <v>0</v>
      </c>
      <c r="Q43" s="229">
        <f>ROUND($F$1*Q42,2)</f>
        <v>0</v>
      </c>
      <c r="R43" s="151"/>
      <c r="S43" s="229">
        <f>ROUND($F$1*S42,2)</f>
        <v>0</v>
      </c>
      <c r="T43" s="151"/>
      <c r="U43" s="152"/>
      <c r="V43" s="152"/>
      <c r="W43" s="153"/>
      <c r="X43" s="154"/>
      <c r="Y43" s="154"/>
      <c r="Z43" s="152"/>
      <c r="AA43" s="152"/>
      <c r="AB43" s="152"/>
      <c r="AC43" s="153"/>
      <c r="AD43" s="154"/>
      <c r="AE43" s="154"/>
      <c r="AF43" s="152"/>
      <c r="AG43" s="152"/>
    </row>
    <row r="44" spans="1:33" x14ac:dyDescent="0.25">
      <c r="A44" s="313" t="s">
        <v>24</v>
      </c>
      <c r="B44" s="19"/>
      <c r="C44" s="63"/>
      <c r="D44" s="63"/>
      <c r="E44" s="20"/>
      <c r="F44" s="258"/>
      <c r="G44" s="241"/>
      <c r="H44" s="241"/>
      <c r="I44" s="242"/>
      <c r="J44" s="242"/>
      <c r="K44" s="241"/>
      <c r="L44" s="241"/>
      <c r="M44" s="241"/>
      <c r="N44" s="241"/>
      <c r="O44" s="254"/>
      <c r="P44" s="255"/>
      <c r="Q44" s="256" t="s">
        <v>47</v>
      </c>
      <c r="R44" s="234"/>
      <c r="S44" s="259" t="s">
        <v>48</v>
      </c>
      <c r="T44" s="234"/>
      <c r="U44" s="51"/>
      <c r="V44" s="51"/>
      <c r="W44" s="82"/>
      <c r="X44" s="83"/>
      <c r="Y44" s="83"/>
      <c r="Z44" s="83"/>
      <c r="AA44" s="51"/>
      <c r="AB44" s="51"/>
      <c r="AC44" s="82"/>
      <c r="AD44" s="83"/>
      <c r="AE44" s="83"/>
      <c r="AF44" s="83"/>
      <c r="AG44" s="51"/>
    </row>
    <row r="45" spans="1:33" x14ac:dyDescent="0.25">
      <c r="A45" s="26" t="s">
        <v>28</v>
      </c>
      <c r="B45" s="29" t="s">
        <v>167</v>
      </c>
      <c r="C45" s="62" t="s">
        <v>31</v>
      </c>
      <c r="D45" s="62" t="s">
        <v>21</v>
      </c>
      <c r="E45" s="134" t="s">
        <v>101</v>
      </c>
      <c r="F45" s="261" t="s">
        <v>37</v>
      </c>
      <c r="G45" s="236"/>
      <c r="H45" s="236">
        <v>1460</v>
      </c>
      <c r="I45" s="238"/>
      <c r="J45" s="238">
        <v>57.582500000000003</v>
      </c>
      <c r="K45" s="236"/>
      <c r="L45" s="312"/>
      <c r="M45" s="312"/>
      <c r="N45" s="236">
        <v>513.71</v>
      </c>
      <c r="O45" s="245">
        <f>ROUND(G45*I45,2)+ROUND(H45*J45,2)-K45-L45-M45-N45</f>
        <v>83556.739999999991</v>
      </c>
      <c r="P45" s="243">
        <f>ROUND(18.75%*O45,2)</f>
        <v>15666.89</v>
      </c>
      <c r="Q45" s="243">
        <f t="shared" ref="Q45:Q51" si="16">ROUND($O45*R45,2)</f>
        <v>12533.51</v>
      </c>
      <c r="R45" s="244">
        <v>0.15</v>
      </c>
      <c r="S45" s="243">
        <f t="shared" ref="S45:S51" si="17">ROUND($O45*T45,2)</f>
        <v>3133.38</v>
      </c>
      <c r="T45" s="286">
        <v>3.7499999999999999E-2</v>
      </c>
      <c r="U45" s="45">
        <f t="shared" ref="U45:U55" si="18">IF($F45&amp;"/Día"=W$9,SUM($G45:$H45),"")</f>
        <v>1460</v>
      </c>
      <c r="V45" s="45">
        <f t="shared" ref="V45:V55" si="19">IF(U45&lt;&gt;"",$O45,"")</f>
        <v>83556.739999999991</v>
      </c>
      <c r="W45" s="84">
        <f t="shared" ref="W45:W55" si="20">IF($F45&amp;"/Día"=W$9,ROUND(U45/$W$1,1),"")</f>
        <v>47.1</v>
      </c>
      <c r="X45" s="85">
        <f t="shared" ref="X45:X55" si="21">IF(U45=0,0,IF($F45&amp;"/Día"=W$9,ROUND(V45/U45,4),""))</f>
        <v>57.230600000000003</v>
      </c>
      <c r="Y45" s="85">
        <f t="shared" ref="Y45:Y55" si="22">IF(U45=0,0,IF($F45&amp;"/Día"=W$9,ROUND(Z45/U45,4),""))</f>
        <v>10.730700000000001</v>
      </c>
      <c r="Z45" s="45">
        <f t="shared" ref="Z45:Z55" si="23">IF(U45&lt;&gt;"",$P45,"")</f>
        <v>15666.89</v>
      </c>
      <c r="AA45" s="45" t="str">
        <f t="shared" ref="AA45:AA55" si="24">IF($F45&amp;"/Día"=AC$9,SUM($G45:$H45),"")</f>
        <v/>
      </c>
      <c r="AB45" s="45" t="str">
        <f t="shared" ref="AB45:AB55" si="25">IF(AA45&lt;&gt;"",$O45,"")</f>
        <v/>
      </c>
      <c r="AC45" s="84" t="str">
        <f t="shared" ref="AC45:AC55" si="26">IF($F45&amp;"/Día"=AC$9,ROUND(AA45/$W$1,1),"")</f>
        <v/>
      </c>
      <c r="AD45" s="85" t="str">
        <f t="shared" ref="AD45:AD55" si="27">IF(AA45=0,0,IF($F45&amp;"/Día"=AC$9,ROUND(AB45/AA45,4),""))</f>
        <v/>
      </c>
      <c r="AE45" s="85" t="str">
        <f t="shared" ref="AE45:AE55" si="28">IF(AA45=0,0,IF($F45&amp;"/Día"=AC$9,ROUND(AF45/AA45,4),""))</f>
        <v/>
      </c>
      <c r="AF45" s="45" t="str">
        <f t="shared" ref="AF45:AF55" si="29">IF(AA45&lt;&gt;"",$P45,"")</f>
        <v/>
      </c>
      <c r="AG45" s="55"/>
    </row>
    <row r="46" spans="1:33" x14ac:dyDescent="0.25">
      <c r="A46" s="26" t="s">
        <v>28</v>
      </c>
      <c r="B46" s="272">
        <v>192</v>
      </c>
      <c r="C46" s="62" t="s">
        <v>29</v>
      </c>
      <c r="D46" s="62" t="s">
        <v>21</v>
      </c>
      <c r="E46" s="62" t="s">
        <v>98</v>
      </c>
      <c r="F46" s="261" t="s">
        <v>37</v>
      </c>
      <c r="G46" s="236">
        <v>56090</v>
      </c>
      <c r="H46" s="236">
        <f>253581</f>
        <v>253581</v>
      </c>
      <c r="I46" s="238">
        <f>62.879+0.55</f>
        <v>63.428999999999995</v>
      </c>
      <c r="J46" s="238">
        <v>50.774900000000002</v>
      </c>
      <c r="K46" s="236"/>
      <c r="L46" s="312"/>
      <c r="M46" s="312">
        <v>488728.87</v>
      </c>
      <c r="N46" s="312">
        <v>10608.43</v>
      </c>
      <c r="O46" s="245">
        <f t="shared" ref="O46:O51" si="30">ROUND(G46*I46,2)+ROUND(H46*J46,2)-K46-L46-M46-N46</f>
        <v>15933945.23</v>
      </c>
      <c r="P46" s="243">
        <f t="shared" ref="P46:P51" si="31">ROUND(18.75%*O46,2)</f>
        <v>2987614.73</v>
      </c>
      <c r="Q46" s="243">
        <f t="shared" si="16"/>
        <v>2390091.7799999998</v>
      </c>
      <c r="R46" s="244">
        <v>0.15</v>
      </c>
      <c r="S46" s="243">
        <f t="shared" si="17"/>
        <v>597522.94999999995</v>
      </c>
      <c r="T46" s="286">
        <v>3.7499999999999999E-2</v>
      </c>
      <c r="U46" s="45">
        <f t="shared" si="18"/>
        <v>309671</v>
      </c>
      <c r="V46" s="45">
        <f t="shared" si="19"/>
        <v>15933945.23</v>
      </c>
      <c r="W46" s="84">
        <f t="shared" si="20"/>
        <v>9989.4</v>
      </c>
      <c r="X46" s="85">
        <f t="shared" si="21"/>
        <v>51.4544</v>
      </c>
      <c r="Y46" s="85">
        <f t="shared" si="22"/>
        <v>9.6477000000000004</v>
      </c>
      <c r="Z46" s="45">
        <f t="shared" si="23"/>
        <v>2987614.73</v>
      </c>
      <c r="AA46" s="45" t="str">
        <f t="shared" si="24"/>
        <v/>
      </c>
      <c r="AB46" s="45" t="str">
        <f t="shared" si="25"/>
        <v/>
      </c>
      <c r="AC46" s="84" t="str">
        <f t="shared" si="26"/>
        <v/>
      </c>
      <c r="AD46" s="85" t="str">
        <f t="shared" si="27"/>
        <v/>
      </c>
      <c r="AE46" s="85" t="str">
        <f t="shared" si="28"/>
        <v/>
      </c>
      <c r="AF46" s="45" t="str">
        <f t="shared" si="29"/>
        <v/>
      </c>
      <c r="AG46" s="55"/>
    </row>
    <row r="47" spans="1:33" x14ac:dyDescent="0.25">
      <c r="A47" s="26" t="s">
        <v>28</v>
      </c>
      <c r="B47" s="32">
        <v>8</v>
      </c>
      <c r="C47" s="62" t="s">
        <v>31</v>
      </c>
      <c r="D47" s="62" t="s">
        <v>30</v>
      </c>
      <c r="E47" s="62" t="s">
        <v>101</v>
      </c>
      <c r="F47" s="261" t="s">
        <v>37</v>
      </c>
      <c r="G47" s="312">
        <v>83109</v>
      </c>
      <c r="H47" s="236">
        <v>105805</v>
      </c>
      <c r="I47" s="237">
        <v>50.730699999999999</v>
      </c>
      <c r="J47" s="238">
        <v>52.156599999999997</v>
      </c>
      <c r="K47" s="312"/>
      <c r="L47" s="312"/>
      <c r="M47" s="312"/>
      <c r="N47" s="312">
        <v>12654.24</v>
      </c>
      <c r="O47" s="245">
        <f t="shared" si="30"/>
        <v>9721952.5699999984</v>
      </c>
      <c r="P47" s="243">
        <f t="shared" si="31"/>
        <v>1822866.11</v>
      </c>
      <c r="Q47" s="243">
        <f t="shared" si="16"/>
        <v>1458292.89</v>
      </c>
      <c r="R47" s="244">
        <v>0.15</v>
      </c>
      <c r="S47" s="243">
        <f t="shared" si="17"/>
        <v>364573.22</v>
      </c>
      <c r="T47" s="286">
        <v>3.7499999999999999E-2</v>
      </c>
      <c r="U47" s="45">
        <f t="shared" si="18"/>
        <v>188914</v>
      </c>
      <c r="V47" s="45">
        <f t="shared" si="19"/>
        <v>9721952.5699999984</v>
      </c>
      <c r="W47" s="84">
        <f t="shared" si="20"/>
        <v>6094</v>
      </c>
      <c r="X47" s="85">
        <f t="shared" si="21"/>
        <v>51.462299999999999</v>
      </c>
      <c r="Y47" s="85">
        <f t="shared" si="22"/>
        <v>9.6492000000000004</v>
      </c>
      <c r="Z47" s="45">
        <f t="shared" si="23"/>
        <v>1822866.11</v>
      </c>
      <c r="AA47" s="45" t="str">
        <f t="shared" si="24"/>
        <v/>
      </c>
      <c r="AB47" s="45" t="str">
        <f t="shared" si="25"/>
        <v/>
      </c>
      <c r="AC47" s="84" t="str">
        <f t="shared" si="26"/>
        <v/>
      </c>
      <c r="AD47" s="85" t="str">
        <f t="shared" si="27"/>
        <v/>
      </c>
      <c r="AE47" s="85" t="str">
        <f t="shared" si="28"/>
        <v/>
      </c>
      <c r="AF47" s="45" t="str">
        <f t="shared" si="29"/>
        <v/>
      </c>
      <c r="AG47" s="55"/>
    </row>
    <row r="48" spans="1:33" x14ac:dyDescent="0.25">
      <c r="A48" s="26" t="s">
        <v>28</v>
      </c>
      <c r="B48" s="27" t="s">
        <v>10</v>
      </c>
      <c r="C48" s="62" t="s">
        <v>31</v>
      </c>
      <c r="D48" s="62" t="s">
        <v>30</v>
      </c>
      <c r="E48" s="62" t="s">
        <v>101</v>
      </c>
      <c r="F48" s="261" t="s">
        <v>37</v>
      </c>
      <c r="G48" s="236"/>
      <c r="H48" s="236">
        <v>1293</v>
      </c>
      <c r="I48" s="238"/>
      <c r="J48" s="238">
        <v>68.201400000000007</v>
      </c>
      <c r="K48" s="312"/>
      <c r="L48" s="312"/>
      <c r="M48" s="312"/>
      <c r="N48" s="236">
        <v>657.07</v>
      </c>
      <c r="O48" s="245">
        <f>ROUND(G48*I48,2)+ROUND(H48*J48,2)-K48-L48-M48-N48</f>
        <v>87527.34</v>
      </c>
      <c r="P48" s="243">
        <f t="shared" si="31"/>
        <v>16411.38</v>
      </c>
      <c r="Q48" s="243">
        <f>ROUND($O48*R48,2)</f>
        <v>13129.1</v>
      </c>
      <c r="R48" s="244">
        <v>0.15</v>
      </c>
      <c r="S48" s="243">
        <f t="shared" si="17"/>
        <v>3282.28</v>
      </c>
      <c r="T48" s="286">
        <v>3.7499999999999999E-2</v>
      </c>
      <c r="U48" s="45">
        <f t="shared" si="18"/>
        <v>1293</v>
      </c>
      <c r="V48" s="45">
        <f t="shared" si="19"/>
        <v>87527.34</v>
      </c>
      <c r="W48" s="84">
        <f t="shared" si="20"/>
        <v>41.7</v>
      </c>
      <c r="X48" s="85">
        <f t="shared" si="21"/>
        <v>67.693200000000004</v>
      </c>
      <c r="Y48" s="85">
        <f t="shared" si="22"/>
        <v>12.692500000000001</v>
      </c>
      <c r="Z48" s="45">
        <f t="shared" si="23"/>
        <v>16411.38</v>
      </c>
      <c r="AA48" s="45" t="str">
        <f t="shared" si="24"/>
        <v/>
      </c>
      <c r="AB48" s="45" t="str">
        <f t="shared" si="25"/>
        <v/>
      </c>
      <c r="AC48" s="84" t="str">
        <f t="shared" si="26"/>
        <v/>
      </c>
      <c r="AD48" s="85" t="str">
        <f t="shared" si="27"/>
        <v/>
      </c>
      <c r="AE48" s="85" t="str">
        <f t="shared" si="28"/>
        <v/>
      </c>
      <c r="AF48" s="45" t="str">
        <f t="shared" si="29"/>
        <v/>
      </c>
      <c r="AG48" s="55"/>
    </row>
    <row r="49" spans="1:33" x14ac:dyDescent="0.25">
      <c r="A49" s="26" t="s">
        <v>28</v>
      </c>
      <c r="B49" s="27" t="s">
        <v>12</v>
      </c>
      <c r="C49" s="62" t="s">
        <v>31</v>
      </c>
      <c r="D49" s="62" t="s">
        <v>30</v>
      </c>
      <c r="E49" s="62" t="s">
        <v>101</v>
      </c>
      <c r="F49" s="262" t="s">
        <v>56</v>
      </c>
      <c r="G49" s="236">
        <v>997.64459999999997</v>
      </c>
      <c r="H49" s="236">
        <v>112703.94</v>
      </c>
      <c r="I49" s="238">
        <v>3.7465000000000002</v>
      </c>
      <c r="J49" s="238">
        <v>3.7467000000000001</v>
      </c>
      <c r="K49" s="312"/>
      <c r="L49" s="312"/>
      <c r="M49" s="312"/>
      <c r="N49" s="236">
        <v>1184.26</v>
      </c>
      <c r="O49" s="245">
        <f t="shared" si="30"/>
        <v>424821.26999999996</v>
      </c>
      <c r="P49" s="243">
        <f t="shared" si="31"/>
        <v>79653.990000000005</v>
      </c>
      <c r="Q49" s="243">
        <f t="shared" si="16"/>
        <v>15930.8</v>
      </c>
      <c r="R49" s="286">
        <v>3.7499999999999999E-2</v>
      </c>
      <c r="S49" s="243">
        <f t="shared" si="17"/>
        <v>63723.19</v>
      </c>
      <c r="T49" s="244">
        <v>0.15</v>
      </c>
      <c r="U49" s="45" t="str">
        <f t="shared" si="18"/>
        <v/>
      </c>
      <c r="V49" s="45" t="str">
        <f t="shared" si="19"/>
        <v/>
      </c>
      <c r="W49" s="84" t="str">
        <f t="shared" si="20"/>
        <v/>
      </c>
      <c r="X49" s="85" t="str">
        <f t="shared" si="21"/>
        <v/>
      </c>
      <c r="Y49" s="85" t="str">
        <f t="shared" si="22"/>
        <v/>
      </c>
      <c r="Z49" s="45" t="str">
        <f t="shared" si="23"/>
        <v/>
      </c>
      <c r="AA49" s="45">
        <f t="shared" si="24"/>
        <v>113701.5846</v>
      </c>
      <c r="AB49" s="45">
        <f t="shared" si="25"/>
        <v>424821.26999999996</v>
      </c>
      <c r="AC49" s="84">
        <f t="shared" si="26"/>
        <v>3667.8</v>
      </c>
      <c r="AD49" s="85">
        <f t="shared" si="27"/>
        <v>3.7363</v>
      </c>
      <c r="AE49" s="85">
        <f t="shared" si="28"/>
        <v>0.7006</v>
      </c>
      <c r="AF49" s="45">
        <f t="shared" si="29"/>
        <v>79653.990000000005</v>
      </c>
      <c r="AG49" s="55"/>
    </row>
    <row r="50" spans="1:33" x14ac:dyDescent="0.25">
      <c r="A50" s="26" t="s">
        <v>28</v>
      </c>
      <c r="B50" s="29" t="s">
        <v>75</v>
      </c>
      <c r="C50" s="62" t="s">
        <v>31</v>
      </c>
      <c r="D50" s="62" t="s">
        <v>30</v>
      </c>
      <c r="E50" s="62" t="s">
        <v>103</v>
      </c>
      <c r="F50" s="261" t="s">
        <v>37</v>
      </c>
      <c r="G50" s="236">
        <v>17616</v>
      </c>
      <c r="H50" s="236">
        <v>18887</v>
      </c>
      <c r="I50" s="238">
        <v>57.373399999999997</v>
      </c>
      <c r="J50" s="238">
        <v>57.320500000000003</v>
      </c>
      <c r="K50" s="312"/>
      <c r="L50" s="312"/>
      <c r="M50" s="312"/>
      <c r="N50" s="312">
        <v>5359.58</v>
      </c>
      <c r="O50" s="245">
        <f t="shared" si="30"/>
        <v>2087942.51</v>
      </c>
      <c r="P50" s="243">
        <f t="shared" si="31"/>
        <v>391489.22</v>
      </c>
      <c r="Q50" s="243">
        <f t="shared" si="16"/>
        <v>78297.84</v>
      </c>
      <c r="R50" s="286">
        <v>3.7499999999999999E-2</v>
      </c>
      <c r="S50" s="243">
        <f t="shared" si="17"/>
        <v>313191.38</v>
      </c>
      <c r="T50" s="244">
        <v>0.15</v>
      </c>
      <c r="U50" s="45">
        <f t="shared" si="18"/>
        <v>36503</v>
      </c>
      <c r="V50" s="45">
        <f t="shared" si="19"/>
        <v>2087942.51</v>
      </c>
      <c r="W50" s="84">
        <f t="shared" si="20"/>
        <v>1177.5</v>
      </c>
      <c r="X50" s="85">
        <f t="shared" si="21"/>
        <v>57.199199999999998</v>
      </c>
      <c r="Y50" s="85">
        <f t="shared" si="22"/>
        <v>10.7249</v>
      </c>
      <c r="Z50" s="45">
        <f t="shared" si="23"/>
        <v>391489.22</v>
      </c>
      <c r="AA50" s="45" t="str">
        <f t="shared" si="24"/>
        <v/>
      </c>
      <c r="AB50" s="45" t="str">
        <f t="shared" si="25"/>
        <v/>
      </c>
      <c r="AC50" s="84" t="str">
        <f t="shared" si="26"/>
        <v/>
      </c>
      <c r="AD50" s="85" t="str">
        <f t="shared" si="27"/>
        <v/>
      </c>
      <c r="AE50" s="85" t="str">
        <f t="shared" si="28"/>
        <v/>
      </c>
      <c r="AF50" s="45" t="str">
        <f t="shared" si="29"/>
        <v/>
      </c>
      <c r="AG50" s="55"/>
    </row>
    <row r="51" spans="1:33" x14ac:dyDescent="0.25">
      <c r="A51" s="26" t="s">
        <v>28</v>
      </c>
      <c r="B51" s="29" t="s">
        <v>32</v>
      </c>
      <c r="C51" s="62" t="s">
        <v>31</v>
      </c>
      <c r="D51" s="62" t="s">
        <v>30</v>
      </c>
      <c r="E51" s="62" t="s">
        <v>101</v>
      </c>
      <c r="F51" s="261" t="s">
        <v>37</v>
      </c>
      <c r="G51" s="312"/>
      <c r="H51" s="312"/>
      <c r="I51" s="238"/>
      <c r="J51" s="238"/>
      <c r="K51" s="312"/>
      <c r="L51" s="312"/>
      <c r="M51" s="312"/>
      <c r="N51" s="312"/>
      <c r="O51" s="245">
        <f t="shared" si="30"/>
        <v>0</v>
      </c>
      <c r="P51" s="243">
        <f t="shared" si="31"/>
        <v>0</v>
      </c>
      <c r="Q51" s="243">
        <f t="shared" si="16"/>
        <v>0</v>
      </c>
      <c r="R51" s="286">
        <v>3.7499999999999999E-2</v>
      </c>
      <c r="S51" s="243">
        <f t="shared" si="17"/>
        <v>0</v>
      </c>
      <c r="T51" s="244">
        <v>0.15</v>
      </c>
      <c r="U51" s="45">
        <f t="shared" si="18"/>
        <v>0</v>
      </c>
      <c r="V51" s="45">
        <f t="shared" si="19"/>
        <v>0</v>
      </c>
      <c r="W51" s="84">
        <f t="shared" si="20"/>
        <v>0</v>
      </c>
      <c r="X51" s="85">
        <f t="shared" si="21"/>
        <v>0</v>
      </c>
      <c r="Y51" s="85">
        <f t="shared" si="22"/>
        <v>0</v>
      </c>
      <c r="Z51" s="45">
        <f t="shared" si="23"/>
        <v>0</v>
      </c>
      <c r="AA51" s="45" t="str">
        <f t="shared" si="24"/>
        <v/>
      </c>
      <c r="AB51" s="45" t="str">
        <f t="shared" si="25"/>
        <v/>
      </c>
      <c r="AC51" s="84" t="str">
        <f t="shared" si="26"/>
        <v/>
      </c>
      <c r="AD51" s="85" t="str">
        <f t="shared" si="27"/>
        <v/>
      </c>
      <c r="AE51" s="85" t="str">
        <f t="shared" si="28"/>
        <v/>
      </c>
      <c r="AF51" s="45" t="str">
        <f t="shared" si="29"/>
        <v/>
      </c>
      <c r="AG51" s="55"/>
    </row>
    <row r="52" spans="1:33" x14ac:dyDescent="0.25">
      <c r="A52" s="26" t="s">
        <v>28</v>
      </c>
      <c r="B52" s="32">
        <v>102</v>
      </c>
      <c r="C52" s="62" t="s">
        <v>31</v>
      </c>
      <c r="D52" s="62" t="s">
        <v>30</v>
      </c>
      <c r="E52" s="62" t="s">
        <v>101</v>
      </c>
      <c r="F52" s="261" t="s">
        <v>37</v>
      </c>
      <c r="G52" s="236"/>
      <c r="H52" s="236"/>
      <c r="I52" s="238"/>
      <c r="J52" s="238"/>
      <c r="K52" s="236"/>
      <c r="L52" s="312"/>
      <c r="M52" s="312"/>
      <c r="N52" s="236"/>
      <c r="O52" s="245">
        <f>ROUND(G52*I52,2)+ROUND(H52*J52,2)-K52-L52-M52-N52</f>
        <v>0</v>
      </c>
      <c r="P52" s="243">
        <f>ROUND(18.75%*O52,2)</f>
        <v>0</v>
      </c>
      <c r="Q52" s="243">
        <f>P52-S52</f>
        <v>0</v>
      </c>
      <c r="R52" s="244">
        <v>0.15</v>
      </c>
      <c r="S52" s="243">
        <f>ROUND($O52*T52,2)</f>
        <v>0</v>
      </c>
      <c r="T52" s="286">
        <v>3.7499999999999999E-2</v>
      </c>
      <c r="U52" s="45">
        <f>IF($F52&amp;"/Día"=W$9,SUM($G52:$H52),"")</f>
        <v>0</v>
      </c>
      <c r="V52" s="45">
        <f>IF(U52&lt;&gt;"",$O52,"")</f>
        <v>0</v>
      </c>
      <c r="W52" s="84">
        <f>IF($F52&amp;"/Día"=W$9,ROUND(U52/$W$1,1),"")</f>
        <v>0</v>
      </c>
      <c r="X52" s="85">
        <f>IF(U52=0,0,IF($F52&amp;"/Día"=W$9,ROUND(V52/U52,4),""))</f>
        <v>0</v>
      </c>
      <c r="Y52" s="85">
        <f>IF(U52=0,0,IF($F52&amp;"/Día"=W$9,ROUND(Z52/U52,4),""))</f>
        <v>0</v>
      </c>
      <c r="Z52" s="45">
        <f>IF(U52&lt;&gt;"",$P52,"")</f>
        <v>0</v>
      </c>
      <c r="AA52" s="45" t="str">
        <f>IF($F52&amp;"/Día"=AC$9,SUM($G52:$H52),"")</f>
        <v/>
      </c>
      <c r="AB52" s="45" t="str">
        <f>IF(AA52&lt;&gt;"",$O52,"")</f>
        <v/>
      </c>
      <c r="AC52" s="84" t="str">
        <f>IF($F52&amp;"/Día"=AC$9,ROUND(AA52/$W$1,1),"")</f>
        <v/>
      </c>
      <c r="AD52" s="85" t="str">
        <f>IF(AA52=0,0,IF($F52&amp;"/Día"=AC$9,ROUND(AB52/AA52,4),""))</f>
        <v/>
      </c>
      <c r="AE52" s="85" t="str">
        <f>IF(AA52=0,0,IF($F52&amp;"/Día"=AC$9,ROUND(AF52/AA52,4),""))</f>
        <v/>
      </c>
      <c r="AF52" s="45" t="str">
        <f>IF(AA52&lt;&gt;"",$P52,"")</f>
        <v/>
      </c>
      <c r="AG52" s="55"/>
    </row>
    <row r="53" spans="1:33" x14ac:dyDescent="0.25">
      <c r="A53" s="26" t="s">
        <v>28</v>
      </c>
      <c r="B53" s="32">
        <v>95</v>
      </c>
      <c r="C53" s="62" t="s">
        <v>31</v>
      </c>
      <c r="D53" s="62" t="s">
        <v>30</v>
      </c>
      <c r="E53" s="62" t="s">
        <v>101</v>
      </c>
      <c r="F53" s="261" t="s">
        <v>37</v>
      </c>
      <c r="G53" s="236"/>
      <c r="H53" s="236"/>
      <c r="I53" s="238"/>
      <c r="J53" s="238"/>
      <c r="K53" s="236"/>
      <c r="L53" s="312"/>
      <c r="M53" s="312"/>
      <c r="N53" s="236"/>
      <c r="O53" s="245">
        <f>ROUND(G53*I53,2)+ROUND(H53*J53,2)-K53-L53-M53-N53</f>
        <v>0</v>
      </c>
      <c r="P53" s="243">
        <f>ROUND(18.75%*O53,2)</f>
        <v>0</v>
      </c>
      <c r="Q53" s="243">
        <f>P53-S53</f>
        <v>0</v>
      </c>
      <c r="R53" s="244">
        <v>0.15</v>
      </c>
      <c r="S53" s="243">
        <f>ROUND($O53*T53,2)</f>
        <v>0</v>
      </c>
      <c r="T53" s="286">
        <v>3.7499999999999999E-2</v>
      </c>
      <c r="U53" s="45">
        <f>IF($F53&amp;"/Día"=W$9,SUM($G53:$H53),"")</f>
        <v>0</v>
      </c>
      <c r="V53" s="45">
        <f>IF(U53&lt;&gt;"",$O53,"")</f>
        <v>0</v>
      </c>
      <c r="W53" s="84">
        <f>IF($F53&amp;"/Día"=W$9,ROUND(U53/$W$1,1),"")</f>
        <v>0</v>
      </c>
      <c r="X53" s="85">
        <f>IF(U53=0,0,IF($F53&amp;"/Día"=W$9,ROUND(V53/U53,4),""))</f>
        <v>0</v>
      </c>
      <c r="Y53" s="85">
        <f>IF(U53=0,0,IF($F53&amp;"/Día"=W$9,ROUND(Z53/U53,4),""))</f>
        <v>0</v>
      </c>
      <c r="Z53" s="45">
        <f>IF(U53&lt;&gt;"",$P53,"")</f>
        <v>0</v>
      </c>
      <c r="AA53" s="45" t="str">
        <f>IF($F53&amp;"/Día"=AC$9,SUM($G53:$H53),"")</f>
        <v/>
      </c>
      <c r="AB53" s="45" t="str">
        <f>IF(AA53&lt;&gt;"",$O53,"")</f>
        <v/>
      </c>
      <c r="AC53" s="84" t="str">
        <f>IF($F53&amp;"/Día"=AC$9,ROUND(AA53/$W$1,1),"")</f>
        <v/>
      </c>
      <c r="AD53" s="85" t="str">
        <f>IF(AA53=0,0,IF($F53&amp;"/Día"=AC$9,ROUND(AB53/AA53,4),""))</f>
        <v/>
      </c>
      <c r="AE53" s="85" t="str">
        <f>IF(AA53=0,0,IF($F53&amp;"/Día"=AC$9,ROUND(AF53/AA53,4),""))</f>
        <v/>
      </c>
      <c r="AF53" s="45" t="str">
        <f>IF(AA53&lt;&gt;"",$P53,"")</f>
        <v/>
      </c>
      <c r="AG53" s="55"/>
    </row>
    <row r="54" spans="1:33" x14ac:dyDescent="0.25">
      <c r="A54" s="26" t="s">
        <v>28</v>
      </c>
      <c r="B54" s="302">
        <v>67</v>
      </c>
      <c r="C54" s="62" t="s">
        <v>31</v>
      </c>
      <c r="D54" s="62" t="s">
        <v>30</v>
      </c>
      <c r="E54" s="62" t="s">
        <v>101</v>
      </c>
      <c r="F54" s="261" t="s">
        <v>37</v>
      </c>
      <c r="G54" s="236"/>
      <c r="H54" s="236"/>
      <c r="I54" s="238"/>
      <c r="J54" s="238"/>
      <c r="K54" s="236"/>
      <c r="L54" s="312"/>
      <c r="M54" s="312"/>
      <c r="N54" s="236"/>
      <c r="O54" s="245">
        <f>ROUND(G54*I54,2)+ROUND(H54*J54,2)-K54-L54-M54-N54</f>
        <v>0</v>
      </c>
      <c r="P54" s="243">
        <f>ROUND(18.75%*O54,2)</f>
        <v>0</v>
      </c>
      <c r="Q54" s="243">
        <f>P54-S54</f>
        <v>0</v>
      </c>
      <c r="R54" s="244">
        <v>0.15</v>
      </c>
      <c r="S54" s="243">
        <f>ROUND($O54*T54,2)</f>
        <v>0</v>
      </c>
      <c r="T54" s="286">
        <v>3.7499999999999999E-2</v>
      </c>
      <c r="U54" s="45">
        <f>IF($F54&amp;"/Día"=W$9,SUM($G54:$H54),"")</f>
        <v>0</v>
      </c>
      <c r="V54" s="45">
        <f>IF(U54&lt;&gt;"",$O54,"")</f>
        <v>0</v>
      </c>
      <c r="W54" s="84">
        <f>IF($F54&amp;"/Día"=W$9,ROUND(U54/$W$1,1),"")</f>
        <v>0</v>
      </c>
      <c r="X54" s="85">
        <f>IF(U54=0,0,IF($F54&amp;"/Día"=W$9,ROUND(V54/U54,4),""))</f>
        <v>0</v>
      </c>
      <c r="Y54" s="85">
        <f>IF(U54=0,0,IF($F54&amp;"/Día"=W$9,ROUND(Z54/U54,4),""))</f>
        <v>0</v>
      </c>
      <c r="Z54" s="45">
        <f>IF(U54&lt;&gt;"",$P54,"")</f>
        <v>0</v>
      </c>
      <c r="AA54" s="45" t="str">
        <f>IF($F54&amp;"/Día"=AC$9,SUM($G54:$H54),"")</f>
        <v/>
      </c>
      <c r="AB54" s="45" t="str">
        <f>IF(AA54&lt;&gt;"",$O54,"")</f>
        <v/>
      </c>
      <c r="AC54" s="84" t="str">
        <f>IF($F54&amp;"/Día"=AC$9,ROUND(AA54/$W$1,1),"")</f>
        <v/>
      </c>
      <c r="AD54" s="85" t="str">
        <f>IF(AA54=0,0,IF($F54&amp;"/Día"=AC$9,ROUND(AB54/AA54,4),""))</f>
        <v/>
      </c>
      <c r="AE54" s="85" t="str">
        <f>IF(AA54=0,0,IF($F54&amp;"/Día"=AC$9,ROUND(AF54/AA54,4),""))</f>
        <v/>
      </c>
      <c r="AF54" s="45" t="str">
        <f>IF(AA54&lt;&gt;"",$P54,"")</f>
        <v/>
      </c>
      <c r="AG54" s="55"/>
    </row>
    <row r="55" spans="1:33" x14ac:dyDescent="0.25">
      <c r="A55" s="21" t="s">
        <v>28</v>
      </c>
      <c r="B55" s="33" t="s">
        <v>54</v>
      </c>
      <c r="C55" s="61"/>
      <c r="D55" s="31"/>
      <c r="E55" s="31"/>
      <c r="F55" s="263"/>
      <c r="G55" s="312"/>
      <c r="H55" s="312"/>
      <c r="I55" s="237"/>
      <c r="J55" s="237"/>
      <c r="K55" s="312"/>
      <c r="L55" s="312"/>
      <c r="M55" s="312"/>
      <c r="N55" s="312"/>
      <c r="O55" s="312">
        <f>+O152</f>
        <v>1253.6399999999994</v>
      </c>
      <c r="P55" s="312">
        <f>ROUND(18.75%*O55,2)</f>
        <v>235.06</v>
      </c>
      <c r="Q55" s="312">
        <f>+Q152</f>
        <v>188.05000000000109</v>
      </c>
      <c r="R55" s="244"/>
      <c r="S55" s="312">
        <f>+S152</f>
        <v>47.009999999999764</v>
      </c>
      <c r="T55" s="244"/>
      <c r="U55" s="45" t="str">
        <f t="shared" si="18"/>
        <v/>
      </c>
      <c r="V55" s="45" t="str">
        <f t="shared" si="19"/>
        <v/>
      </c>
      <c r="W55" s="84" t="str">
        <f t="shared" si="20"/>
        <v/>
      </c>
      <c r="X55" s="85" t="str">
        <f t="shared" si="21"/>
        <v/>
      </c>
      <c r="Y55" s="85" t="str">
        <f t="shared" si="22"/>
        <v/>
      </c>
      <c r="Z55" s="45" t="str">
        <f t="shared" si="23"/>
        <v/>
      </c>
      <c r="AA55" s="45" t="str">
        <f t="shared" si="24"/>
        <v/>
      </c>
      <c r="AB55" s="45" t="str">
        <f t="shared" si="25"/>
        <v/>
      </c>
      <c r="AC55" s="84" t="str">
        <f t="shared" si="26"/>
        <v/>
      </c>
      <c r="AD55" s="85" t="str">
        <f t="shared" si="27"/>
        <v/>
      </c>
      <c r="AE55" s="85" t="str">
        <f t="shared" si="28"/>
        <v/>
      </c>
      <c r="AF55" s="45" t="str">
        <f t="shared" si="29"/>
        <v/>
      </c>
      <c r="AG55" s="55"/>
    </row>
    <row r="56" spans="1:33" x14ac:dyDescent="0.25">
      <c r="A56" s="34"/>
      <c r="B56" s="165" t="s">
        <v>108</v>
      </c>
      <c r="C56" s="35" t="str">
        <f>TEXT(A$44,)&amp;" US$"</f>
        <v>Loreto / Ucayali US$</v>
      </c>
      <c r="D56" s="22"/>
      <c r="E56" s="22"/>
      <c r="F56" s="279"/>
      <c r="G56" s="277"/>
      <c r="H56" s="277"/>
      <c r="I56" s="278"/>
      <c r="J56" s="265"/>
      <c r="K56" s="264"/>
      <c r="L56" s="264"/>
      <c r="M56" s="264"/>
      <c r="N56" s="249"/>
      <c r="O56" s="249">
        <f>SUM(O45:O55)</f>
        <v>28340999.300000001</v>
      </c>
      <c r="P56" s="250">
        <f>SUM(P45:P55)</f>
        <v>5313937.38</v>
      </c>
      <c r="Q56" s="250">
        <f>SUM(Q45:Q55)</f>
        <v>3968463.9699999993</v>
      </c>
      <c r="R56" s="266"/>
      <c r="S56" s="250">
        <f>SUM(S45:S55)</f>
        <v>1345473.41</v>
      </c>
      <c r="T56" s="252"/>
      <c r="U56" s="86">
        <f>SUM(U45:U55)</f>
        <v>537841</v>
      </c>
      <c r="V56" s="86">
        <f>SUM(V45:V55)</f>
        <v>27914924.390000001</v>
      </c>
      <c r="W56" s="87">
        <f>SUM(W45:W55)</f>
        <v>17349.7</v>
      </c>
      <c r="X56" s="88">
        <f>ROUND(V56/U56,4)</f>
        <v>51.901800000000001</v>
      </c>
      <c r="Y56" s="88">
        <f>ROUND(Z56/U56,4)</f>
        <v>9.7316000000000003</v>
      </c>
      <c r="Z56" s="86">
        <f>SUM(Z45:Z55)</f>
        <v>5234048.33</v>
      </c>
      <c r="AA56" s="86">
        <f>SUM(AA45:AA55)</f>
        <v>113701.5846</v>
      </c>
      <c r="AB56" s="86">
        <f>SUM(AB45:AB55)</f>
        <v>424821.26999999996</v>
      </c>
      <c r="AC56" s="87">
        <f>SUM(AC45:AC55)</f>
        <v>3667.8</v>
      </c>
      <c r="AD56" s="88">
        <f>ROUND(AB56/AA56,4)</f>
        <v>3.7363</v>
      </c>
      <c r="AE56" s="88">
        <f>ROUND(AF56/AA56,4)</f>
        <v>0.7006</v>
      </c>
      <c r="AF56" s="86">
        <f>SUM(AF45:AF55)</f>
        <v>79653.990000000005</v>
      </c>
      <c r="AG56" s="86">
        <f>P56-Z56-AF56</f>
        <v>235.0599999998085</v>
      </c>
    </row>
    <row r="57" spans="1:33" x14ac:dyDescent="0.25">
      <c r="A57" s="157"/>
      <c r="B57" s="158"/>
      <c r="C57" s="35" t="str">
        <f>TEXT(A$44,)&amp;" S/."</f>
        <v>Loreto / Ucayali S/.</v>
      </c>
      <c r="D57" s="114"/>
      <c r="E57" s="114"/>
      <c r="F57" s="157"/>
      <c r="G57" s="227"/>
      <c r="H57" s="227"/>
      <c r="I57" s="224"/>
      <c r="J57" s="224"/>
      <c r="K57" s="227"/>
      <c r="L57" s="227"/>
      <c r="M57" s="227"/>
      <c r="N57" s="227"/>
      <c r="O57" s="230"/>
      <c r="P57" s="231">
        <f>ROUND($F$1*P56,2)</f>
        <v>0</v>
      </c>
      <c r="Q57" s="231">
        <f>ROUND($F$1*Q56,2)</f>
        <v>0</v>
      </c>
      <c r="R57" s="172"/>
      <c r="S57" s="231">
        <f>ROUND($F$1*S56,2)</f>
        <v>0</v>
      </c>
      <c r="T57" s="160"/>
      <c r="U57" s="161"/>
      <c r="V57" s="161"/>
      <c r="W57" s="162"/>
      <c r="X57" s="163"/>
      <c r="Y57" s="163"/>
      <c r="Z57" s="161"/>
      <c r="AA57" s="161"/>
      <c r="AB57" s="161"/>
      <c r="AC57" s="162"/>
      <c r="AD57" s="163"/>
      <c r="AE57" s="163"/>
      <c r="AF57" s="161"/>
      <c r="AG57" s="161"/>
    </row>
    <row r="58" spans="1:33" x14ac:dyDescent="0.25">
      <c r="A58" s="313" t="s">
        <v>164</v>
      </c>
      <c r="B58" s="19"/>
      <c r="C58" s="19"/>
      <c r="D58" s="19"/>
      <c r="E58" s="24"/>
      <c r="F58" s="313"/>
      <c r="G58" s="225"/>
      <c r="H58" s="226"/>
      <c r="I58" s="222"/>
      <c r="J58" s="223"/>
      <c r="K58" s="225"/>
      <c r="L58" s="225"/>
      <c r="M58" s="225"/>
      <c r="N58" s="225"/>
      <c r="O58" s="225"/>
      <c r="P58" s="233" t="s">
        <v>166</v>
      </c>
      <c r="Q58" s="233" t="s">
        <v>164</v>
      </c>
      <c r="R58" s="182"/>
      <c r="S58" s="232"/>
      <c r="T58" s="193"/>
      <c r="U58" s="161"/>
      <c r="V58" s="161"/>
      <c r="W58" s="162"/>
      <c r="X58" s="163"/>
      <c r="Y58" s="163"/>
      <c r="Z58" s="161"/>
      <c r="AA58" s="161"/>
      <c r="AB58" s="161"/>
      <c r="AC58" s="162"/>
      <c r="AD58" s="163"/>
      <c r="AE58" s="163"/>
      <c r="AF58" s="161"/>
      <c r="AG58" s="161"/>
    </row>
    <row r="59" spans="1:33" x14ac:dyDescent="0.25">
      <c r="A59" s="26" t="s">
        <v>28</v>
      </c>
      <c r="B59" s="27" t="s">
        <v>163</v>
      </c>
      <c r="C59" s="62" t="s">
        <v>31</v>
      </c>
      <c r="D59" s="62" t="s">
        <v>30</v>
      </c>
      <c r="E59" s="62" t="s">
        <v>161</v>
      </c>
      <c r="F59" s="261" t="s">
        <v>37</v>
      </c>
      <c r="G59" s="312">
        <v>755338</v>
      </c>
      <c r="H59" s="312">
        <v>820304</v>
      </c>
      <c r="I59" s="237">
        <v>43.116300000000003</v>
      </c>
      <c r="J59" s="237">
        <v>42.268700000000003</v>
      </c>
      <c r="K59" s="312"/>
      <c r="L59" s="312"/>
      <c r="M59" s="312"/>
      <c r="N59" s="312"/>
      <c r="O59" s="245">
        <f>G59*I59+H59*J59</f>
        <v>67240563.494200006</v>
      </c>
      <c r="P59" s="243">
        <f>ROUND(37.24%*(G59*I59+H59*J59),2)</f>
        <v>25040385.850000001</v>
      </c>
      <c r="Q59" s="243">
        <f t="shared" ref="Q59:Q67" si="32">ROUND(R59*P59,2)</f>
        <v>12520192.93</v>
      </c>
      <c r="R59" s="244">
        <v>0.5</v>
      </c>
      <c r="S59" s="243"/>
      <c r="T59" s="286"/>
      <c r="U59" s="45">
        <f t="shared" ref="U59:U68" si="33">IF($F59&amp;"/Día"=W$9,SUM($G59:$H59),"")</f>
        <v>1575642</v>
      </c>
      <c r="V59" s="45">
        <f t="shared" ref="V59:V68" si="34">IF(U59&lt;&gt;"",$O59,"")</f>
        <v>67240563.494200006</v>
      </c>
      <c r="W59" s="84">
        <f t="shared" ref="W59:W68" si="35">IF($F59&amp;"/Día"=W$9,ROUND(U59/$W$1,1),"")</f>
        <v>50827.199999999997</v>
      </c>
      <c r="X59" s="85">
        <f t="shared" ref="X59:X68" si="36">IF(U59=0,0,IF($F59&amp;"/Día"=W$9,ROUND(V59/U59,4),""))</f>
        <v>42.674999999999997</v>
      </c>
      <c r="Y59" s="85">
        <f t="shared" ref="Y59:Y68" si="37">IF(U59=0,0,IF($F59&amp;"/Día"=W$9,ROUND(Z59/U59,4),""))</f>
        <v>7.9461000000000004</v>
      </c>
      <c r="Z59" s="45">
        <f t="shared" ref="Z59:Z68" si="38">IF(U59&lt;&gt;"",$Q59,"")</f>
        <v>12520192.93</v>
      </c>
      <c r="AA59" s="45" t="str">
        <f t="shared" ref="AA59:AA68" si="39">IF($F59&amp;"/Día"=AC$9,SUM($G59:$H59),"")</f>
        <v/>
      </c>
      <c r="AB59" s="45" t="str">
        <f t="shared" ref="AB59:AB68" si="40">IF(AA59&lt;&gt;"",$O59,"")</f>
        <v/>
      </c>
      <c r="AC59" s="84" t="str">
        <f t="shared" ref="AC59:AC68" si="41">IF($F59&amp;"/Día"=AC$9,ROUND(AA59/$W$1,1),"")</f>
        <v/>
      </c>
      <c r="AD59" s="85" t="str">
        <f t="shared" ref="AD59:AD68" si="42">IF(AA59=0,0,IF($F59&amp;"/Día"=AC$9,ROUND(AB59/AA59,4),""))</f>
        <v/>
      </c>
      <c r="AE59" s="85" t="str">
        <f t="shared" ref="AE59:AE68" si="43">IF(AA59=0,0,IF($F59&amp;"/Día"=AC$9,ROUND(AF59/AA59,4),""))</f>
        <v/>
      </c>
      <c r="AF59" s="45" t="str">
        <f t="shared" ref="AF59:AF68" si="44">IF(AA59&lt;&gt;"",$Q59,"")</f>
        <v/>
      </c>
      <c r="AG59" s="161"/>
    </row>
    <row r="60" spans="1:33" x14ac:dyDescent="0.25">
      <c r="A60" s="26" t="s">
        <v>28</v>
      </c>
      <c r="B60" s="27" t="s">
        <v>162</v>
      </c>
      <c r="C60" s="62" t="s">
        <v>31</v>
      </c>
      <c r="D60" s="62" t="s">
        <v>30</v>
      </c>
      <c r="E60" s="62" t="s">
        <v>161</v>
      </c>
      <c r="F60" s="262" t="s">
        <v>56</v>
      </c>
      <c r="G60" s="312">
        <v>7816183.6699999999</v>
      </c>
      <c r="H60" s="312">
        <v>8555912.25</v>
      </c>
      <c r="I60" s="237">
        <v>1.9641</v>
      </c>
      <c r="J60" s="237">
        <v>1.9641</v>
      </c>
      <c r="K60" s="312"/>
      <c r="L60" s="312"/>
      <c r="M60" s="312"/>
      <c r="N60" s="312"/>
      <c r="O60" s="245">
        <f>G60*I60+H60*J60</f>
        <v>32156433.596471999</v>
      </c>
      <c r="P60" s="243">
        <f>ROUND(37.24%*(G60*I60+H60*J60),2)</f>
        <v>11975055.869999999</v>
      </c>
      <c r="Q60" s="243">
        <f t="shared" si="32"/>
        <v>5987527.9400000004</v>
      </c>
      <c r="R60" s="244">
        <v>0.5</v>
      </c>
      <c r="S60" s="243"/>
      <c r="T60" s="244"/>
      <c r="U60" s="45" t="str">
        <f t="shared" si="33"/>
        <v/>
      </c>
      <c r="V60" s="45" t="str">
        <f t="shared" si="34"/>
        <v/>
      </c>
      <c r="W60" s="84" t="str">
        <f t="shared" si="35"/>
        <v/>
      </c>
      <c r="X60" s="85" t="str">
        <f t="shared" si="36"/>
        <v/>
      </c>
      <c r="Y60" s="85" t="str">
        <f t="shared" si="37"/>
        <v/>
      </c>
      <c r="Z60" s="45" t="str">
        <f t="shared" si="38"/>
        <v/>
      </c>
      <c r="AA60" s="45">
        <f t="shared" si="39"/>
        <v>16372095.92</v>
      </c>
      <c r="AB60" s="45">
        <f t="shared" si="40"/>
        <v>32156433.596471999</v>
      </c>
      <c r="AC60" s="84">
        <f t="shared" si="41"/>
        <v>528132.1</v>
      </c>
      <c r="AD60" s="85">
        <f t="shared" si="42"/>
        <v>1.9641</v>
      </c>
      <c r="AE60" s="85">
        <f t="shared" si="43"/>
        <v>0.36570000000000003</v>
      </c>
      <c r="AF60" s="45">
        <f t="shared" si="44"/>
        <v>5987527.9400000004</v>
      </c>
      <c r="AG60" s="161"/>
    </row>
    <row r="61" spans="1:33" x14ac:dyDescent="0.25">
      <c r="A61" s="26" t="s">
        <v>28</v>
      </c>
      <c r="B61" s="27" t="s">
        <v>181</v>
      </c>
      <c r="C61" s="62" t="s">
        <v>31</v>
      </c>
      <c r="D61" s="62" t="s">
        <v>30</v>
      </c>
      <c r="E61" s="62" t="s">
        <v>161</v>
      </c>
      <c r="F61" s="262" t="s">
        <v>56</v>
      </c>
      <c r="G61" s="312">
        <v>21481.439999999999</v>
      </c>
      <c r="H61" s="312">
        <v>31441.16</v>
      </c>
      <c r="I61" s="237">
        <v>2.7627999999999999</v>
      </c>
      <c r="J61" s="237">
        <v>2.7627999999999999</v>
      </c>
      <c r="K61" s="312"/>
      <c r="L61" s="312"/>
      <c r="M61" s="312"/>
      <c r="N61" s="312"/>
      <c r="O61" s="245">
        <f t="shared" ref="O61:O67" si="45">G61*I61+H61*J61</f>
        <v>146214.55927999999</v>
      </c>
      <c r="P61" s="243">
        <f>ROUND(37.24%*O61,2)</f>
        <v>54450.3</v>
      </c>
      <c r="Q61" s="243">
        <f t="shared" si="32"/>
        <v>27225.15</v>
      </c>
      <c r="R61" s="244">
        <v>0.5</v>
      </c>
      <c r="S61" s="243"/>
      <c r="T61" s="244"/>
      <c r="U61" s="45" t="str">
        <f>IF($F61&amp;"/Día"=W$9,SUM($G61:$H61),"")</f>
        <v/>
      </c>
      <c r="V61" s="45" t="str">
        <f>IF(U61&lt;&gt;"",$O61,"")</f>
        <v/>
      </c>
      <c r="W61" s="84" t="str">
        <f>IF($F61&amp;"/Día"=W$9,ROUND(U61/$W$1,1),"")</f>
        <v/>
      </c>
      <c r="X61" s="85" t="str">
        <f>IF(U61=0,0,IF($F61&amp;"/Día"=W$9,ROUND(V61/U61,4),""))</f>
        <v/>
      </c>
      <c r="Y61" s="85" t="str">
        <f>IF(U61=0,0,IF($F61&amp;"/Día"=W$9,ROUND(Z61/U61,4),""))</f>
        <v/>
      </c>
      <c r="Z61" s="45" t="str">
        <f>IF(U61&lt;&gt;"",$Q61,"")</f>
        <v/>
      </c>
      <c r="AA61" s="45">
        <f t="shared" si="39"/>
        <v>52922.6</v>
      </c>
      <c r="AB61" s="45">
        <f>IF(AA61&lt;&gt;"",$O61,"")</f>
        <v>146214.55927999999</v>
      </c>
      <c r="AC61" s="84">
        <f t="shared" si="41"/>
        <v>1707.2</v>
      </c>
      <c r="AD61" s="85">
        <f>IF(AA61=0,0,IF($F61&amp;"/Día"=AC$9,ROUND(AB61/AA61,4),""))</f>
        <v>2.7627999999999999</v>
      </c>
      <c r="AE61" s="85">
        <f t="shared" si="43"/>
        <v>0.51439999999999997</v>
      </c>
      <c r="AF61" s="45">
        <f t="shared" si="44"/>
        <v>27225.15</v>
      </c>
      <c r="AG61" s="161"/>
    </row>
    <row r="62" spans="1:33" ht="12" customHeight="1" x14ac:dyDescent="0.25">
      <c r="A62" s="26" t="s">
        <v>28</v>
      </c>
      <c r="B62" s="27" t="s">
        <v>182</v>
      </c>
      <c r="C62" s="62" t="s">
        <v>31</v>
      </c>
      <c r="D62" s="62" t="s">
        <v>30</v>
      </c>
      <c r="E62" s="62" t="s">
        <v>161</v>
      </c>
      <c r="F62" s="262" t="s">
        <v>56</v>
      </c>
      <c r="G62" s="312">
        <v>736346.49</v>
      </c>
      <c r="H62" s="312">
        <v>923857.55</v>
      </c>
      <c r="I62" s="237">
        <v>1.798</v>
      </c>
      <c r="J62" s="237">
        <v>3.3090000000000002</v>
      </c>
      <c r="K62" s="312"/>
      <c r="L62" s="312"/>
      <c r="M62" s="312"/>
      <c r="N62" s="312"/>
      <c r="O62" s="245">
        <f t="shared" si="45"/>
        <v>4380995.6219700007</v>
      </c>
      <c r="P62" s="243">
        <f>ROUND(38%*G62*I62,2)+ROUND(38%*H62*J62,2)</f>
        <v>1664778.3399999999</v>
      </c>
      <c r="Q62" s="243">
        <f t="shared" si="32"/>
        <v>832389.17</v>
      </c>
      <c r="R62" s="314">
        <v>0.5</v>
      </c>
      <c r="S62" s="243"/>
      <c r="T62" s="244"/>
      <c r="U62" s="45" t="str">
        <f>IF($F62&amp;"/Día"=W$9,SUM($G62:$H62),"")</f>
        <v/>
      </c>
      <c r="V62" s="45" t="str">
        <f>IF(U62&lt;&gt;"",$O62,"")</f>
        <v/>
      </c>
      <c r="W62" s="84" t="str">
        <f>IF($F62&amp;"/Día"=W$9,ROUND(U62/$W$1,1),"")</f>
        <v/>
      </c>
      <c r="X62" s="85" t="str">
        <f>IF(U62=0,0,IF($F62&amp;"/Día"=W$9,ROUND(V62/U62,4),""))</f>
        <v/>
      </c>
      <c r="Y62" s="85" t="str">
        <f>IF(U62=0,0,IF($F62&amp;"/Día"=W$9,ROUND(Z62/U62,4),""))</f>
        <v/>
      </c>
      <c r="Z62" s="45" t="str">
        <f>IF(U62&lt;&gt;"",$Q62,"")</f>
        <v/>
      </c>
      <c r="AA62" s="45">
        <f t="shared" si="39"/>
        <v>1660204.04</v>
      </c>
      <c r="AB62" s="45">
        <f>IF(AA62&lt;&gt;"",$O62,"")</f>
        <v>4380995.6219700007</v>
      </c>
      <c r="AC62" s="84">
        <f t="shared" si="41"/>
        <v>53555</v>
      </c>
      <c r="AD62" s="85">
        <f>IF(AA62=0,0,IF($F62&amp;"/Día"=AC$9,ROUND(AB62/AA62,4),""))</f>
        <v>2.6387999999999998</v>
      </c>
      <c r="AE62" s="85">
        <f t="shared" si="43"/>
        <v>0.50139999999999996</v>
      </c>
      <c r="AF62" s="45">
        <f t="shared" si="44"/>
        <v>832389.17</v>
      </c>
      <c r="AG62" s="161"/>
    </row>
    <row r="63" spans="1:33" x14ac:dyDescent="0.25">
      <c r="A63" s="26" t="s">
        <v>28</v>
      </c>
      <c r="B63" s="29" t="s">
        <v>171</v>
      </c>
      <c r="C63" s="62" t="s">
        <v>31</v>
      </c>
      <c r="D63" s="62" t="s">
        <v>30</v>
      </c>
      <c r="E63" s="62" t="s">
        <v>161</v>
      </c>
      <c r="F63" s="261" t="s">
        <v>37</v>
      </c>
      <c r="G63" s="312">
        <v>304982</v>
      </c>
      <c r="H63" s="312">
        <v>452645</v>
      </c>
      <c r="I63" s="237">
        <v>43.069099999999999</v>
      </c>
      <c r="J63" s="237">
        <v>42.268999999999998</v>
      </c>
      <c r="K63" s="312"/>
      <c r="L63" s="312"/>
      <c r="M63" s="312"/>
      <c r="N63" s="312"/>
      <c r="O63" s="245">
        <f t="shared" si="45"/>
        <v>32268151.761199996</v>
      </c>
      <c r="P63" s="243">
        <f>ROUND(40%*G63*I63,2)+ROUND(40%*H63*J63,2)</f>
        <v>12907260.699999999</v>
      </c>
      <c r="Q63" s="243">
        <f t="shared" si="32"/>
        <v>6453630.3499999996</v>
      </c>
      <c r="R63" s="244">
        <v>0.5</v>
      </c>
      <c r="S63" s="243"/>
      <c r="T63" s="244"/>
      <c r="U63" s="45">
        <f t="shared" si="33"/>
        <v>757627</v>
      </c>
      <c r="V63" s="45">
        <f t="shared" si="34"/>
        <v>32268151.761199996</v>
      </c>
      <c r="W63" s="84">
        <f t="shared" si="35"/>
        <v>24439.599999999999</v>
      </c>
      <c r="X63" s="85">
        <f t="shared" si="36"/>
        <v>42.591099999999997</v>
      </c>
      <c r="Y63" s="85">
        <f t="shared" si="37"/>
        <v>8.5182000000000002</v>
      </c>
      <c r="Z63" s="45">
        <f t="shared" si="38"/>
        <v>6453630.3499999996</v>
      </c>
      <c r="AA63" s="45" t="str">
        <f t="shared" si="39"/>
        <v/>
      </c>
      <c r="AB63" s="45" t="str">
        <f t="shared" si="40"/>
        <v/>
      </c>
      <c r="AC63" s="84" t="str">
        <f t="shared" si="41"/>
        <v/>
      </c>
      <c r="AD63" s="85" t="str">
        <f t="shared" si="42"/>
        <v/>
      </c>
      <c r="AE63" s="85" t="str">
        <f t="shared" si="43"/>
        <v/>
      </c>
      <c r="AF63" s="45" t="str">
        <f t="shared" si="44"/>
        <v/>
      </c>
      <c r="AG63" s="161"/>
    </row>
    <row r="64" spans="1:33" x14ac:dyDescent="0.25">
      <c r="A64" s="26" t="s">
        <v>28</v>
      </c>
      <c r="B64" s="29" t="s">
        <v>172</v>
      </c>
      <c r="C64" s="62" t="s">
        <v>31</v>
      </c>
      <c r="D64" s="62" t="s">
        <v>30</v>
      </c>
      <c r="E64" s="62" t="s">
        <v>161</v>
      </c>
      <c r="F64" s="261" t="s">
        <v>56</v>
      </c>
      <c r="G64" s="312">
        <v>4773948.47</v>
      </c>
      <c r="H64" s="312">
        <v>6910967.5199999996</v>
      </c>
      <c r="I64" s="237">
        <v>1.798</v>
      </c>
      <c r="J64" s="237">
        <v>3.3090000000000002</v>
      </c>
      <c r="K64" s="312"/>
      <c r="L64" s="312"/>
      <c r="M64" s="312"/>
      <c r="N64" s="312"/>
      <c r="O64" s="245">
        <f t="shared" si="45"/>
        <v>31451950.87274</v>
      </c>
      <c r="P64" s="243">
        <f>ROUND(38%*G64*I64,2)+ROUND(38%*H64*J64,2)</f>
        <v>11951741.329999998</v>
      </c>
      <c r="Q64" s="243">
        <f t="shared" si="32"/>
        <v>5975870.6699999999</v>
      </c>
      <c r="R64" s="244">
        <v>0.5</v>
      </c>
      <c r="S64" s="243"/>
      <c r="T64" s="244"/>
      <c r="U64" s="45" t="str">
        <f t="shared" si="33"/>
        <v/>
      </c>
      <c r="V64" s="45" t="str">
        <f t="shared" si="34"/>
        <v/>
      </c>
      <c r="W64" s="84" t="str">
        <f t="shared" si="35"/>
        <v/>
      </c>
      <c r="X64" s="85" t="str">
        <f t="shared" si="36"/>
        <v/>
      </c>
      <c r="Y64" s="85" t="str">
        <f t="shared" si="37"/>
        <v/>
      </c>
      <c r="Z64" s="45" t="str">
        <f t="shared" si="38"/>
        <v/>
      </c>
      <c r="AA64" s="45">
        <f t="shared" si="39"/>
        <v>11684915.989999998</v>
      </c>
      <c r="AB64" s="45">
        <f t="shared" si="40"/>
        <v>31451950.87274</v>
      </c>
      <c r="AC64" s="84">
        <f t="shared" si="41"/>
        <v>376932.8</v>
      </c>
      <c r="AD64" s="85">
        <f t="shared" si="42"/>
        <v>2.6917</v>
      </c>
      <c r="AE64" s="85">
        <f t="shared" si="43"/>
        <v>0.51139999999999997</v>
      </c>
      <c r="AF64" s="45">
        <f t="shared" si="44"/>
        <v>5975870.6699999999</v>
      </c>
      <c r="AG64" s="161"/>
    </row>
    <row r="65" spans="1:33" x14ac:dyDescent="0.25">
      <c r="A65" s="26" t="s">
        <v>28</v>
      </c>
      <c r="B65" s="32" t="s">
        <v>177</v>
      </c>
      <c r="C65" s="62" t="s">
        <v>31</v>
      </c>
      <c r="D65" s="62" t="s">
        <v>30</v>
      </c>
      <c r="E65" s="62" t="s">
        <v>161</v>
      </c>
      <c r="F65" s="261" t="s">
        <v>56</v>
      </c>
      <c r="G65" s="312">
        <v>191112.54</v>
      </c>
      <c r="H65" s="312">
        <v>282162.15000000002</v>
      </c>
      <c r="I65" s="237">
        <v>1.8266</v>
      </c>
      <c r="J65" s="237">
        <v>1.8266</v>
      </c>
      <c r="K65" s="236"/>
      <c r="L65" s="312"/>
      <c r="M65" s="312"/>
      <c r="N65" s="236"/>
      <c r="O65" s="245">
        <f t="shared" si="45"/>
        <v>864483.5487540001</v>
      </c>
      <c r="P65" s="243">
        <f>ROUND(37.24%*(G65*I65+H65*J65),2)</f>
        <v>321933.67</v>
      </c>
      <c r="Q65" s="243">
        <f t="shared" si="32"/>
        <v>160966.84</v>
      </c>
      <c r="R65" s="244">
        <v>0.5</v>
      </c>
      <c r="S65" s="243"/>
      <c r="T65" s="286"/>
      <c r="U65" s="45" t="str">
        <f t="shared" si="33"/>
        <v/>
      </c>
      <c r="V65" s="45" t="str">
        <f t="shared" si="34"/>
        <v/>
      </c>
      <c r="W65" s="84" t="str">
        <f t="shared" si="35"/>
        <v/>
      </c>
      <c r="X65" s="85" t="str">
        <f t="shared" si="36"/>
        <v/>
      </c>
      <c r="Y65" s="85" t="str">
        <f t="shared" si="37"/>
        <v/>
      </c>
      <c r="Z65" s="45" t="str">
        <f t="shared" si="38"/>
        <v/>
      </c>
      <c r="AA65" s="45">
        <f t="shared" si="39"/>
        <v>473274.69000000006</v>
      </c>
      <c r="AB65" s="45">
        <f t="shared" si="40"/>
        <v>864483.5487540001</v>
      </c>
      <c r="AC65" s="84">
        <f t="shared" si="41"/>
        <v>15266.9</v>
      </c>
      <c r="AD65" s="85">
        <f t="shared" si="42"/>
        <v>1.8266</v>
      </c>
      <c r="AE65" s="85">
        <f t="shared" si="43"/>
        <v>0.34010000000000001</v>
      </c>
      <c r="AF65" s="45">
        <f t="shared" si="44"/>
        <v>160966.84</v>
      </c>
      <c r="AG65" s="161"/>
    </row>
    <row r="66" spans="1:33" x14ac:dyDescent="0.25">
      <c r="A66" s="26" t="s">
        <v>28</v>
      </c>
      <c r="B66" s="32" t="s">
        <v>179</v>
      </c>
      <c r="C66" s="62" t="s">
        <v>31</v>
      </c>
      <c r="D66" s="62" t="s">
        <v>30</v>
      </c>
      <c r="E66" s="62" t="s">
        <v>161</v>
      </c>
      <c r="F66" s="261" t="s">
        <v>37</v>
      </c>
      <c r="G66" s="312">
        <v>152939</v>
      </c>
      <c r="H66" s="312">
        <v>223448</v>
      </c>
      <c r="I66" s="237">
        <v>38.984499999999997</v>
      </c>
      <c r="J66" s="237">
        <v>38.186799999999998</v>
      </c>
      <c r="K66" s="236"/>
      <c r="L66" s="312"/>
      <c r="M66" s="312"/>
      <c r="N66" s="236"/>
      <c r="O66" s="245">
        <f t="shared" si="45"/>
        <v>14495014.5319</v>
      </c>
      <c r="P66" s="281">
        <f>ROUND(G66*I66,2)*6.22%+ROUND(H66*J66,2)*6.42%</f>
        <v>918655.43256799993</v>
      </c>
      <c r="Q66" s="243">
        <f t="shared" si="32"/>
        <v>459327.72</v>
      </c>
      <c r="R66" s="244">
        <v>0.5</v>
      </c>
      <c r="S66" s="243"/>
      <c r="T66" s="286"/>
      <c r="U66" s="45">
        <f>IF($F66&amp;"/Día"=W$9,SUM($G66:$H66),"")</f>
        <v>376387</v>
      </c>
      <c r="V66" s="45">
        <f t="shared" si="34"/>
        <v>14495014.5319</v>
      </c>
      <c r="W66" s="84">
        <f t="shared" si="35"/>
        <v>12141.5</v>
      </c>
      <c r="X66" s="85">
        <f t="shared" si="36"/>
        <v>38.510899999999999</v>
      </c>
      <c r="Y66" s="85">
        <f>IF(U66=0,0,IF($F66&amp;"/Día"=W$9,ROUND(Z66/U66,4),""))</f>
        <v>1.2203999999999999</v>
      </c>
      <c r="Z66" s="45">
        <f>IF(U66&lt;&gt;"",$Q66,"")</f>
        <v>459327.72</v>
      </c>
      <c r="AA66" s="45" t="str">
        <f t="shared" si="39"/>
        <v/>
      </c>
      <c r="AB66" s="45" t="str">
        <f t="shared" si="40"/>
        <v/>
      </c>
      <c r="AC66" s="84" t="str">
        <f t="shared" si="41"/>
        <v/>
      </c>
      <c r="AD66" s="85" t="str">
        <f t="shared" si="42"/>
        <v/>
      </c>
      <c r="AE66" s="85" t="str">
        <f>IF(AA66=0,0,IF($F66&amp;"/Día"=AC$9,ROUND(AF66/AA66,4),""))</f>
        <v/>
      </c>
      <c r="AF66" s="45" t="str">
        <f>IF(AA66&lt;&gt;"",$Q66,"")</f>
        <v/>
      </c>
      <c r="AG66" s="161"/>
    </row>
    <row r="67" spans="1:33" x14ac:dyDescent="0.25">
      <c r="A67" s="26" t="s">
        <v>28</v>
      </c>
      <c r="B67" s="302" t="s">
        <v>180</v>
      </c>
      <c r="C67" s="62" t="s">
        <v>31</v>
      </c>
      <c r="D67" s="62" t="s">
        <v>30</v>
      </c>
      <c r="E67" s="62" t="s">
        <v>161</v>
      </c>
      <c r="F67" s="261" t="s">
        <v>56</v>
      </c>
      <c r="G67" s="312">
        <v>2377392.5499999998</v>
      </c>
      <c r="H67" s="312">
        <v>3455909.84</v>
      </c>
      <c r="I67" s="237">
        <v>3.1179999999999999</v>
      </c>
      <c r="J67" s="237">
        <v>3.1179999999999999</v>
      </c>
      <c r="K67" s="472"/>
      <c r="L67" s="312"/>
      <c r="M67" s="312"/>
      <c r="N67" s="236"/>
      <c r="O67" s="245">
        <f t="shared" si="45"/>
        <v>18188236.852019999</v>
      </c>
      <c r="P67" s="281">
        <f>ROUND(G67*I67,2)*9.42%+ROUND(H67*J67,2)*9.89%</f>
        <v>1763976.8876060001</v>
      </c>
      <c r="Q67" s="243">
        <f t="shared" si="32"/>
        <v>881988.44</v>
      </c>
      <c r="R67" s="244">
        <v>0.5</v>
      </c>
      <c r="S67" s="243"/>
      <c r="T67" s="286"/>
      <c r="U67" s="45" t="str">
        <f>IF($F67&amp;"/Día"=W$9,SUM($G67:$H67),"")</f>
        <v/>
      </c>
      <c r="V67" s="45" t="str">
        <f t="shared" si="34"/>
        <v/>
      </c>
      <c r="W67" s="84" t="str">
        <f t="shared" si="35"/>
        <v/>
      </c>
      <c r="X67" s="85" t="str">
        <f t="shared" si="36"/>
        <v/>
      </c>
      <c r="Y67" s="85" t="str">
        <f>IF(U67=0,0,IF($F67&amp;"/Día"=W$9,ROUND(Z67/U67,4),""))</f>
        <v/>
      </c>
      <c r="Z67" s="45" t="str">
        <f>IF(U67&lt;&gt;"",$Q67,"")</f>
        <v/>
      </c>
      <c r="AA67" s="45">
        <f t="shared" si="39"/>
        <v>5833302.3899999997</v>
      </c>
      <c r="AB67" s="45">
        <f t="shared" si="40"/>
        <v>18188236.852019999</v>
      </c>
      <c r="AC67" s="84">
        <f t="shared" si="41"/>
        <v>188171</v>
      </c>
      <c r="AD67" s="85">
        <f t="shared" si="42"/>
        <v>3.1179999999999999</v>
      </c>
      <c r="AE67" s="85">
        <f>IF(AA67=0,0,IF($F67&amp;"/Día"=AC$9,ROUND(AF67/AA67,4),""))</f>
        <v>0.1512</v>
      </c>
      <c r="AF67" s="45">
        <f>IF(AA67&lt;&gt;"",$Q67,"")</f>
        <v>881988.44</v>
      </c>
      <c r="AG67" s="161"/>
    </row>
    <row r="68" spans="1:33" x14ac:dyDescent="0.25">
      <c r="A68" s="194" t="s">
        <v>28</v>
      </c>
      <c r="B68" s="195" t="s">
        <v>165</v>
      </c>
      <c r="C68" s="196"/>
      <c r="D68" s="196"/>
      <c r="E68" s="197"/>
      <c r="F68" s="38"/>
      <c r="G68" s="290"/>
      <c r="H68" s="291"/>
      <c r="I68" s="291"/>
      <c r="J68" s="292"/>
      <c r="K68" s="292"/>
      <c r="L68" s="292"/>
      <c r="M68" s="200"/>
      <c r="N68" s="200"/>
      <c r="O68" s="213">
        <f>+O159</f>
        <v>7563365.7415325306</v>
      </c>
      <c r="P68" s="213">
        <f>+P159</f>
        <v>990126.66385300073</v>
      </c>
      <c r="Q68" s="213">
        <f>+Q159</f>
        <v>495063.34000000049</v>
      </c>
      <c r="R68" s="160"/>
      <c r="S68" s="201"/>
      <c r="T68" s="160"/>
      <c r="U68" s="45" t="str">
        <f t="shared" si="33"/>
        <v/>
      </c>
      <c r="V68" s="45" t="str">
        <f t="shared" si="34"/>
        <v/>
      </c>
      <c r="W68" s="84" t="str">
        <f t="shared" si="35"/>
        <v/>
      </c>
      <c r="X68" s="85" t="str">
        <f t="shared" si="36"/>
        <v/>
      </c>
      <c r="Y68" s="85" t="str">
        <f t="shared" si="37"/>
        <v/>
      </c>
      <c r="Z68" s="45" t="str">
        <f t="shared" si="38"/>
        <v/>
      </c>
      <c r="AA68" s="45" t="str">
        <f t="shared" si="39"/>
        <v/>
      </c>
      <c r="AB68" s="45" t="str">
        <f t="shared" si="40"/>
        <v/>
      </c>
      <c r="AC68" s="84" t="str">
        <f t="shared" si="41"/>
        <v/>
      </c>
      <c r="AD68" s="85" t="str">
        <f t="shared" si="42"/>
        <v/>
      </c>
      <c r="AE68" s="85" t="str">
        <f t="shared" si="43"/>
        <v/>
      </c>
      <c r="AF68" s="45" t="str">
        <f t="shared" si="44"/>
        <v/>
      </c>
      <c r="AG68" s="161"/>
    </row>
    <row r="69" spans="1:33" x14ac:dyDescent="0.25">
      <c r="A69" s="34"/>
      <c r="B69" s="165" t="s">
        <v>108</v>
      </c>
      <c r="C69" s="35" t="str">
        <f>TEXT(A$58,)&amp;" US$"</f>
        <v>Cusco US$</v>
      </c>
      <c r="D69" s="22"/>
      <c r="E69" s="22"/>
      <c r="F69" s="297"/>
      <c r="G69" s="282">
        <f>SUM(G64:G65)</f>
        <v>4965061.01</v>
      </c>
      <c r="H69" s="282">
        <f>SUM(H64:H65)</f>
        <v>7193129.6699999999</v>
      </c>
      <c r="I69" s="356"/>
      <c r="J69" s="282"/>
      <c r="K69" s="294"/>
      <c r="L69" s="287"/>
      <c r="M69" s="353"/>
      <c r="N69" s="219"/>
      <c r="O69" s="219">
        <f>SUM(O59:O68)</f>
        <v>208755410.58006853</v>
      </c>
      <c r="P69" s="219">
        <f>SUM(P59:P68)</f>
        <v>67588365.044027001</v>
      </c>
      <c r="Q69" s="219">
        <f>SUM(Q59:Q68)</f>
        <v>33794182.550000004</v>
      </c>
      <c r="R69" s="199"/>
      <c r="S69" s="207"/>
      <c r="T69" s="160"/>
      <c r="U69" s="86">
        <f>SUM(U59:U68)</f>
        <v>2709656</v>
      </c>
      <c r="V69" s="86">
        <f>SUM(V59:V68)</f>
        <v>114003729.78730001</v>
      </c>
      <c r="W69" s="87">
        <f>SUM(W59:W68)</f>
        <v>87408.299999999988</v>
      </c>
      <c r="X69" s="88">
        <f>ROUND(V69/U69,4)</f>
        <v>42.073099999999997</v>
      </c>
      <c r="Y69" s="88">
        <f>ROUND(Z69/U69,4)</f>
        <v>7.1718000000000002</v>
      </c>
      <c r="Z69" s="86">
        <f>SUM(Z59:Z68)</f>
        <v>19433151</v>
      </c>
      <c r="AA69" s="86">
        <f>SUM(AA59:AA68)</f>
        <v>36076715.629999995</v>
      </c>
      <c r="AB69" s="86">
        <f>SUM(AB59:AB68)</f>
        <v>87188315.051236004</v>
      </c>
      <c r="AC69" s="87">
        <f>SUM(AC59:AC68)</f>
        <v>1163765</v>
      </c>
      <c r="AD69" s="88">
        <f>ROUND(AB69/AA69,4)</f>
        <v>2.4167000000000001</v>
      </c>
      <c r="AE69" s="88">
        <f>ROUND(AF69/AA69,4)</f>
        <v>0.38429999999999997</v>
      </c>
      <c r="AF69" s="86">
        <f>SUM(AF59:AF68)</f>
        <v>13865968.209999999</v>
      </c>
      <c r="AG69" s="86">
        <f>Q69-Z69-AF69</f>
        <v>495063.34000000544</v>
      </c>
    </row>
    <row r="70" spans="1:33" x14ac:dyDescent="0.25">
      <c r="A70" s="157"/>
      <c r="B70" s="158"/>
      <c r="C70" s="35" t="str">
        <f>TEXT(A$58,)&amp;" S/."</f>
        <v>Cusco S/.</v>
      </c>
      <c r="D70" s="114"/>
      <c r="E70" s="114"/>
      <c r="F70" s="297"/>
      <c r="G70" s="283">
        <f>SUMPRODUCT(I64:I65,G64:G65)/SUM(G64:G65)</f>
        <v>1.7991008562901829</v>
      </c>
      <c r="H70" s="283">
        <f>SUMPRODUCT(J64:J65,H64:H65)/SUM(H64:H65)</f>
        <v>3.2508504614334304</v>
      </c>
      <c r="I70" s="357"/>
      <c r="J70" s="282"/>
      <c r="K70" s="295"/>
      <c r="L70" s="288"/>
      <c r="M70" s="478"/>
      <c r="N70" s="479"/>
      <c r="O70" s="479"/>
      <c r="P70" s="209"/>
      <c r="Q70" s="209">
        <f>Q69*F1</f>
        <v>0</v>
      </c>
      <c r="R70" s="198"/>
      <c r="S70" s="207"/>
      <c r="T70" s="160"/>
      <c r="U70" s="161"/>
      <c r="V70" s="161"/>
      <c r="W70" s="162"/>
      <c r="X70" s="163"/>
      <c r="Y70" s="163"/>
      <c r="Z70" s="161"/>
      <c r="AA70" s="161"/>
      <c r="AB70" s="161"/>
      <c r="AC70" s="162"/>
      <c r="AD70" s="163"/>
      <c r="AE70" s="163"/>
      <c r="AF70" s="161"/>
      <c r="AG70" s="161"/>
    </row>
    <row r="71" spans="1:33" x14ac:dyDescent="0.25">
      <c r="A71" s="10" t="s">
        <v>55</v>
      </c>
      <c r="B71" s="308"/>
      <c r="C71" s="308"/>
      <c r="D71" s="308"/>
      <c r="E71" s="308"/>
      <c r="F71" s="298"/>
      <c r="G71" s="284">
        <f>G69*G70</f>
        <v>8932645.5146239996</v>
      </c>
      <c r="H71" s="284">
        <f>H69*H70</f>
        <v>23383788.90687</v>
      </c>
      <c r="I71" s="282">
        <f>H71+G71</f>
        <v>32316434.421494</v>
      </c>
      <c r="J71" s="282">
        <f>O64+O65</f>
        <v>32316434.421494</v>
      </c>
      <c r="K71" s="358">
        <f>I71-J71</f>
        <v>0</v>
      </c>
      <c r="L71" s="359"/>
      <c r="M71" s="311">
        <f>SUM(M10:M67)</f>
        <v>488728.87</v>
      </c>
      <c r="N71" s="311">
        <f>SUM(N10:N67)</f>
        <v>79794.420000000013</v>
      </c>
      <c r="O71" s="311">
        <f>O36+O42+O56+O69</f>
        <v>310260836.91006851</v>
      </c>
      <c r="P71" s="311">
        <f>Q69+P56+P42+P36</f>
        <v>52609211.74000001</v>
      </c>
      <c r="Q71" s="211">
        <f>Q70+P57+P43+P37</f>
        <v>0</v>
      </c>
      <c r="R71" s="60"/>
      <c r="S71" s="211"/>
      <c r="T71" s="60"/>
      <c r="U71" s="93">
        <f>U36+U42+U56+U69</f>
        <v>4297392</v>
      </c>
      <c r="V71" s="93">
        <f>V36+V42+V56+V69</f>
        <v>210973591.12730002</v>
      </c>
      <c r="W71" s="94">
        <f>W36+W42+W56+W69</f>
        <v>138625.79999999999</v>
      </c>
      <c r="X71" s="95">
        <f>ROUND(V71/U71,4)</f>
        <v>49.093400000000003</v>
      </c>
      <c r="Y71" s="95">
        <f>ROUND(Z71/U71,4)</f>
        <v>8.7024000000000008</v>
      </c>
      <c r="Z71" s="93">
        <f>Z36+Z42+Z56+Z69</f>
        <v>37397761.75</v>
      </c>
      <c r="AA71" s="93">
        <f>AA36+AA42+AA56+AA69</f>
        <v>37730202.987199992</v>
      </c>
      <c r="AB71" s="93">
        <f>AB36+AB42+AB56+AB69</f>
        <v>91746221.571235999</v>
      </c>
      <c r="AC71" s="93">
        <f>AC36+AC42+AC56+AC69</f>
        <v>1217103.3</v>
      </c>
      <c r="AD71" s="95">
        <f>ROUND(AB71/AA71,4)</f>
        <v>2.4316</v>
      </c>
      <c r="AE71" s="95">
        <f>ROUND(AF71/AA71,4)</f>
        <v>0.39019999999999999</v>
      </c>
      <c r="AF71" s="93">
        <f>AF36+AF42+AF56+AF69</f>
        <v>14720575.68</v>
      </c>
      <c r="AG71" s="93">
        <f>P71-Z71-AF71</f>
        <v>490874.31000000983</v>
      </c>
    </row>
    <row r="72" spans="1:33" x14ac:dyDescent="0.25">
      <c r="A72" s="6"/>
      <c r="B72" s="6"/>
      <c r="C72" s="6"/>
      <c r="D72" s="6"/>
      <c r="E72" s="6"/>
      <c r="F72" s="6"/>
      <c r="G72" s="6"/>
      <c r="H72" s="6"/>
      <c r="I72" s="6"/>
      <c r="J72" s="6"/>
      <c r="K72" s="6"/>
      <c r="L72" s="6"/>
      <c r="M72" s="6"/>
      <c r="N72" s="6"/>
      <c r="O72" s="6"/>
      <c r="P72" s="6"/>
      <c r="Q72" s="6"/>
      <c r="R72" s="6"/>
      <c r="S72" s="6"/>
      <c r="T72" s="6"/>
      <c r="U72" s="6"/>
      <c r="V72" s="6"/>
      <c r="W72" s="6"/>
      <c r="X72" s="6"/>
      <c r="Y72" s="6"/>
      <c r="Z72" s="75"/>
      <c r="AA72" s="75"/>
      <c r="AB72" s="75"/>
      <c r="AC72" s="75"/>
      <c r="AD72" s="75"/>
      <c r="AE72" s="75"/>
    </row>
    <row r="73" spans="1:33" x14ac:dyDescent="0.25">
      <c r="A73" s="99" t="s">
        <v>93</v>
      </c>
      <c r="B73" s="7" t="s">
        <v>76</v>
      </c>
      <c r="C73" s="7"/>
      <c r="D73" s="6"/>
      <c r="E73" s="6"/>
      <c r="F73" s="6"/>
      <c r="G73" s="307"/>
      <c r="H73" s="99" t="s">
        <v>77</v>
      </c>
      <c r="I73" s="307"/>
      <c r="J73" s="72"/>
      <c r="K73" s="72"/>
      <c r="L73" s="6"/>
      <c r="M73" s="6"/>
      <c r="N73" s="220"/>
      <c r="O73" s="360">
        <f>114343802.37+0.82-0.01+151152570.31+0.2+0.01+0.01+0.01-152.04-42861.83+7541024.21-488728.87-79794.42+37804126.66+30849.5</f>
        <v>310260836.92999995</v>
      </c>
      <c r="P73" s="285"/>
      <c r="Q73" s="220"/>
      <c r="R73" s="6"/>
      <c r="S73" s="6"/>
      <c r="T73" s="6"/>
      <c r="U73" s="75" t="s">
        <v>193</v>
      </c>
      <c r="V73" s="350">
        <v>5444409.790000001</v>
      </c>
      <c r="W73" s="350">
        <f>P36</f>
        <v>12632138.790000001</v>
      </c>
      <c r="X73" s="350" t="s">
        <v>23</v>
      </c>
      <c r="Y73" s="6"/>
    </row>
    <row r="74" spans="1:33" x14ac:dyDescent="0.25">
      <c r="A74" s="6"/>
      <c r="B74" s="126" t="s">
        <v>78</v>
      </c>
      <c r="C74" s="127" t="s">
        <v>79</v>
      </c>
      <c r="D74" s="128"/>
      <c r="E74" s="129" t="s">
        <v>35</v>
      </c>
      <c r="F74" s="129" t="s">
        <v>80</v>
      </c>
      <c r="G74" s="307"/>
      <c r="H74" s="100" t="s">
        <v>35</v>
      </c>
      <c r="I74" s="308"/>
      <c r="J74" s="308"/>
      <c r="K74" s="308"/>
      <c r="L74" s="101"/>
      <c r="M74" s="6"/>
      <c r="N74" s="451"/>
      <c r="O74" s="404">
        <f>+O73-O71</f>
        <v>1.9931435585021973E-2</v>
      </c>
      <c r="R74" s="6"/>
      <c r="S74" s="6"/>
      <c r="T74" s="6"/>
      <c r="U74" s="75" t="s">
        <v>194</v>
      </c>
      <c r="V74" s="350">
        <f>7125040.18-V82</f>
        <v>6318288.6399999997</v>
      </c>
      <c r="W74" s="350">
        <f>P56</f>
        <v>5313937.38</v>
      </c>
      <c r="X74" s="350" t="s">
        <v>24</v>
      </c>
      <c r="Y74" s="6"/>
    </row>
    <row r="75" spans="1:33" x14ac:dyDescent="0.25">
      <c r="A75" s="7"/>
      <c r="B75" s="102" t="s">
        <v>81</v>
      </c>
      <c r="C75" s="103" t="s">
        <v>82</v>
      </c>
      <c r="D75" s="104"/>
      <c r="E75" s="105"/>
      <c r="F75" s="105"/>
      <c r="G75" s="307"/>
      <c r="H75" s="106" t="str">
        <f>"=  ("&amp;TEXT(E75,"0.0000")&amp;" * "&amp;TEXT(E78,"0.00%")&amp;" + ("&amp;TEXT(E76,"0.0000")&amp;" - "&amp;TEXT(E77,"0.0000")&amp;" - "&amp;TEXT(E80,"0.0000")&amp;") * (1 - "&amp;TEXT(E78,"0.00%")&amp;"))"</f>
        <v>=  (0.0000 * 0.00% + (0.0000 - 0.0000 - 0.0000) * (1 - 0.00%))</v>
      </c>
      <c r="I75" s="6"/>
      <c r="J75" s="6"/>
      <c r="K75" s="6"/>
      <c r="L75" s="107"/>
      <c r="M75" s="393">
        <f>370851.98/5962250.45</f>
        <v>6.2200000337121024E-2</v>
      </c>
      <c r="N75" s="393">
        <f>547803.45/8532764.09</f>
        <v>6.4199999463479832E-2</v>
      </c>
      <c r="P75" s="220"/>
      <c r="Q75" s="6"/>
      <c r="R75" s="6"/>
      <c r="S75" s="6"/>
      <c r="T75" s="6"/>
      <c r="U75" s="75" t="s">
        <v>29</v>
      </c>
      <c r="V75" s="350">
        <v>6998362.8481250005</v>
      </c>
      <c r="W75" s="350">
        <f>P42</f>
        <v>868953.02</v>
      </c>
      <c r="X75" s="350" t="s">
        <v>195</v>
      </c>
      <c r="Y75" s="6"/>
    </row>
    <row r="76" spans="1:33" x14ac:dyDescent="0.25">
      <c r="A76" s="6"/>
      <c r="B76" s="108" t="s">
        <v>83</v>
      </c>
      <c r="C76" s="109" t="s">
        <v>84</v>
      </c>
      <c r="D76" s="110"/>
      <c r="E76" s="111"/>
      <c r="F76" s="112"/>
      <c r="G76" s="307"/>
      <c r="H76" s="113">
        <f>((85.98%*E75+4.4221)*E78+(E76-E77-E80)*(1-E78))</f>
        <v>0</v>
      </c>
      <c r="I76" s="114"/>
      <c r="J76" s="114"/>
      <c r="K76" s="114"/>
      <c r="L76" s="115"/>
      <c r="M76" s="393">
        <f>698277.28/7412709.99</f>
        <v>9.4199999857272176E-2</v>
      </c>
      <c r="N76" s="393">
        <f>1065699.61/10775526.87</f>
        <v>9.8900000237297003E-2</v>
      </c>
      <c r="O76" s="405"/>
      <c r="P76" s="220"/>
      <c r="Q76" s="6"/>
      <c r="R76" s="6"/>
      <c r="S76" s="6"/>
      <c r="T76" s="6"/>
      <c r="U76" s="75"/>
      <c r="V76" s="351">
        <f>SUM(V73:V75)</f>
        <v>18761061.278124999</v>
      </c>
      <c r="W76" s="351">
        <f>SUM(W73:W75)</f>
        <v>18815029.190000001</v>
      </c>
      <c r="X76" s="350">
        <f>V76-W76</f>
        <v>-53967.911875002086</v>
      </c>
      <c r="Y76" s="6">
        <v>16411.38</v>
      </c>
    </row>
    <row r="77" spans="1:33" x14ac:dyDescent="0.25">
      <c r="A77" s="6"/>
      <c r="B77" s="108" t="s">
        <v>85</v>
      </c>
      <c r="C77" s="109" t="s">
        <v>86</v>
      </c>
      <c r="D77" s="110"/>
      <c r="E77" s="111"/>
      <c r="F77" s="111"/>
      <c r="G77" s="6"/>
      <c r="H77" s="307"/>
      <c r="I77" s="116"/>
      <c r="J77" s="6"/>
      <c r="K77" s="6"/>
      <c r="L77" s="6"/>
      <c r="M77" s="393">
        <f>5254120.1/13135300.26</f>
        <v>0.39999999969547706</v>
      </c>
      <c r="N77" s="393">
        <f>7653140.6/19132851.51</f>
        <v>0.39999999979093542</v>
      </c>
      <c r="O77" s="403"/>
      <c r="P77" s="6"/>
      <c r="Q77" s="6"/>
      <c r="R77" s="6"/>
      <c r="S77" s="6"/>
      <c r="T77" s="6"/>
      <c r="U77" s="75" t="s">
        <v>196</v>
      </c>
      <c r="V77" s="350">
        <v>4324077.9400000004</v>
      </c>
      <c r="W77" s="350"/>
      <c r="X77" s="350"/>
      <c r="Y77" s="6">
        <v>21889.47</v>
      </c>
    </row>
    <row r="78" spans="1:33" x14ac:dyDescent="0.25">
      <c r="A78" s="6"/>
      <c r="B78" s="108" t="s">
        <v>87</v>
      </c>
      <c r="C78" s="109" t="s">
        <v>88</v>
      </c>
      <c r="D78" s="110"/>
      <c r="E78" s="117"/>
      <c r="F78" s="117"/>
      <c r="G78" s="6"/>
      <c r="H78" s="100" t="s">
        <v>80</v>
      </c>
      <c r="I78" s="118"/>
      <c r="J78" s="308"/>
      <c r="K78" s="308"/>
      <c r="L78" s="101"/>
      <c r="M78" s="393">
        <f>503101.38/1323950.99</f>
        <v>0.38000000287019686</v>
      </c>
      <c r="N78" s="393"/>
      <c r="O78" s="403"/>
      <c r="P78" s="6"/>
      <c r="Q78" s="6"/>
      <c r="R78" s="6"/>
      <c r="S78" s="6"/>
      <c r="T78" s="6"/>
      <c r="U78" s="75" t="s">
        <v>197</v>
      </c>
      <c r="V78" s="350">
        <v>9393842.4600000009</v>
      </c>
      <c r="W78" s="350"/>
      <c r="X78" s="350"/>
      <c r="Y78" s="6">
        <v>15666.89</v>
      </c>
    </row>
    <row r="79" spans="1:33" x14ac:dyDescent="0.25">
      <c r="A79" s="6"/>
      <c r="B79" s="108" t="s">
        <v>89</v>
      </c>
      <c r="C79" s="109" t="s">
        <v>90</v>
      </c>
      <c r="D79" s="110"/>
      <c r="E79" s="119"/>
      <c r="F79" s="112"/>
      <c r="G79" s="6"/>
      <c r="H79" s="106" t="str">
        <f>"=  ("&amp;TEXT(F75,"0.0000")&amp;" * "&amp;TEXT(F78,"0.00%")&amp;" + ("&amp;TEXT(F76,"0.0000")&amp;" - "&amp;TEXT(F77,"0.0000")&amp;" - "&amp;TEXT(F80,"0.0000")&amp;") * (1 - "&amp;TEXT(F78,"0.00%")&amp;"))"</f>
        <v>=  (0.0000 * 0.00% + (0.0000 - 0.0000 - 0.0000) * (1 - 0.00%))</v>
      </c>
      <c r="I79" s="116"/>
      <c r="J79" s="6"/>
      <c r="K79" s="6"/>
      <c r="L79" s="107"/>
      <c r="M79" s="7"/>
      <c r="N79" s="473"/>
      <c r="O79" s="403"/>
      <c r="P79" s="6"/>
      <c r="Q79" s="6"/>
      <c r="R79" s="6"/>
      <c r="S79" s="6"/>
      <c r="T79" s="6"/>
      <c r="U79" s="75" t="s">
        <v>198</v>
      </c>
      <c r="V79" s="350">
        <v>819790.22</v>
      </c>
      <c r="W79" s="350"/>
      <c r="X79" s="350"/>
      <c r="Y79" s="6">
        <f>SUM(Y76:Y78)</f>
        <v>53967.740000000005</v>
      </c>
      <c r="Z79" s="307" t="s">
        <v>232</v>
      </c>
    </row>
    <row r="80" spans="1:33" x14ac:dyDescent="0.25">
      <c r="A80" s="6"/>
      <c r="B80" s="120" t="s">
        <v>91</v>
      </c>
      <c r="C80" s="121" t="s">
        <v>92</v>
      </c>
      <c r="D80" s="122"/>
      <c r="E80" s="123"/>
      <c r="F80" s="123"/>
      <c r="G80" s="6"/>
      <c r="H80" s="113">
        <f>((85.98%*F75+4.4221)*F78+(F76-F77-F80)*(1-F78))</f>
        <v>0</v>
      </c>
      <c r="I80" s="124"/>
      <c r="J80" s="114"/>
      <c r="K80" s="114"/>
      <c r="L80" s="115"/>
      <c r="M80" s="403"/>
      <c r="N80" s="403"/>
      <c r="O80" s="403"/>
      <c r="P80" s="6"/>
      <c r="Q80" s="6"/>
      <c r="R80" s="6"/>
      <c r="S80" s="6"/>
      <c r="T80" s="6"/>
      <c r="U80" s="75" t="s">
        <v>199</v>
      </c>
      <c r="V80" s="350">
        <v>8267531.6900000004</v>
      </c>
      <c r="W80" s="350"/>
      <c r="X80" s="350"/>
      <c r="Y80" s="481" t="s">
        <v>233</v>
      </c>
      <c r="Z80" s="482" t="s">
        <v>234</v>
      </c>
    </row>
    <row r="81" spans="1:27" x14ac:dyDescent="0.25">
      <c r="A81" s="5"/>
      <c r="C81" s="4"/>
      <c r="D81" s="4"/>
      <c r="G81" s="307"/>
      <c r="H81" s="190"/>
      <c r="I81" s="307"/>
      <c r="J81" s="307"/>
      <c r="K81" s="307"/>
      <c r="M81" s="406"/>
      <c r="N81" s="406"/>
      <c r="O81" s="406"/>
      <c r="U81" s="75" t="s">
        <v>200</v>
      </c>
      <c r="V81" s="350">
        <v>10182188.710000001</v>
      </c>
      <c r="W81" s="350"/>
      <c r="X81" s="350"/>
      <c r="Y81" s="6">
        <v>88184.41</v>
      </c>
      <c r="Z81" s="4">
        <v>-657.06</v>
      </c>
    </row>
    <row r="82" spans="1:27" x14ac:dyDescent="0.25">
      <c r="G82" s="307"/>
      <c r="H82" s="307"/>
      <c r="I82" s="307"/>
      <c r="J82" s="307"/>
      <c r="K82" s="307"/>
      <c r="U82" s="75" t="s">
        <v>201</v>
      </c>
      <c r="V82" s="350">
        <v>806751.54</v>
      </c>
      <c r="W82" s="350"/>
      <c r="X82" s="350"/>
      <c r="Y82" s="6">
        <v>147042.22</v>
      </c>
      <c r="Z82" s="4">
        <v>-1112.44</v>
      </c>
    </row>
    <row r="83" spans="1:27" ht="17.399999999999999" x14ac:dyDescent="0.3">
      <c r="A83" s="301" t="str">
        <f>"AJUSTES PARA "&amp;UPPER(TEXT(E1,"MMMMMMM YYYY"))</f>
        <v>AJUSTES PARA ENERO 2018</v>
      </c>
      <c r="B83" s="301"/>
      <c r="C83" s="301"/>
      <c r="D83" s="301"/>
      <c r="E83" s="301"/>
      <c r="F83" s="301"/>
      <c r="G83" s="301"/>
      <c r="H83" s="301"/>
      <c r="I83" s="301"/>
      <c r="J83" s="301"/>
      <c r="K83" s="301"/>
      <c r="L83" s="301"/>
      <c r="M83" s="301"/>
      <c r="N83" s="301"/>
      <c r="O83" s="477">
        <v>37804126.659999996</v>
      </c>
      <c r="P83" s="6" t="s">
        <v>231</v>
      </c>
      <c r="Q83" s="301"/>
      <c r="R83" s="301"/>
      <c r="S83" s="301"/>
      <c r="T83" s="301"/>
      <c r="U83" s="75"/>
      <c r="V83" s="351">
        <f>SUM(V77:V82)</f>
        <v>33794182.560000002</v>
      </c>
      <c r="W83" s="351">
        <f>Q69</f>
        <v>33794182.550000004</v>
      </c>
      <c r="X83" s="350">
        <f>V83-W83</f>
        <v>9.9999979138374329E-3</v>
      </c>
      <c r="Y83" s="6">
        <v>84070.45</v>
      </c>
      <c r="Z83" s="4">
        <v>-513.71</v>
      </c>
    </row>
    <row r="84" spans="1:27" x14ac:dyDescent="0.25">
      <c r="Y84" s="74">
        <f>SUM(Y81:Y83)</f>
        <v>319297.08</v>
      </c>
      <c r="Z84" s="74">
        <f>SUM(Z81:Z83)</f>
        <v>-2283.21</v>
      </c>
      <c r="AA84" s="74">
        <f>+Z84+Y84</f>
        <v>317013.87</v>
      </c>
    </row>
    <row r="85" spans="1:27" x14ac:dyDescent="0.25">
      <c r="A85" s="452" t="s">
        <v>187</v>
      </c>
      <c r="B85" s="321" t="s">
        <v>223</v>
      </c>
      <c r="C85" s="385"/>
      <c r="G85" s="307"/>
      <c r="H85" s="307"/>
      <c r="I85" s="307"/>
      <c r="J85" s="307"/>
      <c r="K85" s="307"/>
      <c r="U85" s="75"/>
      <c r="V85" s="350">
        <f>+V73+V77+V78+V79</f>
        <v>19982120.41</v>
      </c>
      <c r="W85" s="350"/>
      <c r="X85" s="75"/>
    </row>
    <row r="86" spans="1:27" x14ac:dyDescent="0.25">
      <c r="A86" s="313" t="s">
        <v>164</v>
      </c>
      <c r="B86" s="308"/>
      <c r="C86" s="322"/>
      <c r="D86" s="319" t="s">
        <v>19</v>
      </c>
      <c r="E86" s="318" t="s">
        <v>59</v>
      </c>
      <c r="F86" s="319" t="s">
        <v>27</v>
      </c>
      <c r="G86" s="320" t="s">
        <v>35</v>
      </c>
      <c r="H86" s="309" t="s">
        <v>36</v>
      </c>
      <c r="I86" s="309" t="s">
        <v>35</v>
      </c>
      <c r="J86" s="320" t="s">
        <v>36</v>
      </c>
      <c r="K86" s="320" t="s">
        <v>39</v>
      </c>
      <c r="L86" s="320" t="s">
        <v>40</v>
      </c>
      <c r="M86" s="320" t="s">
        <v>42</v>
      </c>
      <c r="N86" s="320" t="s">
        <v>2</v>
      </c>
      <c r="O86" s="323" t="s">
        <v>184</v>
      </c>
      <c r="P86" s="332" t="s">
        <v>166</v>
      </c>
      <c r="Q86" s="332" t="s">
        <v>188</v>
      </c>
      <c r="R86" s="310"/>
      <c r="U86" s="75"/>
      <c r="V86" s="350">
        <f>+V74+V80+V81+V82</f>
        <v>25574760.579999998</v>
      </c>
      <c r="W86" s="351"/>
      <c r="X86" s="350"/>
    </row>
    <row r="87" spans="1:27" x14ac:dyDescent="0.25">
      <c r="A87" s="324" t="s">
        <v>28</v>
      </c>
      <c r="B87" s="325" t="s">
        <v>177</v>
      </c>
      <c r="C87" s="333" t="s">
        <v>31</v>
      </c>
      <c r="D87" s="334" t="s">
        <v>189</v>
      </c>
      <c r="E87" s="334"/>
      <c r="F87" s="343" t="s">
        <v>56</v>
      </c>
      <c r="G87" s="312">
        <v>178674.45</v>
      </c>
      <c r="H87" s="312">
        <v>212775.22</v>
      </c>
      <c r="I87" s="237">
        <v>1.8093999999999999</v>
      </c>
      <c r="J87" s="237">
        <v>1.8093999999999999</v>
      </c>
      <c r="K87" s="236"/>
      <c r="L87" s="312"/>
      <c r="M87" s="312"/>
      <c r="N87" s="236"/>
      <c r="O87" s="453">
        <f>G87*I87+H87*J87</f>
        <v>708289.03289799998</v>
      </c>
      <c r="P87" s="255">
        <f>ROUND(37.24%*(G87*I87+H87*J87),2)</f>
        <v>263766.84000000003</v>
      </c>
      <c r="Q87" s="255">
        <f t="shared" ref="Q87:Q88" si="46">ROUND(R87*P87,2)</f>
        <v>131883.42000000001</v>
      </c>
      <c r="R87" s="454">
        <v>0.5</v>
      </c>
      <c r="U87" s="74"/>
      <c r="V87" s="350">
        <f>+V75</f>
        <v>6998362.8481250005</v>
      </c>
      <c r="W87" s="74"/>
    </row>
    <row r="88" spans="1:27" x14ac:dyDescent="0.25">
      <c r="A88" s="326" t="s">
        <v>28</v>
      </c>
      <c r="B88" s="325" t="s">
        <v>177</v>
      </c>
      <c r="C88" s="336" t="s">
        <v>31</v>
      </c>
      <c r="D88" s="337" t="s">
        <v>190</v>
      </c>
      <c r="E88" s="337"/>
      <c r="F88" s="342" t="str">
        <f>F87</f>
        <v xml:space="preserve"> MM BTU</v>
      </c>
      <c r="G88" s="387">
        <f>+G87</f>
        <v>178674.45</v>
      </c>
      <c r="H88" s="387">
        <f>+H87</f>
        <v>212775.22</v>
      </c>
      <c r="I88" s="328">
        <v>1.8102</v>
      </c>
      <c r="J88" s="328">
        <v>1.8102</v>
      </c>
      <c r="K88" s="328"/>
      <c r="L88" s="328"/>
      <c r="M88" s="328"/>
      <c r="N88" s="327"/>
      <c r="O88" s="464">
        <f t="shared" ref="O88" si="47">G88*I88+H88*J88</f>
        <v>708602.19263399998</v>
      </c>
      <c r="P88" s="465">
        <f>ROUND(37.24%*(G88*I88+H88*J88),2)</f>
        <v>263883.46000000002</v>
      </c>
      <c r="Q88" s="465">
        <f t="shared" si="46"/>
        <v>131941.73000000001</v>
      </c>
      <c r="R88" s="50">
        <v>0.5</v>
      </c>
      <c r="U88" s="74"/>
      <c r="V88" s="352">
        <f>SUM(V85:V87)</f>
        <v>52555243.838124998</v>
      </c>
      <c r="W88" s="74"/>
      <c r="X88" s="74">
        <f>+V88-P71</f>
        <v>-53967.901875011623</v>
      </c>
    </row>
    <row r="89" spans="1:27" x14ac:dyDescent="0.25">
      <c r="A89" s="329"/>
      <c r="B89" s="338" t="s">
        <v>185</v>
      </c>
      <c r="C89" s="100"/>
      <c r="D89" s="210"/>
      <c r="E89" s="210"/>
      <c r="F89" s="329"/>
      <c r="G89" s="386">
        <f t="shared" ref="G89:Q89" si="48">G88-G87</f>
        <v>0</v>
      </c>
      <c r="H89" s="388">
        <f t="shared" si="48"/>
        <v>0</v>
      </c>
      <c r="I89" s="339">
        <f t="shared" si="48"/>
        <v>8.0000000000013394E-4</v>
      </c>
      <c r="J89" s="339">
        <f t="shared" si="48"/>
        <v>8.0000000000013394E-4</v>
      </c>
      <c r="K89" s="339">
        <f t="shared" si="48"/>
        <v>0</v>
      </c>
      <c r="L89" s="339">
        <f t="shared" si="48"/>
        <v>0</v>
      </c>
      <c r="M89" s="339">
        <f t="shared" si="48"/>
        <v>0</v>
      </c>
      <c r="N89" s="340">
        <f t="shared" si="48"/>
        <v>0</v>
      </c>
      <c r="O89" s="330">
        <f t="shared" si="48"/>
        <v>313.15973600000143</v>
      </c>
      <c r="P89" s="331">
        <f t="shared" si="48"/>
        <v>116.61999999999534</v>
      </c>
      <c r="Q89" s="330">
        <f t="shared" si="48"/>
        <v>58.309999999997672</v>
      </c>
      <c r="R89" s="341"/>
      <c r="S89" s="307" t="s">
        <v>186</v>
      </c>
    </row>
    <row r="91" spans="1:27" x14ac:dyDescent="0.25">
      <c r="A91" s="452"/>
      <c r="B91" s="321" t="s">
        <v>224</v>
      </c>
      <c r="C91" s="385"/>
      <c r="G91" s="307"/>
      <c r="H91" s="307"/>
      <c r="I91" s="307"/>
      <c r="J91" s="307"/>
      <c r="K91" s="307"/>
      <c r="U91" s="75"/>
      <c r="V91" s="350"/>
      <c r="W91" s="350"/>
      <c r="X91" s="75"/>
    </row>
    <row r="92" spans="1:27" x14ac:dyDescent="0.25">
      <c r="A92" s="313" t="s">
        <v>164</v>
      </c>
      <c r="B92" s="308"/>
      <c r="C92" s="322"/>
      <c r="D92" s="319" t="s">
        <v>19</v>
      </c>
      <c r="E92" s="318" t="s">
        <v>59</v>
      </c>
      <c r="F92" s="319" t="s">
        <v>27</v>
      </c>
      <c r="G92" s="320" t="s">
        <v>35</v>
      </c>
      <c r="H92" s="309" t="s">
        <v>36</v>
      </c>
      <c r="I92" s="309" t="s">
        <v>35</v>
      </c>
      <c r="J92" s="320" t="s">
        <v>36</v>
      </c>
      <c r="K92" s="320" t="s">
        <v>39</v>
      </c>
      <c r="L92" s="320" t="s">
        <v>40</v>
      </c>
      <c r="M92" s="320" t="s">
        <v>42</v>
      </c>
      <c r="N92" s="320" t="s">
        <v>2</v>
      </c>
      <c r="O92" s="323" t="s">
        <v>184</v>
      </c>
      <c r="P92" s="332" t="s">
        <v>166</v>
      </c>
      <c r="Q92" s="332" t="s">
        <v>188</v>
      </c>
      <c r="R92" s="310"/>
      <c r="U92" s="75"/>
      <c r="V92" s="350"/>
      <c r="W92" s="351"/>
      <c r="X92" s="350"/>
    </row>
    <row r="93" spans="1:27" x14ac:dyDescent="0.25">
      <c r="A93" s="324" t="s">
        <v>28</v>
      </c>
      <c r="B93" s="325" t="s">
        <v>177</v>
      </c>
      <c r="C93" s="333" t="s">
        <v>31</v>
      </c>
      <c r="D93" s="334" t="s">
        <v>189</v>
      </c>
      <c r="E93" s="334"/>
      <c r="F93" s="343" t="s">
        <v>56</v>
      </c>
      <c r="G93" s="312">
        <v>264856.53000000003</v>
      </c>
      <c r="H93" s="312">
        <v>282980.90999999997</v>
      </c>
      <c r="I93" s="237">
        <v>1.8103</v>
      </c>
      <c r="J93" s="237">
        <v>1.8103</v>
      </c>
      <c r="K93" s="236"/>
      <c r="L93" s="312"/>
      <c r="M93" s="312"/>
      <c r="N93" s="236"/>
      <c r="O93" s="453">
        <f t="shared" ref="O93:O94" si="49">G93*I93+H93*J93</f>
        <v>991750.11763200001</v>
      </c>
      <c r="P93" s="255">
        <f>ROUND(37.24%*(G93*I93+H93*J93),2)</f>
        <v>369327.74</v>
      </c>
      <c r="Q93" s="255">
        <f t="shared" ref="Q93:Q94" si="50">ROUND(R93*P93,2)</f>
        <v>184663.87</v>
      </c>
      <c r="R93" s="454">
        <v>0.5</v>
      </c>
      <c r="U93" s="74"/>
      <c r="V93" s="74"/>
      <c r="W93" s="74"/>
    </row>
    <row r="94" spans="1:27" x14ac:dyDescent="0.25">
      <c r="A94" s="326" t="s">
        <v>28</v>
      </c>
      <c r="B94" s="335" t="str">
        <f>B93</f>
        <v>56 GAS-Mlocal</v>
      </c>
      <c r="C94" s="336" t="s">
        <v>31</v>
      </c>
      <c r="D94" s="337" t="s">
        <v>190</v>
      </c>
      <c r="E94" s="337"/>
      <c r="F94" s="342" t="str">
        <f>F93</f>
        <v xml:space="preserve"> MM BTU</v>
      </c>
      <c r="G94" s="387">
        <f>+G93</f>
        <v>264856.53000000003</v>
      </c>
      <c r="H94" s="387">
        <f>+H93</f>
        <v>282980.90999999997</v>
      </c>
      <c r="I94" s="328">
        <v>1.8121</v>
      </c>
      <c r="J94" s="328">
        <v>1.8121</v>
      </c>
      <c r="K94" s="328"/>
      <c r="L94" s="328"/>
      <c r="M94" s="328"/>
      <c r="N94" s="327"/>
      <c r="O94" s="464">
        <f t="shared" si="49"/>
        <v>992736.22502400004</v>
      </c>
      <c r="P94" s="465">
        <f>ROUND(37.24%*(G94*I94+H94*J94),2)</f>
        <v>369694.97</v>
      </c>
      <c r="Q94" s="465">
        <f t="shared" si="50"/>
        <v>184847.49</v>
      </c>
      <c r="R94" s="50">
        <v>0.5</v>
      </c>
      <c r="U94" s="74"/>
      <c r="V94" s="74"/>
      <c r="W94" s="74"/>
      <c r="X94" s="74"/>
    </row>
    <row r="95" spans="1:27" x14ac:dyDescent="0.25">
      <c r="A95" s="329"/>
      <c r="B95" s="338" t="s">
        <v>185</v>
      </c>
      <c r="C95" s="100"/>
      <c r="D95" s="210"/>
      <c r="E95" s="210"/>
      <c r="F95" s="329"/>
      <c r="G95" s="386">
        <f t="shared" ref="G95:Q95" si="51">G94-G93</f>
        <v>0</v>
      </c>
      <c r="H95" s="388">
        <f t="shared" si="51"/>
        <v>0</v>
      </c>
      <c r="I95" s="339">
        <f t="shared" si="51"/>
        <v>1.8000000000000238E-3</v>
      </c>
      <c r="J95" s="339">
        <f>J94-J93</f>
        <v>1.8000000000000238E-3</v>
      </c>
      <c r="K95" s="339">
        <f t="shared" si="51"/>
        <v>0</v>
      </c>
      <c r="L95" s="339">
        <f t="shared" si="51"/>
        <v>0</v>
      </c>
      <c r="M95" s="339">
        <f t="shared" si="51"/>
        <v>0</v>
      </c>
      <c r="N95" s="340">
        <f t="shared" si="51"/>
        <v>0</v>
      </c>
      <c r="O95" s="330">
        <f>O94-O93</f>
        <v>986.10739200003445</v>
      </c>
      <c r="P95" s="331">
        <f>P94-P93</f>
        <v>367.22999999998137</v>
      </c>
      <c r="Q95" s="330">
        <f t="shared" si="51"/>
        <v>183.61999999999534</v>
      </c>
      <c r="R95" s="341"/>
      <c r="S95" s="307" t="s">
        <v>186</v>
      </c>
    </row>
    <row r="97" spans="1:25" x14ac:dyDescent="0.25">
      <c r="A97" s="452"/>
      <c r="B97" s="321" t="s">
        <v>225</v>
      </c>
      <c r="C97" s="385"/>
      <c r="G97" s="307"/>
      <c r="H97" s="307"/>
      <c r="I97" s="307"/>
      <c r="J97" s="307"/>
      <c r="K97" s="307"/>
      <c r="N97" s="395"/>
      <c r="U97" s="75"/>
      <c r="V97" s="350"/>
      <c r="W97" s="350"/>
      <c r="X97" s="75"/>
    </row>
    <row r="98" spans="1:25" x14ac:dyDescent="0.25">
      <c r="A98" s="313" t="s">
        <v>164</v>
      </c>
      <c r="B98" s="308"/>
      <c r="C98" s="322"/>
      <c r="D98" s="319" t="s">
        <v>19</v>
      </c>
      <c r="E98" s="318" t="s">
        <v>59</v>
      </c>
      <c r="F98" s="319" t="s">
        <v>27</v>
      </c>
      <c r="G98" s="320" t="s">
        <v>35</v>
      </c>
      <c r="H98" s="309" t="s">
        <v>36</v>
      </c>
      <c r="I98" s="309" t="s">
        <v>35</v>
      </c>
      <c r="J98" s="320" t="s">
        <v>36</v>
      </c>
      <c r="K98" s="320" t="s">
        <v>39</v>
      </c>
      <c r="L98" s="320" t="s">
        <v>40</v>
      </c>
      <c r="M98" s="320" t="s">
        <v>42</v>
      </c>
      <c r="N98" s="397" t="s">
        <v>2</v>
      </c>
      <c r="O98" s="323" t="s">
        <v>184</v>
      </c>
      <c r="P98" s="332" t="s">
        <v>166</v>
      </c>
      <c r="Q98" s="332" t="s">
        <v>188</v>
      </c>
      <c r="R98" s="310"/>
      <c r="U98" s="75"/>
      <c r="V98" s="350"/>
      <c r="W98" s="351"/>
      <c r="X98" s="350"/>
    </row>
    <row r="99" spans="1:25" x14ac:dyDescent="0.25">
      <c r="A99" s="324" t="s">
        <v>28</v>
      </c>
      <c r="B99" s="325" t="s">
        <v>177</v>
      </c>
      <c r="C99" s="333" t="s">
        <v>31</v>
      </c>
      <c r="D99" s="334" t="s">
        <v>189</v>
      </c>
      <c r="E99" s="334"/>
      <c r="F99" s="343" t="s">
        <v>56</v>
      </c>
      <c r="G99" s="312">
        <v>229509.74</v>
      </c>
      <c r="H99" s="312">
        <v>282759.39</v>
      </c>
      <c r="I99" s="237">
        <v>1.8121</v>
      </c>
      <c r="J99" s="237">
        <v>1.8121</v>
      </c>
      <c r="K99" s="236"/>
      <c r="L99" s="312"/>
      <c r="M99" s="312"/>
      <c r="N99" s="236"/>
      <c r="O99" s="453">
        <f t="shared" ref="O99:O100" si="52">G99*I99+H99*J99</f>
        <v>928282.89047300001</v>
      </c>
      <c r="P99" s="255">
        <f>ROUND(37.24%*(G99*I99+H99*J99),2)</f>
        <v>345692.55</v>
      </c>
      <c r="Q99" s="255">
        <f t="shared" ref="Q99:Q100" si="53">ROUND(R99*P99,2)</f>
        <v>172846.28</v>
      </c>
      <c r="R99" s="454">
        <v>0.5</v>
      </c>
      <c r="U99" s="74"/>
      <c r="V99" s="350"/>
      <c r="W99" s="74"/>
    </row>
    <row r="100" spans="1:25" x14ac:dyDescent="0.25">
      <c r="A100" s="326" t="s">
        <v>28</v>
      </c>
      <c r="B100" s="335" t="str">
        <f>B99</f>
        <v>56 GAS-Mlocal</v>
      </c>
      <c r="C100" s="336" t="s">
        <v>31</v>
      </c>
      <c r="D100" s="337" t="s">
        <v>190</v>
      </c>
      <c r="E100" s="337"/>
      <c r="F100" s="342" t="str">
        <f>F99</f>
        <v xml:space="preserve"> MM BTU</v>
      </c>
      <c r="G100" s="387">
        <f>+G99</f>
        <v>229509.74</v>
      </c>
      <c r="H100" s="387">
        <f>+H99</f>
        <v>282759.39</v>
      </c>
      <c r="I100" s="328">
        <v>1.8149</v>
      </c>
      <c r="J100" s="328">
        <v>1.8149</v>
      </c>
      <c r="K100" s="328"/>
      <c r="L100" s="328"/>
      <c r="M100" s="328"/>
      <c r="N100" s="455"/>
      <c r="O100" s="464">
        <f t="shared" si="52"/>
        <v>929717.244037</v>
      </c>
      <c r="P100" s="465">
        <f>ROUND(37.24%*(G100*I100+H100*J100),2)</f>
        <v>346226.7</v>
      </c>
      <c r="Q100" s="465">
        <f t="shared" si="53"/>
        <v>173113.35</v>
      </c>
      <c r="R100" s="50">
        <v>0.5</v>
      </c>
      <c r="U100" s="74"/>
      <c r="V100" s="352"/>
      <c r="W100" s="74"/>
      <c r="X100" s="74"/>
    </row>
    <row r="101" spans="1:25" x14ac:dyDescent="0.25">
      <c r="A101" s="329"/>
      <c r="B101" s="338" t="s">
        <v>185</v>
      </c>
      <c r="C101" s="100"/>
      <c r="D101" s="210"/>
      <c r="E101" s="210"/>
      <c r="F101" s="329"/>
      <c r="G101" s="386">
        <f t="shared" ref="G101:Q101" si="54">G100-G99</f>
        <v>0</v>
      </c>
      <c r="H101" s="388">
        <f t="shared" si="54"/>
        <v>0</v>
      </c>
      <c r="I101" s="339">
        <f t="shared" si="54"/>
        <v>2.7999999999999137E-3</v>
      </c>
      <c r="J101" s="339">
        <f t="shared" si="54"/>
        <v>2.7999999999999137E-3</v>
      </c>
      <c r="K101" s="339">
        <f t="shared" si="54"/>
        <v>0</v>
      </c>
      <c r="L101" s="339">
        <f t="shared" si="54"/>
        <v>0</v>
      </c>
      <c r="M101" s="339">
        <f t="shared" si="54"/>
        <v>0</v>
      </c>
      <c r="N101" s="456">
        <f t="shared" si="54"/>
        <v>0</v>
      </c>
      <c r="O101" s="330">
        <f t="shared" si="54"/>
        <v>1434.35356399999</v>
      </c>
      <c r="P101" s="331">
        <f t="shared" si="54"/>
        <v>534.15000000002328</v>
      </c>
      <c r="Q101" s="330">
        <f t="shared" si="54"/>
        <v>267.07000000000698</v>
      </c>
      <c r="R101" s="341"/>
      <c r="S101" s="307" t="s">
        <v>186</v>
      </c>
      <c r="V101" s="401"/>
      <c r="W101" s="401"/>
      <c r="X101" s="401"/>
      <c r="Y101" s="401"/>
    </row>
    <row r="103" spans="1:25" x14ac:dyDescent="0.25">
      <c r="A103" s="452"/>
      <c r="B103" s="321" t="s">
        <v>226</v>
      </c>
      <c r="C103" s="385"/>
      <c r="G103" s="307"/>
      <c r="H103" s="307"/>
      <c r="I103" s="307"/>
      <c r="J103" s="307"/>
      <c r="K103" s="307"/>
      <c r="N103" s="395"/>
      <c r="U103" s="75"/>
      <c r="V103" s="350"/>
      <c r="W103" s="350"/>
      <c r="X103" s="75"/>
    </row>
    <row r="104" spans="1:25" x14ac:dyDescent="0.25">
      <c r="A104" s="313" t="s">
        <v>164</v>
      </c>
      <c r="B104" s="308"/>
      <c r="C104" s="322"/>
      <c r="D104" s="319" t="s">
        <v>19</v>
      </c>
      <c r="E104" s="318" t="s">
        <v>59</v>
      </c>
      <c r="F104" s="319" t="s">
        <v>27</v>
      </c>
      <c r="G104" s="320" t="s">
        <v>35</v>
      </c>
      <c r="H104" s="309" t="s">
        <v>36</v>
      </c>
      <c r="I104" s="309" t="s">
        <v>35</v>
      </c>
      <c r="J104" s="320" t="s">
        <v>36</v>
      </c>
      <c r="K104" s="320" t="s">
        <v>39</v>
      </c>
      <c r="L104" s="320" t="s">
        <v>40</v>
      </c>
      <c r="M104" s="320" t="s">
        <v>42</v>
      </c>
      <c r="N104" s="397" t="s">
        <v>2</v>
      </c>
      <c r="O104" s="323" t="s">
        <v>184</v>
      </c>
      <c r="P104" s="332" t="s">
        <v>166</v>
      </c>
      <c r="Q104" s="332" t="s">
        <v>188</v>
      </c>
      <c r="R104" s="310"/>
      <c r="U104" s="75"/>
      <c r="V104" s="350"/>
      <c r="W104" s="351"/>
      <c r="X104" s="350"/>
    </row>
    <row r="105" spans="1:25" x14ac:dyDescent="0.25">
      <c r="A105" s="324" t="s">
        <v>28</v>
      </c>
      <c r="B105" s="325" t="s">
        <v>177</v>
      </c>
      <c r="C105" s="333" t="s">
        <v>31</v>
      </c>
      <c r="D105" s="334" t="s">
        <v>189</v>
      </c>
      <c r="E105" s="334"/>
      <c r="F105" s="343" t="s">
        <v>56</v>
      </c>
      <c r="G105" s="312">
        <v>275481.21000000002</v>
      </c>
      <c r="H105" s="312">
        <v>272627.36</v>
      </c>
      <c r="I105" s="237">
        <v>1.8204</v>
      </c>
      <c r="J105" s="237">
        <v>1.8204</v>
      </c>
      <c r="K105" s="236"/>
      <c r="L105" s="312"/>
      <c r="M105" s="312"/>
      <c r="N105" s="236"/>
      <c r="O105" s="245">
        <f t="shared" ref="O105" si="55">G105*I105+H105*J105</f>
        <v>997776.84082799999</v>
      </c>
      <c r="P105" s="243">
        <f>ROUND(37.24%*(G105*I105+H105*J105),2)</f>
        <v>371572.1</v>
      </c>
      <c r="Q105" s="243">
        <f t="shared" ref="Q105" si="56">ROUND(R105*P105,2)</f>
        <v>185786.05</v>
      </c>
      <c r="R105" s="244">
        <v>0.5</v>
      </c>
      <c r="U105" s="74"/>
      <c r="V105" s="350"/>
      <c r="W105" s="74"/>
    </row>
    <row r="106" spans="1:25" x14ac:dyDescent="0.25">
      <c r="A106" s="326" t="s">
        <v>28</v>
      </c>
      <c r="B106" s="335" t="str">
        <f>B105</f>
        <v>56 GAS-Mlocal</v>
      </c>
      <c r="C106" s="336" t="s">
        <v>31</v>
      </c>
      <c r="D106" s="337" t="s">
        <v>190</v>
      </c>
      <c r="E106" s="337"/>
      <c r="F106" s="342" t="str">
        <f>F105</f>
        <v xml:space="preserve"> MM BTU</v>
      </c>
      <c r="G106" s="387">
        <f>+G105</f>
        <v>275481.21000000002</v>
      </c>
      <c r="H106" s="387">
        <f>+H105</f>
        <v>272627.36</v>
      </c>
      <c r="I106" s="328">
        <v>1.8266</v>
      </c>
      <c r="J106" s="328">
        <v>1.8266</v>
      </c>
      <c r="K106" s="328"/>
      <c r="L106" s="328"/>
      <c r="M106" s="328"/>
      <c r="N106" s="455"/>
      <c r="O106" s="464">
        <f>G106*I106+H106*J106</f>
        <v>1001175.113962</v>
      </c>
      <c r="P106" s="465">
        <f>ROUND(37.24%*(G106*I106+H106*J106),2)</f>
        <v>372837.61</v>
      </c>
      <c r="Q106" s="465">
        <f t="shared" ref="Q106" si="57">ROUND(R106*P106,2)</f>
        <v>186418.81</v>
      </c>
      <c r="R106" s="50">
        <v>0.5</v>
      </c>
      <c r="U106" s="74"/>
      <c r="V106" s="352"/>
      <c r="W106" s="74"/>
      <c r="X106" s="74"/>
    </row>
    <row r="107" spans="1:25" x14ac:dyDescent="0.25">
      <c r="A107" s="329"/>
      <c r="B107" s="338" t="s">
        <v>185</v>
      </c>
      <c r="C107" s="100"/>
      <c r="D107" s="210"/>
      <c r="E107" s="210"/>
      <c r="F107" s="329"/>
      <c r="G107" s="386">
        <f t="shared" ref="G107:Q107" si="58">G106-G105</f>
        <v>0</v>
      </c>
      <c r="H107" s="388">
        <f t="shared" si="58"/>
        <v>0</v>
      </c>
      <c r="I107" s="339">
        <f t="shared" si="58"/>
        <v>6.1999999999999833E-3</v>
      </c>
      <c r="J107" s="339">
        <f t="shared" si="58"/>
        <v>6.1999999999999833E-3</v>
      </c>
      <c r="K107" s="339">
        <f t="shared" si="58"/>
        <v>0</v>
      </c>
      <c r="L107" s="339">
        <f t="shared" si="58"/>
        <v>0</v>
      </c>
      <c r="M107" s="339">
        <f t="shared" si="58"/>
        <v>0</v>
      </c>
      <c r="N107" s="456">
        <f t="shared" si="58"/>
        <v>0</v>
      </c>
      <c r="O107" s="330">
        <f t="shared" si="58"/>
        <v>3398.2731340000173</v>
      </c>
      <c r="P107" s="331">
        <f t="shared" si="58"/>
        <v>1265.5100000000093</v>
      </c>
      <c r="Q107" s="330">
        <f t="shared" si="58"/>
        <v>632.76000000000931</v>
      </c>
      <c r="R107" s="341"/>
      <c r="S107" s="307" t="s">
        <v>186</v>
      </c>
      <c r="T107" s="457"/>
      <c r="V107" s="401"/>
      <c r="W107" s="401"/>
      <c r="X107" s="401"/>
      <c r="Y107" s="401"/>
    </row>
    <row r="108" spans="1:25" x14ac:dyDescent="0.25">
      <c r="S108" s="346">
        <f>+P89+P95+P101+P107</f>
        <v>2283.5100000000093</v>
      </c>
    </row>
    <row r="109" spans="1:25" x14ac:dyDescent="0.25">
      <c r="A109" s="394" t="s">
        <v>187</v>
      </c>
      <c r="B109" s="321" t="s">
        <v>226</v>
      </c>
      <c r="C109" s="385"/>
      <c r="G109" s="307"/>
      <c r="H109" s="307"/>
      <c r="I109" s="307"/>
      <c r="J109" s="307"/>
      <c r="K109" s="307"/>
      <c r="U109" s="75"/>
      <c r="V109" s="350"/>
      <c r="W109" s="350"/>
      <c r="X109" s="75"/>
    </row>
    <row r="110" spans="1:25" x14ac:dyDescent="0.25">
      <c r="A110" s="313" t="s">
        <v>164</v>
      </c>
      <c r="B110" s="308"/>
      <c r="C110" s="322"/>
      <c r="D110" s="319" t="s">
        <v>19</v>
      </c>
      <c r="E110" s="318" t="s">
        <v>59</v>
      </c>
      <c r="F110" s="319" t="s">
        <v>27</v>
      </c>
      <c r="G110" s="320" t="s">
        <v>35</v>
      </c>
      <c r="H110" s="309" t="s">
        <v>36</v>
      </c>
      <c r="I110" s="309" t="s">
        <v>35</v>
      </c>
      <c r="J110" s="320" t="s">
        <v>36</v>
      </c>
      <c r="K110" s="320" t="s">
        <v>39</v>
      </c>
      <c r="L110" s="320" t="s">
        <v>40</v>
      </c>
      <c r="M110" s="320" t="s">
        <v>42</v>
      </c>
      <c r="N110" s="320" t="s">
        <v>2</v>
      </c>
      <c r="O110" s="323" t="s">
        <v>184</v>
      </c>
      <c r="P110" s="332" t="s">
        <v>166</v>
      </c>
      <c r="Q110" s="332" t="s">
        <v>188</v>
      </c>
      <c r="R110" s="310"/>
      <c r="U110" s="75"/>
      <c r="V110" s="350"/>
      <c r="W110" s="351"/>
      <c r="X110" s="350"/>
    </row>
    <row r="111" spans="1:25" x14ac:dyDescent="0.25">
      <c r="A111" s="26" t="s">
        <v>28</v>
      </c>
      <c r="B111" s="302" t="s">
        <v>180</v>
      </c>
      <c r="C111" s="62" t="s">
        <v>31</v>
      </c>
      <c r="D111" s="62" t="s">
        <v>30</v>
      </c>
      <c r="E111" s="62" t="s">
        <v>161</v>
      </c>
      <c r="F111" s="262" t="s">
        <v>56</v>
      </c>
      <c r="G111" s="312">
        <v>2724943.05</v>
      </c>
      <c r="H111" s="312">
        <v>2811643.4</v>
      </c>
      <c r="I111" s="237">
        <v>1.974</v>
      </c>
      <c r="J111" s="237">
        <v>1.974</v>
      </c>
      <c r="K111" s="467"/>
      <c r="L111" s="468"/>
      <c r="M111" s="468"/>
      <c r="N111" s="467"/>
      <c r="O111" s="458">
        <f t="shared" ref="O111" si="59">G111*I111+H111*J111</f>
        <v>10929221.6523</v>
      </c>
      <c r="P111" s="459">
        <f>ROUND(G111*I111,2)*8.99%+ROUND(H111*J111,2)*8.83%</f>
        <v>973656.73182300013</v>
      </c>
      <c r="Q111" s="460">
        <f t="shared" ref="Q111" si="60">ROUND(R111*P111,2)</f>
        <v>486828.37</v>
      </c>
      <c r="R111" s="275">
        <v>0.5</v>
      </c>
    </row>
    <row r="112" spans="1:25" x14ac:dyDescent="0.25">
      <c r="A112" s="326" t="s">
        <v>28</v>
      </c>
      <c r="B112" s="335" t="str">
        <f>B111</f>
        <v>57 GAS</v>
      </c>
      <c r="C112" s="336" t="s">
        <v>31</v>
      </c>
      <c r="D112" s="337" t="s">
        <v>190</v>
      </c>
      <c r="E112" s="337"/>
      <c r="F112" s="342" t="str">
        <f>F111</f>
        <v xml:space="preserve"> MM BTU</v>
      </c>
      <c r="G112" s="387">
        <f>+G111</f>
        <v>2724943.05</v>
      </c>
      <c r="H112" s="387">
        <f>+H111</f>
        <v>2811643.4</v>
      </c>
      <c r="I112" s="328">
        <v>3.1179999999999999</v>
      </c>
      <c r="J112" s="328">
        <v>3.1179999999999999</v>
      </c>
      <c r="K112" s="469"/>
      <c r="L112" s="470"/>
      <c r="M112" s="470"/>
      <c r="N112" s="469"/>
      <c r="O112" s="464">
        <f t="shared" ref="O112" si="61">G112*I112+H112*J112</f>
        <v>17263076.551100001</v>
      </c>
      <c r="P112" s="471">
        <f>ROUND(G112*I112,2)*8.99%+ROUND(H112*J112,2)*8.83%</f>
        <v>1537923.855253</v>
      </c>
      <c r="Q112" s="465">
        <f t="shared" ref="Q112" si="62">ROUND(R112*P112,2)</f>
        <v>768961.93</v>
      </c>
      <c r="R112" s="50">
        <v>0.5</v>
      </c>
    </row>
    <row r="113" spans="1:24" x14ac:dyDescent="0.25">
      <c r="A113" s="329"/>
      <c r="B113" s="338" t="s">
        <v>185</v>
      </c>
      <c r="C113" s="100"/>
      <c r="D113" s="210"/>
      <c r="E113" s="210"/>
      <c r="F113" s="329"/>
      <c r="G113" s="386">
        <f t="shared" ref="G113:P113" si="63">G112-G111</f>
        <v>0</v>
      </c>
      <c r="H113" s="388">
        <f t="shared" si="63"/>
        <v>0</v>
      </c>
      <c r="I113" s="339">
        <f t="shared" si="63"/>
        <v>1.1439999999999999</v>
      </c>
      <c r="J113" s="339">
        <f t="shared" si="63"/>
        <v>1.1439999999999999</v>
      </c>
      <c r="K113" s="339">
        <f t="shared" si="63"/>
        <v>0</v>
      </c>
      <c r="L113" s="339">
        <f t="shared" si="63"/>
        <v>0</v>
      </c>
      <c r="M113" s="339">
        <f t="shared" si="63"/>
        <v>0</v>
      </c>
      <c r="N113" s="340">
        <f t="shared" si="63"/>
        <v>0</v>
      </c>
      <c r="O113" s="311">
        <f t="shared" si="63"/>
        <v>6333854.8988000005</v>
      </c>
      <c r="P113" s="461">
        <f t="shared" si="63"/>
        <v>564267.12342999992</v>
      </c>
      <c r="Q113" s="311">
        <f>Q112-Q111</f>
        <v>282133.56000000006</v>
      </c>
      <c r="R113" s="462"/>
      <c r="S113" s="307" t="s">
        <v>186</v>
      </c>
    </row>
    <row r="115" spans="1:24" x14ac:dyDescent="0.25">
      <c r="A115" s="394" t="s">
        <v>187</v>
      </c>
      <c r="B115" s="321" t="s">
        <v>227</v>
      </c>
      <c r="C115" s="385"/>
      <c r="G115" s="307"/>
      <c r="H115" s="307"/>
      <c r="I115" s="307"/>
      <c r="J115" s="307"/>
      <c r="K115" s="307"/>
      <c r="U115" s="75"/>
      <c r="V115" s="350"/>
      <c r="W115" s="350"/>
      <c r="X115" s="75"/>
    </row>
    <row r="116" spans="1:24" x14ac:dyDescent="0.25">
      <c r="A116" s="313" t="s">
        <v>164</v>
      </c>
      <c r="B116" s="308"/>
      <c r="C116" s="322"/>
      <c r="D116" s="319" t="s">
        <v>19</v>
      </c>
      <c r="E116" s="318" t="s">
        <v>59</v>
      </c>
      <c r="F116" s="319" t="s">
        <v>27</v>
      </c>
      <c r="G116" s="320" t="s">
        <v>35</v>
      </c>
      <c r="H116" s="309" t="s">
        <v>36</v>
      </c>
      <c r="I116" s="309" t="s">
        <v>35</v>
      </c>
      <c r="J116" s="320" t="s">
        <v>36</v>
      </c>
      <c r="K116" s="320" t="s">
        <v>39</v>
      </c>
      <c r="L116" s="320" t="s">
        <v>40</v>
      </c>
      <c r="M116" s="320" t="s">
        <v>42</v>
      </c>
      <c r="N116" s="320" t="s">
        <v>2</v>
      </c>
      <c r="O116" s="323" t="s">
        <v>184</v>
      </c>
      <c r="P116" s="332" t="s">
        <v>166</v>
      </c>
      <c r="Q116" s="332" t="s">
        <v>188</v>
      </c>
      <c r="R116" s="310"/>
      <c r="U116" s="75"/>
      <c r="V116" s="350"/>
      <c r="W116" s="351"/>
      <c r="X116" s="350"/>
    </row>
    <row r="117" spans="1:24" x14ac:dyDescent="0.25">
      <c r="A117" s="26" t="s">
        <v>28</v>
      </c>
      <c r="B117" s="27" t="s">
        <v>162</v>
      </c>
      <c r="C117" s="62" t="s">
        <v>31</v>
      </c>
      <c r="D117" s="62" t="s">
        <v>30</v>
      </c>
      <c r="E117" s="62" t="s">
        <v>161</v>
      </c>
      <c r="F117" s="262" t="s">
        <v>56</v>
      </c>
      <c r="G117" s="312">
        <v>10667901.2116</v>
      </c>
      <c r="H117" s="312">
        <v>10565974.9606</v>
      </c>
      <c r="I117" s="237">
        <v>1.9083000000000001</v>
      </c>
      <c r="J117" s="237">
        <v>1.9083000000000001</v>
      </c>
      <c r="K117" s="312"/>
      <c r="L117" s="312"/>
      <c r="M117" s="312"/>
      <c r="N117" s="312"/>
      <c r="O117" s="245">
        <f>G117*I117+H117*J117</f>
        <v>40520605.899409264</v>
      </c>
      <c r="P117" s="243">
        <f>ROUND(37.24%*(G117*I117+H117*J117),2)</f>
        <v>15089873.640000001</v>
      </c>
      <c r="Q117" s="243">
        <f t="shared" ref="Q117:Q118" si="64">ROUND(R117*P117,2)</f>
        <v>7544936.8200000003</v>
      </c>
      <c r="R117" s="244">
        <v>0.5</v>
      </c>
      <c r="U117" s="74"/>
      <c r="V117" s="74"/>
      <c r="W117" s="74"/>
    </row>
    <row r="118" spans="1:24" x14ac:dyDescent="0.25">
      <c r="A118" s="326" t="s">
        <v>28</v>
      </c>
      <c r="B118" s="335" t="str">
        <f>B117</f>
        <v>88 GAS</v>
      </c>
      <c r="C118" s="336" t="s">
        <v>31</v>
      </c>
      <c r="D118" s="337" t="s">
        <v>190</v>
      </c>
      <c r="E118" s="337"/>
      <c r="F118" s="342" t="str">
        <f>F117</f>
        <v xml:space="preserve"> MM BTU</v>
      </c>
      <c r="G118" s="387">
        <f>+G117</f>
        <v>10667901.2116</v>
      </c>
      <c r="H118" s="387">
        <f>+H117</f>
        <v>10565974.9606</v>
      </c>
      <c r="I118" s="328">
        <v>1.909</v>
      </c>
      <c r="J118" s="328">
        <v>1.909</v>
      </c>
      <c r="K118" s="328"/>
      <c r="L118" s="328"/>
      <c r="M118" s="328"/>
      <c r="N118" s="327"/>
      <c r="O118" s="464">
        <f>G118*I118+H118*J118</f>
        <v>40535469.612729803</v>
      </c>
      <c r="P118" s="465">
        <f>ROUND(37.24%*(G118*I118+H118*J118),2)</f>
        <v>15095408.880000001</v>
      </c>
      <c r="Q118" s="465">
        <f t="shared" si="64"/>
        <v>7547704.4400000004</v>
      </c>
      <c r="R118" s="50">
        <v>0.5</v>
      </c>
      <c r="U118" s="74"/>
      <c r="V118" s="74"/>
      <c r="W118" s="74"/>
      <c r="X118" s="74"/>
    </row>
    <row r="119" spans="1:24" x14ac:dyDescent="0.25">
      <c r="A119" s="329"/>
      <c r="B119" s="338" t="s">
        <v>185</v>
      </c>
      <c r="C119" s="100"/>
      <c r="D119" s="210"/>
      <c r="E119" s="210"/>
      <c r="F119" s="329"/>
      <c r="G119" s="386">
        <f t="shared" ref="G119:Q119" si="65">G118-G117</f>
        <v>0</v>
      </c>
      <c r="H119" s="388">
        <f t="shared" si="65"/>
        <v>0</v>
      </c>
      <c r="I119" s="339">
        <f t="shared" si="65"/>
        <v>6.9999999999992291E-4</v>
      </c>
      <c r="J119" s="339">
        <f t="shared" si="65"/>
        <v>6.9999999999992291E-4</v>
      </c>
      <c r="K119" s="339">
        <f t="shared" si="65"/>
        <v>0</v>
      </c>
      <c r="L119" s="339">
        <f t="shared" si="65"/>
        <v>0</v>
      </c>
      <c r="M119" s="339">
        <f t="shared" si="65"/>
        <v>0</v>
      </c>
      <c r="N119" s="340">
        <f t="shared" si="65"/>
        <v>0</v>
      </c>
      <c r="O119" s="311">
        <f t="shared" si="65"/>
        <v>14863.713320538402</v>
      </c>
      <c r="P119" s="461">
        <f t="shared" si="65"/>
        <v>5535.2400000002235</v>
      </c>
      <c r="Q119" s="311">
        <f t="shared" si="65"/>
        <v>2767.6200000001118</v>
      </c>
      <c r="R119" s="462"/>
      <c r="S119" s="307" t="s">
        <v>186</v>
      </c>
    </row>
    <row r="121" spans="1:24" x14ac:dyDescent="0.25">
      <c r="A121" s="394"/>
      <c r="B121" s="321" t="s">
        <v>226</v>
      </c>
      <c r="C121" s="385"/>
      <c r="G121" s="307"/>
      <c r="H121" s="307"/>
      <c r="I121" s="307"/>
      <c r="J121" s="307"/>
      <c r="K121" s="307"/>
      <c r="U121" s="75"/>
      <c r="V121" s="350"/>
      <c r="W121" s="350"/>
      <c r="X121" s="75"/>
    </row>
    <row r="122" spans="1:24" x14ac:dyDescent="0.25">
      <c r="A122" s="313" t="s">
        <v>164</v>
      </c>
      <c r="B122" s="308"/>
      <c r="C122" s="322"/>
      <c r="D122" s="319" t="s">
        <v>19</v>
      </c>
      <c r="E122" s="318" t="s">
        <v>59</v>
      </c>
      <c r="F122" s="319" t="s">
        <v>27</v>
      </c>
      <c r="G122" s="320" t="s">
        <v>35</v>
      </c>
      <c r="H122" s="309" t="s">
        <v>36</v>
      </c>
      <c r="I122" s="309" t="s">
        <v>35</v>
      </c>
      <c r="J122" s="320" t="s">
        <v>36</v>
      </c>
      <c r="K122" s="320" t="s">
        <v>39</v>
      </c>
      <c r="L122" s="320" t="s">
        <v>40</v>
      </c>
      <c r="M122" s="320" t="s">
        <v>42</v>
      </c>
      <c r="N122" s="320" t="s">
        <v>2</v>
      </c>
      <c r="O122" s="323" t="s">
        <v>184</v>
      </c>
      <c r="P122" s="332" t="s">
        <v>166</v>
      </c>
      <c r="Q122" s="332" t="s">
        <v>188</v>
      </c>
      <c r="R122" s="310"/>
      <c r="U122" s="75"/>
      <c r="V122" s="350"/>
      <c r="W122" s="351"/>
      <c r="X122" s="350"/>
    </row>
    <row r="123" spans="1:24" x14ac:dyDescent="0.25">
      <c r="A123" s="26" t="s">
        <v>28</v>
      </c>
      <c r="B123" s="27" t="s">
        <v>162</v>
      </c>
      <c r="C123" s="62" t="s">
        <v>31</v>
      </c>
      <c r="D123" s="62" t="s">
        <v>30</v>
      </c>
      <c r="E123" s="62" t="s">
        <v>161</v>
      </c>
      <c r="F123" s="262" t="s">
        <v>56</v>
      </c>
      <c r="G123" s="312">
        <v>10073302.630000001</v>
      </c>
      <c r="H123" s="312">
        <v>9746635.0399999991</v>
      </c>
      <c r="I123" s="237">
        <v>1.9083000000000001</v>
      </c>
      <c r="J123" s="237">
        <v>1.9083000000000001</v>
      </c>
      <c r="K123" s="312"/>
      <c r="L123" s="312"/>
      <c r="M123" s="312"/>
      <c r="N123" s="312"/>
      <c r="O123" s="458">
        <f>G123*I123+H123*J123</f>
        <v>37822387.055661008</v>
      </c>
      <c r="P123" s="460">
        <f>ROUND(37.24%*(G123*I123+H123*J123),2)</f>
        <v>14085056.939999999</v>
      </c>
      <c r="Q123" s="460">
        <f t="shared" ref="Q123" si="66">ROUND(R123*P123,2)</f>
        <v>7042528.4699999997</v>
      </c>
      <c r="R123" s="275">
        <v>0.5</v>
      </c>
      <c r="U123" s="74"/>
      <c r="V123" s="74"/>
      <c r="W123" s="74"/>
    </row>
    <row r="124" spans="1:24" x14ac:dyDescent="0.25">
      <c r="A124" s="326" t="s">
        <v>28</v>
      </c>
      <c r="B124" s="335" t="str">
        <f>B123</f>
        <v>88 GAS</v>
      </c>
      <c r="C124" s="336" t="s">
        <v>31</v>
      </c>
      <c r="D124" s="337" t="s">
        <v>190</v>
      </c>
      <c r="E124" s="337"/>
      <c r="F124" s="342" t="str">
        <f>F123</f>
        <v xml:space="preserve"> MM BTU</v>
      </c>
      <c r="G124" s="387">
        <f>+G123</f>
        <v>10073302.630000001</v>
      </c>
      <c r="H124" s="387">
        <f>+H123</f>
        <v>9746635.0399999991</v>
      </c>
      <c r="I124" s="328">
        <v>1.9641</v>
      </c>
      <c r="J124" s="328">
        <v>1.9641</v>
      </c>
      <c r="K124" s="328"/>
      <c r="L124" s="328"/>
      <c r="M124" s="328"/>
      <c r="N124" s="327"/>
      <c r="O124" s="464">
        <f>G124*I124+H124*J124</f>
        <v>38928339.577647001</v>
      </c>
      <c r="P124" s="465">
        <f>ROUND(37.24%*(G124*I124+H124*J124),2)</f>
        <v>14496913.66</v>
      </c>
      <c r="Q124" s="465">
        <f t="shared" ref="Q124" si="67">ROUND(R124*P124,2)</f>
        <v>7248456.8300000001</v>
      </c>
      <c r="R124" s="50">
        <v>0.5</v>
      </c>
      <c r="U124" s="74"/>
      <c r="V124" s="74"/>
      <c r="W124" s="74"/>
      <c r="X124" s="74"/>
    </row>
    <row r="125" spans="1:24" x14ac:dyDescent="0.25">
      <c r="A125" s="329"/>
      <c r="B125" s="338" t="s">
        <v>185</v>
      </c>
      <c r="C125" s="100"/>
      <c r="D125" s="210"/>
      <c r="E125" s="210"/>
      <c r="F125" s="329"/>
      <c r="G125" s="386">
        <f t="shared" ref="G125:Q125" si="68">G124-G123</f>
        <v>0</v>
      </c>
      <c r="H125" s="388">
        <f t="shared" si="68"/>
        <v>0</v>
      </c>
      <c r="I125" s="339">
        <f t="shared" si="68"/>
        <v>5.579999999999985E-2</v>
      </c>
      <c r="J125" s="339">
        <f t="shared" si="68"/>
        <v>5.579999999999985E-2</v>
      </c>
      <c r="K125" s="339">
        <f t="shared" si="68"/>
        <v>0</v>
      </c>
      <c r="L125" s="339">
        <f t="shared" si="68"/>
        <v>0</v>
      </c>
      <c r="M125" s="339">
        <f t="shared" si="68"/>
        <v>0</v>
      </c>
      <c r="N125" s="340">
        <f t="shared" si="68"/>
        <v>0</v>
      </c>
      <c r="O125" s="311">
        <f t="shared" si="68"/>
        <v>1105952.5219859928</v>
      </c>
      <c r="P125" s="461">
        <f t="shared" si="68"/>
        <v>411856.72000000067</v>
      </c>
      <c r="Q125" s="311">
        <f t="shared" si="68"/>
        <v>205928.36000000034</v>
      </c>
      <c r="R125" s="462"/>
      <c r="S125" s="307" t="s">
        <v>186</v>
      </c>
    </row>
    <row r="126" spans="1:24" x14ac:dyDescent="0.25">
      <c r="S126" s="346">
        <f>+P119+P125</f>
        <v>417391.96000000089</v>
      </c>
    </row>
    <row r="127" spans="1:24" x14ac:dyDescent="0.25">
      <c r="A127" s="394" t="s">
        <v>187</v>
      </c>
      <c r="B127" s="321" t="s">
        <v>226</v>
      </c>
      <c r="C127" s="385"/>
      <c r="G127" s="307"/>
      <c r="H127" s="307"/>
      <c r="I127" s="307"/>
      <c r="J127" s="307"/>
      <c r="K127" s="307"/>
      <c r="U127" s="75"/>
      <c r="V127" s="350"/>
      <c r="W127" s="350"/>
      <c r="X127" s="75"/>
    </row>
    <row r="128" spans="1:24" x14ac:dyDescent="0.25">
      <c r="A128" s="313" t="s">
        <v>164</v>
      </c>
      <c r="B128" s="308"/>
      <c r="C128" s="322"/>
      <c r="D128" s="319" t="s">
        <v>19</v>
      </c>
      <c r="E128" s="318" t="s">
        <v>59</v>
      </c>
      <c r="F128" s="319" t="s">
        <v>27</v>
      </c>
      <c r="G128" s="320" t="s">
        <v>35</v>
      </c>
      <c r="H128" s="309" t="s">
        <v>36</v>
      </c>
      <c r="I128" s="309" t="s">
        <v>35</v>
      </c>
      <c r="J128" s="320" t="s">
        <v>36</v>
      </c>
      <c r="K128" s="320" t="s">
        <v>39</v>
      </c>
      <c r="L128" s="320" t="s">
        <v>40</v>
      </c>
      <c r="M128" s="320" t="s">
        <v>42</v>
      </c>
      <c r="N128" s="320" t="s">
        <v>2</v>
      </c>
      <c r="O128" s="323" t="s">
        <v>184</v>
      </c>
      <c r="P128" s="332" t="s">
        <v>166</v>
      </c>
      <c r="Q128" s="332" t="s">
        <v>188</v>
      </c>
      <c r="R128" s="310"/>
      <c r="U128" s="75"/>
      <c r="V128" s="350"/>
      <c r="W128" s="351"/>
      <c r="X128" s="350"/>
    </row>
    <row r="129" spans="1:21" x14ac:dyDescent="0.25">
      <c r="A129" s="26" t="s">
        <v>28</v>
      </c>
      <c r="B129" s="32" t="s">
        <v>179</v>
      </c>
      <c r="C129" s="62" t="s">
        <v>31</v>
      </c>
      <c r="D129" s="62" t="s">
        <v>30</v>
      </c>
      <c r="E129" s="62" t="s">
        <v>161</v>
      </c>
      <c r="F129" s="262" t="s">
        <v>37</v>
      </c>
      <c r="G129" s="312">
        <v>174422</v>
      </c>
      <c r="H129" s="312">
        <v>182442</v>
      </c>
      <c r="I129" s="237">
        <v>37.166200000000003</v>
      </c>
      <c r="J129" s="237">
        <v>39.107700000000001</v>
      </c>
      <c r="K129" s="467"/>
      <c r="L129" s="468"/>
      <c r="M129" s="468"/>
      <c r="N129" s="467"/>
      <c r="O129" s="458">
        <f>G129*I129+H129*J129</f>
        <v>13617489.939800002</v>
      </c>
      <c r="P129" s="459">
        <f>ROUND(G129*I129,2)*6.05%+ROUND(H129*J129,2)*6.01%</f>
        <v>821004.18657000002</v>
      </c>
      <c r="Q129" s="460">
        <f t="shared" ref="Q129" si="69">ROUND(R129*P129,2)</f>
        <v>410502.09</v>
      </c>
      <c r="R129" s="275">
        <v>0.5</v>
      </c>
    </row>
    <row r="130" spans="1:21" x14ac:dyDescent="0.25">
      <c r="A130" s="326" t="s">
        <v>28</v>
      </c>
      <c r="B130" s="335" t="str">
        <f>B129</f>
        <v>57 LGN</v>
      </c>
      <c r="C130" s="336" t="s">
        <v>31</v>
      </c>
      <c r="D130" s="337" t="s">
        <v>190</v>
      </c>
      <c r="E130" s="337"/>
      <c r="F130" s="342" t="str">
        <f>F129</f>
        <v>Bls</v>
      </c>
      <c r="G130" s="387">
        <f>+G129</f>
        <v>174422</v>
      </c>
      <c r="H130" s="387">
        <f>+H129</f>
        <v>182442</v>
      </c>
      <c r="I130" s="328">
        <v>37.453600000000002</v>
      </c>
      <c r="J130" s="328">
        <v>39.395099999999999</v>
      </c>
      <c r="K130" s="469"/>
      <c r="L130" s="470"/>
      <c r="M130" s="470"/>
      <c r="N130" s="469"/>
      <c r="O130" s="464">
        <f t="shared" ref="O130" si="70">G130*I130+H130*J130</f>
        <v>13720052.6534</v>
      </c>
      <c r="P130" s="471">
        <f>ROUND(G130*I130,2)*6.05%+ROUND(H130*J130,2)*6.01%</f>
        <v>827188.25699299993</v>
      </c>
      <c r="Q130" s="465">
        <f t="shared" ref="Q130" si="71">ROUND(R130*P130,2)</f>
        <v>413594.13</v>
      </c>
      <c r="R130" s="50">
        <v>0.5</v>
      </c>
    </row>
    <row r="131" spans="1:21" x14ac:dyDescent="0.25">
      <c r="A131" s="329"/>
      <c r="B131" s="338" t="s">
        <v>185</v>
      </c>
      <c r="C131" s="100"/>
      <c r="D131" s="210"/>
      <c r="E131" s="210"/>
      <c r="F131" s="329"/>
      <c r="G131" s="386">
        <f t="shared" ref="G131:P131" si="72">G130-G129</f>
        <v>0</v>
      </c>
      <c r="H131" s="388">
        <f t="shared" si="72"/>
        <v>0</v>
      </c>
      <c r="I131" s="339">
        <f t="shared" si="72"/>
        <v>0.2873999999999981</v>
      </c>
      <c r="J131" s="339">
        <f t="shared" si="72"/>
        <v>0.2873999999999981</v>
      </c>
      <c r="K131" s="339">
        <f t="shared" si="72"/>
        <v>0</v>
      </c>
      <c r="L131" s="339">
        <f t="shared" si="72"/>
        <v>0</v>
      </c>
      <c r="M131" s="339">
        <f t="shared" si="72"/>
        <v>0</v>
      </c>
      <c r="N131" s="340">
        <f t="shared" si="72"/>
        <v>0</v>
      </c>
      <c r="O131" s="311">
        <f t="shared" si="72"/>
        <v>102562.7135999985</v>
      </c>
      <c r="P131" s="461">
        <f t="shared" si="72"/>
        <v>6184.0704229999101</v>
      </c>
      <c r="Q131" s="311">
        <f>Q130-Q129</f>
        <v>3092.039999999979</v>
      </c>
      <c r="R131" s="462"/>
      <c r="S131" s="307" t="s">
        <v>186</v>
      </c>
    </row>
    <row r="133" spans="1:21" x14ac:dyDescent="0.25">
      <c r="A133" s="394" t="s">
        <v>205</v>
      </c>
      <c r="B133" s="321" t="s">
        <v>226</v>
      </c>
      <c r="G133" s="307"/>
      <c r="H133" s="307"/>
      <c r="I133" s="307"/>
      <c r="J133" s="307"/>
      <c r="K133" s="307"/>
      <c r="N133" s="395"/>
    </row>
    <row r="134" spans="1:21" x14ac:dyDescent="0.25">
      <c r="A134" s="313" t="s">
        <v>164</v>
      </c>
      <c r="B134" s="308"/>
      <c r="C134" s="322"/>
      <c r="D134" s="319" t="s">
        <v>19</v>
      </c>
      <c r="E134" s="318" t="s">
        <v>59</v>
      </c>
      <c r="F134" s="319" t="s">
        <v>27</v>
      </c>
      <c r="G134" s="320"/>
      <c r="H134" s="309"/>
      <c r="I134" s="309"/>
      <c r="J134" s="320"/>
      <c r="K134" s="320" t="s">
        <v>39</v>
      </c>
      <c r="L134" s="320" t="s">
        <v>40</v>
      </c>
      <c r="M134" s="320" t="s">
        <v>42</v>
      </c>
      <c r="N134" s="397" t="s">
        <v>2</v>
      </c>
      <c r="O134" s="323" t="s">
        <v>184</v>
      </c>
      <c r="P134" s="332" t="s">
        <v>166</v>
      </c>
      <c r="Q134" s="332" t="s">
        <v>43</v>
      </c>
      <c r="R134" s="310"/>
      <c r="S134" s="332" t="s">
        <v>44</v>
      </c>
      <c r="T134" s="310"/>
    </row>
    <row r="135" spans="1:21" x14ac:dyDescent="0.25">
      <c r="A135" s="324" t="s">
        <v>28</v>
      </c>
      <c r="B135" s="325" t="s">
        <v>228</v>
      </c>
      <c r="C135" s="62" t="s">
        <v>31</v>
      </c>
      <c r="D135" s="62" t="s">
        <v>21</v>
      </c>
      <c r="E135" s="62" t="s">
        <v>101</v>
      </c>
      <c r="F135" s="260" t="s">
        <v>37</v>
      </c>
      <c r="G135" s="236">
        <v>46539</v>
      </c>
      <c r="H135" s="236">
        <v>63257</v>
      </c>
      <c r="I135" s="474">
        <v>61.026800000000001</v>
      </c>
      <c r="J135" s="475">
        <v>62.637700000000002</v>
      </c>
      <c r="K135" s="312"/>
      <c r="L135" s="312"/>
      <c r="M135" s="312"/>
      <c r="N135" s="236"/>
      <c r="O135" s="458">
        <f>ROUND(G135*I135,2)+ROUND(H135*J135,2)-K135-L135-M135-N135</f>
        <v>6802399.2400000002</v>
      </c>
      <c r="P135" s="460">
        <f t="shared" ref="P135" si="73">ROUND(18.75%*O135,2)</f>
        <v>1275449.8600000001</v>
      </c>
      <c r="Q135" s="460">
        <f t="shared" ref="Q135" si="74">ROUND($O135*R135,2)</f>
        <v>1020359.89</v>
      </c>
      <c r="R135" s="275">
        <v>0.15</v>
      </c>
      <c r="S135" s="460">
        <f>ROUND($O135*T135,2)</f>
        <v>255089.97</v>
      </c>
      <c r="T135" s="463">
        <v>3.7499999999999999E-2</v>
      </c>
    </row>
    <row r="136" spans="1:21" x14ac:dyDescent="0.25">
      <c r="A136" s="326" t="s">
        <v>28</v>
      </c>
      <c r="B136" s="335" t="str">
        <f>B135</f>
        <v>VII-VI Petroleo</v>
      </c>
      <c r="C136" s="62" t="s">
        <v>31</v>
      </c>
      <c r="D136" s="62" t="s">
        <v>21</v>
      </c>
      <c r="E136" s="62" t="s">
        <v>101</v>
      </c>
      <c r="F136" s="342" t="str">
        <f>F135</f>
        <v>Bls</v>
      </c>
      <c r="G136" s="327">
        <f>+G135</f>
        <v>46539</v>
      </c>
      <c r="H136" s="327">
        <f t="shared" ref="H136" si="75">+H135</f>
        <v>63257</v>
      </c>
      <c r="I136" s="476">
        <v>60.811900000000001</v>
      </c>
      <c r="J136" s="476">
        <v>62.422800000000002</v>
      </c>
      <c r="K136" s="328"/>
      <c r="L136" s="328"/>
      <c r="M136" s="328"/>
      <c r="N136" s="455"/>
      <c r="O136" s="464">
        <f t="shared" ref="O136" si="76">ROUND(G136*I136,2)+ROUND(H136*J136,2)-K136-L136-M136-N136</f>
        <v>6778804.0700000003</v>
      </c>
      <c r="P136" s="465">
        <f t="shared" ref="P136" si="77">ROUND(18.75%*O136,2)</f>
        <v>1271025.76</v>
      </c>
      <c r="Q136" s="465">
        <f t="shared" ref="Q136" si="78">ROUND($O136*R136,2)</f>
        <v>1016820.61</v>
      </c>
      <c r="R136" s="50">
        <v>0.15</v>
      </c>
      <c r="S136" s="465">
        <f t="shared" ref="S136" si="79">ROUND($O136*T136,2)</f>
        <v>254205.15</v>
      </c>
      <c r="T136" s="466">
        <v>3.7499999999999999E-2</v>
      </c>
    </row>
    <row r="137" spans="1:21" x14ac:dyDescent="0.25">
      <c r="A137" s="329"/>
      <c r="B137" s="338" t="s">
        <v>185</v>
      </c>
      <c r="C137" s="100"/>
      <c r="D137" s="210"/>
      <c r="E137" s="210"/>
      <c r="F137" s="329"/>
      <c r="G137" s="386">
        <f>+G136-G135</f>
        <v>0</v>
      </c>
      <c r="H137" s="386">
        <f t="shared" ref="H137:J137" si="80">+H136-H135</f>
        <v>0</v>
      </c>
      <c r="I137" s="330">
        <f t="shared" si="80"/>
        <v>-0.21490000000000009</v>
      </c>
      <c r="J137" s="330">
        <f t="shared" si="80"/>
        <v>-0.21490000000000009</v>
      </c>
      <c r="K137" s="389">
        <f t="shared" ref="K137:Q137" si="81">K136-K135</f>
        <v>0</v>
      </c>
      <c r="L137" s="389">
        <f t="shared" si="81"/>
        <v>0</v>
      </c>
      <c r="M137" s="389">
        <f t="shared" si="81"/>
        <v>0</v>
      </c>
      <c r="N137" s="399">
        <f t="shared" si="81"/>
        <v>0</v>
      </c>
      <c r="O137" s="330">
        <f t="shared" si="81"/>
        <v>-23595.169999999925</v>
      </c>
      <c r="P137" s="331">
        <f t="shared" si="81"/>
        <v>-4424.1000000000931</v>
      </c>
      <c r="Q137" s="330">
        <f t="shared" si="81"/>
        <v>-3539.2800000000279</v>
      </c>
      <c r="R137" s="341"/>
      <c r="S137" s="382">
        <f>+S136-S135</f>
        <v>-884.82000000000698</v>
      </c>
      <c r="T137" s="371"/>
      <c r="U137" s="307" t="s">
        <v>186</v>
      </c>
    </row>
    <row r="139" spans="1:21" x14ac:dyDescent="0.25">
      <c r="A139" s="394" t="s">
        <v>203</v>
      </c>
      <c r="B139" s="321" t="s">
        <v>229</v>
      </c>
      <c r="G139" s="307"/>
      <c r="H139" s="307"/>
      <c r="I139" s="307"/>
      <c r="J139" s="307"/>
      <c r="K139" s="307"/>
    </row>
    <row r="140" spans="1:21" x14ac:dyDescent="0.25">
      <c r="A140" s="313" t="s">
        <v>195</v>
      </c>
      <c r="B140" s="308"/>
      <c r="C140" s="322"/>
      <c r="D140" s="319" t="s">
        <v>19</v>
      </c>
      <c r="E140" s="318" t="s">
        <v>59</v>
      </c>
      <c r="F140" s="319" t="s">
        <v>27</v>
      </c>
      <c r="G140" s="320" t="s">
        <v>35</v>
      </c>
      <c r="H140" s="309" t="s">
        <v>36</v>
      </c>
      <c r="I140" s="309" t="s">
        <v>35</v>
      </c>
      <c r="J140" s="320" t="s">
        <v>36</v>
      </c>
      <c r="K140" s="320" t="s">
        <v>39</v>
      </c>
      <c r="L140" s="320" t="s">
        <v>40</v>
      </c>
      <c r="M140" s="320" t="s">
        <v>42</v>
      </c>
      <c r="N140" s="397" t="s">
        <v>2</v>
      </c>
      <c r="O140" s="323" t="s">
        <v>184</v>
      </c>
      <c r="P140" s="332" t="s">
        <v>166</v>
      </c>
      <c r="Q140" s="332" t="s">
        <v>47</v>
      </c>
      <c r="R140" s="310"/>
      <c r="S140" s="332" t="s">
        <v>48</v>
      </c>
      <c r="T140" s="310"/>
    </row>
    <row r="141" spans="1:21" x14ac:dyDescent="0.25">
      <c r="A141" s="324" t="s">
        <v>28</v>
      </c>
      <c r="B141" s="325" t="s">
        <v>167</v>
      </c>
      <c r="C141" s="62" t="s">
        <v>31</v>
      </c>
      <c r="D141" s="62" t="s">
        <v>21</v>
      </c>
      <c r="E141" s="62" t="s">
        <v>101</v>
      </c>
      <c r="F141" s="260" t="s">
        <v>37</v>
      </c>
      <c r="G141" s="236">
        <v>1368</v>
      </c>
      <c r="H141" s="236"/>
      <c r="I141" s="238">
        <v>50.715499999999999</v>
      </c>
      <c r="J141" s="237"/>
      <c r="K141" s="312"/>
      <c r="L141" s="312"/>
      <c r="M141" s="312"/>
      <c r="N141" s="236"/>
      <c r="O141" s="245">
        <f t="shared" ref="O141" si="82">ROUND(G141*I141,2)+ROUND(H141*J141,2)-K141-L141-M141-N141</f>
        <v>69378.8</v>
      </c>
      <c r="P141" s="243">
        <f>ROUND(18.75%*O141,2)</f>
        <v>13008.53</v>
      </c>
      <c r="Q141" s="243">
        <f t="shared" ref="Q141" si="83">ROUND($O141*R141,2)</f>
        <v>10406.82</v>
      </c>
      <c r="R141" s="244">
        <v>0.15</v>
      </c>
      <c r="S141" s="243">
        <f t="shared" ref="S141" si="84">ROUND($O141*T141,2)</f>
        <v>2601.71</v>
      </c>
      <c r="T141" s="286">
        <v>3.7499999999999999E-2</v>
      </c>
    </row>
    <row r="142" spans="1:21" x14ac:dyDescent="0.25">
      <c r="A142" s="326" t="s">
        <v>28</v>
      </c>
      <c r="B142" s="335" t="str">
        <f>+B141</f>
        <v>31-E</v>
      </c>
      <c r="C142" s="62" t="s">
        <v>31</v>
      </c>
      <c r="D142" s="62" t="s">
        <v>190</v>
      </c>
      <c r="E142" s="62"/>
      <c r="F142" s="342" t="str">
        <f>F141</f>
        <v>Bls</v>
      </c>
      <c r="G142" s="327">
        <f>+G141</f>
        <v>1368</v>
      </c>
      <c r="H142" s="327"/>
      <c r="I142" s="476">
        <v>51.631900000000002</v>
      </c>
      <c r="J142" s="476"/>
      <c r="K142" s="328"/>
      <c r="L142" s="328"/>
      <c r="M142" s="328"/>
      <c r="N142" s="455"/>
      <c r="O142" s="464">
        <f t="shared" ref="O142" si="85">ROUND(G142*I142,2)+ROUND(H142*J142,2)-K142-L142-M142-N142</f>
        <v>70632.44</v>
      </c>
      <c r="P142" s="465">
        <f>ROUND(18.75%*O142,2)</f>
        <v>13243.58</v>
      </c>
      <c r="Q142" s="465">
        <f t="shared" ref="Q142" si="86">ROUND($O142*R142,2)</f>
        <v>10594.87</v>
      </c>
      <c r="R142" s="50">
        <v>0.15</v>
      </c>
      <c r="S142" s="465">
        <f t="shared" ref="S142" si="87">ROUND($O142*T142,2)</f>
        <v>2648.72</v>
      </c>
      <c r="T142" s="466">
        <v>3.7499999999999999E-2</v>
      </c>
    </row>
    <row r="143" spans="1:21" x14ac:dyDescent="0.25">
      <c r="A143" s="329"/>
      <c r="B143" s="338"/>
      <c r="C143" s="100"/>
      <c r="D143" s="210"/>
      <c r="E143" s="210"/>
      <c r="F143" s="329"/>
      <c r="G143" s="386">
        <f>+G142-G141</f>
        <v>0</v>
      </c>
      <c r="H143" s="386">
        <f>+H142-H141</f>
        <v>0</v>
      </c>
      <c r="I143" s="330">
        <f>+I142-I141</f>
        <v>0.91640000000000299</v>
      </c>
      <c r="J143" s="330">
        <f>+J142-J141</f>
        <v>0</v>
      </c>
      <c r="K143" s="389"/>
      <c r="L143" s="389"/>
      <c r="M143" s="389"/>
      <c r="N143" s="399"/>
      <c r="O143" s="330">
        <f>+O142-O141</f>
        <v>1253.6399999999994</v>
      </c>
      <c r="P143" s="331">
        <f>+P142-P141</f>
        <v>235.04999999999927</v>
      </c>
      <c r="Q143" s="330">
        <f>+Q142-Q141</f>
        <v>188.05000000000109</v>
      </c>
      <c r="R143" s="341"/>
      <c r="S143" s="382">
        <f>+S142-S141</f>
        <v>47.009999999999764</v>
      </c>
      <c r="T143" s="371"/>
      <c r="U143" s="307" t="s">
        <v>186</v>
      </c>
    </row>
    <row r="144" spans="1:21" x14ac:dyDescent="0.25">
      <c r="A144" s="125"/>
      <c r="B144" s="7"/>
      <c r="C144" s="125"/>
      <c r="D144" s="125"/>
      <c r="E144" s="125"/>
      <c r="F144" s="125"/>
      <c r="G144" s="483"/>
      <c r="H144" s="483"/>
      <c r="I144" s="483"/>
      <c r="J144" s="483"/>
      <c r="K144" s="484"/>
      <c r="L144" s="484"/>
      <c r="M144" s="484"/>
      <c r="N144" s="485"/>
      <c r="O144" s="483"/>
      <c r="P144" s="486"/>
      <c r="Q144" s="483"/>
      <c r="R144" s="487"/>
      <c r="S144" s="488"/>
      <c r="T144" s="6"/>
    </row>
    <row r="146" spans="14:19" x14ac:dyDescent="0.25">
      <c r="N146" s="395" t="s">
        <v>1</v>
      </c>
      <c r="O146" s="220">
        <f>+O89+O95+O101+O107+O113+O119+O125+O131+O137+O143</f>
        <v>7541024.2115325304</v>
      </c>
      <c r="P146" s="220">
        <f>+P89+P95+P101+P107+P113+P119+P125+P131+P137+P143</f>
        <v>985937.61385300069</v>
      </c>
      <c r="Q146" s="220">
        <f>+Q89+Q95+Q101+Q107+Q113+Q119+Q125+Q131+Q137+Q143</f>
        <v>491712.11000000045</v>
      </c>
      <c r="R146" s="220"/>
      <c r="S146" s="220">
        <f>+S137+S143</f>
        <v>-837.81000000000722</v>
      </c>
    </row>
    <row r="147" spans="14:19" x14ac:dyDescent="0.25">
      <c r="N147" s="395"/>
      <c r="O147" s="6"/>
      <c r="P147" s="6"/>
      <c r="Q147" s="6"/>
      <c r="R147" s="6"/>
      <c r="S147" s="6"/>
    </row>
    <row r="148" spans="14:19" x14ac:dyDescent="0.25">
      <c r="N148" s="395"/>
    </row>
    <row r="149" spans="14:19" x14ac:dyDescent="0.25">
      <c r="N149" s="395" t="s">
        <v>206</v>
      </c>
      <c r="O149" s="362">
        <f>+O137</f>
        <v>-23595.169999999925</v>
      </c>
      <c r="P149" s="362">
        <f>+P137</f>
        <v>-4424.1000000000931</v>
      </c>
      <c r="Q149" s="362">
        <f>+Q137</f>
        <v>-3539.2800000000279</v>
      </c>
      <c r="R149" s="362"/>
      <c r="S149" s="362">
        <f>+S137</f>
        <v>-884.82000000000698</v>
      </c>
    </row>
    <row r="150" spans="14:19" x14ac:dyDescent="0.25">
      <c r="N150" s="395"/>
      <c r="O150" s="348">
        <f>+O149</f>
        <v>-23595.169999999925</v>
      </c>
      <c r="P150" s="348">
        <f t="shared" ref="P150:S150" si="88">+P149</f>
        <v>-4424.1000000000931</v>
      </c>
      <c r="Q150" s="348">
        <f t="shared" si="88"/>
        <v>-3539.2800000000279</v>
      </c>
      <c r="R150" s="348"/>
      <c r="S150" s="348">
        <f t="shared" si="88"/>
        <v>-884.82000000000698</v>
      </c>
    </row>
    <row r="151" spans="14:19" x14ac:dyDescent="0.25">
      <c r="N151" s="395"/>
      <c r="O151" s="348"/>
      <c r="P151" s="348"/>
      <c r="Q151" s="348"/>
      <c r="R151" s="348"/>
      <c r="S151" s="348"/>
    </row>
    <row r="152" spans="14:19" x14ac:dyDescent="0.25">
      <c r="N152" s="395" t="s">
        <v>230</v>
      </c>
      <c r="O152" s="362">
        <f>+O143</f>
        <v>1253.6399999999994</v>
      </c>
      <c r="P152" s="362">
        <f>+P143</f>
        <v>235.04999999999927</v>
      </c>
      <c r="Q152" s="362">
        <f>+Q143</f>
        <v>188.05000000000109</v>
      </c>
      <c r="R152" s="362"/>
      <c r="S152" s="362">
        <f>+S143</f>
        <v>47.009999999999764</v>
      </c>
    </row>
    <row r="153" spans="14:19" x14ac:dyDescent="0.25">
      <c r="N153" s="395"/>
      <c r="O153" s="348">
        <f>+O152</f>
        <v>1253.6399999999994</v>
      </c>
      <c r="P153" s="348">
        <f t="shared" ref="P153:Q153" si="89">+P152</f>
        <v>235.04999999999927</v>
      </c>
      <c r="Q153" s="348">
        <f t="shared" si="89"/>
        <v>188.05000000000109</v>
      </c>
      <c r="R153" s="348"/>
      <c r="S153" s="348">
        <f t="shared" ref="S153" si="90">+S152</f>
        <v>47.009999999999764</v>
      </c>
    </row>
    <row r="154" spans="14:19" x14ac:dyDescent="0.25">
      <c r="N154" s="395"/>
      <c r="O154" s="348"/>
      <c r="P154" s="348"/>
      <c r="Q154" s="348"/>
      <c r="R154" s="348"/>
      <c r="S154" s="348"/>
    </row>
    <row r="155" spans="14:19" x14ac:dyDescent="0.25">
      <c r="N155" s="395" t="s">
        <v>207</v>
      </c>
      <c r="O155" s="192">
        <f>+O89+O95+O101+O107</f>
        <v>6131.8938260000432</v>
      </c>
      <c r="P155" s="192">
        <f>+P89+P95+P101+P107</f>
        <v>2283.5100000000093</v>
      </c>
      <c r="Q155" s="192">
        <f>+Q89+Q95+Q101+Q107</f>
        <v>1141.7600000000093</v>
      </c>
      <c r="R155" s="192"/>
      <c r="S155" s="192"/>
    </row>
    <row r="156" spans="14:19" x14ac:dyDescent="0.25">
      <c r="N156" s="395" t="s">
        <v>192</v>
      </c>
      <c r="O156" s="346">
        <f>+O113</f>
        <v>6333854.8988000005</v>
      </c>
      <c r="P156" s="346">
        <f>+P113</f>
        <v>564267.12342999992</v>
      </c>
      <c r="Q156" s="346">
        <f>+Q113</f>
        <v>282133.56000000006</v>
      </c>
      <c r="R156" s="392"/>
      <c r="S156" s="392"/>
    </row>
    <row r="157" spans="14:19" x14ac:dyDescent="0.25">
      <c r="N157" s="395" t="s">
        <v>204</v>
      </c>
      <c r="O157" s="192">
        <f>+O131</f>
        <v>102562.7135999985</v>
      </c>
      <c r="P157" s="192">
        <f>+P131</f>
        <v>6184.0704229999101</v>
      </c>
      <c r="Q157" s="192">
        <f>+Q131</f>
        <v>3092.039999999979</v>
      </c>
      <c r="R157" s="192"/>
      <c r="S157" s="192"/>
    </row>
    <row r="158" spans="14:19" x14ac:dyDescent="0.25">
      <c r="N158" s="395" t="s">
        <v>202</v>
      </c>
      <c r="O158" s="347">
        <f>+O119+O125</f>
        <v>1120816.2353065312</v>
      </c>
      <c r="P158" s="347">
        <f>+P119+P125</f>
        <v>417391.96000000089</v>
      </c>
      <c r="Q158" s="347">
        <f>+Q119+Q125</f>
        <v>208695.98000000045</v>
      </c>
      <c r="R158" s="346"/>
      <c r="S158" s="346"/>
    </row>
    <row r="159" spans="14:19" x14ac:dyDescent="0.25">
      <c r="N159" s="395"/>
      <c r="O159" s="348">
        <f>SUM(O155:O158)</f>
        <v>7563365.7415325306</v>
      </c>
      <c r="P159" s="348">
        <f t="shared" ref="P159:Q159" si="91">SUM(P155:P158)</f>
        <v>990126.66385300073</v>
      </c>
      <c r="Q159" s="348">
        <f t="shared" si="91"/>
        <v>495063.34000000049</v>
      </c>
    </row>
    <row r="160" spans="14:19" x14ac:dyDescent="0.25">
      <c r="N160" s="395"/>
    </row>
    <row r="161" spans="14:20" x14ac:dyDescent="0.25">
      <c r="N161" s="395" t="s">
        <v>1</v>
      </c>
      <c r="O161" s="74">
        <f>+O159+O150+O153</f>
        <v>7541024.2115325304</v>
      </c>
      <c r="P161" s="74">
        <f>+P159+P150+P153</f>
        <v>985937.61385300069</v>
      </c>
      <c r="Q161" s="74">
        <f>+Q159+Q150+Q153</f>
        <v>491712.11000000045</v>
      </c>
      <c r="R161" s="74"/>
      <c r="S161" s="74">
        <f>+S159+S150+S153</f>
        <v>-837.81000000000722</v>
      </c>
      <c r="T161" s="74"/>
    </row>
    <row r="162" spans="14:20" x14ac:dyDescent="0.25">
      <c r="N162" s="395"/>
    </row>
    <row r="163" spans="14:20" x14ac:dyDescent="0.25">
      <c r="N163" s="395" t="s">
        <v>209</v>
      </c>
      <c r="O163" s="346">
        <f>+O161-O146</f>
        <v>0</v>
      </c>
      <c r="P163" s="346">
        <f>+P161-P146</f>
        <v>0</v>
      </c>
      <c r="Q163" s="346">
        <f>+Q161-Q146</f>
        <v>0</v>
      </c>
      <c r="R163" s="346"/>
      <c r="S163" s="346">
        <f>+S161-S146</f>
        <v>0</v>
      </c>
    </row>
    <row r="165" spans="14:20" ht="15" customHeight="1" x14ac:dyDescent="0.25"/>
  </sheetData>
  <mergeCells count="2">
    <mergeCell ref="C7:C8"/>
    <mergeCell ref="O7:O8"/>
  </mergeCells>
  <printOptions horizontalCentered="1" verticalCentered="1"/>
  <pageMargins left="0.23622047244094491" right="0.23622047244094491" top="0.51181102362204722" bottom="0.51181102362204722" header="0" footer="0"/>
  <pageSetup paperSize="9" scale="51"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pageSetUpPr fitToPage="1"/>
  </sheetPr>
  <dimension ref="A1:T89"/>
  <sheetViews>
    <sheetView view="pageBreakPreview" topLeftCell="A74" zoomScale="95" zoomScaleNormal="95" zoomScaleSheetLayoutView="95" workbookViewId="0">
      <selection activeCell="E103" sqref="E103"/>
    </sheetView>
  </sheetViews>
  <sheetFormatPr baseColWidth="10" defaultColWidth="8.90625" defaultRowHeight="13.2" x14ac:dyDescent="0.25"/>
  <cols>
    <col min="1" max="1" width="3" style="1" customWidth="1"/>
    <col min="2" max="2" width="12.81640625" style="1" customWidth="1"/>
    <col min="3" max="4" width="7.1796875" style="1" customWidth="1"/>
    <col min="5" max="5" width="8.81640625" style="1" customWidth="1"/>
    <col min="6" max="6" width="9.81640625" style="1" customWidth="1"/>
    <col min="7" max="10" width="10.453125" style="217" customWidth="1"/>
    <col min="11" max="11" width="10.453125" style="217" hidden="1" customWidth="1"/>
    <col min="12" max="13" width="10.453125" style="1" hidden="1" customWidth="1"/>
    <col min="14" max="14" width="10.453125" style="1" customWidth="1"/>
    <col min="15" max="15" width="12.453125" style="1" customWidth="1"/>
    <col min="16" max="17" width="11.54296875" style="1" customWidth="1"/>
    <col min="18" max="18" width="5.453125" style="1" customWidth="1"/>
    <col min="19" max="19" width="11.54296875" style="1" customWidth="1"/>
    <col min="20" max="20" width="5.08984375" style="1" customWidth="1"/>
    <col min="21" max="16384" width="8.90625" style="1"/>
  </cols>
  <sheetData>
    <row r="1" spans="1:20" x14ac:dyDescent="0.25">
      <c r="A1" s="4" t="s">
        <v>51</v>
      </c>
      <c r="C1" s="3"/>
      <c r="D1" s="3"/>
      <c r="E1" s="9">
        <v>44228</v>
      </c>
      <c r="F1" s="300">
        <v>3.7090000000000001</v>
      </c>
      <c r="S1" s="1" t="s">
        <v>183</v>
      </c>
    </row>
    <row r="2" spans="1:20" x14ac:dyDescent="0.25">
      <c r="A2" s="3" t="s">
        <v>0</v>
      </c>
    </row>
    <row r="3" spans="1:20" x14ac:dyDescent="0.25">
      <c r="A3" s="144" t="s">
        <v>109</v>
      </c>
      <c r="B3" s="214"/>
      <c r="C3" s="144"/>
      <c r="D3" s="144"/>
      <c r="E3" s="144"/>
      <c r="F3" s="144"/>
      <c r="G3" s="144"/>
      <c r="H3" s="144"/>
      <c r="I3" s="144"/>
      <c r="J3" s="144"/>
      <c r="K3" s="144"/>
      <c r="L3" s="144"/>
      <c r="M3" s="144"/>
      <c r="N3" s="144"/>
      <c r="O3" s="144"/>
      <c r="P3" s="144"/>
      <c r="Q3" s="144"/>
      <c r="R3" s="144"/>
      <c r="S3" s="144"/>
      <c r="T3" s="144"/>
    </row>
    <row r="4" spans="1:20" x14ac:dyDescent="0.25">
      <c r="A4" s="143" t="s">
        <v>381</v>
      </c>
      <c r="B4" s="215"/>
      <c r="C4" s="143"/>
      <c r="D4" s="143"/>
      <c r="E4" s="143"/>
      <c r="F4" s="143"/>
      <c r="G4" s="143"/>
      <c r="H4" s="143"/>
      <c r="I4" s="143"/>
      <c r="J4" s="143"/>
      <c r="K4" s="143"/>
      <c r="L4" s="143"/>
      <c r="M4" s="143"/>
      <c r="N4" s="143"/>
      <c r="O4" s="143"/>
      <c r="P4" s="143"/>
      <c r="Q4" s="143"/>
      <c r="R4" s="143"/>
      <c r="S4" s="143"/>
      <c r="T4" s="143"/>
    </row>
    <row r="5" spans="1:20" x14ac:dyDescent="0.25">
      <c r="A5" s="143" t="s">
        <v>382</v>
      </c>
      <c r="B5" s="215"/>
      <c r="C5" s="143"/>
      <c r="D5" s="143"/>
      <c r="E5" s="143"/>
      <c r="F5" s="143"/>
      <c r="G5" s="143"/>
      <c r="H5" s="143"/>
      <c r="I5" s="143"/>
      <c r="J5" s="143"/>
      <c r="K5" s="143"/>
      <c r="L5" s="143"/>
      <c r="M5" s="143"/>
      <c r="N5" s="143"/>
      <c r="O5" s="143"/>
      <c r="P5" s="143"/>
      <c r="Q5" s="143"/>
      <c r="R5" s="143"/>
      <c r="S5" s="143"/>
      <c r="T5" s="143"/>
    </row>
    <row r="6" spans="1:20" x14ac:dyDescent="0.25">
      <c r="E6" s="74"/>
      <c r="F6" s="74"/>
      <c r="G6" s="293"/>
      <c r="H6" s="218"/>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634">
        <v>16061</v>
      </c>
      <c r="I10" s="237"/>
      <c r="J10" s="237">
        <v>60.3994</v>
      </c>
      <c r="K10" s="312"/>
      <c r="L10" s="312"/>
      <c r="M10" s="312"/>
      <c r="N10" s="245">
        <v>250.29849999999999</v>
      </c>
      <c r="O10" s="245">
        <v>969824.46149999998</v>
      </c>
      <c r="P10" s="243">
        <v>181842.09</v>
      </c>
      <c r="Q10" s="243">
        <v>145473.67000000001</v>
      </c>
      <c r="R10" s="244">
        <v>0.15</v>
      </c>
      <c r="S10" s="243">
        <v>36368.42</v>
      </c>
      <c r="T10" s="286">
        <v>3.7499999999999999E-2</v>
      </c>
    </row>
    <row r="11" spans="1:20" x14ac:dyDescent="0.25">
      <c r="A11" s="26" t="s">
        <v>28</v>
      </c>
      <c r="B11" s="27" t="s">
        <v>14</v>
      </c>
      <c r="C11" s="62" t="s">
        <v>29</v>
      </c>
      <c r="D11" s="28" t="s">
        <v>21</v>
      </c>
      <c r="E11" s="62" t="s">
        <v>98</v>
      </c>
      <c r="F11" s="260" t="s">
        <v>56</v>
      </c>
      <c r="G11" s="312"/>
      <c r="H11" s="634">
        <v>118766.69</v>
      </c>
      <c r="I11" s="237"/>
      <c r="J11" s="237">
        <v>3.0674000000000001</v>
      </c>
      <c r="K11" s="312"/>
      <c r="L11" s="312"/>
      <c r="M11" s="312"/>
      <c r="N11" s="243">
        <v>700.83540000000005</v>
      </c>
      <c r="O11" s="245">
        <v>363604.10460000002</v>
      </c>
      <c r="P11" s="243">
        <v>68175.77</v>
      </c>
      <c r="Q11" s="243">
        <v>54540.62</v>
      </c>
      <c r="R11" s="244">
        <v>0.15</v>
      </c>
      <c r="S11" s="243">
        <v>13635.15</v>
      </c>
      <c r="T11" s="286">
        <v>3.7499999999999999E-2</v>
      </c>
    </row>
    <row r="12" spans="1:20" s="307" customFormat="1"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v>0.15</v>
      </c>
      <c r="S12" s="243"/>
      <c r="T12" s="286">
        <v>3.7499999999999999E-2</v>
      </c>
    </row>
    <row r="13" spans="1:20" x14ac:dyDescent="0.25">
      <c r="A13" s="26" t="s">
        <v>28</v>
      </c>
      <c r="B13" s="27" t="s">
        <v>3</v>
      </c>
      <c r="C13" s="62" t="s">
        <v>31</v>
      </c>
      <c r="D13" s="28" t="s">
        <v>30</v>
      </c>
      <c r="E13" s="62" t="s">
        <v>101</v>
      </c>
      <c r="F13" s="260" t="s">
        <v>37</v>
      </c>
      <c r="G13" s="634">
        <v>7261</v>
      </c>
      <c r="H13" s="634">
        <v>5772</v>
      </c>
      <c r="I13" s="238">
        <v>58.8992</v>
      </c>
      <c r="J13" s="237">
        <v>63.866500000000002</v>
      </c>
      <c r="K13" s="312"/>
      <c r="L13" s="312"/>
      <c r="M13" s="312"/>
      <c r="N13" s="245">
        <v>643.62369999999999</v>
      </c>
      <c r="O13" s="245">
        <v>795660.90630000003</v>
      </c>
      <c r="P13" s="243">
        <v>149186.42000000001</v>
      </c>
      <c r="Q13" s="243">
        <v>119349.14</v>
      </c>
      <c r="R13" s="244">
        <v>0.15</v>
      </c>
      <c r="S13" s="243">
        <v>29837.279999999999</v>
      </c>
      <c r="T13" s="286">
        <v>3.7499999999999999E-2</v>
      </c>
    </row>
    <row r="14" spans="1:20" x14ac:dyDescent="0.25">
      <c r="A14" s="267" t="s">
        <v>28</v>
      </c>
      <c r="B14" s="271" t="s">
        <v>176</v>
      </c>
      <c r="C14" s="260" t="s">
        <v>29</v>
      </c>
      <c r="D14" s="268" t="s">
        <v>21</v>
      </c>
      <c r="E14" s="260" t="s">
        <v>98</v>
      </c>
      <c r="F14" s="260" t="s">
        <v>56</v>
      </c>
      <c r="G14" s="634">
        <v>28270.7</v>
      </c>
      <c r="H14" s="634">
        <v>21581.42</v>
      </c>
      <c r="I14" s="349">
        <v>2.6775000000000002</v>
      </c>
      <c r="J14" s="237">
        <v>2.6775000000000002</v>
      </c>
      <c r="K14" s="312"/>
      <c r="L14" s="312"/>
      <c r="M14" s="312"/>
      <c r="N14" s="243">
        <v>690.10680000000002</v>
      </c>
      <c r="O14" s="245">
        <v>132788.94319999998</v>
      </c>
      <c r="P14" s="243">
        <v>24897.93</v>
      </c>
      <c r="Q14" s="243">
        <v>19918.34</v>
      </c>
      <c r="R14" s="244">
        <v>0.15</v>
      </c>
      <c r="S14" s="243">
        <v>4979.59</v>
      </c>
      <c r="T14" s="286">
        <v>3.7499999999999999E-2</v>
      </c>
    </row>
    <row r="15" spans="1:20" x14ac:dyDescent="0.25">
      <c r="A15" s="26" t="s">
        <v>28</v>
      </c>
      <c r="B15" s="27" t="s">
        <v>4</v>
      </c>
      <c r="C15" s="62" t="s">
        <v>31</v>
      </c>
      <c r="D15" s="28" t="s">
        <v>30</v>
      </c>
      <c r="E15" s="62" t="s">
        <v>101</v>
      </c>
      <c r="F15" s="260" t="s">
        <v>37</v>
      </c>
      <c r="G15" s="634">
        <v>8600</v>
      </c>
      <c r="H15" s="634">
        <v>7382</v>
      </c>
      <c r="I15" s="237">
        <v>58.426000000000002</v>
      </c>
      <c r="J15" s="237">
        <v>62.592100000000002</v>
      </c>
      <c r="K15" s="312"/>
      <c r="L15" s="312"/>
      <c r="M15" s="312"/>
      <c r="N15" s="245">
        <v>461.2654</v>
      </c>
      <c r="O15" s="245">
        <v>964057.21459999995</v>
      </c>
      <c r="P15" s="243">
        <v>180760.73</v>
      </c>
      <c r="Q15" s="243">
        <v>144608.57999999999</v>
      </c>
      <c r="R15" s="244">
        <v>0.15</v>
      </c>
      <c r="S15" s="243">
        <v>36152.15</v>
      </c>
      <c r="T15" s="286">
        <v>3.7499999999999999E-2</v>
      </c>
    </row>
    <row r="16" spans="1:20" x14ac:dyDescent="0.25">
      <c r="A16" s="26" t="s">
        <v>28</v>
      </c>
      <c r="B16" s="27" t="s">
        <v>5</v>
      </c>
      <c r="C16" s="62" t="s">
        <v>31</v>
      </c>
      <c r="D16" s="28" t="s">
        <v>30</v>
      </c>
      <c r="E16" s="62" t="s">
        <v>101</v>
      </c>
      <c r="F16" s="260" t="s">
        <v>37</v>
      </c>
      <c r="G16" s="634">
        <v>27680</v>
      </c>
      <c r="H16" s="634">
        <v>24285</v>
      </c>
      <c r="I16" s="237">
        <v>58.426000000000002</v>
      </c>
      <c r="J16" s="237">
        <v>62.592100000000002</v>
      </c>
      <c r="K16" s="312"/>
      <c r="L16" s="312"/>
      <c r="M16" s="312"/>
      <c r="N16" s="245">
        <v>1187.1296</v>
      </c>
      <c r="O16" s="245">
        <v>3136093.7004</v>
      </c>
      <c r="P16" s="243">
        <v>588017.56999999995</v>
      </c>
      <c r="Q16" s="243">
        <v>470414.06</v>
      </c>
      <c r="R16" s="244">
        <v>0.15</v>
      </c>
      <c r="S16" s="243">
        <v>117603.51</v>
      </c>
      <c r="T16" s="286">
        <v>3.7499999999999999E-2</v>
      </c>
    </row>
    <row r="17" spans="1:20" s="307" customFormat="1" x14ac:dyDescent="0.25">
      <c r="A17" s="26" t="s">
        <v>28</v>
      </c>
      <c r="B17" s="27" t="s">
        <v>331</v>
      </c>
      <c r="C17" s="62" t="s">
        <v>31</v>
      </c>
      <c r="D17" s="28" t="s">
        <v>30</v>
      </c>
      <c r="E17" s="62" t="s">
        <v>101</v>
      </c>
      <c r="F17" s="260" t="s">
        <v>37</v>
      </c>
      <c r="G17" s="634">
        <v>8327.59</v>
      </c>
      <c r="H17" s="634">
        <v>13054.78</v>
      </c>
      <c r="I17" s="237">
        <v>5.7435</v>
      </c>
      <c r="J17" s="237">
        <v>5.7435</v>
      </c>
      <c r="K17" s="312"/>
      <c r="L17" s="312"/>
      <c r="M17" s="312"/>
      <c r="N17" s="236"/>
      <c r="O17" s="245">
        <v>122809.64000000001</v>
      </c>
      <c r="P17" s="243">
        <v>23026.81</v>
      </c>
      <c r="Q17" s="243">
        <v>18421.45</v>
      </c>
      <c r="R17" s="244">
        <v>0.15</v>
      </c>
      <c r="S17" s="243">
        <v>4605.3599999999997</v>
      </c>
      <c r="T17" s="286">
        <v>3.7499999999999999E-2</v>
      </c>
    </row>
    <row r="18" spans="1:20" x14ac:dyDescent="0.25">
      <c r="A18" s="26" t="s">
        <v>28</v>
      </c>
      <c r="B18" s="27" t="s">
        <v>17</v>
      </c>
      <c r="C18" s="62" t="s">
        <v>29</v>
      </c>
      <c r="D18" s="28" t="s">
        <v>21</v>
      </c>
      <c r="E18" s="62" t="s">
        <v>98</v>
      </c>
      <c r="F18" s="260" t="s">
        <v>37</v>
      </c>
      <c r="G18" s="634"/>
      <c r="H18" s="237">
        <v>2386</v>
      </c>
      <c r="I18" s="237"/>
      <c r="J18" s="237">
        <v>60.3994</v>
      </c>
      <c r="K18" s="312"/>
      <c r="L18" s="312"/>
      <c r="M18" s="312"/>
      <c r="N18" s="245">
        <v>543.5059</v>
      </c>
      <c r="O18" s="245">
        <v>143569.46410000001</v>
      </c>
      <c r="P18" s="243">
        <v>26919.27</v>
      </c>
      <c r="Q18" s="243">
        <v>21535.42</v>
      </c>
      <c r="R18" s="244">
        <v>0.15</v>
      </c>
      <c r="S18" s="243">
        <v>5383.85</v>
      </c>
      <c r="T18" s="286">
        <v>3.7499999999999999E-2</v>
      </c>
    </row>
    <row r="19" spans="1:20" x14ac:dyDescent="0.25">
      <c r="A19" s="26" t="s">
        <v>28</v>
      </c>
      <c r="B19" s="27" t="s">
        <v>6</v>
      </c>
      <c r="C19" s="62" t="s">
        <v>31</v>
      </c>
      <c r="D19" s="28" t="s">
        <v>30</v>
      </c>
      <c r="E19" s="62" t="s">
        <v>101</v>
      </c>
      <c r="F19" s="260" t="s">
        <v>37</v>
      </c>
      <c r="G19" s="634">
        <v>46025</v>
      </c>
      <c r="H19" s="634">
        <v>51541</v>
      </c>
      <c r="I19" s="237">
        <v>57.875999999999998</v>
      </c>
      <c r="J19" s="237">
        <v>62.042099999999998</v>
      </c>
      <c r="K19" s="312"/>
      <c r="L19" s="312"/>
      <c r="M19" s="312"/>
      <c r="N19" s="245">
        <v>3311.0900999999999</v>
      </c>
      <c r="O19" s="245">
        <v>5858143.6898999996</v>
      </c>
      <c r="P19" s="243">
        <v>1098401.94</v>
      </c>
      <c r="Q19" s="243">
        <v>878721.55</v>
      </c>
      <c r="R19" s="244">
        <v>0.15</v>
      </c>
      <c r="S19" s="243">
        <v>219680.39</v>
      </c>
      <c r="T19" s="286">
        <v>3.7499999999999999E-2</v>
      </c>
    </row>
    <row r="20" spans="1:20" x14ac:dyDescent="0.25">
      <c r="A20" s="26" t="s">
        <v>28</v>
      </c>
      <c r="B20" s="29" t="s">
        <v>158</v>
      </c>
      <c r="C20" s="62" t="s">
        <v>29</v>
      </c>
      <c r="D20" s="28" t="s">
        <v>21</v>
      </c>
      <c r="E20" s="62" t="s">
        <v>98</v>
      </c>
      <c r="F20" s="260" t="s">
        <v>37</v>
      </c>
      <c r="G20" s="634"/>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634">
        <v>29342.15</v>
      </c>
      <c r="H21" s="312">
        <v>24426.54</v>
      </c>
      <c r="I21" s="349">
        <v>2.2993000000000001</v>
      </c>
      <c r="J21" s="237">
        <v>2.2993000000000001</v>
      </c>
      <c r="K21" s="312"/>
      <c r="L21" s="312"/>
      <c r="M21" s="312"/>
      <c r="N21" s="243">
        <v>775.92439999999999</v>
      </c>
      <c r="O21" s="245">
        <v>122854.4256</v>
      </c>
      <c r="P21" s="243">
        <v>23035.200000000001</v>
      </c>
      <c r="Q21" s="243">
        <v>18428.16</v>
      </c>
      <c r="R21" s="244">
        <v>0.15</v>
      </c>
      <c r="S21" s="243">
        <v>4607.04</v>
      </c>
      <c r="T21" s="286">
        <v>3.7499999999999999E-2</v>
      </c>
    </row>
    <row r="22" spans="1:20" x14ac:dyDescent="0.25">
      <c r="A22" s="26" t="s">
        <v>28</v>
      </c>
      <c r="B22" s="27" t="s">
        <v>18</v>
      </c>
      <c r="C22" s="62" t="s">
        <v>31</v>
      </c>
      <c r="D22" s="28" t="s">
        <v>30</v>
      </c>
      <c r="E22" s="62" t="s">
        <v>101</v>
      </c>
      <c r="F22" s="260" t="s">
        <v>37</v>
      </c>
      <c r="G22" s="634">
        <v>2100</v>
      </c>
      <c r="H22" s="634">
        <v>2252</v>
      </c>
      <c r="I22" s="238">
        <v>58.426000000000002</v>
      </c>
      <c r="J22" s="237">
        <v>62.592100000000002</v>
      </c>
      <c r="K22" s="312"/>
      <c r="L22" s="312"/>
      <c r="M22" s="312"/>
      <c r="N22" s="245">
        <v>268.17860000000002</v>
      </c>
      <c r="O22" s="245">
        <v>263383.83140000002</v>
      </c>
      <c r="P22" s="243">
        <v>49384.47</v>
      </c>
      <c r="Q22" s="243">
        <v>39507.57</v>
      </c>
      <c r="R22" s="244">
        <v>0.15</v>
      </c>
      <c r="S22" s="243">
        <v>9876.89</v>
      </c>
      <c r="T22" s="286">
        <v>3.7499999999999999E-2</v>
      </c>
    </row>
    <row r="23" spans="1:20" x14ac:dyDescent="0.25">
      <c r="A23" s="26" t="s">
        <v>28</v>
      </c>
      <c r="B23" s="29" t="s">
        <v>20</v>
      </c>
      <c r="C23" s="62" t="s">
        <v>31</v>
      </c>
      <c r="D23" s="28" t="s">
        <v>30</v>
      </c>
      <c r="E23" s="62" t="s">
        <v>101</v>
      </c>
      <c r="F23" s="260" t="s">
        <v>37</v>
      </c>
      <c r="G23" s="634">
        <v>180391</v>
      </c>
      <c r="H23" s="634">
        <v>156064</v>
      </c>
      <c r="I23" s="238">
        <v>58.426000000000002</v>
      </c>
      <c r="J23" s="237">
        <v>62.592100000000002</v>
      </c>
      <c r="K23" s="312"/>
      <c r="L23" s="312"/>
      <c r="M23" s="312"/>
      <c r="N23" s="245">
        <v>4144.2235000000001</v>
      </c>
      <c r="O23" s="245">
        <v>20303753.836500004</v>
      </c>
      <c r="P23" s="243">
        <v>3806953.84</v>
      </c>
      <c r="Q23" s="243">
        <v>3045563.08</v>
      </c>
      <c r="R23" s="244">
        <v>0.15</v>
      </c>
      <c r="S23" s="243">
        <v>761390.77</v>
      </c>
      <c r="T23" s="286">
        <v>3.7499999999999999E-2</v>
      </c>
    </row>
    <row r="24" spans="1:20" x14ac:dyDescent="0.25">
      <c r="A24" s="26" t="s">
        <v>28</v>
      </c>
      <c r="B24" s="27" t="s">
        <v>8</v>
      </c>
      <c r="C24" s="62" t="s">
        <v>31</v>
      </c>
      <c r="D24" s="28" t="s">
        <v>21</v>
      </c>
      <c r="E24" s="62" t="s">
        <v>101</v>
      </c>
      <c r="F24" s="260" t="s">
        <v>56</v>
      </c>
      <c r="G24" s="634">
        <v>249183.53</v>
      </c>
      <c r="H24" s="634">
        <v>215444.73</v>
      </c>
      <c r="I24" s="363">
        <v>1.8900999999999999</v>
      </c>
      <c r="J24" s="237">
        <v>1.8900999999999999</v>
      </c>
      <c r="K24" s="312"/>
      <c r="L24" s="312"/>
      <c r="M24" s="312"/>
      <c r="N24" s="243">
        <v>818.83320000000003</v>
      </c>
      <c r="O24" s="245">
        <v>877375.0368</v>
      </c>
      <c r="P24" s="243">
        <v>164507.82</v>
      </c>
      <c r="Q24" s="243">
        <v>131606.26</v>
      </c>
      <c r="R24" s="244">
        <v>0.15</v>
      </c>
      <c r="S24" s="243">
        <v>32901.56</v>
      </c>
      <c r="T24" s="286">
        <v>3.7499999999999999E-2</v>
      </c>
    </row>
    <row r="25" spans="1:20" x14ac:dyDescent="0.25">
      <c r="A25" s="26" t="s">
        <v>28</v>
      </c>
      <c r="B25" s="29" t="s">
        <v>57</v>
      </c>
      <c r="C25" s="62" t="s">
        <v>31</v>
      </c>
      <c r="D25" s="28" t="s">
        <v>21</v>
      </c>
      <c r="E25" s="62" t="s">
        <v>101</v>
      </c>
      <c r="F25" s="260" t="s">
        <v>37</v>
      </c>
      <c r="G25" s="312"/>
      <c r="H25" s="634"/>
      <c r="I25" s="237"/>
      <c r="J25" s="237"/>
      <c r="K25" s="312"/>
      <c r="L25" s="312"/>
      <c r="M25" s="312"/>
      <c r="N25" s="245"/>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634">
        <v>417</v>
      </c>
      <c r="H26" s="634">
        <v>465</v>
      </c>
      <c r="I26" s="237">
        <v>58.676499999999997</v>
      </c>
      <c r="J26" s="237">
        <v>63.095700000000001</v>
      </c>
      <c r="K26" s="312"/>
      <c r="L26" s="312"/>
      <c r="M26" s="312"/>
      <c r="N26" s="245">
        <v>293.20729999999998</v>
      </c>
      <c r="O26" s="245">
        <v>53514.392699999997</v>
      </c>
      <c r="P26" s="243">
        <v>10033.950000000001</v>
      </c>
      <c r="Q26" s="243">
        <v>8027.16</v>
      </c>
      <c r="R26" s="244">
        <v>0.15</v>
      </c>
      <c r="S26" s="243">
        <v>2006.79</v>
      </c>
      <c r="T26" s="286">
        <v>3.7499999999999999E-2</v>
      </c>
    </row>
    <row r="27" spans="1:20" x14ac:dyDescent="0.25">
      <c r="A27" s="26" t="s">
        <v>28</v>
      </c>
      <c r="B27" s="29" t="s">
        <v>168</v>
      </c>
      <c r="C27" s="62" t="s">
        <v>31</v>
      </c>
      <c r="D27" s="28" t="s">
        <v>30</v>
      </c>
      <c r="E27" s="62" t="s">
        <v>101</v>
      </c>
      <c r="F27" s="260" t="s">
        <v>37</v>
      </c>
      <c r="G27" s="634">
        <v>13511</v>
      </c>
      <c r="H27" s="634">
        <v>17876</v>
      </c>
      <c r="I27" s="238">
        <v>56.356000000000002</v>
      </c>
      <c r="J27" s="237">
        <v>60.522100000000002</v>
      </c>
      <c r="K27" s="312"/>
      <c r="L27" s="312"/>
      <c r="M27" s="312"/>
      <c r="N27" s="245">
        <v>2781.8872000000001</v>
      </c>
      <c r="O27" s="245">
        <v>1840537.0928</v>
      </c>
      <c r="P27" s="243">
        <v>345100.7</v>
      </c>
      <c r="Q27" s="243">
        <v>276080.56</v>
      </c>
      <c r="R27" s="244">
        <v>0.15</v>
      </c>
      <c r="S27" s="243">
        <v>69020.14</v>
      </c>
      <c r="T27" s="286">
        <v>3.7499999999999999E-2</v>
      </c>
    </row>
    <row r="28" spans="1:20" s="307" customFormat="1" x14ac:dyDescent="0.25">
      <c r="A28" s="26" t="s">
        <v>28</v>
      </c>
      <c r="B28" s="29" t="s">
        <v>191</v>
      </c>
      <c r="C28" s="62" t="s">
        <v>31</v>
      </c>
      <c r="D28" s="28" t="s">
        <v>30</v>
      </c>
      <c r="E28" s="62" t="s">
        <v>101</v>
      </c>
      <c r="F28" s="260" t="s">
        <v>37</v>
      </c>
      <c r="G28" s="236"/>
      <c r="H28" s="312"/>
      <c r="I28" s="237"/>
      <c r="J28" s="237"/>
      <c r="K28" s="312"/>
      <c r="L28" s="312"/>
      <c r="M28" s="312"/>
      <c r="N28" s="243"/>
      <c r="O28" s="245">
        <v>0</v>
      </c>
      <c r="P28" s="243">
        <v>0</v>
      </c>
      <c r="Q28" s="243">
        <v>0</v>
      </c>
      <c r="R28" s="244">
        <v>0.15</v>
      </c>
      <c r="S28" s="243">
        <v>0</v>
      </c>
      <c r="T28" s="286">
        <v>3.7499999999999999E-2</v>
      </c>
    </row>
    <row r="29" spans="1:20" x14ac:dyDescent="0.25">
      <c r="A29" s="26" t="s">
        <v>28</v>
      </c>
      <c r="B29" s="29" t="s">
        <v>326</v>
      </c>
      <c r="C29" s="62" t="s">
        <v>31</v>
      </c>
      <c r="D29" s="28" t="s">
        <v>30</v>
      </c>
      <c r="E29" s="62" t="s">
        <v>101</v>
      </c>
      <c r="F29" s="260" t="s">
        <v>56</v>
      </c>
      <c r="G29" s="236">
        <v>102740.33</v>
      </c>
      <c r="H29" s="312">
        <v>93524.61</v>
      </c>
      <c r="I29" s="237">
        <v>1.5</v>
      </c>
      <c r="J29" s="237">
        <v>1.5</v>
      </c>
      <c r="K29" s="312"/>
      <c r="L29" s="312"/>
      <c r="M29" s="312"/>
      <c r="N29" s="243">
        <v>1154.9466</v>
      </c>
      <c r="O29" s="245">
        <v>293242.47340000002</v>
      </c>
      <c r="P29" s="243">
        <v>54982.96</v>
      </c>
      <c r="Q29" s="243">
        <v>43986.37</v>
      </c>
      <c r="R29" s="244">
        <v>0.15</v>
      </c>
      <c r="S29" s="243">
        <v>10996.59</v>
      </c>
      <c r="T29" s="286">
        <v>3.7499999999999999E-2</v>
      </c>
    </row>
    <row r="30" spans="1:20" s="307" customFormat="1" x14ac:dyDescent="0.25">
      <c r="A30" s="26" t="s">
        <v>28</v>
      </c>
      <c r="B30" s="29" t="s">
        <v>327</v>
      </c>
      <c r="C30" s="62" t="s">
        <v>31</v>
      </c>
      <c r="D30" s="28" t="s">
        <v>30</v>
      </c>
      <c r="E30" s="62" t="s">
        <v>101</v>
      </c>
      <c r="F30" s="260" t="s">
        <v>56</v>
      </c>
      <c r="G30" s="634">
        <v>93307.65</v>
      </c>
      <c r="H30" s="634">
        <v>85649.31</v>
      </c>
      <c r="I30" s="237">
        <v>3.3929</v>
      </c>
      <c r="J30" s="237">
        <v>3.4034</v>
      </c>
      <c r="K30" s="312"/>
      <c r="L30" s="312"/>
      <c r="M30" s="312"/>
      <c r="N30" s="236"/>
      <c r="O30" s="245">
        <v>608082.39</v>
      </c>
      <c r="P30" s="243">
        <v>114015.45</v>
      </c>
      <c r="Q30" s="243">
        <v>91212.36</v>
      </c>
      <c r="R30" s="244">
        <v>0.15</v>
      </c>
      <c r="S30" s="243">
        <v>22803.09</v>
      </c>
      <c r="T30" s="286">
        <v>3.7499999999999999E-2</v>
      </c>
    </row>
    <row r="31" spans="1:20" s="307" customFormat="1" x14ac:dyDescent="0.25">
      <c r="A31" s="26" t="s">
        <v>28</v>
      </c>
      <c r="B31" s="29" t="s">
        <v>323</v>
      </c>
      <c r="C31" s="62" t="s">
        <v>31</v>
      </c>
      <c r="D31" s="28" t="s">
        <v>30</v>
      </c>
      <c r="E31" s="62" t="s">
        <v>101</v>
      </c>
      <c r="F31" s="260" t="s">
        <v>56</v>
      </c>
      <c r="G31" s="634"/>
      <c r="H31" s="312"/>
      <c r="I31" s="237"/>
      <c r="J31" s="237"/>
      <c r="K31" s="312"/>
      <c r="L31" s="312"/>
      <c r="M31" s="312"/>
      <c r="N31" s="236"/>
      <c r="O31" s="245">
        <v>0</v>
      </c>
      <c r="P31" s="243">
        <v>0</v>
      </c>
      <c r="Q31" s="243">
        <v>0</v>
      </c>
      <c r="R31" s="244">
        <v>0.15</v>
      </c>
      <c r="S31" s="243">
        <v>0</v>
      </c>
      <c r="T31" s="286">
        <v>3.7499999999999999E-2</v>
      </c>
    </row>
    <row r="32" spans="1:20" s="307" customFormat="1" x14ac:dyDescent="0.25">
      <c r="A32" s="26" t="s">
        <v>28</v>
      </c>
      <c r="B32" s="29" t="s">
        <v>330</v>
      </c>
      <c r="C32" s="62" t="s">
        <v>31</v>
      </c>
      <c r="D32" s="28" t="s">
        <v>30</v>
      </c>
      <c r="E32" s="62" t="s">
        <v>101</v>
      </c>
      <c r="F32" s="260" t="s">
        <v>56</v>
      </c>
      <c r="G32" s="634"/>
      <c r="H32" s="634"/>
      <c r="I32" s="237"/>
      <c r="J32" s="237"/>
      <c r="K32" s="312"/>
      <c r="L32" s="312"/>
      <c r="M32" s="312"/>
      <c r="N32" s="236"/>
      <c r="O32" s="245">
        <v>0</v>
      </c>
      <c r="P32" s="243">
        <v>0</v>
      </c>
      <c r="Q32" s="243">
        <v>0</v>
      </c>
      <c r="R32" s="244">
        <v>0.15</v>
      </c>
      <c r="S32" s="243">
        <v>0</v>
      </c>
      <c r="T32" s="286">
        <v>3.7499999999999999E-2</v>
      </c>
    </row>
    <row r="33" spans="1:20" s="307" customFormat="1" x14ac:dyDescent="0.25">
      <c r="A33" s="26" t="s">
        <v>28</v>
      </c>
      <c r="B33" s="29" t="s">
        <v>336</v>
      </c>
      <c r="C33" s="62" t="s">
        <v>31</v>
      </c>
      <c r="D33" s="28" t="s">
        <v>30</v>
      </c>
      <c r="E33" s="62" t="s">
        <v>101</v>
      </c>
      <c r="F33" s="260" t="s">
        <v>56</v>
      </c>
      <c r="G33" s="236">
        <v>4092.22</v>
      </c>
      <c r="H33" s="634">
        <v>4481.12</v>
      </c>
      <c r="I33" s="237">
        <v>3.1</v>
      </c>
      <c r="J33" s="237">
        <v>3.1</v>
      </c>
      <c r="K33" s="312"/>
      <c r="L33" s="312"/>
      <c r="M33" s="312"/>
      <c r="N33" s="236"/>
      <c r="O33" s="245">
        <v>26577.35</v>
      </c>
      <c r="P33" s="243">
        <v>4983.25</v>
      </c>
      <c r="Q33" s="243">
        <v>3986.6</v>
      </c>
      <c r="R33" s="244">
        <v>0.15</v>
      </c>
      <c r="S33" s="243">
        <v>996.65</v>
      </c>
      <c r="T33" s="286">
        <v>3.7499999999999999E-2</v>
      </c>
    </row>
    <row r="34" spans="1:20" x14ac:dyDescent="0.25">
      <c r="A34" s="26" t="s">
        <v>28</v>
      </c>
      <c r="B34" s="27" t="s">
        <v>15</v>
      </c>
      <c r="C34" s="62" t="s">
        <v>29</v>
      </c>
      <c r="D34" s="28" t="s">
        <v>21</v>
      </c>
      <c r="E34" s="62" t="s">
        <v>98</v>
      </c>
      <c r="F34" s="260" t="s">
        <v>37</v>
      </c>
      <c r="G34" s="312"/>
      <c r="H34" s="634">
        <v>168629</v>
      </c>
      <c r="I34" s="237"/>
      <c r="J34" s="237">
        <v>62.281500000000001</v>
      </c>
      <c r="K34" s="312"/>
      <c r="L34" s="312"/>
      <c r="M34" s="312"/>
      <c r="N34" s="236">
        <v>893.92219999999998</v>
      </c>
      <c r="O34" s="245">
        <v>10501573.137800001</v>
      </c>
      <c r="P34" s="243">
        <v>1969044.96</v>
      </c>
      <c r="Q34" s="243">
        <v>1575235.97</v>
      </c>
      <c r="R34" s="244">
        <v>0.15</v>
      </c>
      <c r="S34" s="243">
        <v>393808.99</v>
      </c>
      <c r="T34" s="286">
        <v>3.7499999999999999E-2</v>
      </c>
    </row>
    <row r="35" spans="1:20" x14ac:dyDescent="0.25">
      <c r="A35" s="26" t="s">
        <v>28</v>
      </c>
      <c r="B35" s="27" t="s">
        <v>16</v>
      </c>
      <c r="C35" s="62" t="s">
        <v>29</v>
      </c>
      <c r="D35" s="28" t="s">
        <v>21</v>
      </c>
      <c r="E35" s="62" t="s">
        <v>98</v>
      </c>
      <c r="F35" s="260" t="s">
        <v>56</v>
      </c>
      <c r="G35" s="312"/>
      <c r="H35" s="634">
        <v>251998.81</v>
      </c>
      <c r="I35" s="237"/>
      <c r="J35" s="237">
        <v>5.9486999999999997</v>
      </c>
      <c r="K35" s="312"/>
      <c r="L35" s="312"/>
      <c r="M35" s="312"/>
      <c r="N35" s="236">
        <v>790.22730000000001</v>
      </c>
      <c r="O35" s="245">
        <v>1498275.0927000002</v>
      </c>
      <c r="P35" s="243">
        <v>280926.58</v>
      </c>
      <c r="Q35" s="243">
        <v>224741.26</v>
      </c>
      <c r="R35" s="244">
        <v>0.15</v>
      </c>
      <c r="S35" s="243">
        <v>56185.32</v>
      </c>
      <c r="T35" s="286">
        <v>3.7499999999999999E-2</v>
      </c>
    </row>
    <row r="36" spans="1:20" x14ac:dyDescent="0.25">
      <c r="A36" s="26" t="s">
        <v>28</v>
      </c>
      <c r="B36" s="27" t="s">
        <v>173</v>
      </c>
      <c r="C36" s="62" t="s">
        <v>31</v>
      </c>
      <c r="D36" s="28" t="s">
        <v>30</v>
      </c>
      <c r="E36" s="62" t="s">
        <v>101</v>
      </c>
      <c r="F36" s="260" t="s">
        <v>37</v>
      </c>
      <c r="G36" s="634">
        <v>198</v>
      </c>
      <c r="H36" s="634">
        <v>137</v>
      </c>
      <c r="I36" s="237">
        <v>58.426000000000002</v>
      </c>
      <c r="J36" s="237">
        <v>62.592100000000002</v>
      </c>
      <c r="K36" s="312"/>
      <c r="L36" s="312"/>
      <c r="M36" s="312"/>
      <c r="N36" s="245">
        <v>171.63239999999999</v>
      </c>
      <c r="O36" s="245">
        <v>19971.837600000003</v>
      </c>
      <c r="P36" s="243">
        <v>3744.72</v>
      </c>
      <c r="Q36" s="243">
        <v>748.94</v>
      </c>
      <c r="R36" s="286">
        <v>3.7499999999999999E-2</v>
      </c>
      <c r="S36" s="243">
        <v>2995.78</v>
      </c>
      <c r="T36" s="244">
        <v>0.15</v>
      </c>
    </row>
    <row r="37" spans="1:20" x14ac:dyDescent="0.25">
      <c r="A37" s="26" t="s">
        <v>28</v>
      </c>
      <c r="B37" s="216" t="s">
        <v>169</v>
      </c>
      <c r="C37" s="62" t="s">
        <v>31</v>
      </c>
      <c r="D37" s="28" t="s">
        <v>30</v>
      </c>
      <c r="E37" s="62" t="s">
        <v>101</v>
      </c>
      <c r="F37" s="260" t="s">
        <v>37</v>
      </c>
      <c r="G37" s="236"/>
      <c r="H37" s="634"/>
      <c r="I37" s="238"/>
      <c r="J37" s="237"/>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634"/>
      <c r="I38" s="238"/>
      <c r="J38" s="237"/>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634">
        <v>23778</v>
      </c>
      <c r="I39" s="238"/>
      <c r="J39" s="238">
        <v>61.693899999999999</v>
      </c>
      <c r="K39" s="236"/>
      <c r="L39" s="312"/>
      <c r="M39" s="312"/>
      <c r="N39" s="236">
        <v>858.16489999999999</v>
      </c>
      <c r="O39" s="245">
        <v>1466099.3851000001</v>
      </c>
      <c r="P39" s="243">
        <v>274893.63</v>
      </c>
      <c r="Q39" s="243">
        <v>219914.91</v>
      </c>
      <c r="R39" s="247">
        <v>0.15</v>
      </c>
      <c r="S39" s="243">
        <v>54978.73</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25210.010000000191</v>
      </c>
      <c r="P41" s="245">
        <v>4726.8599999999587</v>
      </c>
      <c r="Q41" s="245">
        <v>3781.4999999999236</v>
      </c>
      <c r="R41" s="275"/>
      <c r="S41" s="245">
        <v>945.37999999998328</v>
      </c>
      <c r="T41" s="286">
        <v>3.7499999999999999E-2</v>
      </c>
    </row>
    <row r="42" spans="1:20" x14ac:dyDescent="0.25">
      <c r="A42" s="34"/>
      <c r="B42" s="165" t="s">
        <v>108</v>
      </c>
      <c r="C42" s="35" t="s">
        <v>343</v>
      </c>
      <c r="D42" s="43"/>
      <c r="E42" s="44"/>
      <c r="F42" s="270"/>
      <c r="G42" s="239"/>
      <c r="H42" s="239"/>
      <c r="I42" s="240"/>
      <c r="J42" s="240"/>
      <c r="K42" s="239"/>
      <c r="L42" s="239"/>
      <c r="M42" s="239"/>
      <c r="N42" s="239"/>
      <c r="O42" s="249">
        <v>50387002.416999996</v>
      </c>
      <c r="P42" s="250">
        <v>9447562.9200000037</v>
      </c>
      <c r="Q42" s="251">
        <v>7555803.5300000003</v>
      </c>
      <c r="R42" s="252"/>
      <c r="S42" s="253">
        <v>1891759.42</v>
      </c>
      <c r="T42" s="252"/>
    </row>
    <row r="43" spans="1:20" x14ac:dyDescent="0.25">
      <c r="A43" s="136"/>
      <c r="B43" s="137"/>
      <c r="C43" s="35" t="s">
        <v>344</v>
      </c>
      <c r="D43" s="148"/>
      <c r="E43" s="148"/>
      <c r="F43" s="149"/>
      <c r="G43" s="299"/>
      <c r="H43" s="299"/>
      <c r="I43" s="221"/>
      <c r="J43" s="221"/>
      <c r="K43" s="299"/>
      <c r="L43" s="299"/>
      <c r="M43" s="299"/>
      <c r="N43" s="299"/>
      <c r="O43" s="228"/>
      <c r="P43" s="229">
        <v>35041010.869999997</v>
      </c>
      <c r="Q43" s="495">
        <v>28024475.289999999</v>
      </c>
      <c r="R43" s="151"/>
      <c r="S43" s="494">
        <v>7016535.6900000004</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17563</v>
      </c>
      <c r="H46" s="236">
        <v>23094</v>
      </c>
      <c r="I46" s="238">
        <v>47.632300000000001</v>
      </c>
      <c r="J46" s="238">
        <v>51.96</v>
      </c>
      <c r="K46" s="312"/>
      <c r="L46" s="312"/>
      <c r="M46" s="312"/>
      <c r="N46" s="312">
        <v>3454.1167</v>
      </c>
      <c r="O46" s="245">
        <v>2033076.2032999999</v>
      </c>
      <c r="P46" s="243">
        <v>304961.43</v>
      </c>
      <c r="Q46" s="243">
        <v>304961.43</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2033076.2032999999</v>
      </c>
      <c r="P48" s="250">
        <v>304961.43</v>
      </c>
      <c r="Q48" s="250">
        <v>304961.43</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1131101.94</v>
      </c>
      <c r="Q49" s="495">
        <v>1131101.94</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8"/>
      <c r="J53" s="610"/>
      <c r="K53" s="312"/>
      <c r="L53" s="312"/>
      <c r="M53" s="312"/>
      <c r="N53" s="245"/>
      <c r="O53" s="245">
        <v>0</v>
      </c>
      <c r="P53" s="243">
        <v>0</v>
      </c>
      <c r="Q53" s="243">
        <v>0</v>
      </c>
      <c r="R53" s="244">
        <v>0.15</v>
      </c>
      <c r="S53" s="243">
        <v>0</v>
      </c>
      <c r="T53" s="286">
        <v>3.7499999999999999E-2</v>
      </c>
    </row>
    <row r="54" spans="1:20" s="307" customFormat="1"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102868.59</v>
      </c>
      <c r="H56" s="236">
        <v>75008.91</v>
      </c>
      <c r="I56" s="238">
        <v>3.6497000000000002</v>
      </c>
      <c r="J56" s="237">
        <v>3.6556000000000002</v>
      </c>
      <c r="K56" s="312"/>
      <c r="L56" s="312"/>
      <c r="M56" s="312"/>
      <c r="N56" s="243">
        <v>432.65679999999998</v>
      </c>
      <c r="O56" s="245">
        <v>649209.40320000006</v>
      </c>
      <c r="P56" s="243">
        <v>121726.76</v>
      </c>
      <c r="Q56" s="243">
        <v>24345.35</v>
      </c>
      <c r="R56" s="286">
        <v>3.7499999999999999E-2</v>
      </c>
      <c r="S56" s="243">
        <v>97381.41</v>
      </c>
      <c r="T56" s="244">
        <v>0.15</v>
      </c>
    </row>
    <row r="57" spans="1:20" x14ac:dyDescent="0.25">
      <c r="A57" s="26" t="s">
        <v>28</v>
      </c>
      <c r="B57" s="29" t="s">
        <v>75</v>
      </c>
      <c r="C57" s="62" t="s">
        <v>31</v>
      </c>
      <c r="D57" s="62" t="s">
        <v>30</v>
      </c>
      <c r="E57" s="62" t="s">
        <v>103</v>
      </c>
      <c r="F57" s="261" t="s">
        <v>37</v>
      </c>
      <c r="G57" s="236">
        <v>6820</v>
      </c>
      <c r="H57" s="236">
        <v>5814</v>
      </c>
      <c r="I57" s="238">
        <v>46.758800000000001</v>
      </c>
      <c r="J57" s="237">
        <v>50.213500000000003</v>
      </c>
      <c r="K57" s="312"/>
      <c r="L57" s="312"/>
      <c r="M57" s="312"/>
      <c r="N57" s="243">
        <v>1959.4795999999999</v>
      </c>
      <c r="O57" s="245">
        <v>608876.83040000009</v>
      </c>
      <c r="P57" s="243">
        <v>114164.41</v>
      </c>
      <c r="Q57" s="243">
        <v>22832.880000000001</v>
      </c>
      <c r="R57" s="286">
        <v>3.7499999999999999E-2</v>
      </c>
      <c r="S57" s="243">
        <v>91331.520000000004</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113490</v>
      </c>
      <c r="H60" s="236">
        <v>87857</v>
      </c>
      <c r="I60" s="238">
        <v>44.538600000000002</v>
      </c>
      <c r="J60" s="540">
        <v>48.8476</v>
      </c>
      <c r="K60" s="236"/>
      <c r="L60" s="312"/>
      <c r="M60" s="312"/>
      <c r="N60" s="245">
        <v>4619.7891</v>
      </c>
      <c r="O60" s="245">
        <v>9341669.5109000001</v>
      </c>
      <c r="P60" s="243">
        <v>1751563.03</v>
      </c>
      <c r="Q60" s="243">
        <v>1401250.42</v>
      </c>
      <c r="R60" s="244">
        <v>0.15</v>
      </c>
      <c r="S60" s="243">
        <v>350312.61</v>
      </c>
      <c r="T60" s="286">
        <v>3.7499999999999999E-2</v>
      </c>
    </row>
    <row r="61" spans="1:20" x14ac:dyDescent="0.25">
      <c r="A61" s="26" t="s">
        <v>28</v>
      </c>
      <c r="B61" s="302">
        <v>67</v>
      </c>
      <c r="C61" s="62" t="s">
        <v>31</v>
      </c>
      <c r="D61" s="62" t="s">
        <v>30</v>
      </c>
      <c r="E61" s="62" t="s">
        <v>101</v>
      </c>
      <c r="F61" s="261" t="s">
        <v>37</v>
      </c>
      <c r="G61" s="236"/>
      <c r="H61" s="236"/>
      <c r="I61" s="238"/>
      <c r="J61" s="540"/>
      <c r="K61" s="236"/>
      <c r="L61" s="312"/>
      <c r="M61" s="312"/>
      <c r="N61" s="245"/>
      <c r="O61" s="245">
        <v>0</v>
      </c>
      <c r="P61" s="243">
        <v>0</v>
      </c>
      <c r="Q61" s="243">
        <v>0</v>
      </c>
      <c r="R61" s="244">
        <v>0.15</v>
      </c>
      <c r="S61" s="243">
        <v>0</v>
      </c>
      <c r="T61" s="286">
        <v>3.7499999999999999E-2</v>
      </c>
    </row>
    <row r="62" spans="1:20" x14ac:dyDescent="0.25">
      <c r="A62" s="21" t="s">
        <v>28</v>
      </c>
      <c r="B62" s="33" t="s">
        <v>54</v>
      </c>
      <c r="C62" s="61"/>
      <c r="D62" s="31"/>
      <c r="E62" s="31"/>
      <c r="F62" s="263"/>
      <c r="G62" s="312"/>
      <c r="H62" s="312"/>
      <c r="I62" s="237"/>
      <c r="J62" s="237"/>
      <c r="K62" s="312"/>
      <c r="L62" s="312"/>
      <c r="M62" s="312"/>
      <c r="N62" s="312"/>
      <c r="O62" s="312">
        <v>3580436.4599999962</v>
      </c>
      <c r="P62" s="312">
        <v>671331.83999999997</v>
      </c>
      <c r="Q62" s="312">
        <v>537065.47</v>
      </c>
      <c r="R62" s="312"/>
      <c r="S62" s="312">
        <v>134266.38999999998</v>
      </c>
      <c r="T62" s="244"/>
    </row>
    <row r="63" spans="1:20" x14ac:dyDescent="0.25">
      <c r="A63" s="34"/>
      <c r="B63" s="165" t="s">
        <v>108</v>
      </c>
      <c r="C63" s="35" t="s">
        <v>347</v>
      </c>
      <c r="D63" s="22"/>
      <c r="E63" s="22"/>
      <c r="F63" s="279"/>
      <c r="G63" s="277"/>
      <c r="H63" s="277"/>
      <c r="I63" s="278"/>
      <c r="J63" s="265"/>
      <c r="K63" s="264"/>
      <c r="L63" s="264"/>
      <c r="M63" s="264"/>
      <c r="N63" s="249"/>
      <c r="O63" s="249">
        <v>14180192.204499997</v>
      </c>
      <c r="P63" s="250">
        <v>2658786.04</v>
      </c>
      <c r="Q63" s="250">
        <v>1985494.1199999999</v>
      </c>
      <c r="R63" s="266"/>
      <c r="S63" s="250">
        <v>673291.93</v>
      </c>
      <c r="T63" s="252"/>
    </row>
    <row r="64" spans="1:20" x14ac:dyDescent="0.25">
      <c r="A64" s="157"/>
      <c r="B64" s="158"/>
      <c r="C64" s="35" t="s">
        <v>348</v>
      </c>
      <c r="D64" s="114"/>
      <c r="E64" s="114"/>
      <c r="F64" s="157"/>
      <c r="G64" s="227"/>
      <c r="H64" s="227"/>
      <c r="I64" s="224"/>
      <c r="J64" s="224"/>
      <c r="K64" s="227"/>
      <c r="L64" s="227"/>
      <c r="M64" s="227"/>
      <c r="N64" s="227"/>
      <c r="O64" s="230"/>
      <c r="P64" s="231">
        <v>9861437.4199999999</v>
      </c>
      <c r="Q64" s="494">
        <v>7364197.6900000004</v>
      </c>
      <c r="R64" s="172"/>
      <c r="S64" s="494">
        <v>2497239.77</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733870</v>
      </c>
      <c r="H66" s="312">
        <v>657095</v>
      </c>
      <c r="I66" s="237">
        <v>38.905700000000003</v>
      </c>
      <c r="J66" s="237">
        <v>43.197699999999998</v>
      </c>
      <c r="K66" s="312"/>
      <c r="L66" s="312"/>
      <c r="M66" s="312"/>
      <c r="N66" s="312"/>
      <c r="O66" s="245">
        <v>56936718.740500003</v>
      </c>
      <c r="P66" s="281">
        <v>21203234.059999999</v>
      </c>
      <c r="Q66" s="243">
        <v>10601617.029999999</v>
      </c>
      <c r="R66" s="244">
        <v>0.5</v>
      </c>
      <c r="S66" s="243"/>
      <c r="T66" s="286"/>
    </row>
    <row r="67" spans="1:20" x14ac:dyDescent="0.25">
      <c r="A67" s="26" t="s">
        <v>28</v>
      </c>
      <c r="B67" s="27" t="s">
        <v>162</v>
      </c>
      <c r="C67" s="62" t="s">
        <v>31</v>
      </c>
      <c r="D67" s="62" t="s">
        <v>30</v>
      </c>
      <c r="E67" s="62" t="s">
        <v>161</v>
      </c>
      <c r="F67" s="262" t="s">
        <v>56</v>
      </c>
      <c r="G67" s="312">
        <v>7301790.71</v>
      </c>
      <c r="H67" s="312">
        <v>8319710.4900000002</v>
      </c>
      <c r="I67" s="237">
        <v>2.0886</v>
      </c>
      <c r="J67" s="237">
        <v>2.0886</v>
      </c>
      <c r="K67" s="312"/>
      <c r="L67" s="312"/>
      <c r="M67" s="312"/>
      <c r="N67" s="312"/>
      <c r="O67" s="245">
        <v>32627067.406319998</v>
      </c>
      <c r="P67" s="281">
        <v>12150319.9</v>
      </c>
      <c r="Q67" s="243">
        <v>6075159.9500000002</v>
      </c>
      <c r="R67" s="244">
        <v>0.5</v>
      </c>
      <c r="S67" s="243"/>
      <c r="T67" s="244"/>
    </row>
    <row r="68" spans="1:20" s="307" customFormat="1" x14ac:dyDescent="0.25">
      <c r="A68" s="26" t="s">
        <v>28</v>
      </c>
      <c r="B68" s="27" t="s">
        <v>181</v>
      </c>
      <c r="C68" s="62" t="s">
        <v>31</v>
      </c>
      <c r="D68" s="62" t="s">
        <v>30</v>
      </c>
      <c r="E68" s="62" t="s">
        <v>161</v>
      </c>
      <c r="F68" s="262" t="s">
        <v>56</v>
      </c>
      <c r="G68" s="312">
        <v>23911.41</v>
      </c>
      <c r="H68" s="312">
        <v>21355.81</v>
      </c>
      <c r="I68" s="237">
        <v>2.7151000000000001</v>
      </c>
      <c r="J68" s="237">
        <v>2.7151000000000001</v>
      </c>
      <c r="K68" s="312"/>
      <c r="L68" s="312"/>
      <c r="M68" s="312"/>
      <c r="N68" s="312"/>
      <c r="O68" s="245">
        <v>122905.029022</v>
      </c>
      <c r="P68" s="281">
        <v>45769.83</v>
      </c>
      <c r="Q68" s="243">
        <v>22884.92</v>
      </c>
      <c r="R68" s="244">
        <v>0.5</v>
      </c>
      <c r="S68" s="243"/>
      <c r="T68" s="244"/>
    </row>
    <row r="69" spans="1:20" s="307" customFormat="1" ht="12" customHeight="1" x14ac:dyDescent="0.25">
      <c r="A69" s="26" t="s">
        <v>28</v>
      </c>
      <c r="B69" s="27" t="s">
        <v>182</v>
      </c>
      <c r="C69" s="62" t="s">
        <v>31</v>
      </c>
      <c r="D69" s="62" t="s">
        <v>30</v>
      </c>
      <c r="E69" s="62" t="s">
        <v>161</v>
      </c>
      <c r="F69" s="262" t="s">
        <v>56</v>
      </c>
      <c r="G69" s="312">
        <v>967261.69</v>
      </c>
      <c r="H69" s="312">
        <v>760505.45</v>
      </c>
      <c r="I69" s="237">
        <v>2.1269999999999998</v>
      </c>
      <c r="J69" s="237">
        <v>1.224</v>
      </c>
      <c r="K69" s="312"/>
      <c r="L69" s="312"/>
      <c r="M69" s="312"/>
      <c r="N69" s="312"/>
      <c r="O69" s="245">
        <v>2988224.2854299997</v>
      </c>
      <c r="P69" s="281">
        <v>1135525.22</v>
      </c>
      <c r="Q69" s="243">
        <v>567762.61</v>
      </c>
      <c r="R69" s="314">
        <v>0.5</v>
      </c>
      <c r="S69" s="243"/>
      <c r="T69" s="244"/>
    </row>
    <row r="70" spans="1:20" x14ac:dyDescent="0.25">
      <c r="A70" s="26" t="s">
        <v>28</v>
      </c>
      <c r="B70" s="29" t="s">
        <v>171</v>
      </c>
      <c r="C70" s="62" t="s">
        <v>31</v>
      </c>
      <c r="D70" s="62" t="s">
        <v>30</v>
      </c>
      <c r="E70" s="62" t="s">
        <v>161</v>
      </c>
      <c r="F70" s="261" t="s">
        <v>37</v>
      </c>
      <c r="G70" s="312">
        <v>349728</v>
      </c>
      <c r="H70" s="312">
        <v>294588</v>
      </c>
      <c r="I70" s="237">
        <v>38.880499999999998</v>
      </c>
      <c r="J70" s="237">
        <v>43.191800000000001</v>
      </c>
      <c r="K70" s="312"/>
      <c r="L70" s="312"/>
      <c r="M70" s="312"/>
      <c r="N70" s="312"/>
      <c r="O70" s="245">
        <v>26321385.4824</v>
      </c>
      <c r="P70" s="281">
        <v>10528554.189999999</v>
      </c>
      <c r="Q70" s="243">
        <v>5264277.0999999996</v>
      </c>
      <c r="R70" s="244">
        <v>0.5</v>
      </c>
      <c r="S70" s="243"/>
      <c r="T70" s="244"/>
    </row>
    <row r="71" spans="1:20" x14ac:dyDescent="0.25">
      <c r="A71" s="26" t="s">
        <v>28</v>
      </c>
      <c r="B71" s="29" t="s">
        <v>172</v>
      </c>
      <c r="C71" s="62" t="s">
        <v>31</v>
      </c>
      <c r="D71" s="62" t="s">
        <v>30</v>
      </c>
      <c r="E71" s="62" t="s">
        <v>161</v>
      </c>
      <c r="F71" s="261" t="s">
        <v>56</v>
      </c>
      <c r="G71" s="312">
        <v>5900745.3300000001</v>
      </c>
      <c r="H71" s="312">
        <v>4602034.66</v>
      </c>
      <c r="I71" s="237">
        <v>2.1269999999999998</v>
      </c>
      <c r="J71" s="237">
        <v>1.224</v>
      </c>
      <c r="K71" s="312"/>
      <c r="L71" s="312"/>
      <c r="M71" s="312"/>
      <c r="N71" s="312"/>
      <c r="O71" s="245">
        <v>18183775.74075</v>
      </c>
      <c r="P71" s="281">
        <v>6909834.7799999993</v>
      </c>
      <c r="Q71" s="243">
        <v>3454917.39</v>
      </c>
      <c r="R71" s="244">
        <v>0.5</v>
      </c>
      <c r="S71" s="243"/>
      <c r="T71" s="244"/>
    </row>
    <row r="72" spans="1:20" x14ac:dyDescent="0.25">
      <c r="A72" s="26" t="s">
        <v>28</v>
      </c>
      <c r="B72" s="32" t="s">
        <v>177</v>
      </c>
      <c r="C72" s="62" t="s">
        <v>31</v>
      </c>
      <c r="D72" s="62" t="s">
        <v>30</v>
      </c>
      <c r="E72" s="62" t="s">
        <v>161</v>
      </c>
      <c r="F72" s="261" t="s">
        <v>56</v>
      </c>
      <c r="G72" s="312">
        <v>240670.29</v>
      </c>
      <c r="H72" s="312">
        <v>195016.11</v>
      </c>
      <c r="I72" s="237">
        <v>1.9268000000000001</v>
      </c>
      <c r="J72" s="237">
        <v>1.9268000000000001</v>
      </c>
      <c r="K72" s="236"/>
      <c r="L72" s="312"/>
      <c r="M72" s="312"/>
      <c r="N72" s="236"/>
      <c r="O72" s="245">
        <v>839480.55551999994</v>
      </c>
      <c r="P72" s="281">
        <v>312622.56</v>
      </c>
      <c r="Q72" s="243">
        <v>156311.28</v>
      </c>
      <c r="R72" s="244">
        <v>0.5</v>
      </c>
      <c r="S72" s="243"/>
      <c r="T72" s="286"/>
    </row>
    <row r="73" spans="1:20" s="307" customFormat="1" x14ac:dyDescent="0.25">
      <c r="A73" s="26" t="s">
        <v>28</v>
      </c>
      <c r="B73" s="32" t="s">
        <v>179</v>
      </c>
      <c r="C73" s="62" t="s">
        <v>31</v>
      </c>
      <c r="D73" s="62" t="s">
        <v>30</v>
      </c>
      <c r="E73" s="62" t="s">
        <v>161</v>
      </c>
      <c r="F73" s="261" t="s">
        <v>37</v>
      </c>
      <c r="G73" s="312">
        <v>168378</v>
      </c>
      <c r="H73" s="312">
        <v>151963</v>
      </c>
      <c r="I73" s="237">
        <v>35.201500000000003</v>
      </c>
      <c r="J73" s="237">
        <v>39.462699999999998</v>
      </c>
      <c r="K73" s="236"/>
      <c r="L73" s="312"/>
      <c r="M73" s="312"/>
      <c r="N73" s="236"/>
      <c r="O73" s="245">
        <v>11924028.4471</v>
      </c>
      <c r="P73" s="281">
        <v>725559.703155</v>
      </c>
      <c r="Q73" s="243">
        <v>362779.85</v>
      </c>
      <c r="R73" s="244">
        <v>0.5</v>
      </c>
      <c r="S73" s="243"/>
      <c r="T73" s="286"/>
    </row>
    <row r="74" spans="1:20" s="307" customFormat="1" x14ac:dyDescent="0.25">
      <c r="A74" s="26" t="s">
        <v>28</v>
      </c>
      <c r="B74" s="302" t="s">
        <v>180</v>
      </c>
      <c r="C74" s="62" t="s">
        <v>31</v>
      </c>
      <c r="D74" s="62" t="s">
        <v>30</v>
      </c>
      <c r="E74" s="62" t="s">
        <v>161</v>
      </c>
      <c r="F74" s="261" t="s">
        <v>56</v>
      </c>
      <c r="G74" s="312">
        <v>2737950.96</v>
      </c>
      <c r="H74" s="312">
        <v>2503525.09</v>
      </c>
      <c r="I74" s="237">
        <v>7.9260000000000002</v>
      </c>
      <c r="J74" s="237">
        <v>7.9260000000000002</v>
      </c>
      <c r="K74" s="472"/>
      <c r="L74" s="312"/>
      <c r="M74" s="312"/>
      <c r="N74" s="236"/>
      <c r="O74" s="245">
        <v>41543939.172299996</v>
      </c>
      <c r="P74" s="281">
        <v>3868483.9605069999</v>
      </c>
      <c r="Q74" s="243">
        <v>1934241.98</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18843505.290617</v>
      </c>
      <c r="P75" s="213">
        <v>1642378.6615519996</v>
      </c>
      <c r="Q75" s="213">
        <v>821189.32999999984</v>
      </c>
      <c r="R75" s="160"/>
      <c r="S75" s="201"/>
      <c r="T75" s="160"/>
    </row>
    <row r="76" spans="1:20" x14ac:dyDescent="0.25">
      <c r="A76" s="34"/>
      <c r="B76" s="165" t="s">
        <v>108</v>
      </c>
      <c r="C76" s="35" t="s">
        <v>349</v>
      </c>
      <c r="D76" s="22"/>
      <c r="E76" s="22"/>
      <c r="F76" s="297"/>
      <c r="G76" s="282">
        <v>6141415.6200000001</v>
      </c>
      <c r="H76" s="282">
        <v>4797050.7700000005</v>
      </c>
      <c r="I76" s="356"/>
      <c r="J76" s="282"/>
      <c r="K76" s="294"/>
      <c r="L76" s="287"/>
      <c r="M76" s="353"/>
      <c r="N76" s="219"/>
      <c r="O76" s="219">
        <v>210331030.14995903</v>
      </c>
      <c r="P76" s="219">
        <v>58522282.865213998</v>
      </c>
      <c r="Q76" s="219">
        <v>29261141.440000001</v>
      </c>
      <c r="R76" s="199"/>
      <c r="S76" s="207"/>
      <c r="T76" s="160"/>
    </row>
    <row r="77" spans="1:20" x14ac:dyDescent="0.25">
      <c r="A77" s="157"/>
      <c r="B77" s="158"/>
      <c r="C77" s="35" t="s">
        <v>350</v>
      </c>
      <c r="D77" s="114"/>
      <c r="E77" s="114"/>
      <c r="F77" s="297"/>
      <c r="G77" s="283">
        <v>2.119154546274137</v>
      </c>
      <c r="H77" s="283">
        <v>1.2525711635501411</v>
      </c>
      <c r="I77" s="357"/>
      <c r="J77" s="282"/>
      <c r="K77" s="295"/>
      <c r="L77" s="288"/>
      <c r="M77" s="478"/>
      <c r="N77" s="479"/>
      <c r="O77" s="479"/>
      <c r="P77" s="209"/>
      <c r="Q77" s="627">
        <v>108529573.60096</v>
      </c>
      <c r="R77" s="198"/>
      <c r="S77" s="207"/>
      <c r="T77" s="160"/>
    </row>
    <row r="78" spans="1:20" x14ac:dyDescent="0.25">
      <c r="A78" s="10" t="s">
        <v>55</v>
      </c>
      <c r="B78" s="308"/>
      <c r="C78" s="308"/>
      <c r="D78" s="308"/>
      <c r="E78" s="308"/>
      <c r="F78" s="298"/>
      <c r="G78" s="284">
        <v>13014608.831681998</v>
      </c>
      <c r="H78" s="637"/>
      <c r="I78" s="282">
        <v>13014608.831681998</v>
      </c>
      <c r="J78" s="282">
        <v>19023256.296269998</v>
      </c>
      <c r="K78" s="358">
        <v>-6008647.4645879995</v>
      </c>
      <c r="L78" s="359"/>
      <c r="M78" s="311">
        <v>0</v>
      </c>
      <c r="N78" s="311">
        <v>31205.045199999993</v>
      </c>
      <c r="O78" s="311">
        <v>276931300.97475904</v>
      </c>
      <c r="P78" s="372">
        <v>41672451.830000006</v>
      </c>
      <c r="Q78" s="211">
        <v>154563123.98096001</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G80" s="307"/>
      <c r="H80" s="99" t="s">
        <v>77</v>
      </c>
      <c r="I80" s="307"/>
      <c r="J80" s="72"/>
      <c r="K80" s="72"/>
      <c r="L80" s="6"/>
      <c r="M80" s="6"/>
      <c r="N80" s="220"/>
      <c r="O80" s="360"/>
      <c r="P80" s="361"/>
      <c r="Q80" s="220"/>
      <c r="R80" s="6"/>
      <c r="S80" s="285"/>
      <c r="T80" s="6"/>
    </row>
    <row r="81" spans="1:20" x14ac:dyDescent="0.25">
      <c r="A81" s="6"/>
      <c r="B81" s="126" t="s">
        <v>78</v>
      </c>
      <c r="C81" s="127" t="s">
        <v>79</v>
      </c>
      <c r="D81" s="128"/>
      <c r="E81" s="129" t="s">
        <v>35</v>
      </c>
      <c r="F81" s="129" t="s">
        <v>80</v>
      </c>
      <c r="G81" s="307"/>
      <c r="H81" s="100" t="s">
        <v>35</v>
      </c>
      <c r="I81" s="308"/>
      <c r="J81" s="308"/>
      <c r="K81" s="308"/>
      <c r="L81" s="101"/>
      <c r="M81" s="6"/>
      <c r="N81" s="451"/>
      <c r="O81" s="635"/>
      <c r="P81" s="401"/>
      <c r="Q81" s="346"/>
      <c r="R81" s="6"/>
      <c r="S81" s="6"/>
      <c r="T81" s="6"/>
    </row>
    <row r="82" spans="1:20" x14ac:dyDescent="0.25">
      <c r="A82" s="7"/>
      <c r="B82" s="102" t="s">
        <v>81</v>
      </c>
      <c r="C82" s="103" t="s">
        <v>82</v>
      </c>
      <c r="D82" s="104"/>
      <c r="E82" s="605">
        <v>58.698799999999999</v>
      </c>
      <c r="F82" s="105">
        <v>63.579300000000003</v>
      </c>
      <c r="G82" s="307"/>
      <c r="H82" s="106" t="s">
        <v>383</v>
      </c>
      <c r="I82" s="6"/>
      <c r="J82" s="6"/>
      <c r="K82" s="6"/>
      <c r="L82" s="107"/>
      <c r="M82" s="393">
        <v>6.2200000337121024E-2</v>
      </c>
      <c r="N82" s="393">
        <v>6.4199999463479832E-2</v>
      </c>
      <c r="O82" s="401"/>
      <c r="P82" s="636"/>
      <c r="Q82" s="6"/>
      <c r="R82" s="6"/>
      <c r="S82" s="6"/>
      <c r="T82" s="6"/>
    </row>
    <row r="83" spans="1:20" x14ac:dyDescent="0.25">
      <c r="A83" s="6"/>
      <c r="B83" s="108" t="s">
        <v>83</v>
      </c>
      <c r="C83" s="109" t="s">
        <v>84</v>
      </c>
      <c r="D83" s="110"/>
      <c r="E83" s="604">
        <v>38.963900000000002</v>
      </c>
      <c r="F83" s="112">
        <v>39.1267</v>
      </c>
      <c r="G83" s="307"/>
      <c r="H83" s="113">
        <v>46.758569499520007</v>
      </c>
      <c r="I83" s="114"/>
      <c r="J83" s="114"/>
      <c r="K83" s="114"/>
      <c r="L83" s="115"/>
      <c r="M83" s="393">
        <v>9.4199999857272176E-2</v>
      </c>
      <c r="N83" s="393">
        <v>9.8900000237297003E-2</v>
      </c>
      <c r="O83" s="622"/>
      <c r="P83" s="636"/>
      <c r="Q83" s="6"/>
      <c r="R83" s="6"/>
      <c r="S83" s="6"/>
      <c r="T83" s="6"/>
    </row>
    <row r="84" spans="1:20" x14ac:dyDescent="0.25">
      <c r="A84" s="6"/>
      <c r="B84" s="108" t="s">
        <v>85</v>
      </c>
      <c r="C84" s="109" t="s">
        <v>86</v>
      </c>
      <c r="D84" s="110"/>
      <c r="E84" s="111">
        <v>7.1769999999999996</v>
      </c>
      <c r="F84" s="111">
        <v>7.1769999999999996</v>
      </c>
      <c r="G84" s="6"/>
      <c r="H84" s="307"/>
      <c r="I84" s="116"/>
      <c r="J84" s="6"/>
      <c r="K84" s="6"/>
      <c r="L84" s="6"/>
      <c r="M84" s="393">
        <v>0.39999999969547706</v>
      </c>
      <c r="N84" s="393">
        <v>0.39999999979093542</v>
      </c>
      <c r="O84" s="360"/>
      <c r="P84" s="360"/>
      <c r="Q84" s="6"/>
      <c r="R84" s="6"/>
      <c r="S84" s="6"/>
      <c r="T84" s="6"/>
    </row>
    <row r="85" spans="1:20" x14ac:dyDescent="0.25">
      <c r="A85" s="6"/>
      <c r="B85" s="108" t="s">
        <v>87</v>
      </c>
      <c r="C85" s="109" t="s">
        <v>88</v>
      </c>
      <c r="D85" s="110"/>
      <c r="E85" s="117">
        <v>0.64800000000000002</v>
      </c>
      <c r="F85" s="117">
        <v>0.67300000000000004</v>
      </c>
      <c r="G85" s="6"/>
      <c r="H85" s="100" t="s">
        <v>80</v>
      </c>
      <c r="I85" s="118"/>
      <c r="J85" s="308"/>
      <c r="K85" s="308"/>
      <c r="L85" s="101"/>
      <c r="M85" s="393">
        <v>0.38000000287019686</v>
      </c>
      <c r="N85" s="393"/>
      <c r="O85" s="360"/>
      <c r="P85" s="360"/>
      <c r="Q85" s="6"/>
      <c r="R85" s="6"/>
      <c r="S85" s="6"/>
      <c r="T85" s="6"/>
    </row>
    <row r="86" spans="1:20" x14ac:dyDescent="0.25">
      <c r="A86" s="6"/>
      <c r="B86" s="108" t="s">
        <v>89</v>
      </c>
      <c r="C86" s="109" t="s">
        <v>90</v>
      </c>
      <c r="D86" s="110"/>
      <c r="E86" s="119"/>
      <c r="F86" s="112"/>
      <c r="G86" s="6"/>
      <c r="H86" s="106" t="s">
        <v>384</v>
      </c>
      <c r="I86" s="116"/>
      <c r="J86" s="6"/>
      <c r="K86" s="6"/>
      <c r="L86" s="107"/>
      <c r="M86" s="7"/>
      <c r="N86" s="473"/>
      <c r="O86" s="403"/>
      <c r="P86" s="6"/>
      <c r="Q86" s="6"/>
      <c r="R86" s="6"/>
      <c r="S86" s="6"/>
      <c r="T86" s="6"/>
    </row>
    <row r="87" spans="1:20" x14ac:dyDescent="0.25">
      <c r="A87" s="6"/>
      <c r="B87" s="120" t="s">
        <v>91</v>
      </c>
      <c r="C87" s="121" t="s">
        <v>92</v>
      </c>
      <c r="D87" s="122"/>
      <c r="E87" s="123">
        <v>0</v>
      </c>
      <c r="F87" s="123">
        <v>0</v>
      </c>
      <c r="G87" s="6"/>
      <c r="H87" s="113">
        <v>50.213494680220002</v>
      </c>
      <c r="I87" s="124"/>
      <c r="J87" s="114"/>
      <c r="K87" s="114"/>
      <c r="L87" s="115"/>
      <c r="M87" s="403"/>
      <c r="N87" s="403"/>
      <c r="O87" s="403"/>
      <c r="P87" s="6"/>
      <c r="Q87" s="6"/>
      <c r="R87" s="6"/>
      <c r="S87" s="6"/>
      <c r="T87" s="6"/>
    </row>
    <row r="88" spans="1:20" x14ac:dyDescent="0.25">
      <c r="A88" s="5"/>
      <c r="B88" s="307"/>
      <c r="C88" s="4"/>
      <c r="D88" s="4"/>
      <c r="E88" s="307"/>
      <c r="F88" s="307"/>
      <c r="G88" s="307"/>
      <c r="H88" s="190"/>
      <c r="I88" s="307"/>
      <c r="J88" s="307"/>
      <c r="K88" s="307"/>
      <c r="L88" s="307"/>
      <c r="M88" s="406"/>
      <c r="N88" s="406"/>
      <c r="O88" s="406"/>
      <c r="P88" s="307"/>
      <c r="Q88" s="307"/>
      <c r="R88" s="307"/>
      <c r="S88" s="307"/>
      <c r="T88" s="307"/>
    </row>
    <row r="89" spans="1:20" x14ac:dyDescent="0.25">
      <c r="A89" s="307"/>
      <c r="B89" s="307"/>
      <c r="C89" s="307"/>
      <c r="D89" s="307"/>
      <c r="E89" s="307"/>
      <c r="F89" s="307"/>
      <c r="G89" s="307"/>
      <c r="H89" s="307"/>
      <c r="I89" s="307"/>
      <c r="J89" s="307"/>
      <c r="K89" s="307"/>
      <c r="L89" s="307"/>
      <c r="M89" s="307"/>
      <c r="N89" s="307"/>
      <c r="O89" s="307"/>
      <c r="P89" s="307"/>
      <c r="Q89" s="307"/>
      <c r="R89" s="307"/>
      <c r="S89" s="307"/>
      <c r="T89" s="307"/>
    </row>
  </sheetData>
  <mergeCells count="2">
    <mergeCell ref="O7:O8"/>
    <mergeCell ref="C7:C8"/>
  </mergeCells>
  <phoneticPr fontId="0" type="noConversion"/>
  <printOptions horizontalCentered="1" verticalCentered="1"/>
  <pageMargins left="0.25" right="0.25" top="0.5" bottom="0.5" header="0" footer="0"/>
  <pageSetup paperSize="9" scale="47"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pageSetUpPr fitToPage="1"/>
  </sheetPr>
  <dimension ref="A1:T89"/>
  <sheetViews>
    <sheetView view="pageBreakPreview" topLeftCell="A75" zoomScaleNormal="100" zoomScaleSheetLayoutView="100" workbookViewId="0">
      <selection activeCell="A90" sqref="A90:XFD255"/>
    </sheetView>
  </sheetViews>
  <sheetFormatPr baseColWidth="10" defaultColWidth="8.90625" defaultRowHeight="13.2" x14ac:dyDescent="0.25"/>
  <cols>
    <col min="1" max="1" width="3" style="1" customWidth="1"/>
    <col min="2" max="2" width="12.81640625" style="1" customWidth="1"/>
    <col min="3" max="3" width="7.6328125" style="1" customWidth="1"/>
    <col min="4" max="4" width="8.90625" style="1" customWidth="1"/>
    <col min="5" max="5" width="11.08984375" style="1" customWidth="1"/>
    <col min="6" max="6" width="9.81640625" style="1" customWidth="1"/>
    <col min="7" max="11" width="10.453125" style="1" customWidth="1"/>
    <col min="12" max="14" width="11" style="1" customWidth="1"/>
    <col min="15" max="15" width="12.453125" style="1" customWidth="1"/>
    <col min="16" max="17" width="11.54296875" style="1" customWidth="1"/>
    <col min="18" max="18" width="5.6328125" style="1" customWidth="1"/>
    <col min="19" max="19" width="11.54296875" style="1" customWidth="1"/>
    <col min="20" max="20" width="5.6328125" style="1" customWidth="1"/>
    <col min="21" max="16384" width="8.90625" style="1"/>
  </cols>
  <sheetData>
    <row r="1" spans="1:20" x14ac:dyDescent="0.25">
      <c r="A1" s="4" t="s">
        <v>51</v>
      </c>
      <c r="C1" s="3"/>
      <c r="D1" s="3"/>
      <c r="E1" s="9">
        <v>44256</v>
      </c>
      <c r="F1" s="300">
        <v>3.7050000000000001</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377</v>
      </c>
      <c r="B4" s="143"/>
      <c r="C4" s="143"/>
      <c r="D4" s="143"/>
      <c r="E4" s="143"/>
      <c r="F4" s="143"/>
      <c r="G4" s="143"/>
      <c r="H4" s="143"/>
      <c r="I4" s="143"/>
      <c r="J4" s="143"/>
      <c r="K4" s="143"/>
      <c r="L4" s="143"/>
      <c r="M4" s="143"/>
      <c r="N4" s="143"/>
      <c r="O4" s="143"/>
      <c r="P4" s="143"/>
      <c r="Q4" s="143"/>
      <c r="R4" s="143"/>
      <c r="S4" s="143"/>
      <c r="T4" s="143"/>
    </row>
    <row r="5" spans="1:20" x14ac:dyDescent="0.25">
      <c r="A5" s="143" t="s">
        <v>378</v>
      </c>
      <c r="B5" s="143"/>
      <c r="C5" s="143"/>
      <c r="D5" s="143"/>
      <c r="E5" s="143"/>
      <c r="F5" s="143"/>
      <c r="G5" s="143"/>
      <c r="H5" s="143"/>
      <c r="I5" s="143"/>
      <c r="J5" s="143"/>
      <c r="K5" s="143"/>
      <c r="L5" s="143"/>
      <c r="M5" s="143"/>
      <c r="N5" s="143"/>
      <c r="O5" s="143"/>
      <c r="P5" s="143"/>
      <c r="Q5" s="143"/>
      <c r="R5" s="143"/>
      <c r="S5" s="143"/>
      <c r="T5" s="143"/>
    </row>
    <row r="6" spans="1:20" x14ac:dyDescent="0.25">
      <c r="A6" s="143"/>
      <c r="B6" s="143"/>
      <c r="C6" s="143"/>
      <c r="D6" s="143"/>
      <c r="E6" s="143"/>
      <c r="F6" s="143"/>
      <c r="G6" s="143"/>
      <c r="H6" s="143"/>
      <c r="I6" s="143"/>
      <c r="J6" s="74"/>
      <c r="N6" s="74"/>
      <c r="O6" s="74"/>
      <c r="P6" s="74"/>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16073</v>
      </c>
      <c r="I10" s="237"/>
      <c r="J10" s="237">
        <v>63.624099999999999</v>
      </c>
      <c r="K10" s="312"/>
      <c r="L10" s="312"/>
      <c r="M10" s="312"/>
      <c r="N10" s="236">
        <v>265.77170000000001</v>
      </c>
      <c r="O10" s="236">
        <v>1022364.3883</v>
      </c>
      <c r="P10" s="243">
        <v>191693.32</v>
      </c>
      <c r="Q10" s="243">
        <v>153354.66</v>
      </c>
      <c r="R10" s="244">
        <v>0.15</v>
      </c>
      <c r="S10" s="243">
        <v>38338.660000000003</v>
      </c>
      <c r="T10" s="286">
        <v>3.7499999999999999E-2</v>
      </c>
    </row>
    <row r="11" spans="1:20" x14ac:dyDescent="0.25">
      <c r="A11" s="26" t="s">
        <v>28</v>
      </c>
      <c r="B11" s="27" t="s">
        <v>14</v>
      </c>
      <c r="C11" s="62" t="s">
        <v>29</v>
      </c>
      <c r="D11" s="28" t="s">
        <v>21</v>
      </c>
      <c r="E11" s="62" t="s">
        <v>98</v>
      </c>
      <c r="F11" s="260" t="s">
        <v>56</v>
      </c>
      <c r="G11" s="312"/>
      <c r="H11" s="236">
        <v>131085.16</v>
      </c>
      <c r="I11" s="237"/>
      <c r="J11" s="237">
        <v>3.1554000000000002</v>
      </c>
      <c r="K11" s="312"/>
      <c r="L11" s="312"/>
      <c r="M11" s="312"/>
      <c r="N11" s="236">
        <v>747.48270000000002</v>
      </c>
      <c r="O11" s="236">
        <v>412878.62729999999</v>
      </c>
      <c r="P11" s="243">
        <v>77414.740000000005</v>
      </c>
      <c r="Q11" s="243">
        <v>61931.79</v>
      </c>
      <c r="R11" s="244">
        <v>0.15</v>
      </c>
      <c r="S11" s="243">
        <v>15482.95</v>
      </c>
      <c r="T11" s="286">
        <v>3.7499999999999999E-2</v>
      </c>
    </row>
    <row r="12" spans="1:20" s="307" customFormat="1"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5414</v>
      </c>
      <c r="H13" s="236">
        <v>6381</v>
      </c>
      <c r="I13" s="238">
        <v>66.417400000000001</v>
      </c>
      <c r="J13" s="237">
        <v>63.5</v>
      </c>
      <c r="K13" s="312"/>
      <c r="L13" s="312"/>
      <c r="M13" s="312"/>
      <c r="N13" s="236">
        <v>689.34540000000004</v>
      </c>
      <c r="O13" s="236">
        <v>764087.95460000006</v>
      </c>
      <c r="P13" s="243">
        <v>143266.49</v>
      </c>
      <c r="Q13" s="243">
        <v>114613.19</v>
      </c>
      <c r="R13" s="244">
        <v>0.15</v>
      </c>
      <c r="S13" s="243">
        <v>28653.3</v>
      </c>
      <c r="T13" s="286">
        <v>3.7499999999999999E-2</v>
      </c>
    </row>
    <row r="14" spans="1:20" x14ac:dyDescent="0.25">
      <c r="A14" s="267" t="s">
        <v>28</v>
      </c>
      <c r="B14" s="271" t="s">
        <v>176</v>
      </c>
      <c r="C14" s="260" t="s">
        <v>29</v>
      </c>
      <c r="D14" s="268" t="s">
        <v>21</v>
      </c>
      <c r="E14" s="260" t="s">
        <v>98</v>
      </c>
      <c r="F14" s="260" t="s">
        <v>56</v>
      </c>
      <c r="G14" s="236">
        <v>16979.240000000002</v>
      </c>
      <c r="H14" s="236">
        <v>17271.12</v>
      </c>
      <c r="I14" s="238">
        <v>2.6775000000000002</v>
      </c>
      <c r="J14" s="237">
        <v>2.6775000000000002</v>
      </c>
      <c r="K14" s="312"/>
      <c r="L14" s="312"/>
      <c r="M14" s="312"/>
      <c r="N14" s="236">
        <v>735.02660000000003</v>
      </c>
      <c r="O14" s="236">
        <v>90970.313399999999</v>
      </c>
      <c r="P14" s="243">
        <v>17056.93</v>
      </c>
      <c r="Q14" s="243">
        <v>13645.54</v>
      </c>
      <c r="R14" s="244">
        <v>0.15</v>
      </c>
      <c r="S14" s="243">
        <v>3411.3899999999994</v>
      </c>
      <c r="T14" s="286">
        <v>3.7499999999999999E-2</v>
      </c>
    </row>
    <row r="15" spans="1:20" x14ac:dyDescent="0.25">
      <c r="A15" s="26" t="s">
        <v>28</v>
      </c>
      <c r="B15" s="27" t="s">
        <v>4</v>
      </c>
      <c r="C15" s="62" t="s">
        <v>31</v>
      </c>
      <c r="D15" s="28" t="s">
        <v>30</v>
      </c>
      <c r="E15" s="62" t="s">
        <v>101</v>
      </c>
      <c r="F15" s="260" t="s">
        <v>37</v>
      </c>
      <c r="G15" s="236">
        <v>8572</v>
      </c>
      <c r="H15" s="236">
        <v>9405</v>
      </c>
      <c r="I15" s="237">
        <v>65.059899999999999</v>
      </c>
      <c r="J15" s="237">
        <v>62.308100000000003</v>
      </c>
      <c r="K15" s="312"/>
      <c r="L15" s="312"/>
      <c r="M15" s="312"/>
      <c r="N15" s="236">
        <v>490.01600000000002</v>
      </c>
      <c r="O15" s="236">
        <v>1143211.1240000001</v>
      </c>
      <c r="P15" s="243">
        <v>214352.09</v>
      </c>
      <c r="Q15" s="243">
        <v>171481.67</v>
      </c>
      <c r="R15" s="244">
        <v>0.15</v>
      </c>
      <c r="S15" s="243">
        <v>42870.42</v>
      </c>
      <c r="T15" s="286">
        <v>3.7499999999999999E-2</v>
      </c>
    </row>
    <row r="16" spans="1:20" x14ac:dyDescent="0.25">
      <c r="A16" s="26" t="s">
        <v>28</v>
      </c>
      <c r="B16" s="27" t="s">
        <v>5</v>
      </c>
      <c r="C16" s="62" t="s">
        <v>31</v>
      </c>
      <c r="D16" s="28" t="s">
        <v>30</v>
      </c>
      <c r="E16" s="62" t="s">
        <v>101</v>
      </c>
      <c r="F16" s="260" t="s">
        <v>37</v>
      </c>
      <c r="G16" s="236">
        <v>24779</v>
      </c>
      <c r="H16" s="236">
        <v>27543</v>
      </c>
      <c r="I16" s="237">
        <v>65.059899999999999</v>
      </c>
      <c r="J16" s="237">
        <v>62.308100000000003</v>
      </c>
      <c r="K16" s="312"/>
      <c r="L16" s="312"/>
      <c r="M16" s="312"/>
      <c r="N16" s="236">
        <v>1266.57</v>
      </c>
      <c r="O16" s="236">
        <v>3327004.69</v>
      </c>
      <c r="P16" s="243">
        <v>623813.38</v>
      </c>
      <c r="Q16" s="243">
        <v>499050.7</v>
      </c>
      <c r="R16" s="244">
        <v>0.15</v>
      </c>
      <c r="S16" s="243">
        <v>124762.68</v>
      </c>
      <c r="T16" s="286">
        <v>3.7499999999999999E-2</v>
      </c>
    </row>
    <row r="17" spans="1:20" s="307" customFormat="1" x14ac:dyDescent="0.25">
      <c r="A17" s="26" t="s">
        <v>28</v>
      </c>
      <c r="B17" s="27" t="s">
        <v>331</v>
      </c>
      <c r="C17" s="62" t="s">
        <v>31</v>
      </c>
      <c r="D17" s="28" t="s">
        <v>30</v>
      </c>
      <c r="E17" s="62" t="s">
        <v>101</v>
      </c>
      <c r="F17" s="260" t="s">
        <v>37</v>
      </c>
      <c r="G17" s="236">
        <v>7530.95</v>
      </c>
      <c r="H17" s="236">
        <v>5943.9</v>
      </c>
      <c r="I17" s="237">
        <v>5.2904</v>
      </c>
      <c r="J17" s="237">
        <v>5.2904</v>
      </c>
      <c r="K17" s="312"/>
      <c r="L17" s="312"/>
      <c r="M17" s="312"/>
      <c r="N17" s="236"/>
      <c r="O17" s="236">
        <v>71287.350000000006</v>
      </c>
      <c r="P17" s="243">
        <v>13366.38</v>
      </c>
      <c r="Q17" s="243">
        <v>10693.1</v>
      </c>
      <c r="R17" s="244">
        <v>0.15</v>
      </c>
      <c r="S17" s="243">
        <v>2673.28</v>
      </c>
      <c r="T17" s="286">
        <v>3.7499999999999999E-2</v>
      </c>
    </row>
    <row r="18" spans="1:20" x14ac:dyDescent="0.25">
      <c r="A18" s="26" t="s">
        <v>28</v>
      </c>
      <c r="B18" s="27" t="s">
        <v>17</v>
      </c>
      <c r="C18" s="62" t="s">
        <v>29</v>
      </c>
      <c r="D18" s="28" t="s">
        <v>21</v>
      </c>
      <c r="E18" s="62" t="s">
        <v>98</v>
      </c>
      <c r="F18" s="260" t="s">
        <v>37</v>
      </c>
      <c r="G18" s="312"/>
      <c r="H18" s="236">
        <v>2141</v>
      </c>
      <c r="I18" s="237"/>
      <c r="J18" s="237">
        <v>63.624099999999999</v>
      </c>
      <c r="K18" s="312"/>
      <c r="L18" s="312"/>
      <c r="M18" s="312"/>
      <c r="N18" s="236">
        <v>581.37570000000005</v>
      </c>
      <c r="O18" s="245">
        <v>135637.82430000001</v>
      </c>
      <c r="P18" s="243">
        <v>25432.09</v>
      </c>
      <c r="Q18" s="243">
        <v>20345.669999999998</v>
      </c>
      <c r="R18" s="244">
        <v>0.15</v>
      </c>
      <c r="S18" s="243">
        <v>5086.42</v>
      </c>
      <c r="T18" s="286">
        <v>3.7499999999999999E-2</v>
      </c>
    </row>
    <row r="19" spans="1:20" x14ac:dyDescent="0.25">
      <c r="A19" s="26" t="s">
        <v>28</v>
      </c>
      <c r="B19" s="27" t="s">
        <v>6</v>
      </c>
      <c r="C19" s="62" t="s">
        <v>31</v>
      </c>
      <c r="D19" s="28" t="s">
        <v>30</v>
      </c>
      <c r="E19" s="62" t="s">
        <v>101</v>
      </c>
      <c r="F19" s="260" t="s">
        <v>37</v>
      </c>
      <c r="G19" s="236">
        <v>46792</v>
      </c>
      <c r="H19" s="236">
        <v>59753</v>
      </c>
      <c r="I19" s="237">
        <v>64.509900000000002</v>
      </c>
      <c r="J19" s="237">
        <v>61.758099999999999</v>
      </c>
      <c r="K19" s="312"/>
      <c r="L19" s="312"/>
      <c r="M19" s="312"/>
      <c r="N19" s="236">
        <v>3529.7845000000002</v>
      </c>
      <c r="O19" s="245">
        <v>6705249.2055000002</v>
      </c>
      <c r="P19" s="243">
        <v>1257234.23</v>
      </c>
      <c r="Q19" s="243">
        <v>1005787.38</v>
      </c>
      <c r="R19" s="244">
        <v>0.15</v>
      </c>
      <c r="S19" s="243">
        <v>251446.85</v>
      </c>
      <c r="T19" s="286">
        <v>3.7499999999999999E-2</v>
      </c>
    </row>
    <row r="20" spans="1:20" x14ac:dyDescent="0.25">
      <c r="A20" s="26" t="s">
        <v>28</v>
      </c>
      <c r="B20" s="29" t="s">
        <v>158</v>
      </c>
      <c r="C20" s="62" t="s">
        <v>29</v>
      </c>
      <c r="D20" s="28" t="s">
        <v>21</v>
      </c>
      <c r="E20" s="62" t="s">
        <v>98</v>
      </c>
      <c r="F20" s="260" t="s">
        <v>37</v>
      </c>
      <c r="G20" s="312"/>
      <c r="H20" s="312"/>
      <c r="I20" s="237"/>
      <c r="J20" s="312"/>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28146.74</v>
      </c>
      <c r="H21" s="312">
        <v>62464.98</v>
      </c>
      <c r="I21" s="237">
        <v>2.2947000000000002</v>
      </c>
      <c r="J21" s="237">
        <v>2.2947000000000002</v>
      </c>
      <c r="K21" s="312"/>
      <c r="L21" s="312"/>
      <c r="M21" s="312"/>
      <c r="N21" s="312">
        <v>826.38369999999998</v>
      </c>
      <c r="O21" s="245">
        <v>207100.32630000002</v>
      </c>
      <c r="P21" s="243">
        <v>38831.31</v>
      </c>
      <c r="Q21" s="243">
        <v>31065.05</v>
      </c>
      <c r="R21" s="244">
        <v>0.15</v>
      </c>
      <c r="S21" s="243">
        <v>7766.26</v>
      </c>
      <c r="T21" s="286">
        <v>3.7499999999999999E-2</v>
      </c>
    </row>
    <row r="22" spans="1:20" x14ac:dyDescent="0.25">
      <c r="A22" s="26" t="s">
        <v>28</v>
      </c>
      <c r="B22" s="27" t="s">
        <v>18</v>
      </c>
      <c r="C22" s="62" t="s">
        <v>31</v>
      </c>
      <c r="D22" s="28" t="s">
        <v>30</v>
      </c>
      <c r="E22" s="62" t="s">
        <v>101</v>
      </c>
      <c r="F22" s="260" t="s">
        <v>37</v>
      </c>
      <c r="G22" s="312">
        <v>2048</v>
      </c>
      <c r="H22" s="312">
        <v>2724</v>
      </c>
      <c r="I22" s="238">
        <v>65.059899999999999</v>
      </c>
      <c r="J22" s="237">
        <v>62.308100000000003</v>
      </c>
      <c r="K22" s="312"/>
      <c r="L22" s="312"/>
      <c r="M22" s="312"/>
      <c r="N22" s="236">
        <v>286.53539999999998</v>
      </c>
      <c r="O22" s="245">
        <v>302683.40460000001</v>
      </c>
      <c r="P22" s="243">
        <v>56753.14</v>
      </c>
      <c r="Q22" s="243">
        <v>45402.51</v>
      </c>
      <c r="R22" s="244">
        <v>0.15</v>
      </c>
      <c r="S22" s="243">
        <v>11350.63</v>
      </c>
      <c r="T22" s="286">
        <v>3.7499999999999999E-2</v>
      </c>
    </row>
    <row r="23" spans="1:20" x14ac:dyDescent="0.25">
      <c r="A23" s="26" t="s">
        <v>28</v>
      </c>
      <c r="B23" s="29" t="s">
        <v>20</v>
      </c>
      <c r="C23" s="62" t="s">
        <v>31</v>
      </c>
      <c r="D23" s="28" t="s">
        <v>30</v>
      </c>
      <c r="E23" s="62" t="s">
        <v>101</v>
      </c>
      <c r="F23" s="260" t="s">
        <v>37</v>
      </c>
      <c r="G23" s="312">
        <v>175956</v>
      </c>
      <c r="H23" s="312">
        <v>189623</v>
      </c>
      <c r="I23" s="238">
        <v>65.059899999999999</v>
      </c>
      <c r="J23" s="237">
        <v>62.308100000000003</v>
      </c>
      <c r="K23" s="312"/>
      <c r="L23" s="312"/>
      <c r="M23" s="312"/>
      <c r="N23" s="236">
        <v>4418.4593000000004</v>
      </c>
      <c r="O23" s="245">
        <v>23258310.150699999</v>
      </c>
      <c r="P23" s="243">
        <v>4360933.1500000004</v>
      </c>
      <c r="Q23" s="243">
        <v>3488746.52</v>
      </c>
      <c r="R23" s="244">
        <v>0.15</v>
      </c>
      <c r="S23" s="243">
        <v>872186.63</v>
      </c>
      <c r="T23" s="286">
        <v>3.7499999999999999E-2</v>
      </c>
    </row>
    <row r="24" spans="1:20" x14ac:dyDescent="0.25">
      <c r="A24" s="26" t="s">
        <v>28</v>
      </c>
      <c r="B24" s="27" t="s">
        <v>8</v>
      </c>
      <c r="C24" s="62" t="s">
        <v>31</v>
      </c>
      <c r="D24" s="28" t="s">
        <v>21</v>
      </c>
      <c r="E24" s="62" t="s">
        <v>101</v>
      </c>
      <c r="F24" s="260" t="s">
        <v>56</v>
      </c>
      <c r="G24" s="312">
        <v>241216.4</v>
      </c>
      <c r="H24" s="236">
        <v>266786.43</v>
      </c>
      <c r="I24" s="238">
        <v>1.9261999999999999</v>
      </c>
      <c r="J24" s="237">
        <v>1.9261999999999999</v>
      </c>
      <c r="K24" s="312"/>
      <c r="L24" s="312"/>
      <c r="M24" s="312"/>
      <c r="N24" s="236">
        <v>872.06489999999997</v>
      </c>
      <c r="O24" s="245">
        <v>977642.98510000005</v>
      </c>
      <c r="P24" s="243">
        <v>183308.06</v>
      </c>
      <c r="Q24" s="243">
        <v>146646.45000000001</v>
      </c>
      <c r="R24" s="244">
        <v>0.15</v>
      </c>
      <c r="S24" s="243">
        <v>36661.61</v>
      </c>
      <c r="T24" s="286">
        <v>3.7499999999999999E-2</v>
      </c>
    </row>
    <row r="25" spans="1:20" x14ac:dyDescent="0.25">
      <c r="A25" s="26" t="s">
        <v>28</v>
      </c>
      <c r="B25" s="29" t="s">
        <v>57</v>
      </c>
      <c r="C25" s="62" t="s">
        <v>31</v>
      </c>
      <c r="D25" s="28" t="s">
        <v>21</v>
      </c>
      <c r="E25" s="62" t="s">
        <v>101</v>
      </c>
      <c r="F25" s="260" t="s">
        <v>37</v>
      </c>
      <c r="G25" s="312">
        <v>0</v>
      </c>
      <c r="H25" s="312">
        <v>0</v>
      </c>
      <c r="I25" s="237">
        <v>0</v>
      </c>
      <c r="J25" s="237">
        <v>0</v>
      </c>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337</v>
      </c>
      <c r="H26" s="312">
        <v>568</v>
      </c>
      <c r="I26" s="238">
        <v>65.712299999999999</v>
      </c>
      <c r="J26" s="237">
        <v>62.895800000000001</v>
      </c>
      <c r="K26" s="312"/>
      <c r="L26" s="312"/>
      <c r="M26" s="312"/>
      <c r="N26" s="312">
        <v>311.4529</v>
      </c>
      <c r="O26" s="245">
        <v>57558.407100000004</v>
      </c>
      <c r="P26" s="243">
        <v>10792.2</v>
      </c>
      <c r="Q26" s="243">
        <v>8633.76</v>
      </c>
      <c r="R26" s="244">
        <v>0.15</v>
      </c>
      <c r="S26" s="243">
        <v>2158.44</v>
      </c>
      <c r="T26" s="286">
        <v>3.7499999999999999E-2</v>
      </c>
    </row>
    <row r="27" spans="1:20" x14ac:dyDescent="0.25">
      <c r="A27" s="26" t="s">
        <v>28</v>
      </c>
      <c r="B27" s="29" t="s">
        <v>168</v>
      </c>
      <c r="C27" s="62" t="s">
        <v>31</v>
      </c>
      <c r="D27" s="28" t="s">
        <v>30</v>
      </c>
      <c r="E27" s="62" t="s">
        <v>101</v>
      </c>
      <c r="F27" s="260" t="s">
        <v>37</v>
      </c>
      <c r="G27" s="236">
        <v>12916</v>
      </c>
      <c r="H27" s="236">
        <v>20769</v>
      </c>
      <c r="I27" s="238">
        <v>63.0899</v>
      </c>
      <c r="J27" s="237">
        <v>60.338099999999997</v>
      </c>
      <c r="K27" s="312"/>
      <c r="L27" s="312"/>
      <c r="M27" s="312"/>
      <c r="N27" s="236">
        <v>2969.1723999999999</v>
      </c>
      <c r="O27" s="245">
        <v>2065061.9775999999</v>
      </c>
      <c r="P27" s="243">
        <v>387199.12</v>
      </c>
      <c r="Q27" s="243">
        <v>309759.3</v>
      </c>
      <c r="R27" s="244">
        <v>0.15</v>
      </c>
      <c r="S27" s="243">
        <v>77439.820000000007</v>
      </c>
      <c r="T27" s="286">
        <v>3.7499999999999999E-2</v>
      </c>
    </row>
    <row r="28" spans="1:20" s="307" customFormat="1"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x14ac:dyDescent="0.25">
      <c r="A29" s="26" t="s">
        <v>28</v>
      </c>
      <c r="B29" s="29" t="s">
        <v>326</v>
      </c>
      <c r="C29" s="62" t="s">
        <v>31</v>
      </c>
      <c r="D29" s="28" t="s">
        <v>30</v>
      </c>
      <c r="E29" s="62" t="s">
        <v>101</v>
      </c>
      <c r="F29" s="260" t="s">
        <v>56</v>
      </c>
      <c r="G29" s="236">
        <v>106077.33</v>
      </c>
      <c r="H29" s="312">
        <v>111369.86</v>
      </c>
      <c r="I29" s="237">
        <v>1.5</v>
      </c>
      <c r="J29" s="237">
        <v>1.5</v>
      </c>
      <c r="K29" s="312"/>
      <c r="L29" s="312"/>
      <c r="M29" s="312"/>
      <c r="N29" s="236">
        <v>1233.3475000000001</v>
      </c>
      <c r="O29" s="245">
        <v>324937.44250000006</v>
      </c>
      <c r="P29" s="243">
        <v>60925.77</v>
      </c>
      <c r="Q29" s="243">
        <v>48740.62</v>
      </c>
      <c r="R29" s="244">
        <v>0.15</v>
      </c>
      <c r="S29" s="243">
        <v>12185.15</v>
      </c>
      <c r="T29" s="286">
        <v>3.7499999999999999E-2</v>
      </c>
    </row>
    <row r="30" spans="1:20" s="307" customFormat="1" x14ac:dyDescent="0.25">
      <c r="A30" s="26" t="s">
        <v>28</v>
      </c>
      <c r="B30" s="29" t="s">
        <v>327</v>
      </c>
      <c r="C30" s="62" t="s">
        <v>31</v>
      </c>
      <c r="D30" s="28" t="s">
        <v>30</v>
      </c>
      <c r="E30" s="62" t="s">
        <v>101</v>
      </c>
      <c r="F30" s="260" t="s">
        <v>56</v>
      </c>
      <c r="G30" s="236">
        <v>94279.4</v>
      </c>
      <c r="H30" s="312">
        <v>66969.820000000007</v>
      </c>
      <c r="I30" s="237">
        <v>3.3847</v>
      </c>
      <c r="J30" s="237">
        <v>3.5063</v>
      </c>
      <c r="K30" s="312"/>
      <c r="L30" s="312"/>
      <c r="M30" s="312"/>
      <c r="N30" s="236"/>
      <c r="O30" s="245">
        <v>553923.77</v>
      </c>
      <c r="P30" s="243">
        <v>103860.71</v>
      </c>
      <c r="Q30" s="243">
        <v>83088.570000000007</v>
      </c>
      <c r="R30" s="244">
        <v>0.15</v>
      </c>
      <c r="S30" s="243">
        <v>20772.14</v>
      </c>
      <c r="T30" s="286">
        <v>3.7499999999999999E-2</v>
      </c>
    </row>
    <row r="31" spans="1:20" s="307" customFormat="1" x14ac:dyDescent="0.25">
      <c r="A31" s="26" t="s">
        <v>28</v>
      </c>
      <c r="B31" s="29" t="s">
        <v>323</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s="307" customFormat="1"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s="307" customFormat="1" x14ac:dyDescent="0.25">
      <c r="A33" s="26" t="s">
        <v>28</v>
      </c>
      <c r="B33" s="29" t="s">
        <v>336</v>
      </c>
      <c r="C33" s="62" t="s">
        <v>31</v>
      </c>
      <c r="D33" s="28" t="s">
        <v>30</v>
      </c>
      <c r="E33" s="62" t="s">
        <v>101</v>
      </c>
      <c r="F33" s="260" t="s">
        <v>56</v>
      </c>
      <c r="G33" s="236"/>
      <c r="H33" s="312">
        <v>3360.1</v>
      </c>
      <c r="I33" s="237"/>
      <c r="J33" s="237">
        <v>3.14</v>
      </c>
      <c r="K33" s="312"/>
      <c r="L33" s="312"/>
      <c r="M33" s="312"/>
      <c r="N33" s="236"/>
      <c r="O33" s="245">
        <v>10550.71</v>
      </c>
      <c r="P33" s="243">
        <v>1978.26</v>
      </c>
      <c r="Q33" s="243">
        <v>1582.61</v>
      </c>
      <c r="R33" s="244">
        <v>0.15</v>
      </c>
      <c r="S33" s="243">
        <v>395.65</v>
      </c>
      <c r="T33" s="286">
        <v>3.7499999999999999E-2</v>
      </c>
    </row>
    <row r="34" spans="1:20" x14ac:dyDescent="0.25">
      <c r="A34" s="26" t="s">
        <v>28</v>
      </c>
      <c r="B34" s="27" t="s">
        <v>15</v>
      </c>
      <c r="C34" s="62" t="s">
        <v>29</v>
      </c>
      <c r="D34" s="28" t="s">
        <v>21</v>
      </c>
      <c r="E34" s="62" t="s">
        <v>98</v>
      </c>
      <c r="F34" s="260" t="s">
        <v>37</v>
      </c>
      <c r="G34" s="312"/>
      <c r="H34" s="236">
        <v>180450</v>
      </c>
      <c r="I34" s="237"/>
      <c r="J34" s="238">
        <v>65.702200000000005</v>
      </c>
      <c r="K34" s="312"/>
      <c r="L34" s="312"/>
      <c r="M34" s="312"/>
      <c r="N34" s="236">
        <v>955.11710000000005</v>
      </c>
      <c r="O34" s="245">
        <v>11855006.8729</v>
      </c>
      <c r="P34" s="243">
        <v>2222813.79</v>
      </c>
      <c r="Q34" s="243">
        <v>1778251.03</v>
      </c>
      <c r="R34" s="244">
        <v>0.15</v>
      </c>
      <c r="S34" s="243">
        <v>444562.76</v>
      </c>
      <c r="T34" s="286">
        <v>3.7499999999999999E-2</v>
      </c>
    </row>
    <row r="35" spans="1:20" x14ac:dyDescent="0.25">
      <c r="A35" s="26" t="s">
        <v>28</v>
      </c>
      <c r="B35" s="27" t="s">
        <v>16</v>
      </c>
      <c r="C35" s="62" t="s">
        <v>29</v>
      </c>
      <c r="D35" s="28" t="s">
        <v>21</v>
      </c>
      <c r="E35" s="62" t="s">
        <v>98</v>
      </c>
      <c r="F35" s="260" t="s">
        <v>56</v>
      </c>
      <c r="G35" s="312"/>
      <c r="H35" s="236">
        <v>243979.83</v>
      </c>
      <c r="I35" s="237"/>
      <c r="J35" s="221">
        <v>6.1269999999999998</v>
      </c>
      <c r="K35" s="312"/>
      <c r="L35" s="312"/>
      <c r="M35" s="312"/>
      <c r="N35" s="236">
        <v>838.84249999999997</v>
      </c>
      <c r="O35" s="245">
        <v>1494025.5774999999</v>
      </c>
      <c r="P35" s="243">
        <v>280129.8</v>
      </c>
      <c r="Q35" s="243">
        <v>224103.84</v>
      </c>
      <c r="R35" s="244">
        <v>0.15</v>
      </c>
      <c r="S35" s="243">
        <v>56025.96</v>
      </c>
      <c r="T35" s="286">
        <v>3.7499999999999999E-2</v>
      </c>
    </row>
    <row r="36" spans="1:20" x14ac:dyDescent="0.25">
      <c r="A36" s="26" t="s">
        <v>28</v>
      </c>
      <c r="B36" s="27" t="s">
        <v>173</v>
      </c>
      <c r="C36" s="62" t="s">
        <v>31</v>
      </c>
      <c r="D36" s="28" t="s">
        <v>30</v>
      </c>
      <c r="E36" s="62" t="s">
        <v>101</v>
      </c>
      <c r="F36" s="260" t="s">
        <v>37</v>
      </c>
      <c r="G36" s="312">
        <v>199</v>
      </c>
      <c r="H36" s="236">
        <v>235</v>
      </c>
      <c r="I36" s="238">
        <v>65.059899999999999</v>
      </c>
      <c r="J36" s="238">
        <v>62.308100000000003</v>
      </c>
      <c r="K36" s="312"/>
      <c r="L36" s="312"/>
      <c r="M36" s="312"/>
      <c r="N36" s="236">
        <v>182.71950000000001</v>
      </c>
      <c r="O36" s="245">
        <v>27406.6005</v>
      </c>
      <c r="P36" s="243">
        <v>5138.74</v>
      </c>
      <c r="Q36" s="243">
        <v>1027.75</v>
      </c>
      <c r="R36" s="286">
        <v>3.7499999999999999E-2</v>
      </c>
      <c r="S36" s="243">
        <v>4110.99</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28390</v>
      </c>
      <c r="I39" s="238"/>
      <c r="J39" s="238">
        <v>62.726999999999997</v>
      </c>
      <c r="K39" s="236"/>
      <c r="L39" s="312"/>
      <c r="M39" s="312"/>
      <c r="N39" s="236">
        <v>913.59230000000002</v>
      </c>
      <c r="O39" s="245">
        <v>1779905.9377000001</v>
      </c>
      <c r="P39" s="243">
        <v>333732.36</v>
      </c>
      <c r="Q39" s="243">
        <v>266985.89</v>
      </c>
      <c r="R39" s="247">
        <v>0.15</v>
      </c>
      <c r="S39" s="243">
        <v>66746.47</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-9645.3800000000192</v>
      </c>
      <c r="P41" s="245">
        <v>-1808.5099999999998</v>
      </c>
      <c r="Q41" s="245">
        <v>-1446.8100000000022</v>
      </c>
      <c r="R41" s="275"/>
      <c r="S41" s="245">
        <v>-361.69999999999953</v>
      </c>
      <c r="T41" s="244"/>
    </row>
    <row r="42" spans="1:20" x14ac:dyDescent="0.25">
      <c r="A42" s="34"/>
      <c r="B42" s="165" t="s">
        <v>108</v>
      </c>
      <c r="C42" s="35" t="s">
        <v>343</v>
      </c>
      <c r="D42" s="43"/>
      <c r="E42" s="44"/>
      <c r="F42" s="270"/>
      <c r="G42" s="239"/>
      <c r="H42" s="239"/>
      <c r="I42" s="240"/>
      <c r="J42" s="240"/>
      <c r="K42" s="239"/>
      <c r="L42" s="239"/>
      <c r="M42" s="239"/>
      <c r="N42" s="239"/>
      <c r="O42" s="249">
        <v>56577160.259900011</v>
      </c>
      <c r="P42" s="250">
        <v>10608217.550000001</v>
      </c>
      <c r="Q42" s="251">
        <v>8483490.790000001</v>
      </c>
      <c r="R42" s="252"/>
      <c r="S42" s="253">
        <v>2124726.7599999998</v>
      </c>
      <c r="T42" s="252"/>
    </row>
    <row r="43" spans="1:20" x14ac:dyDescent="0.25">
      <c r="A43" s="136"/>
      <c r="B43" s="137"/>
      <c r="C43" s="35" t="s">
        <v>344</v>
      </c>
      <c r="D43" s="148"/>
      <c r="E43" s="148"/>
      <c r="F43" s="149"/>
      <c r="G43" s="299"/>
      <c r="H43" s="299"/>
      <c r="I43" s="221"/>
      <c r="J43" s="221"/>
      <c r="K43" s="299"/>
      <c r="L43" s="299"/>
      <c r="M43" s="299"/>
      <c r="N43" s="299"/>
      <c r="O43" s="228"/>
      <c r="P43" s="229">
        <v>39303446.020000003</v>
      </c>
      <c r="Q43" s="608">
        <v>31431333.379999999</v>
      </c>
      <c r="R43" s="151"/>
      <c r="S43" s="609">
        <v>7872112.6500000004</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14184</v>
      </c>
      <c r="H46" s="236">
        <v>24413</v>
      </c>
      <c r="I46" s="363">
        <v>54.805799999999998</v>
      </c>
      <c r="J46" s="238">
        <v>51.6113</v>
      </c>
      <c r="K46" s="312"/>
      <c r="L46" s="312"/>
      <c r="M46" s="312"/>
      <c r="N46" s="236">
        <v>3679.2815000000001</v>
      </c>
      <c r="O46" s="245">
        <v>2033672.8584999999</v>
      </c>
      <c r="P46" s="243">
        <v>305050.93</v>
      </c>
      <c r="Q46" s="243">
        <v>305050.93</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v>98748.560000001045</v>
      </c>
      <c r="P47" s="312">
        <v>14812.270000000019</v>
      </c>
      <c r="Q47" s="312">
        <v>14812.270000000019</v>
      </c>
      <c r="R47" s="247"/>
      <c r="S47" s="312"/>
      <c r="T47" s="247"/>
    </row>
    <row r="48" spans="1:20" x14ac:dyDescent="0.25">
      <c r="A48" s="34"/>
      <c r="B48" s="165" t="s">
        <v>108</v>
      </c>
      <c r="C48" s="35" t="s">
        <v>345</v>
      </c>
      <c r="D48" s="43"/>
      <c r="E48" s="44"/>
      <c r="F48" s="43"/>
      <c r="G48" s="239"/>
      <c r="H48" s="239"/>
      <c r="I48" s="240"/>
      <c r="J48" s="240"/>
      <c r="K48" s="239"/>
      <c r="L48" s="239"/>
      <c r="M48" s="239"/>
      <c r="N48" s="239"/>
      <c r="O48" s="249">
        <v>2132421.4185000011</v>
      </c>
      <c r="P48" s="250">
        <v>319863.2</v>
      </c>
      <c r="Q48" s="250">
        <v>319863.2</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1185093.1599999999</v>
      </c>
      <c r="Q49" s="608">
        <v>1185093.1599999999</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8"/>
      <c r="J53" s="238"/>
      <c r="K53" s="312"/>
      <c r="L53" s="312"/>
      <c r="M53" s="312"/>
      <c r="N53" s="312"/>
      <c r="O53" s="245">
        <v>0</v>
      </c>
      <c r="P53" s="243">
        <v>0</v>
      </c>
      <c r="Q53" s="243">
        <v>0</v>
      </c>
      <c r="R53" s="244">
        <v>0.15</v>
      </c>
      <c r="S53" s="243">
        <v>0</v>
      </c>
      <c r="T53" s="286">
        <v>3.7499999999999999E-2</v>
      </c>
    </row>
    <row r="54" spans="1:20" s="307" customFormat="1"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82779.77</v>
      </c>
      <c r="H56" s="236">
        <v>81086.87</v>
      </c>
      <c r="I56" s="610">
        <v>3.6505000000000001</v>
      </c>
      <c r="J56" s="610">
        <v>3.6507999999999998</v>
      </c>
      <c r="K56" s="312"/>
      <c r="L56" s="312"/>
      <c r="M56" s="312"/>
      <c r="N56" s="236">
        <v>460.94729999999998</v>
      </c>
      <c r="O56" s="245">
        <v>597758.54269999999</v>
      </c>
      <c r="P56" s="243">
        <v>112079.73</v>
      </c>
      <c r="Q56" s="243">
        <v>22415.95</v>
      </c>
      <c r="R56" s="286">
        <v>3.7499999999999999E-2</v>
      </c>
      <c r="S56" s="243">
        <v>89663.78</v>
      </c>
      <c r="T56" s="244">
        <v>0.15</v>
      </c>
    </row>
    <row r="57" spans="1:20" x14ac:dyDescent="0.25">
      <c r="A57" s="26" t="s">
        <v>28</v>
      </c>
      <c r="B57" s="29" t="s">
        <v>75</v>
      </c>
      <c r="C57" s="62" t="s">
        <v>31</v>
      </c>
      <c r="D57" s="62" t="s">
        <v>30</v>
      </c>
      <c r="E57" s="62" t="s">
        <v>103</v>
      </c>
      <c r="F57" s="261" t="s">
        <v>37</v>
      </c>
      <c r="G57" s="236">
        <v>6764</v>
      </c>
      <c r="H57" s="236">
        <v>6798</v>
      </c>
      <c r="I57" s="610">
        <v>51.146599999999999</v>
      </c>
      <c r="J57" s="610">
        <v>48.391199999999998</v>
      </c>
      <c r="K57" s="312"/>
      <c r="L57" s="312"/>
      <c r="M57" s="312"/>
      <c r="N57" s="236">
        <v>2088.8026</v>
      </c>
      <c r="O57" s="245">
        <v>672830.17739999993</v>
      </c>
      <c r="P57" s="243">
        <v>126155.66</v>
      </c>
      <c r="Q57" s="243">
        <v>25231.13</v>
      </c>
      <c r="R57" s="286">
        <v>3.7499999999999999E-2</v>
      </c>
      <c r="S57" s="243">
        <v>100924.53</v>
      </c>
      <c r="T57" s="244">
        <v>0.15</v>
      </c>
    </row>
    <row r="58" spans="1:20" x14ac:dyDescent="0.25">
      <c r="A58" s="26" t="s">
        <v>28</v>
      </c>
      <c r="B58" s="29" t="s">
        <v>32</v>
      </c>
      <c r="C58" s="62" t="s">
        <v>31</v>
      </c>
      <c r="D58" s="62" t="s">
        <v>30</v>
      </c>
      <c r="E58" s="62" t="s">
        <v>101</v>
      </c>
      <c r="F58" s="261" t="s">
        <v>37</v>
      </c>
      <c r="G58" s="312"/>
      <c r="H58" s="312"/>
      <c r="I58" s="238"/>
      <c r="J58" s="540"/>
      <c r="K58" s="312"/>
      <c r="L58" s="312"/>
      <c r="M58" s="312"/>
      <c r="N58" s="236"/>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95295</v>
      </c>
      <c r="H60" s="236">
        <v>123930</v>
      </c>
      <c r="I60" s="238">
        <v>51.560499999999998</v>
      </c>
      <c r="J60" s="540">
        <v>49.649700000000003</v>
      </c>
      <c r="K60" s="236"/>
      <c r="L60" s="312"/>
      <c r="M60" s="312"/>
      <c r="N60" s="236">
        <v>4925.0878000000002</v>
      </c>
      <c r="O60" s="245">
        <v>11061620.0822</v>
      </c>
      <c r="P60" s="243">
        <v>2074053.77</v>
      </c>
      <c r="Q60" s="243">
        <v>1659243.02</v>
      </c>
      <c r="R60" s="244">
        <v>0.15</v>
      </c>
      <c r="S60" s="243">
        <v>414810.75</v>
      </c>
      <c r="T60" s="286">
        <v>3.7499999999999999E-2</v>
      </c>
    </row>
    <row r="61" spans="1:20" x14ac:dyDescent="0.25">
      <c r="A61" s="26" t="s">
        <v>28</v>
      </c>
      <c r="B61" s="302">
        <v>67</v>
      </c>
      <c r="C61" s="62" t="s">
        <v>31</v>
      </c>
      <c r="D61" s="62" t="s">
        <v>30</v>
      </c>
      <c r="E61" s="62" t="s">
        <v>101</v>
      </c>
      <c r="F61" s="261" t="s">
        <v>37</v>
      </c>
      <c r="G61" s="236"/>
      <c r="H61" s="236">
        <v>29003</v>
      </c>
      <c r="I61" s="238"/>
      <c r="J61" s="540">
        <v>32.452599999999997</v>
      </c>
      <c r="K61" s="236"/>
      <c r="L61" s="312"/>
      <c r="M61" s="312"/>
      <c r="N61" s="236">
        <v>3409.3560000000002</v>
      </c>
      <c r="O61" s="245">
        <v>937813.40399999998</v>
      </c>
      <c r="P61" s="243">
        <v>175840.01</v>
      </c>
      <c r="Q61" s="243">
        <v>140672.01</v>
      </c>
      <c r="R61" s="244">
        <v>0.15</v>
      </c>
      <c r="S61" s="243">
        <v>35168</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13270022.2063</v>
      </c>
      <c r="P63" s="250">
        <v>2488129.17</v>
      </c>
      <c r="Q63" s="250">
        <v>1847562.11</v>
      </c>
      <c r="R63" s="266"/>
      <c r="S63" s="250">
        <v>640567.06000000006</v>
      </c>
      <c r="T63" s="252"/>
    </row>
    <row r="64" spans="1:20" x14ac:dyDescent="0.25">
      <c r="A64" s="157"/>
      <c r="B64" s="158"/>
      <c r="C64" s="35" t="s">
        <v>348</v>
      </c>
      <c r="D64" s="114"/>
      <c r="E64" s="114"/>
      <c r="F64" s="157"/>
      <c r="G64" s="227"/>
      <c r="H64" s="227"/>
      <c r="I64" s="224"/>
      <c r="J64" s="224"/>
      <c r="K64" s="227"/>
      <c r="L64" s="227"/>
      <c r="M64" s="227"/>
      <c r="N64" s="227"/>
      <c r="O64" s="230"/>
      <c r="P64" s="231">
        <v>9218518.5700000003</v>
      </c>
      <c r="Q64" s="609">
        <v>6845217.6200000001</v>
      </c>
      <c r="R64" s="172"/>
      <c r="S64" s="609">
        <v>2373300.96</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772087</v>
      </c>
      <c r="H66" s="312">
        <v>373534</v>
      </c>
      <c r="I66" s="237">
        <v>44.424599999999998</v>
      </c>
      <c r="J66" s="237">
        <v>41.001899999999999</v>
      </c>
      <c r="K66" s="312"/>
      <c r="L66" s="312"/>
      <c r="M66" s="312"/>
      <c r="N66" s="312"/>
      <c r="O66" s="245">
        <v>49615259.854800001</v>
      </c>
      <c r="P66" s="281">
        <v>18476722.77</v>
      </c>
      <c r="Q66" s="281">
        <v>9238361.3900000006</v>
      </c>
      <c r="R66" s="244">
        <v>0.5</v>
      </c>
      <c r="S66" s="243"/>
      <c r="T66" s="286"/>
    </row>
    <row r="67" spans="1:20" x14ac:dyDescent="0.25">
      <c r="A67" s="26" t="s">
        <v>28</v>
      </c>
      <c r="B67" s="27" t="s">
        <v>162</v>
      </c>
      <c r="C67" s="62" t="s">
        <v>31</v>
      </c>
      <c r="D67" s="62" t="s">
        <v>30</v>
      </c>
      <c r="E67" s="62" t="s">
        <v>161</v>
      </c>
      <c r="F67" s="262" t="s">
        <v>56</v>
      </c>
      <c r="G67" s="312">
        <v>9888796.8599999994</v>
      </c>
      <c r="H67" s="312">
        <v>8213905.4900000002</v>
      </c>
      <c r="I67" s="237">
        <v>2.0301999999999998</v>
      </c>
      <c r="J67" s="237">
        <v>2.0301999999999998</v>
      </c>
      <c r="K67" s="312"/>
      <c r="L67" s="312"/>
      <c r="M67" s="312"/>
      <c r="N67" s="312"/>
      <c r="O67" s="245">
        <v>36752106.310969993</v>
      </c>
      <c r="P67" s="281">
        <v>13686484.390000001</v>
      </c>
      <c r="Q67" s="281">
        <v>6843242.2000000002</v>
      </c>
      <c r="R67" s="244">
        <v>0.5</v>
      </c>
      <c r="S67" s="243"/>
      <c r="T67" s="244"/>
    </row>
    <row r="68" spans="1:20" s="307" customFormat="1" x14ac:dyDescent="0.25">
      <c r="A68" s="26" t="s">
        <v>28</v>
      </c>
      <c r="B68" s="27" t="s">
        <v>181</v>
      </c>
      <c r="C68" s="62" t="s">
        <v>31</v>
      </c>
      <c r="D68" s="62" t="s">
        <v>30</v>
      </c>
      <c r="E68" s="62" t="s">
        <v>161</v>
      </c>
      <c r="F68" s="262" t="s">
        <v>56</v>
      </c>
      <c r="G68" s="312">
        <v>25662.77</v>
      </c>
      <c r="H68" s="312">
        <v>17801.23</v>
      </c>
      <c r="I68" s="237">
        <v>2.7227000000000001</v>
      </c>
      <c r="J68" s="237">
        <v>2.7227000000000001</v>
      </c>
      <c r="K68" s="312"/>
      <c r="L68" s="312"/>
      <c r="M68" s="312"/>
      <c r="N68" s="312"/>
      <c r="O68" s="245">
        <v>118339.43280000001</v>
      </c>
      <c r="P68" s="281">
        <v>44069.599999999999</v>
      </c>
      <c r="Q68" s="281">
        <v>22034.799999999999</v>
      </c>
      <c r="R68" s="244">
        <v>0.5</v>
      </c>
      <c r="S68" s="243"/>
      <c r="T68" s="244"/>
    </row>
    <row r="69" spans="1:20" s="307" customFormat="1" ht="12" customHeight="1" x14ac:dyDescent="0.25">
      <c r="A69" s="26" t="s">
        <v>28</v>
      </c>
      <c r="B69" s="27" t="s">
        <v>182</v>
      </c>
      <c r="C69" s="62" t="s">
        <v>31</v>
      </c>
      <c r="D69" s="62" t="s">
        <v>30</v>
      </c>
      <c r="E69" s="62" t="s">
        <v>161</v>
      </c>
      <c r="F69" s="262" t="s">
        <v>56</v>
      </c>
      <c r="G69" s="312">
        <v>876247.87</v>
      </c>
      <c r="H69" s="312">
        <v>745759.14</v>
      </c>
      <c r="I69" s="237">
        <v>1.0980000000000001</v>
      </c>
      <c r="J69" s="237">
        <v>1.5680000000000001</v>
      </c>
      <c r="K69" s="312"/>
      <c r="L69" s="312"/>
      <c r="M69" s="312"/>
      <c r="N69" s="312"/>
      <c r="O69" s="245">
        <v>2131470.49278</v>
      </c>
      <c r="P69" s="281">
        <v>809958.79</v>
      </c>
      <c r="Q69" s="281">
        <v>404979.4</v>
      </c>
      <c r="R69" s="314">
        <v>0.5</v>
      </c>
      <c r="S69" s="243"/>
      <c r="T69" s="244"/>
    </row>
    <row r="70" spans="1:20" x14ac:dyDescent="0.25">
      <c r="A70" s="26" t="s">
        <v>28</v>
      </c>
      <c r="B70" s="29" t="s">
        <v>171</v>
      </c>
      <c r="C70" s="62" t="s">
        <v>31</v>
      </c>
      <c r="D70" s="62" t="s">
        <v>30</v>
      </c>
      <c r="E70" s="62" t="s">
        <v>161</v>
      </c>
      <c r="F70" s="261" t="s">
        <v>37</v>
      </c>
      <c r="G70" s="312">
        <v>347041</v>
      </c>
      <c r="H70" s="312">
        <v>242375</v>
      </c>
      <c r="I70" s="237">
        <v>44.423099999999998</v>
      </c>
      <c r="J70" s="237">
        <v>40.990699999999997</v>
      </c>
      <c r="K70" s="312"/>
      <c r="L70" s="312"/>
      <c r="M70" s="312"/>
      <c r="N70" s="312"/>
      <c r="O70" s="245">
        <v>25351757.959600002</v>
      </c>
      <c r="P70" s="281">
        <v>10140703.190000001</v>
      </c>
      <c r="Q70" s="281">
        <v>5070351.5999999996</v>
      </c>
      <c r="R70" s="244">
        <v>0.5</v>
      </c>
      <c r="S70" s="243"/>
      <c r="T70" s="244"/>
    </row>
    <row r="71" spans="1:20" x14ac:dyDescent="0.25">
      <c r="A71" s="26" t="s">
        <v>28</v>
      </c>
      <c r="B71" s="29" t="s">
        <v>172</v>
      </c>
      <c r="C71" s="62" t="s">
        <v>31</v>
      </c>
      <c r="D71" s="62" t="s">
        <v>30</v>
      </c>
      <c r="E71" s="62" t="s">
        <v>161</v>
      </c>
      <c r="F71" s="261" t="s">
        <v>56</v>
      </c>
      <c r="G71" s="312">
        <v>5236074.0199999996</v>
      </c>
      <c r="H71" s="312">
        <v>3543893.43</v>
      </c>
      <c r="I71" s="237">
        <v>1.0980000000000001</v>
      </c>
      <c r="J71" s="237">
        <v>1.5680000000000001</v>
      </c>
      <c r="K71" s="312"/>
      <c r="L71" s="312"/>
      <c r="M71" s="312"/>
      <c r="N71" s="312"/>
      <c r="O71" s="245">
        <v>11306034.172200002</v>
      </c>
      <c r="P71" s="281">
        <v>4296292.9800000004</v>
      </c>
      <c r="Q71" s="243">
        <v>2148146.4900000002</v>
      </c>
      <c r="R71" s="244">
        <v>0.5</v>
      </c>
      <c r="S71" s="243"/>
      <c r="T71" s="244"/>
    </row>
    <row r="72" spans="1:20" x14ac:dyDescent="0.25">
      <c r="A72" s="26" t="s">
        <v>28</v>
      </c>
      <c r="B72" s="32" t="s">
        <v>177</v>
      </c>
      <c r="C72" s="62" t="s">
        <v>31</v>
      </c>
      <c r="D72" s="62" t="s">
        <v>30</v>
      </c>
      <c r="E72" s="62" t="s">
        <v>161</v>
      </c>
      <c r="F72" s="261" t="s">
        <v>56</v>
      </c>
      <c r="G72" s="312">
        <v>223175.64</v>
      </c>
      <c r="H72" s="312">
        <v>167567.10999999999</v>
      </c>
      <c r="I72" s="237">
        <v>1.9332</v>
      </c>
      <c r="J72" s="237">
        <v>1.9332</v>
      </c>
      <c r="K72" s="236"/>
      <c r="L72" s="312"/>
      <c r="M72" s="312"/>
      <c r="N72" s="236"/>
      <c r="O72" s="245">
        <v>755383.88430000003</v>
      </c>
      <c r="P72" s="281">
        <v>281304.96000000002</v>
      </c>
      <c r="Q72" s="243">
        <v>140652.48000000001</v>
      </c>
      <c r="R72" s="244">
        <v>0.5</v>
      </c>
      <c r="S72" s="243"/>
      <c r="T72" s="286"/>
    </row>
    <row r="73" spans="1:20" s="307" customFormat="1" x14ac:dyDescent="0.25">
      <c r="A73" s="26" t="s">
        <v>28</v>
      </c>
      <c r="B73" s="32" t="s">
        <v>179</v>
      </c>
      <c r="C73" s="62" t="s">
        <v>31</v>
      </c>
      <c r="D73" s="62" t="s">
        <v>30</v>
      </c>
      <c r="E73" s="62" t="s">
        <v>161</v>
      </c>
      <c r="F73" s="261" t="s">
        <v>37</v>
      </c>
      <c r="G73" s="312">
        <v>178229</v>
      </c>
      <c r="H73" s="312">
        <v>124491</v>
      </c>
      <c r="I73" s="237">
        <v>39.9482</v>
      </c>
      <c r="J73" s="237">
        <v>36.511299999999999</v>
      </c>
      <c r="K73" s="236"/>
      <c r="L73" s="312"/>
      <c r="M73" s="312"/>
      <c r="N73" s="236"/>
      <c r="O73" s="245">
        <v>11665255.986099999</v>
      </c>
      <c r="P73" s="626">
        <v>706323.29436599999</v>
      </c>
      <c r="Q73" s="243">
        <v>353161.65</v>
      </c>
      <c r="R73" s="244">
        <v>0.5</v>
      </c>
      <c r="S73" s="243"/>
      <c r="T73" s="286"/>
    </row>
    <row r="74" spans="1:20" s="307" customFormat="1" x14ac:dyDescent="0.25">
      <c r="A74" s="26" t="s">
        <v>28</v>
      </c>
      <c r="B74" s="302" t="s">
        <v>180</v>
      </c>
      <c r="C74" s="62" t="s">
        <v>31</v>
      </c>
      <c r="D74" s="62" t="s">
        <v>30</v>
      </c>
      <c r="E74" s="62" t="s">
        <v>161</v>
      </c>
      <c r="F74" s="261" t="s">
        <v>56</v>
      </c>
      <c r="G74" s="312">
        <v>2943969.17</v>
      </c>
      <c r="H74" s="312">
        <v>1941841.91</v>
      </c>
      <c r="I74" s="237">
        <v>1.702</v>
      </c>
      <c r="J74" s="237">
        <v>1.702</v>
      </c>
      <c r="K74" s="472"/>
      <c r="L74" s="312"/>
      <c r="M74" s="312"/>
      <c r="N74" s="236"/>
      <c r="O74" s="245">
        <v>8315650.4581599999</v>
      </c>
      <c r="P74" s="626">
        <v>761990.37046599993</v>
      </c>
      <c r="Q74" s="243">
        <v>380995.19</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-33740228.054131001</v>
      </c>
      <c r="P75" s="213">
        <v>-3379246.3850259986</v>
      </c>
      <c r="Q75" s="213">
        <v>-1689623.1699999997</v>
      </c>
      <c r="R75" s="160"/>
      <c r="S75" s="201"/>
      <c r="T75" s="160"/>
    </row>
    <row r="76" spans="1:20" x14ac:dyDescent="0.25">
      <c r="A76" s="34"/>
      <c r="B76" s="165" t="s">
        <v>108</v>
      </c>
      <c r="C76" s="35" t="s">
        <v>349</v>
      </c>
      <c r="D76" s="22"/>
      <c r="E76" s="22"/>
      <c r="F76" s="297"/>
      <c r="G76" s="282"/>
      <c r="H76" s="282"/>
      <c r="I76" s="356"/>
      <c r="J76" s="282"/>
      <c r="K76" s="294"/>
      <c r="L76" s="287"/>
      <c r="M76" s="353"/>
      <c r="N76" s="219"/>
      <c r="O76" s="219">
        <v>112271030.49757898</v>
      </c>
      <c r="P76" s="219">
        <v>45824603.959806003</v>
      </c>
      <c r="Q76" s="219">
        <v>22912302.030000005</v>
      </c>
      <c r="R76" s="199"/>
      <c r="S76" s="207"/>
      <c r="T76" s="160"/>
    </row>
    <row r="77" spans="1:20" x14ac:dyDescent="0.25">
      <c r="A77" s="157"/>
      <c r="B77" s="158"/>
      <c r="C77" s="35" t="s">
        <v>350</v>
      </c>
      <c r="D77" s="114"/>
      <c r="E77" s="114"/>
      <c r="F77" s="297"/>
      <c r="G77" s="639"/>
      <c r="H77" s="639"/>
      <c r="I77" s="357"/>
      <c r="J77" s="282"/>
      <c r="K77" s="295"/>
      <c r="L77" s="288"/>
      <c r="M77" s="478"/>
      <c r="N77" s="479"/>
      <c r="O77" s="479"/>
      <c r="P77" s="209"/>
      <c r="Q77" s="627">
        <v>84890079.021150023</v>
      </c>
      <c r="R77" s="198"/>
      <c r="S77" s="207"/>
      <c r="T77" s="160"/>
    </row>
    <row r="78" spans="1:20" x14ac:dyDescent="0.25">
      <c r="A78" s="10" t="s">
        <v>55</v>
      </c>
      <c r="B78" s="308"/>
      <c r="C78" s="308"/>
      <c r="D78" s="308"/>
      <c r="E78" s="308"/>
      <c r="F78" s="298"/>
      <c r="G78" s="637"/>
      <c r="H78" s="637"/>
      <c r="I78" s="282"/>
      <c r="J78" s="282"/>
      <c r="K78" s="358"/>
      <c r="L78" s="359"/>
      <c r="M78" s="311">
        <v>0</v>
      </c>
      <c r="N78" s="311">
        <v>36676.535299999996</v>
      </c>
      <c r="O78" s="311">
        <v>184250634.38227898</v>
      </c>
      <c r="P78" s="311">
        <v>36328511.950000003</v>
      </c>
      <c r="Q78" s="211">
        <v>134597136.79115003</v>
      </c>
      <c r="R78" s="60"/>
      <c r="S78" s="211"/>
      <c r="T78" s="60"/>
    </row>
    <row r="79" spans="1:20" x14ac:dyDescent="0.25">
      <c r="A79" s="6"/>
      <c r="B79" s="6"/>
      <c r="C79" s="6"/>
      <c r="D79" s="6"/>
      <c r="E79" s="6"/>
      <c r="F79" s="6"/>
      <c r="G79" s="6"/>
      <c r="H79" s="6"/>
      <c r="I79" s="6"/>
      <c r="J79" s="6"/>
      <c r="K79" s="6"/>
      <c r="L79" s="6"/>
      <c r="M79" s="6"/>
      <c r="N79" s="6"/>
      <c r="O79" s="220"/>
      <c r="P79" s="6"/>
      <c r="Q79" s="6"/>
      <c r="R79" s="6"/>
      <c r="S79" s="285"/>
      <c r="T79" s="6"/>
    </row>
    <row r="80" spans="1:20" x14ac:dyDescent="0.25">
      <c r="A80" s="99" t="s">
        <v>93</v>
      </c>
      <c r="B80" s="7" t="s">
        <v>76</v>
      </c>
      <c r="C80" s="7"/>
      <c r="D80" s="6"/>
      <c r="E80" s="6"/>
      <c r="F80" s="6"/>
      <c r="G80" s="307"/>
      <c r="H80" s="99"/>
      <c r="I80" s="307"/>
      <c r="J80" s="72"/>
      <c r="K80" s="72"/>
      <c r="L80" s="6"/>
      <c r="M80" s="6"/>
      <c r="N80" s="220"/>
      <c r="O80" s="220"/>
      <c r="P80" s="285"/>
      <c r="Q80" s="220"/>
      <c r="R80" s="6"/>
      <c r="S80" s="285"/>
      <c r="T80" s="6"/>
    </row>
    <row r="81" spans="1:20" x14ac:dyDescent="0.25">
      <c r="A81" s="6"/>
      <c r="B81" s="126" t="s">
        <v>78</v>
      </c>
      <c r="C81" s="127" t="s">
        <v>79</v>
      </c>
      <c r="D81" s="128"/>
      <c r="E81" s="129" t="s">
        <v>35</v>
      </c>
      <c r="F81" s="129" t="s">
        <v>80</v>
      </c>
      <c r="G81" s="307"/>
      <c r="H81" s="100" t="s">
        <v>35</v>
      </c>
      <c r="I81" s="308"/>
      <c r="J81" s="308"/>
      <c r="K81" s="308"/>
      <c r="L81" s="101"/>
      <c r="M81" s="6"/>
      <c r="N81" s="641"/>
      <c r="O81" s="220"/>
      <c r="P81" s="606"/>
      <c r="Q81" s="192"/>
      <c r="R81" s="6"/>
      <c r="S81" s="6"/>
      <c r="T81" s="6"/>
    </row>
    <row r="82" spans="1:20" x14ac:dyDescent="0.25">
      <c r="A82" s="7"/>
      <c r="B82" s="102" t="s">
        <v>81</v>
      </c>
      <c r="C82" s="103" t="s">
        <v>82</v>
      </c>
      <c r="D82" s="104"/>
      <c r="E82" s="105">
        <v>66.034599999999998</v>
      </c>
      <c r="F82" s="105">
        <v>62.8446</v>
      </c>
      <c r="G82" s="307"/>
      <c r="H82" s="106" t="s">
        <v>379</v>
      </c>
      <c r="I82" s="6"/>
      <c r="J82" s="6"/>
      <c r="K82" s="6"/>
      <c r="L82" s="107"/>
      <c r="M82" s="393">
        <v>6.2200000337121024E-2</v>
      </c>
      <c r="N82" s="220"/>
      <c r="O82" s="638"/>
      <c r="P82" s="285"/>
      <c r="Q82" s="6"/>
      <c r="R82" s="6"/>
      <c r="S82" s="6"/>
      <c r="T82" s="6"/>
    </row>
    <row r="83" spans="1:20" x14ac:dyDescent="0.25">
      <c r="A83" s="6"/>
      <c r="B83" s="108" t="s">
        <v>83</v>
      </c>
      <c r="C83" s="109" t="s">
        <v>84</v>
      </c>
      <c r="D83" s="110"/>
      <c r="E83" s="112">
        <v>38.810699999999997</v>
      </c>
      <c r="F83" s="112">
        <v>38.223700000000001</v>
      </c>
      <c r="G83" s="307"/>
      <c r="H83" s="113">
        <v>51.146566392799997</v>
      </c>
      <c r="I83" s="114"/>
      <c r="J83" s="114"/>
      <c r="K83" s="114"/>
      <c r="L83" s="115"/>
      <c r="M83" s="393">
        <v>9.4199999857272176E-2</v>
      </c>
      <c r="O83" s="405"/>
      <c r="P83" s="220"/>
      <c r="Q83" s="6"/>
      <c r="R83" s="6"/>
      <c r="S83" s="6"/>
      <c r="T83" s="6"/>
    </row>
    <row r="84" spans="1:20" x14ac:dyDescent="0.25">
      <c r="A84" s="6"/>
      <c r="B84" s="108" t="s">
        <v>85</v>
      </c>
      <c r="C84" s="109" t="s">
        <v>86</v>
      </c>
      <c r="D84" s="110"/>
      <c r="E84" s="111">
        <v>7.1769999999999996</v>
      </c>
      <c r="F84" s="111">
        <v>7.1769999999999996</v>
      </c>
      <c r="G84" s="6"/>
      <c r="H84" s="307"/>
      <c r="I84" s="116"/>
      <c r="J84" s="6"/>
      <c r="K84" s="6"/>
      <c r="L84" s="6"/>
      <c r="M84" s="393">
        <v>0.39999999969547706</v>
      </c>
      <c r="N84" s="220"/>
      <c r="O84" s="220"/>
      <c r="P84" s="6"/>
      <c r="Q84" s="6"/>
      <c r="R84" s="6"/>
      <c r="S84" s="6"/>
      <c r="T84" s="6"/>
    </row>
    <row r="85" spans="1:20" x14ac:dyDescent="0.25">
      <c r="A85" s="6"/>
      <c r="B85" s="108" t="s">
        <v>87</v>
      </c>
      <c r="C85" s="109" t="s">
        <v>88</v>
      </c>
      <c r="D85" s="110"/>
      <c r="E85" s="117">
        <v>0.66</v>
      </c>
      <c r="F85" s="117">
        <v>0.63280000000000003</v>
      </c>
      <c r="G85" s="6"/>
      <c r="H85" s="100" t="s">
        <v>80</v>
      </c>
      <c r="I85" s="118"/>
      <c r="J85" s="308"/>
      <c r="K85" s="308"/>
      <c r="L85" s="101"/>
      <c r="M85" s="393">
        <v>0.38000000287019686</v>
      </c>
      <c r="N85" s="641"/>
      <c r="O85" s="285"/>
      <c r="P85" s="6"/>
      <c r="Q85" s="6"/>
      <c r="R85" s="6"/>
      <c r="S85" s="6"/>
      <c r="T85" s="6"/>
    </row>
    <row r="86" spans="1:20" x14ac:dyDescent="0.25">
      <c r="A86" s="6"/>
      <c r="B86" s="108" t="s">
        <v>89</v>
      </c>
      <c r="C86" s="109" t="s">
        <v>90</v>
      </c>
      <c r="D86" s="110"/>
      <c r="E86" s="119"/>
      <c r="F86" s="112"/>
      <c r="G86" s="6"/>
      <c r="H86" s="106" t="s">
        <v>380</v>
      </c>
      <c r="I86" s="116"/>
      <c r="J86" s="6"/>
      <c r="K86" s="6"/>
      <c r="L86" s="107"/>
      <c r="M86" s="7"/>
      <c r="N86" s="220"/>
      <c r="O86" s="638"/>
      <c r="P86" s="6"/>
      <c r="Q86" s="6"/>
      <c r="R86" s="6"/>
      <c r="S86" s="6"/>
      <c r="T86" s="6"/>
    </row>
    <row r="87" spans="1:20" x14ac:dyDescent="0.25">
      <c r="A87" s="6"/>
      <c r="B87" s="120" t="s">
        <v>91</v>
      </c>
      <c r="C87" s="121" t="s">
        <v>92</v>
      </c>
      <c r="D87" s="122"/>
      <c r="E87" s="123">
        <v>0</v>
      </c>
      <c r="F87" s="123">
        <v>0</v>
      </c>
      <c r="G87" s="6"/>
      <c r="H87" s="113">
        <v>48.391233584224004</v>
      </c>
      <c r="I87" s="124"/>
      <c r="J87" s="114"/>
      <c r="K87" s="114"/>
      <c r="L87" s="115"/>
      <c r="M87" s="403"/>
      <c r="N87" s="403"/>
      <c r="O87" s="403"/>
      <c r="P87" s="6"/>
      <c r="Q87" s="6"/>
      <c r="R87" s="6"/>
      <c r="S87" s="6"/>
      <c r="T87" s="6"/>
    </row>
    <row r="88" spans="1:20" x14ac:dyDescent="0.25">
      <c r="A88" s="5"/>
      <c r="B88" s="307"/>
      <c r="C88" s="4"/>
      <c r="D88" s="4"/>
      <c r="E88" s="307"/>
      <c r="F88" s="307"/>
      <c r="G88" s="307"/>
      <c r="H88" s="190"/>
      <c r="I88" s="307"/>
      <c r="J88" s="307"/>
      <c r="K88" s="307"/>
      <c r="L88" s="307"/>
      <c r="M88" s="406"/>
      <c r="N88" s="640"/>
      <c r="O88" s="406"/>
      <c r="P88" s="307"/>
      <c r="Q88" s="307"/>
      <c r="R88" s="307"/>
      <c r="S88" s="307"/>
      <c r="T88" s="307"/>
    </row>
    <row r="89" spans="1:20" x14ac:dyDescent="0.25">
      <c r="A89" s="307"/>
      <c r="B89" s="307"/>
      <c r="C89" s="307"/>
      <c r="D89" s="307"/>
      <c r="E89" s="307"/>
      <c r="F89" s="307"/>
      <c r="G89" s="307"/>
      <c r="H89" s="307"/>
      <c r="I89" s="307"/>
      <c r="J89" s="307"/>
      <c r="K89" s="307"/>
      <c r="L89" s="307"/>
      <c r="M89" s="307"/>
      <c r="N89" s="307"/>
      <c r="O89" s="307"/>
      <c r="P89" s="307"/>
      <c r="Q89" s="307"/>
      <c r="R89" s="307"/>
      <c r="S89" s="307"/>
      <c r="T89" s="307"/>
    </row>
  </sheetData>
  <mergeCells count="2">
    <mergeCell ref="C7:C8"/>
    <mergeCell ref="O7:O8"/>
  </mergeCells>
  <phoneticPr fontId="0" type="noConversion"/>
  <printOptions horizontalCentered="1" verticalCentered="1"/>
  <pageMargins left="0.25" right="0.25" top="0.5" bottom="0.5" header="0" footer="0"/>
  <pageSetup paperSize="9" scale="47"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view="pageBreakPreview" zoomScaleNormal="100" zoomScaleSheetLayoutView="100" workbookViewId="0">
      <pane xSplit="2" topLeftCell="N1" activePane="topRight" state="frozen"/>
      <selection activeCell="A4" sqref="A4"/>
      <selection pane="topRight" activeCell="U1" sqref="U1:AT1048576"/>
    </sheetView>
  </sheetViews>
  <sheetFormatPr baseColWidth="10" defaultColWidth="8.90625" defaultRowHeight="13.2" x14ac:dyDescent="0.25"/>
  <cols>
    <col min="1" max="1" width="3" style="395" customWidth="1"/>
    <col min="2" max="2" width="12.81640625" style="395" customWidth="1"/>
    <col min="3" max="3" width="7.1796875" style="395" customWidth="1"/>
    <col min="4" max="4" width="8.6328125" style="395" customWidth="1"/>
    <col min="5" max="5" width="8.90625" style="395" customWidth="1"/>
    <col min="6" max="6" width="9.81640625" style="395" customWidth="1"/>
    <col min="7" max="7" width="10.453125" style="395" customWidth="1"/>
    <col min="8" max="8" width="10.08984375" style="395" customWidth="1"/>
    <col min="9" max="14" width="10.453125" style="395" customWidth="1"/>
    <col min="15" max="15" width="12.453125" style="395" customWidth="1"/>
    <col min="16" max="17" width="11.54296875" style="395" customWidth="1"/>
    <col min="18" max="18" width="5.6328125" style="395" customWidth="1"/>
    <col min="19" max="19" width="11.54296875" style="395" customWidth="1"/>
    <col min="20" max="20" width="5.6328125" style="395" customWidth="1"/>
    <col min="21" max="16384" width="8.90625" style="395"/>
  </cols>
  <sheetData>
    <row r="1" spans="1:20" x14ac:dyDescent="0.25">
      <c r="A1" s="552" t="s">
        <v>51</v>
      </c>
      <c r="C1" s="553"/>
      <c r="D1" s="553"/>
      <c r="E1" s="554">
        <v>44287</v>
      </c>
      <c r="F1" s="300">
        <v>3.7469999999999999</v>
      </c>
    </row>
    <row r="2" spans="1:20" x14ac:dyDescent="0.25">
      <c r="A2" s="553" t="s">
        <v>0</v>
      </c>
    </row>
    <row r="3" spans="1:20" x14ac:dyDescent="0.25">
      <c r="A3" s="214" t="s">
        <v>109</v>
      </c>
      <c r="B3" s="214"/>
      <c r="C3" s="214"/>
      <c r="D3" s="214"/>
      <c r="E3" s="214"/>
      <c r="F3" s="214"/>
      <c r="G3" s="214"/>
      <c r="H3" s="214"/>
      <c r="I3" s="214"/>
      <c r="J3" s="214"/>
      <c r="K3" s="214"/>
      <c r="L3" s="214"/>
      <c r="M3" s="214"/>
      <c r="N3" s="214"/>
      <c r="O3" s="214"/>
      <c r="P3" s="214"/>
      <c r="Q3" s="214"/>
      <c r="R3" s="214"/>
      <c r="S3" s="214"/>
      <c r="T3" s="214"/>
    </row>
    <row r="4" spans="1:20" x14ac:dyDescent="0.25">
      <c r="A4" s="215" t="s">
        <v>373</v>
      </c>
      <c r="B4" s="215"/>
      <c r="C4" s="215"/>
      <c r="D4" s="215"/>
      <c r="E4" s="215"/>
      <c r="F4" s="215"/>
      <c r="G4" s="215"/>
      <c r="H4" s="215"/>
      <c r="I4" s="215"/>
      <c r="J4" s="215"/>
      <c r="K4" s="215"/>
      <c r="L4" s="215"/>
      <c r="M4" s="215"/>
      <c r="N4" s="215"/>
      <c r="O4" s="215"/>
      <c r="P4" s="215"/>
      <c r="Q4" s="215"/>
      <c r="R4" s="215"/>
      <c r="S4" s="215"/>
      <c r="T4" s="215"/>
    </row>
    <row r="5" spans="1:20" x14ac:dyDescent="0.25">
      <c r="A5" s="215" t="s">
        <v>374</v>
      </c>
      <c r="B5" s="215"/>
      <c r="C5" s="215"/>
      <c r="D5" s="215"/>
      <c r="E5" s="215"/>
      <c r="F5" s="215"/>
      <c r="G5" s="215"/>
      <c r="H5" s="215"/>
      <c r="I5" s="215"/>
      <c r="J5" s="215"/>
      <c r="K5" s="215"/>
      <c r="L5" s="215"/>
      <c r="M5" s="215"/>
      <c r="N5" s="215"/>
      <c r="O5" s="654"/>
      <c r="P5" s="215"/>
      <c r="Q5" s="215"/>
      <c r="R5" s="215"/>
      <c r="S5" s="215"/>
      <c r="T5" s="215"/>
    </row>
    <row r="6" spans="1:20" x14ac:dyDescent="0.25">
      <c r="A6" s="215"/>
      <c r="B6" s="215"/>
      <c r="C6" s="215"/>
      <c r="D6" s="215"/>
      <c r="E6" s="215"/>
      <c r="F6" s="215"/>
      <c r="G6" s="215"/>
      <c r="H6" s="215"/>
      <c r="I6" s="215"/>
      <c r="J6" s="555"/>
      <c r="N6" s="555"/>
      <c r="O6" s="555"/>
      <c r="P6" s="555"/>
    </row>
    <row r="7" spans="1:20" ht="21.75" customHeight="1" x14ac:dyDescent="0.25">
      <c r="A7" s="556" t="s">
        <v>25</v>
      </c>
      <c r="B7" s="557"/>
      <c r="C7" s="670" t="s">
        <v>33</v>
      </c>
      <c r="D7" s="558" t="s">
        <v>58</v>
      </c>
      <c r="E7" s="559"/>
      <c r="F7" s="560" t="s">
        <v>106</v>
      </c>
      <c r="G7" s="561"/>
      <c r="H7" s="396"/>
      <c r="I7" s="560" t="s">
        <v>38</v>
      </c>
      <c r="J7" s="396"/>
      <c r="K7" s="560" t="s">
        <v>41</v>
      </c>
      <c r="L7" s="561"/>
      <c r="M7" s="561"/>
      <c r="N7" s="396"/>
      <c r="O7" s="670" t="s">
        <v>96</v>
      </c>
      <c r="P7" s="560" t="s">
        <v>50</v>
      </c>
      <c r="Q7" s="561"/>
      <c r="R7" s="561"/>
      <c r="S7" s="561"/>
      <c r="T7" s="396"/>
    </row>
    <row r="8" spans="1:20" ht="14.25" customHeight="1" x14ac:dyDescent="0.25">
      <c r="A8" s="563" t="s">
        <v>26</v>
      </c>
      <c r="B8" s="564"/>
      <c r="C8" s="671"/>
      <c r="D8" s="565" t="s">
        <v>19</v>
      </c>
      <c r="E8" s="566" t="s">
        <v>59</v>
      </c>
      <c r="F8" s="565" t="s">
        <v>27</v>
      </c>
      <c r="G8" s="397" t="s">
        <v>35</v>
      </c>
      <c r="H8" s="567" t="s">
        <v>36</v>
      </c>
      <c r="I8" s="567" t="s">
        <v>35</v>
      </c>
      <c r="J8" s="397" t="s">
        <v>36</v>
      </c>
      <c r="K8" s="397" t="s">
        <v>39</v>
      </c>
      <c r="L8" s="397" t="s">
        <v>40</v>
      </c>
      <c r="M8" s="397" t="s">
        <v>42</v>
      </c>
      <c r="N8" s="397" t="s">
        <v>2</v>
      </c>
      <c r="O8" s="671"/>
      <c r="P8" s="562" t="s">
        <v>1</v>
      </c>
      <c r="Q8" s="560" t="s">
        <v>45</v>
      </c>
      <c r="R8" s="396"/>
      <c r="S8" s="560" t="s">
        <v>46</v>
      </c>
      <c r="T8" s="396"/>
    </row>
    <row r="9" spans="1:20" x14ac:dyDescent="0.25">
      <c r="A9" s="568" t="s">
        <v>23</v>
      </c>
      <c r="B9" s="569"/>
      <c r="C9" s="570"/>
      <c r="D9" s="571"/>
      <c r="E9" s="571"/>
      <c r="F9" s="568"/>
      <c r="G9" s="398"/>
      <c r="H9" s="572"/>
      <c r="I9" s="573"/>
      <c r="J9" s="398"/>
      <c r="K9" s="398"/>
      <c r="L9" s="398"/>
      <c r="M9" s="398"/>
      <c r="N9" s="398"/>
      <c r="O9" s="574"/>
      <c r="P9" s="398"/>
      <c r="Q9" s="575" t="s">
        <v>43</v>
      </c>
      <c r="R9" s="576"/>
      <c r="S9" s="642" t="s">
        <v>44</v>
      </c>
      <c r="T9" s="576"/>
    </row>
    <row r="10" spans="1:20" x14ac:dyDescent="0.25">
      <c r="A10" s="409" t="s">
        <v>28</v>
      </c>
      <c r="B10" s="410" t="s">
        <v>13</v>
      </c>
      <c r="C10" s="62" t="s">
        <v>29</v>
      </c>
      <c r="D10" s="28" t="s">
        <v>21</v>
      </c>
      <c r="E10" s="62" t="s">
        <v>98</v>
      </c>
      <c r="F10" s="260" t="s">
        <v>37</v>
      </c>
      <c r="G10" s="312"/>
      <c r="H10" s="236">
        <v>16180</v>
      </c>
      <c r="I10" s="237"/>
      <c r="J10" s="653">
        <v>62.600200000000001</v>
      </c>
      <c r="K10" s="312"/>
      <c r="L10" s="312"/>
      <c r="M10" s="312"/>
      <c r="N10" s="236">
        <v>238.99529999999999</v>
      </c>
      <c r="O10" s="236">
        <v>1012632.2447</v>
      </c>
      <c r="P10" s="243">
        <v>189868.55</v>
      </c>
      <c r="Q10" s="243">
        <v>151894.84</v>
      </c>
      <c r="R10" s="244">
        <v>0.15</v>
      </c>
      <c r="S10" s="243">
        <v>37973.71</v>
      </c>
      <c r="T10" s="286">
        <v>3.7499999999999999E-2</v>
      </c>
    </row>
    <row r="11" spans="1:20" x14ac:dyDescent="0.25">
      <c r="A11" s="409" t="s">
        <v>28</v>
      </c>
      <c r="B11" s="410" t="s">
        <v>14</v>
      </c>
      <c r="C11" s="62" t="s">
        <v>29</v>
      </c>
      <c r="D11" s="28" t="s">
        <v>21</v>
      </c>
      <c r="E11" s="62" t="s">
        <v>98</v>
      </c>
      <c r="F11" s="260" t="s">
        <v>56</v>
      </c>
      <c r="G11" s="312"/>
      <c r="H11" s="236">
        <v>127557.33</v>
      </c>
      <c r="I11" s="237"/>
      <c r="J11" s="653">
        <v>3.1122000000000001</v>
      </c>
      <c r="K11" s="312"/>
      <c r="L11" s="312"/>
      <c r="M11" s="312"/>
      <c r="N11" s="236">
        <v>672.173</v>
      </c>
      <c r="O11" s="236">
        <v>396311.74699999997</v>
      </c>
      <c r="P11" s="243">
        <v>74308.45</v>
      </c>
      <c r="Q11" s="243">
        <v>59446.76</v>
      </c>
      <c r="R11" s="244">
        <v>0.15</v>
      </c>
      <c r="S11" s="243">
        <v>14861.69</v>
      </c>
      <c r="T11" s="286">
        <v>3.7499999999999999E-2</v>
      </c>
    </row>
    <row r="12" spans="1:20" s="307" customFormat="1"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409" t="s">
        <v>28</v>
      </c>
      <c r="B13" s="410" t="s">
        <v>3</v>
      </c>
      <c r="C13" s="62" t="s">
        <v>31</v>
      </c>
      <c r="D13" s="28" t="s">
        <v>30</v>
      </c>
      <c r="E13" s="62" t="s">
        <v>101</v>
      </c>
      <c r="F13" s="260" t="s">
        <v>37</v>
      </c>
      <c r="G13" s="236">
        <v>5757</v>
      </c>
      <c r="H13" s="236">
        <v>6606</v>
      </c>
      <c r="I13" s="238">
        <v>62.457599999999999</v>
      </c>
      <c r="J13" s="238">
        <v>64.840299999999999</v>
      </c>
      <c r="K13" s="312"/>
      <c r="L13" s="312"/>
      <c r="M13" s="312"/>
      <c r="N13" s="236">
        <v>619.89</v>
      </c>
      <c r="O13" s="236">
        <v>787283.53</v>
      </c>
      <c r="P13" s="243">
        <v>147615.66</v>
      </c>
      <c r="Q13" s="243">
        <v>118092.53</v>
      </c>
      <c r="R13" s="244">
        <v>0.15</v>
      </c>
      <c r="S13" s="243">
        <v>29523.13</v>
      </c>
      <c r="T13" s="286">
        <v>3.7499999999999999E-2</v>
      </c>
    </row>
    <row r="14" spans="1:20" x14ac:dyDescent="0.25">
      <c r="A14" s="577" t="s">
        <v>28</v>
      </c>
      <c r="B14" s="578" t="s">
        <v>176</v>
      </c>
      <c r="C14" s="260" t="s">
        <v>29</v>
      </c>
      <c r="D14" s="268" t="s">
        <v>21</v>
      </c>
      <c r="E14" s="260" t="s">
        <v>98</v>
      </c>
      <c r="F14" s="260" t="s">
        <v>56</v>
      </c>
      <c r="G14" s="236">
        <v>19810.7</v>
      </c>
      <c r="H14" s="236">
        <v>17721.79</v>
      </c>
      <c r="I14" s="238">
        <v>2.6775000000000002</v>
      </c>
      <c r="J14" s="238">
        <v>2.6775000000000002</v>
      </c>
      <c r="K14" s="312"/>
      <c r="L14" s="312"/>
      <c r="M14" s="312"/>
      <c r="N14" s="236">
        <v>660.97</v>
      </c>
      <c r="O14" s="236">
        <v>99832.26999999999</v>
      </c>
      <c r="P14" s="243">
        <v>18718.55</v>
      </c>
      <c r="Q14" s="243">
        <v>14974.84</v>
      </c>
      <c r="R14" s="244">
        <v>0.15</v>
      </c>
      <c r="S14" s="243">
        <v>3743.7099999999991</v>
      </c>
      <c r="T14" s="286">
        <v>3.7499999999999999E-2</v>
      </c>
    </row>
    <row r="15" spans="1:20" x14ac:dyDescent="0.25">
      <c r="A15" s="409" t="s">
        <v>28</v>
      </c>
      <c r="B15" s="410" t="s">
        <v>4</v>
      </c>
      <c r="C15" s="62" t="s">
        <v>31</v>
      </c>
      <c r="D15" s="28" t="s">
        <v>30</v>
      </c>
      <c r="E15" s="62" t="s">
        <v>101</v>
      </c>
      <c r="F15" s="260" t="s">
        <v>37</v>
      </c>
      <c r="G15" s="236">
        <v>9096</v>
      </c>
      <c r="H15" s="236">
        <v>8483</v>
      </c>
      <c r="I15" s="238">
        <v>61.109699999999997</v>
      </c>
      <c r="J15" s="237">
        <v>63.819699999999997</v>
      </c>
      <c r="K15" s="312"/>
      <c r="L15" s="312"/>
      <c r="M15" s="312"/>
      <c r="N15" s="236">
        <v>440.65</v>
      </c>
      <c r="O15" s="236">
        <v>1096795.7000000002</v>
      </c>
      <c r="P15" s="243">
        <v>205649.19</v>
      </c>
      <c r="Q15" s="243">
        <v>164519.35999999999</v>
      </c>
      <c r="R15" s="244">
        <v>0.15</v>
      </c>
      <c r="S15" s="243">
        <v>41129.839999999997</v>
      </c>
      <c r="T15" s="286">
        <v>3.7499999999999999E-2</v>
      </c>
    </row>
    <row r="16" spans="1:20" x14ac:dyDescent="0.25">
      <c r="A16" s="409" t="s">
        <v>28</v>
      </c>
      <c r="B16" s="410" t="s">
        <v>5</v>
      </c>
      <c r="C16" s="62" t="s">
        <v>31</v>
      </c>
      <c r="D16" s="28" t="s">
        <v>30</v>
      </c>
      <c r="E16" s="62" t="s">
        <v>101</v>
      </c>
      <c r="F16" s="260" t="s">
        <v>37</v>
      </c>
      <c r="G16" s="236">
        <v>25738</v>
      </c>
      <c r="H16" s="236">
        <v>27125</v>
      </c>
      <c r="I16" s="238">
        <v>61.109699999999997</v>
      </c>
      <c r="J16" s="237">
        <v>63.819699999999997</v>
      </c>
      <c r="K16" s="312"/>
      <c r="L16" s="312"/>
      <c r="M16" s="312"/>
      <c r="N16" s="236">
        <v>1138.96</v>
      </c>
      <c r="O16" s="236">
        <v>3302811.8600000003</v>
      </c>
      <c r="P16" s="243">
        <v>619277.22</v>
      </c>
      <c r="Q16" s="243">
        <v>495421.78</v>
      </c>
      <c r="R16" s="244">
        <v>0.15</v>
      </c>
      <c r="S16" s="243">
        <v>123855.44</v>
      </c>
      <c r="T16" s="286">
        <v>3.7499999999999999E-2</v>
      </c>
    </row>
    <row r="17" spans="1:20" s="307" customFormat="1" x14ac:dyDescent="0.25">
      <c r="A17" s="26" t="s">
        <v>28</v>
      </c>
      <c r="B17" s="27" t="s">
        <v>331</v>
      </c>
      <c r="C17" s="62" t="s">
        <v>31</v>
      </c>
      <c r="D17" s="28" t="s">
        <v>30</v>
      </c>
      <c r="E17" s="62" t="s">
        <v>101</v>
      </c>
      <c r="F17" s="260" t="s">
        <v>37</v>
      </c>
      <c r="G17" s="236">
        <v>4617.59</v>
      </c>
      <c r="H17" s="236">
        <v>19801.04</v>
      </c>
      <c r="I17" s="238">
        <v>6.2396000000000003</v>
      </c>
      <c r="J17" s="237">
        <v>6.2396000000000003</v>
      </c>
      <c r="K17" s="312"/>
      <c r="L17" s="312"/>
      <c r="M17" s="312"/>
      <c r="N17" s="236"/>
      <c r="O17" s="236">
        <v>152362.48000000001</v>
      </c>
      <c r="P17" s="243">
        <v>28567.97</v>
      </c>
      <c r="Q17" s="243">
        <v>22854.37</v>
      </c>
      <c r="R17" s="244">
        <v>0.15</v>
      </c>
      <c r="S17" s="243">
        <v>5713.59</v>
      </c>
      <c r="T17" s="286">
        <v>3.7499999999999999E-2</v>
      </c>
    </row>
    <row r="18" spans="1:20" x14ac:dyDescent="0.25">
      <c r="A18" s="409" t="s">
        <v>28</v>
      </c>
      <c r="B18" s="410" t="s">
        <v>17</v>
      </c>
      <c r="C18" s="62" t="s">
        <v>29</v>
      </c>
      <c r="D18" s="28" t="s">
        <v>21</v>
      </c>
      <c r="E18" s="62" t="s">
        <v>98</v>
      </c>
      <c r="F18" s="260" t="s">
        <v>37</v>
      </c>
      <c r="G18" s="312"/>
      <c r="H18" s="236">
        <v>2430</v>
      </c>
      <c r="I18" s="237"/>
      <c r="J18" s="238">
        <v>62.600200000000001</v>
      </c>
      <c r="K18" s="312"/>
      <c r="L18" s="312"/>
      <c r="M18" s="312"/>
      <c r="N18" s="236">
        <v>522.79999999999995</v>
      </c>
      <c r="O18" s="245">
        <v>151595.69</v>
      </c>
      <c r="P18" s="243">
        <v>28424.19</v>
      </c>
      <c r="Q18" s="243">
        <v>22739.35</v>
      </c>
      <c r="R18" s="244">
        <v>0.15</v>
      </c>
      <c r="S18" s="243">
        <v>5684.84</v>
      </c>
      <c r="T18" s="286">
        <v>3.7499999999999999E-2</v>
      </c>
    </row>
    <row r="19" spans="1:20" x14ac:dyDescent="0.25">
      <c r="A19" s="409" t="s">
        <v>28</v>
      </c>
      <c r="B19" s="410" t="s">
        <v>6</v>
      </c>
      <c r="C19" s="62" t="s">
        <v>31</v>
      </c>
      <c r="D19" s="28" t="s">
        <v>30</v>
      </c>
      <c r="E19" s="62" t="s">
        <v>101</v>
      </c>
      <c r="F19" s="260" t="s">
        <v>37</v>
      </c>
      <c r="G19" s="236">
        <v>48597</v>
      </c>
      <c r="H19" s="236">
        <v>56844</v>
      </c>
      <c r="I19" s="238">
        <v>60.559699999999999</v>
      </c>
      <c r="J19" s="237">
        <v>63.2697</v>
      </c>
      <c r="K19" s="312"/>
      <c r="L19" s="312"/>
      <c r="M19" s="312"/>
      <c r="N19" s="236">
        <v>3174.15</v>
      </c>
      <c r="O19" s="245">
        <v>6536348.4199999999</v>
      </c>
      <c r="P19" s="243">
        <v>1225565.33</v>
      </c>
      <c r="Q19" s="243">
        <v>980452.26</v>
      </c>
      <c r="R19" s="244">
        <v>0.15</v>
      </c>
      <c r="S19" s="243">
        <v>245113.07</v>
      </c>
      <c r="T19" s="286">
        <v>3.7499999999999999E-2</v>
      </c>
    </row>
    <row r="20" spans="1:20" x14ac:dyDescent="0.25">
      <c r="A20" s="409" t="s">
        <v>28</v>
      </c>
      <c r="B20" s="216"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409" t="s">
        <v>28</v>
      </c>
      <c r="B21" s="410" t="s">
        <v>7</v>
      </c>
      <c r="C21" s="62" t="s">
        <v>31</v>
      </c>
      <c r="D21" s="28" t="s">
        <v>30</v>
      </c>
      <c r="E21" s="62" t="s">
        <v>101</v>
      </c>
      <c r="F21" s="260" t="s">
        <v>56</v>
      </c>
      <c r="G21" s="312">
        <v>53815.14</v>
      </c>
      <c r="H21" s="312">
        <v>59887.54</v>
      </c>
      <c r="I21" s="237">
        <v>2.3087</v>
      </c>
      <c r="J21" s="349">
        <v>2.3087</v>
      </c>
      <c r="K21" s="312"/>
      <c r="L21" s="312"/>
      <c r="M21" s="312"/>
      <c r="N21" s="312">
        <v>743.13</v>
      </c>
      <c r="O21" s="245">
        <v>261762.24</v>
      </c>
      <c r="P21" s="243">
        <v>49080.42</v>
      </c>
      <c r="Q21" s="243">
        <v>39264.339999999997</v>
      </c>
      <c r="R21" s="244">
        <v>0.15</v>
      </c>
      <c r="S21" s="243">
        <v>9816.08</v>
      </c>
      <c r="T21" s="286">
        <v>3.7499999999999999E-2</v>
      </c>
    </row>
    <row r="22" spans="1:20" x14ac:dyDescent="0.25">
      <c r="A22" s="409" t="s">
        <v>28</v>
      </c>
      <c r="B22" s="410" t="s">
        <v>18</v>
      </c>
      <c r="C22" s="62" t="s">
        <v>31</v>
      </c>
      <c r="D22" s="28" t="s">
        <v>30</v>
      </c>
      <c r="E22" s="62" t="s">
        <v>101</v>
      </c>
      <c r="F22" s="260" t="s">
        <v>37</v>
      </c>
      <c r="G22" s="312">
        <v>1833</v>
      </c>
      <c r="H22" s="236">
        <v>2703</v>
      </c>
      <c r="I22" s="237">
        <v>61.109699999999997</v>
      </c>
      <c r="J22" s="237">
        <v>63.819699999999997</v>
      </c>
      <c r="K22" s="312"/>
      <c r="L22" s="312"/>
      <c r="M22" s="312"/>
      <c r="N22" s="236">
        <v>257.67</v>
      </c>
      <c r="O22" s="245">
        <v>284261.06</v>
      </c>
      <c r="P22" s="243">
        <v>53298.95</v>
      </c>
      <c r="Q22" s="243">
        <v>42639.16</v>
      </c>
      <c r="R22" s="244">
        <v>0.15</v>
      </c>
      <c r="S22" s="243">
        <v>10659.79</v>
      </c>
      <c r="T22" s="286">
        <v>3.7499999999999999E-2</v>
      </c>
    </row>
    <row r="23" spans="1:20" x14ac:dyDescent="0.25">
      <c r="A23" s="409" t="s">
        <v>28</v>
      </c>
      <c r="B23" s="216" t="s">
        <v>20</v>
      </c>
      <c r="C23" s="62" t="s">
        <v>31</v>
      </c>
      <c r="D23" s="28" t="s">
        <v>30</v>
      </c>
      <c r="E23" s="62" t="s">
        <v>101</v>
      </c>
      <c r="F23" s="260" t="s">
        <v>37</v>
      </c>
      <c r="G23" s="312">
        <v>174327</v>
      </c>
      <c r="H23" s="312">
        <v>174698</v>
      </c>
      <c r="I23" s="237">
        <v>61.109699999999997</v>
      </c>
      <c r="J23" s="238">
        <v>63.819699999999997</v>
      </c>
      <c r="K23" s="312"/>
      <c r="L23" s="312"/>
      <c r="M23" s="312"/>
      <c r="N23" s="236">
        <v>3973.29</v>
      </c>
      <c r="O23" s="245">
        <v>21798271.329999998</v>
      </c>
      <c r="P23" s="243">
        <v>4087175.87</v>
      </c>
      <c r="Q23" s="243">
        <v>3269740.7</v>
      </c>
      <c r="R23" s="244">
        <v>0.15</v>
      </c>
      <c r="S23" s="243">
        <v>817435.17</v>
      </c>
      <c r="T23" s="286">
        <v>3.7499999999999999E-2</v>
      </c>
    </row>
    <row r="24" spans="1:20" x14ac:dyDescent="0.25">
      <c r="A24" s="409" t="s">
        <v>28</v>
      </c>
      <c r="B24" s="410" t="s">
        <v>8</v>
      </c>
      <c r="C24" s="62" t="s">
        <v>31</v>
      </c>
      <c r="D24" s="28" t="s">
        <v>21</v>
      </c>
      <c r="E24" s="62" t="s">
        <v>101</v>
      </c>
      <c r="F24" s="260" t="s">
        <v>56</v>
      </c>
      <c r="G24" s="312">
        <v>248425.76</v>
      </c>
      <c r="H24" s="312">
        <v>250758.1</v>
      </c>
      <c r="I24" s="237">
        <v>1.9100999999999999</v>
      </c>
      <c r="J24" s="363">
        <v>1.9100999999999999</v>
      </c>
      <c r="K24" s="312"/>
      <c r="L24" s="312"/>
      <c r="M24" s="312"/>
      <c r="N24" s="236">
        <v>784.2</v>
      </c>
      <c r="O24" s="245">
        <v>952706.89</v>
      </c>
      <c r="P24" s="243">
        <v>178632.54</v>
      </c>
      <c r="Q24" s="243">
        <v>142906.03</v>
      </c>
      <c r="R24" s="244">
        <v>0.15</v>
      </c>
      <c r="S24" s="243">
        <v>35726.51</v>
      </c>
      <c r="T24" s="286">
        <v>3.7499999999999999E-2</v>
      </c>
    </row>
    <row r="25" spans="1:20" x14ac:dyDescent="0.25">
      <c r="A25" s="409" t="s">
        <v>28</v>
      </c>
      <c r="B25" s="216" t="s">
        <v>57</v>
      </c>
      <c r="C25" s="62" t="s">
        <v>31</v>
      </c>
      <c r="D25" s="28" t="s">
        <v>21</v>
      </c>
      <c r="E25" s="62" t="s">
        <v>101</v>
      </c>
      <c r="F25" s="260" t="s">
        <v>37</v>
      </c>
      <c r="G25" s="312"/>
      <c r="H25" s="312"/>
      <c r="I25" s="237"/>
      <c r="J25" s="237"/>
      <c r="K25" s="312"/>
      <c r="L25" s="312"/>
      <c r="M25" s="312"/>
      <c r="N25" s="312"/>
      <c r="O25" s="245">
        <v>0</v>
      </c>
      <c r="P25" s="243">
        <v>0</v>
      </c>
      <c r="Q25" s="243">
        <v>0</v>
      </c>
      <c r="R25" s="244">
        <v>0.15</v>
      </c>
      <c r="S25" s="243">
        <v>0</v>
      </c>
      <c r="T25" s="286">
        <v>3.7499999999999999E-2</v>
      </c>
    </row>
    <row r="26" spans="1:20" x14ac:dyDescent="0.25">
      <c r="A26" s="409" t="s">
        <v>28</v>
      </c>
      <c r="B26" s="410" t="s">
        <v>9</v>
      </c>
      <c r="C26" s="62" t="s">
        <v>31</v>
      </c>
      <c r="D26" s="28" t="s">
        <v>30</v>
      </c>
      <c r="E26" s="62" t="s">
        <v>101</v>
      </c>
      <c r="F26" s="260" t="s">
        <v>37</v>
      </c>
      <c r="G26" s="312">
        <v>459</v>
      </c>
      <c r="H26" s="312">
        <v>456</v>
      </c>
      <c r="I26" s="237">
        <v>62.323099999999997</v>
      </c>
      <c r="J26" s="238">
        <v>64.560599999999994</v>
      </c>
      <c r="K26" s="312"/>
      <c r="L26" s="312"/>
      <c r="M26" s="312"/>
      <c r="N26" s="312">
        <v>280.07</v>
      </c>
      <c r="O26" s="245">
        <v>57765.86</v>
      </c>
      <c r="P26" s="243">
        <v>10831.1</v>
      </c>
      <c r="Q26" s="243">
        <v>8664.8799999999992</v>
      </c>
      <c r="R26" s="244">
        <v>0.15</v>
      </c>
      <c r="S26" s="243">
        <v>2166.2199999999998</v>
      </c>
      <c r="T26" s="286">
        <v>3.7499999999999999E-2</v>
      </c>
    </row>
    <row r="27" spans="1:20" x14ac:dyDescent="0.25">
      <c r="A27" s="409" t="s">
        <v>28</v>
      </c>
      <c r="B27" s="216" t="s">
        <v>168</v>
      </c>
      <c r="C27" s="62" t="s">
        <v>31</v>
      </c>
      <c r="D27" s="28" t="s">
        <v>30</v>
      </c>
      <c r="E27" s="62" t="s">
        <v>101</v>
      </c>
      <c r="F27" s="260" t="s">
        <v>37</v>
      </c>
      <c r="G27" s="236">
        <v>12736</v>
      </c>
      <c r="H27" s="236">
        <v>18854</v>
      </c>
      <c r="I27" s="363">
        <v>59.079700000000003</v>
      </c>
      <c r="J27" s="238">
        <v>61.789700000000003</v>
      </c>
      <c r="K27" s="312"/>
      <c r="L27" s="312"/>
      <c r="M27" s="312"/>
      <c r="N27" s="236">
        <v>2670.02</v>
      </c>
      <c r="O27" s="245">
        <v>1914752.04</v>
      </c>
      <c r="P27" s="243">
        <v>359016.01</v>
      </c>
      <c r="Q27" s="243">
        <v>287212.81</v>
      </c>
      <c r="R27" s="244">
        <v>0.15</v>
      </c>
      <c r="S27" s="243">
        <v>71803.199999999997</v>
      </c>
      <c r="T27" s="286">
        <v>3.7499999999999999E-2</v>
      </c>
    </row>
    <row r="28" spans="1:20" x14ac:dyDescent="0.25">
      <c r="A28" s="409" t="s">
        <v>28</v>
      </c>
      <c r="B28" s="216"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x14ac:dyDescent="0.25">
      <c r="A29" s="409" t="s">
        <v>28</v>
      </c>
      <c r="B29" s="216" t="s">
        <v>318</v>
      </c>
      <c r="C29" s="62" t="s">
        <v>31</v>
      </c>
      <c r="D29" s="28" t="s">
        <v>30</v>
      </c>
      <c r="E29" s="62" t="s">
        <v>101</v>
      </c>
      <c r="F29" s="260" t="s">
        <v>56</v>
      </c>
      <c r="G29" s="236">
        <v>137883.68</v>
      </c>
      <c r="H29" s="312">
        <v>159849.21</v>
      </c>
      <c r="I29" s="237">
        <v>1.5</v>
      </c>
      <c r="J29" s="237">
        <v>1.5</v>
      </c>
      <c r="K29" s="312"/>
      <c r="L29" s="312"/>
      <c r="M29" s="312"/>
      <c r="N29" s="236">
        <v>1109.08</v>
      </c>
      <c r="O29" s="245">
        <v>445490.25999999995</v>
      </c>
      <c r="P29" s="243">
        <v>83529.42</v>
      </c>
      <c r="Q29" s="243">
        <v>66823.539999999994</v>
      </c>
      <c r="R29" s="244">
        <v>0.15</v>
      </c>
      <c r="S29" s="243">
        <v>16705.88</v>
      </c>
      <c r="T29" s="286">
        <v>3.7499999999999999E-2</v>
      </c>
    </row>
    <row r="30" spans="1:20" x14ac:dyDescent="0.25">
      <c r="A30" s="409" t="s">
        <v>28</v>
      </c>
      <c r="B30" s="216" t="s">
        <v>319</v>
      </c>
      <c r="C30" s="62" t="s">
        <v>31</v>
      </c>
      <c r="D30" s="28" t="s">
        <v>30</v>
      </c>
      <c r="E30" s="62" t="s">
        <v>101</v>
      </c>
      <c r="F30" s="260" t="s">
        <v>56</v>
      </c>
      <c r="G30" s="236">
        <v>94055.21</v>
      </c>
      <c r="H30" s="312">
        <v>73010.58</v>
      </c>
      <c r="I30" s="237">
        <v>3.3125</v>
      </c>
      <c r="J30" s="237">
        <v>3.4226000000000001</v>
      </c>
      <c r="K30" s="312"/>
      <c r="L30" s="312"/>
      <c r="M30" s="312"/>
      <c r="N30" s="236"/>
      <c r="O30" s="245">
        <v>561443.89</v>
      </c>
      <c r="P30" s="243">
        <v>105270.73</v>
      </c>
      <c r="Q30" s="243">
        <v>84216.58</v>
      </c>
      <c r="R30" s="244">
        <v>0.15</v>
      </c>
      <c r="S30" s="243">
        <v>21054.15</v>
      </c>
      <c r="T30" s="286">
        <v>3.7499999999999999E-2</v>
      </c>
    </row>
    <row r="31" spans="1:20" s="307" customFormat="1" x14ac:dyDescent="0.25">
      <c r="A31" s="26" t="s">
        <v>28</v>
      </c>
      <c r="B31" s="29" t="s">
        <v>323</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s="307" customFormat="1"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s="307" customFormat="1" x14ac:dyDescent="0.25">
      <c r="A33" s="26" t="s">
        <v>28</v>
      </c>
      <c r="B33" s="29" t="s">
        <v>336</v>
      </c>
      <c r="C33" s="62" t="s">
        <v>31</v>
      </c>
      <c r="D33" s="28" t="s">
        <v>30</v>
      </c>
      <c r="E33" s="62" t="s">
        <v>101</v>
      </c>
      <c r="F33" s="260" t="s">
        <v>56</v>
      </c>
      <c r="G33" s="236">
        <v>5608.97</v>
      </c>
      <c r="H33" s="312">
        <v>7684.5</v>
      </c>
      <c r="I33" s="237">
        <v>3.14</v>
      </c>
      <c r="J33" s="237">
        <v>3.14</v>
      </c>
      <c r="K33" s="312"/>
      <c r="L33" s="312"/>
      <c r="M33" s="312"/>
      <c r="N33" s="236"/>
      <c r="O33" s="245">
        <v>41741.5</v>
      </c>
      <c r="P33" s="243">
        <v>7826.53</v>
      </c>
      <c r="Q33" s="243">
        <v>6261.23</v>
      </c>
      <c r="R33" s="244">
        <v>0.15</v>
      </c>
      <c r="S33" s="243">
        <v>1565.31</v>
      </c>
      <c r="T33" s="286">
        <v>3.7499999999999999E-2</v>
      </c>
    </row>
    <row r="34" spans="1:20" x14ac:dyDescent="0.25">
      <c r="A34" s="409" t="s">
        <v>28</v>
      </c>
      <c r="B34" s="410" t="s">
        <v>15</v>
      </c>
      <c r="C34" s="62" t="s">
        <v>29</v>
      </c>
      <c r="D34" s="28" t="s">
        <v>21</v>
      </c>
      <c r="E34" s="62" t="s">
        <v>98</v>
      </c>
      <c r="F34" s="260" t="s">
        <v>37</v>
      </c>
      <c r="G34" s="312"/>
      <c r="H34" s="236">
        <v>174810</v>
      </c>
      <c r="I34" s="237"/>
      <c r="J34" s="238">
        <v>65.328599999999994</v>
      </c>
      <c r="K34" s="312"/>
      <c r="L34" s="312"/>
      <c r="M34" s="312"/>
      <c r="N34" s="236">
        <v>858.89</v>
      </c>
      <c r="O34" s="245">
        <v>11419233.68</v>
      </c>
      <c r="P34" s="243">
        <v>2141106.3199999998</v>
      </c>
      <c r="Q34" s="243">
        <v>1712885.05</v>
      </c>
      <c r="R34" s="244">
        <v>0.15</v>
      </c>
      <c r="S34" s="243">
        <v>428221.26</v>
      </c>
      <c r="T34" s="286">
        <v>3.7499999999999999E-2</v>
      </c>
    </row>
    <row r="35" spans="1:20" x14ac:dyDescent="0.25">
      <c r="A35" s="409" t="s">
        <v>28</v>
      </c>
      <c r="B35" s="410" t="s">
        <v>16</v>
      </c>
      <c r="C35" s="62" t="s">
        <v>29</v>
      </c>
      <c r="D35" s="28" t="s">
        <v>21</v>
      </c>
      <c r="E35" s="62" t="s">
        <v>98</v>
      </c>
      <c r="F35" s="260" t="s">
        <v>56</v>
      </c>
      <c r="G35" s="312"/>
      <c r="H35" s="236">
        <v>196322.46</v>
      </c>
      <c r="I35" s="237"/>
      <c r="J35" s="221">
        <v>6.0923999999999996</v>
      </c>
      <c r="K35" s="312"/>
      <c r="L35" s="312"/>
      <c r="M35" s="312"/>
      <c r="N35" s="236">
        <v>754.33</v>
      </c>
      <c r="O35" s="245">
        <v>1195320.6299999999</v>
      </c>
      <c r="P35" s="243">
        <v>224122.62</v>
      </c>
      <c r="Q35" s="243">
        <v>179298.09</v>
      </c>
      <c r="R35" s="244">
        <v>0.15</v>
      </c>
      <c r="S35" s="243">
        <v>44824.52</v>
      </c>
      <c r="T35" s="286">
        <v>3.7499999999999999E-2</v>
      </c>
    </row>
    <row r="36" spans="1:20" x14ac:dyDescent="0.25">
      <c r="A36" s="409" t="s">
        <v>28</v>
      </c>
      <c r="B36" s="410" t="s">
        <v>173</v>
      </c>
      <c r="C36" s="62" t="s">
        <v>31</v>
      </c>
      <c r="D36" s="28" t="s">
        <v>30</v>
      </c>
      <c r="E36" s="62" t="s">
        <v>101</v>
      </c>
      <c r="F36" s="260" t="s">
        <v>37</v>
      </c>
      <c r="G36" s="312">
        <v>250</v>
      </c>
      <c r="H36" s="236">
        <v>248</v>
      </c>
      <c r="I36" s="238">
        <v>61.109699999999997</v>
      </c>
      <c r="J36" s="238">
        <v>63.819699999999997</v>
      </c>
      <c r="K36" s="312"/>
      <c r="L36" s="312"/>
      <c r="M36" s="312"/>
      <c r="N36" s="236">
        <v>164.31</v>
      </c>
      <c r="O36" s="245">
        <v>30940.41</v>
      </c>
      <c r="P36" s="243">
        <v>5801.33</v>
      </c>
      <c r="Q36" s="243">
        <v>1160.27</v>
      </c>
      <c r="R36" s="286">
        <v>3.7499999999999999E-2</v>
      </c>
      <c r="S36" s="243">
        <v>4641.0600000000004</v>
      </c>
      <c r="T36" s="244">
        <v>0.15</v>
      </c>
    </row>
    <row r="37" spans="1:20" x14ac:dyDescent="0.25">
      <c r="A37" s="409"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409"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579" t="s">
        <v>28</v>
      </c>
      <c r="B39" s="578" t="s">
        <v>174</v>
      </c>
      <c r="C39" s="260" t="s">
        <v>29</v>
      </c>
      <c r="D39" s="268" t="s">
        <v>21</v>
      </c>
      <c r="E39" s="260" t="s">
        <v>98</v>
      </c>
      <c r="F39" s="260" t="s">
        <v>37</v>
      </c>
      <c r="G39" s="236"/>
      <c r="H39" s="236">
        <v>27551</v>
      </c>
      <c r="I39" s="238"/>
      <c r="J39" s="238">
        <v>63.595199999999998</v>
      </c>
      <c r="K39" s="236"/>
      <c r="L39" s="312"/>
      <c r="M39" s="312"/>
      <c r="N39" s="236">
        <v>821.55</v>
      </c>
      <c r="O39" s="245">
        <v>1751289.81</v>
      </c>
      <c r="P39" s="243">
        <v>328366.84000000003</v>
      </c>
      <c r="Q39" s="243">
        <v>262693.46999999997</v>
      </c>
      <c r="R39" s="247">
        <v>0.15</v>
      </c>
      <c r="S39" s="243">
        <v>65673.37</v>
      </c>
      <c r="T39" s="286">
        <v>3.7499999999999999E-2</v>
      </c>
    </row>
    <row r="40" spans="1:20" x14ac:dyDescent="0.25">
      <c r="A40" s="579"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579" t="s">
        <v>28</v>
      </c>
      <c r="B41" s="580" t="s">
        <v>52</v>
      </c>
      <c r="C41" s="61"/>
      <c r="D41" s="61"/>
      <c r="E41" s="31"/>
      <c r="F41" s="269"/>
      <c r="G41" s="312"/>
      <c r="H41" s="312"/>
      <c r="I41" s="237"/>
      <c r="J41" s="237"/>
      <c r="K41" s="312"/>
      <c r="L41" s="312"/>
      <c r="M41" s="312"/>
      <c r="N41" s="312"/>
      <c r="O41" s="245">
        <v>-18718.589999999916</v>
      </c>
      <c r="P41" s="245">
        <v>-3509.72</v>
      </c>
      <c r="Q41" s="245">
        <v>-2807.7799999999888</v>
      </c>
      <c r="R41" s="275"/>
      <c r="S41" s="245">
        <v>-701.95000000000471</v>
      </c>
      <c r="T41" s="244"/>
    </row>
    <row r="42" spans="1:20" x14ac:dyDescent="0.25">
      <c r="A42" s="581"/>
      <c r="B42" s="582" t="s">
        <v>108</v>
      </c>
      <c r="C42" s="35" t="s">
        <v>343</v>
      </c>
      <c r="D42" s="43"/>
      <c r="E42" s="44"/>
      <c r="F42" s="270"/>
      <c r="G42" s="239"/>
      <c r="H42" s="239"/>
      <c r="I42" s="240"/>
      <c r="J42" s="240"/>
      <c r="K42" s="239"/>
      <c r="L42" s="239"/>
      <c r="M42" s="239"/>
      <c r="N42" s="239"/>
      <c r="O42" s="249">
        <v>54232234.951699995</v>
      </c>
      <c r="P42" s="250">
        <v>10168544.069999998</v>
      </c>
      <c r="Q42" s="251">
        <v>8131354.46</v>
      </c>
      <c r="R42" s="252"/>
      <c r="S42" s="253">
        <v>2037189.59</v>
      </c>
      <c r="T42" s="252"/>
    </row>
    <row r="43" spans="1:20" x14ac:dyDescent="0.25">
      <c r="A43" s="583"/>
      <c r="B43" s="584"/>
      <c r="C43" s="35" t="s">
        <v>344</v>
      </c>
      <c r="D43" s="148"/>
      <c r="E43" s="148"/>
      <c r="F43" s="149"/>
      <c r="G43" s="299"/>
      <c r="H43" s="299"/>
      <c r="I43" s="221"/>
      <c r="J43" s="221"/>
      <c r="K43" s="299"/>
      <c r="L43" s="299"/>
      <c r="M43" s="299"/>
      <c r="N43" s="299"/>
      <c r="O43" s="228"/>
      <c r="P43" s="229">
        <v>38101534.630000003</v>
      </c>
      <c r="Q43" s="495">
        <v>30468185.16</v>
      </c>
      <c r="R43" s="151"/>
      <c r="S43" s="494">
        <v>7633349.3899999997</v>
      </c>
      <c r="T43" s="172"/>
    </row>
    <row r="44" spans="1:20" x14ac:dyDescent="0.25">
      <c r="A44" s="568" t="s">
        <v>22</v>
      </c>
      <c r="B44" s="569"/>
      <c r="C44" s="63"/>
      <c r="D44" s="63"/>
      <c r="E44" s="20"/>
      <c r="F44" s="39"/>
      <c r="G44" s="241"/>
      <c r="H44" s="241"/>
      <c r="I44" s="242"/>
      <c r="J44" s="242"/>
      <c r="K44" s="241"/>
      <c r="L44" s="241"/>
      <c r="M44" s="241"/>
      <c r="N44" s="241"/>
      <c r="O44" s="254"/>
      <c r="P44" s="255"/>
      <c r="Q44" s="256" t="s">
        <v>49</v>
      </c>
      <c r="R44" s="234"/>
      <c r="S44" s="316"/>
      <c r="T44" s="317"/>
    </row>
    <row r="45" spans="1:20" x14ac:dyDescent="0.25">
      <c r="A45" s="579" t="s">
        <v>28</v>
      </c>
      <c r="B45" s="410"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579" t="s">
        <v>28</v>
      </c>
      <c r="B46" s="315">
        <v>131</v>
      </c>
      <c r="C46" s="62" t="s">
        <v>31</v>
      </c>
      <c r="D46" s="28" t="s">
        <v>30</v>
      </c>
      <c r="E46" s="62" t="s">
        <v>101</v>
      </c>
      <c r="F46" s="40" t="s">
        <v>37</v>
      </c>
      <c r="G46" s="236">
        <v>22006</v>
      </c>
      <c r="H46" s="236">
        <v>14420</v>
      </c>
      <c r="I46" s="238">
        <v>50.9071</v>
      </c>
      <c r="J46" s="238">
        <v>53.183399999999999</v>
      </c>
      <c r="K46" s="312"/>
      <c r="L46" s="312"/>
      <c r="M46" s="312"/>
      <c r="N46" s="236">
        <v>3308.5864999999999</v>
      </c>
      <c r="O46" s="245">
        <v>1883857.6835</v>
      </c>
      <c r="P46" s="243">
        <v>282578.65000000002</v>
      </c>
      <c r="Q46" s="243">
        <v>282578.65000000002</v>
      </c>
      <c r="R46" s="244">
        <v>0.15</v>
      </c>
      <c r="S46" s="248"/>
      <c r="T46" s="247"/>
    </row>
    <row r="47" spans="1:20" x14ac:dyDescent="0.25">
      <c r="A47" s="579" t="s">
        <v>28</v>
      </c>
      <c r="B47" s="580" t="s">
        <v>53</v>
      </c>
      <c r="C47" s="61"/>
      <c r="D47" s="61"/>
      <c r="E47" s="8"/>
      <c r="F47" s="235"/>
      <c r="G47" s="312"/>
      <c r="H47" s="312"/>
      <c r="I47" s="237"/>
      <c r="J47" s="237"/>
      <c r="K47" s="312"/>
      <c r="L47" s="312"/>
      <c r="M47" s="312"/>
      <c r="N47" s="312"/>
      <c r="O47" s="312"/>
      <c r="P47" s="312"/>
      <c r="Q47" s="312"/>
      <c r="R47" s="247"/>
      <c r="S47" s="312"/>
      <c r="T47" s="247"/>
    </row>
    <row r="48" spans="1:20" x14ac:dyDescent="0.25">
      <c r="A48" s="581"/>
      <c r="B48" s="582" t="s">
        <v>108</v>
      </c>
      <c r="C48" s="35" t="s">
        <v>345</v>
      </c>
      <c r="D48" s="43"/>
      <c r="E48" s="44"/>
      <c r="F48" s="43"/>
      <c r="G48" s="239"/>
      <c r="H48" s="239"/>
      <c r="I48" s="240"/>
      <c r="J48" s="240"/>
      <c r="K48" s="239"/>
      <c r="L48" s="239"/>
      <c r="M48" s="239"/>
      <c r="N48" s="239"/>
      <c r="O48" s="249">
        <v>1883857.6835</v>
      </c>
      <c r="P48" s="250">
        <v>282578.65000000002</v>
      </c>
      <c r="Q48" s="250">
        <v>282578.65000000002</v>
      </c>
      <c r="R48" s="252"/>
      <c r="S48" s="250">
        <v>0</v>
      </c>
      <c r="T48" s="252"/>
    </row>
    <row r="49" spans="1:20" x14ac:dyDescent="0.25">
      <c r="A49" s="583"/>
      <c r="B49" s="584"/>
      <c r="C49" s="35" t="s">
        <v>346</v>
      </c>
      <c r="D49" s="148"/>
      <c r="E49" s="148"/>
      <c r="F49" s="149"/>
      <c r="G49" s="299"/>
      <c r="H49" s="299"/>
      <c r="I49" s="221"/>
      <c r="J49" s="221"/>
      <c r="K49" s="299"/>
      <c r="L49" s="299"/>
      <c r="M49" s="299"/>
      <c r="N49" s="299"/>
      <c r="O49" s="228"/>
      <c r="P49" s="229">
        <v>1058822.2</v>
      </c>
      <c r="Q49" s="495">
        <v>1058822.2</v>
      </c>
      <c r="R49" s="151"/>
      <c r="S49" s="229">
        <v>0</v>
      </c>
      <c r="T49" s="151"/>
    </row>
    <row r="50" spans="1:20" x14ac:dyDescent="0.25">
      <c r="A50" s="568" t="s">
        <v>24</v>
      </c>
      <c r="B50" s="56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409" t="s">
        <v>28</v>
      </c>
      <c r="B51" s="216"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409" t="s">
        <v>28</v>
      </c>
      <c r="B52" s="585">
        <v>192</v>
      </c>
      <c r="C52" s="62" t="s">
        <v>29</v>
      </c>
      <c r="D52" s="62" t="s">
        <v>21</v>
      </c>
      <c r="E52" s="62" t="s">
        <v>98</v>
      </c>
      <c r="F52" s="261" t="s">
        <v>37</v>
      </c>
      <c r="G52" s="236"/>
      <c r="H52" s="236">
        <v>110701</v>
      </c>
      <c r="I52" s="238"/>
      <c r="J52" s="238">
        <v>59.396999999999998</v>
      </c>
      <c r="K52" s="236"/>
      <c r="L52" s="312"/>
      <c r="M52" s="312">
        <v>924606.02</v>
      </c>
      <c r="N52" s="312"/>
      <c r="O52" s="245">
        <v>5650701.2799999993</v>
      </c>
      <c r="P52" s="281">
        <v>1059506.49</v>
      </c>
      <c r="Q52" s="243">
        <v>847605.19</v>
      </c>
      <c r="R52" s="244">
        <v>0.15</v>
      </c>
      <c r="S52" s="243">
        <v>211901.3</v>
      </c>
      <c r="T52" s="286">
        <v>3.7499999999999999E-2</v>
      </c>
    </row>
    <row r="53" spans="1:20" x14ac:dyDescent="0.25">
      <c r="A53" s="409"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409"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409" t="s">
        <v>28</v>
      </c>
      <c r="B55" s="410"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409" t="s">
        <v>28</v>
      </c>
      <c r="B56" s="410" t="s">
        <v>12</v>
      </c>
      <c r="C56" s="62" t="s">
        <v>31</v>
      </c>
      <c r="D56" s="62" t="s">
        <v>30</v>
      </c>
      <c r="E56" s="62" t="s">
        <v>101</v>
      </c>
      <c r="F56" s="262" t="s">
        <v>56</v>
      </c>
      <c r="G56" s="236">
        <v>840.2</v>
      </c>
      <c r="H56" s="236">
        <v>3748.05</v>
      </c>
      <c r="I56" s="238">
        <v>3.6507999999999998</v>
      </c>
      <c r="J56" s="238">
        <v>3.6507999999999998</v>
      </c>
      <c r="K56" s="312"/>
      <c r="L56" s="312"/>
      <c r="M56" s="312"/>
      <c r="N56" s="236">
        <v>414.51</v>
      </c>
      <c r="O56" s="245">
        <v>16336.269999999999</v>
      </c>
      <c r="P56" s="243">
        <v>3063.05</v>
      </c>
      <c r="Q56" s="243">
        <v>612.61</v>
      </c>
      <c r="R56" s="286">
        <v>3.7499999999999999E-2</v>
      </c>
      <c r="S56" s="243">
        <v>2450.44</v>
      </c>
      <c r="T56" s="244">
        <v>0.15</v>
      </c>
    </row>
    <row r="57" spans="1:20" x14ac:dyDescent="0.25">
      <c r="A57" s="409" t="s">
        <v>28</v>
      </c>
      <c r="B57" s="216" t="s">
        <v>75</v>
      </c>
      <c r="C57" s="62" t="s">
        <v>31</v>
      </c>
      <c r="D57" s="62" t="s">
        <v>30</v>
      </c>
      <c r="E57" s="62" t="s">
        <v>103</v>
      </c>
      <c r="F57" s="261" t="s">
        <v>37</v>
      </c>
      <c r="G57" s="236">
        <v>6205</v>
      </c>
      <c r="H57" s="236">
        <v>5784</v>
      </c>
      <c r="I57" s="238">
        <v>48.832099999999997</v>
      </c>
      <c r="J57" s="238">
        <v>49.669400000000003</v>
      </c>
      <c r="K57" s="312"/>
      <c r="L57" s="312"/>
      <c r="M57" s="312"/>
      <c r="N57" s="312">
        <v>1878.3517999999999</v>
      </c>
      <c r="O57" s="245">
        <v>588412.63820000004</v>
      </c>
      <c r="P57" s="243">
        <v>110327.37</v>
      </c>
      <c r="Q57" s="243">
        <v>22065.47</v>
      </c>
      <c r="R57" s="286">
        <v>3.7499999999999999E-2</v>
      </c>
      <c r="S57" s="243">
        <v>88261.9</v>
      </c>
      <c r="T57" s="244">
        <v>0.15</v>
      </c>
    </row>
    <row r="58" spans="1:20" x14ac:dyDescent="0.25">
      <c r="A58" s="409" t="s">
        <v>28</v>
      </c>
      <c r="B58" s="216"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409" t="s">
        <v>28</v>
      </c>
      <c r="B59" s="585">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409" t="s">
        <v>28</v>
      </c>
      <c r="B60" s="585">
        <v>95</v>
      </c>
      <c r="C60" s="62" t="s">
        <v>31</v>
      </c>
      <c r="D60" s="62" t="s">
        <v>30</v>
      </c>
      <c r="E60" s="62" t="s">
        <v>101</v>
      </c>
      <c r="F60" s="261" t="s">
        <v>37</v>
      </c>
      <c r="G60" s="236">
        <v>108808</v>
      </c>
      <c r="H60" s="236">
        <v>111853</v>
      </c>
      <c r="I60" s="238">
        <v>49.9758</v>
      </c>
      <c r="J60" s="238">
        <v>50.306800000000003</v>
      </c>
      <c r="K60" s="236"/>
      <c r="L60" s="312"/>
      <c r="M60" s="312"/>
      <c r="N60" s="236">
        <v>4428.8765999999996</v>
      </c>
      <c r="O60" s="245">
        <v>11060304.4734</v>
      </c>
      <c r="P60" s="243">
        <v>2073807.09</v>
      </c>
      <c r="Q60" s="243">
        <v>1659045.6700000002</v>
      </c>
      <c r="R60" s="244">
        <v>0.15</v>
      </c>
      <c r="S60" s="243">
        <v>414761.42</v>
      </c>
      <c r="T60" s="286">
        <v>3.7499999999999999E-2</v>
      </c>
    </row>
    <row r="61" spans="1:20" x14ac:dyDescent="0.25">
      <c r="A61" s="409" t="s">
        <v>28</v>
      </c>
      <c r="B61" s="586">
        <v>67</v>
      </c>
      <c r="C61" s="62" t="s">
        <v>31</v>
      </c>
      <c r="D61" s="62" t="s">
        <v>30</v>
      </c>
      <c r="E61" s="62" t="s">
        <v>101</v>
      </c>
      <c r="F61" s="261" t="s">
        <v>37</v>
      </c>
      <c r="G61" s="236">
        <v>28668</v>
      </c>
      <c r="H61" s="236">
        <v>39580</v>
      </c>
      <c r="I61" s="238">
        <v>31.709900000000001</v>
      </c>
      <c r="J61" s="238">
        <v>33.387</v>
      </c>
      <c r="K61" s="236"/>
      <c r="L61" s="312"/>
      <c r="M61" s="312"/>
      <c r="N61" s="236">
        <v>3065.8597</v>
      </c>
      <c r="O61" s="245">
        <v>2227451.0103000002</v>
      </c>
      <c r="P61" s="243">
        <v>417647.06</v>
      </c>
      <c r="Q61" s="243">
        <v>334117.65000000002</v>
      </c>
      <c r="R61" s="244">
        <v>0.15</v>
      </c>
      <c r="S61" s="243">
        <v>83529.41</v>
      </c>
      <c r="T61" s="286">
        <v>3.7499999999999999E-2</v>
      </c>
    </row>
    <row r="62" spans="1:20" x14ac:dyDescent="0.25">
      <c r="A62" s="587" t="s">
        <v>28</v>
      </c>
      <c r="B62" s="580" t="s">
        <v>54</v>
      </c>
      <c r="C62" s="61"/>
      <c r="D62" s="31"/>
      <c r="E62" s="31"/>
      <c r="F62" s="263"/>
      <c r="G62" s="312"/>
      <c r="H62" s="312"/>
      <c r="I62" s="237"/>
      <c r="J62" s="237"/>
      <c r="K62" s="312"/>
      <c r="L62" s="312"/>
      <c r="M62" s="312"/>
      <c r="N62" s="312"/>
      <c r="O62" s="312"/>
      <c r="P62" s="312"/>
      <c r="Q62" s="312"/>
      <c r="R62" s="312"/>
      <c r="S62" s="312"/>
      <c r="T62" s="244"/>
    </row>
    <row r="63" spans="1:20" x14ac:dyDescent="0.25">
      <c r="A63" s="581"/>
      <c r="B63" s="582" t="s">
        <v>108</v>
      </c>
      <c r="C63" s="35" t="s">
        <v>347</v>
      </c>
      <c r="D63" s="22"/>
      <c r="E63" s="22"/>
      <c r="F63" s="279"/>
      <c r="G63" s="277"/>
      <c r="H63" s="277"/>
      <c r="I63" s="278"/>
      <c r="J63" s="265"/>
      <c r="K63" s="264"/>
      <c r="L63" s="264"/>
      <c r="M63" s="264"/>
      <c r="N63" s="249"/>
      <c r="O63" s="249">
        <v>19543205.6719</v>
      </c>
      <c r="P63" s="250">
        <v>3664351.06</v>
      </c>
      <c r="Q63" s="250">
        <v>2863446.59</v>
      </c>
      <c r="R63" s="266"/>
      <c r="S63" s="250">
        <v>800904.47000000009</v>
      </c>
      <c r="T63" s="252"/>
    </row>
    <row r="64" spans="1:20" x14ac:dyDescent="0.25">
      <c r="A64" s="588"/>
      <c r="B64" s="589"/>
      <c r="C64" s="35" t="s">
        <v>348</v>
      </c>
      <c r="D64" s="114"/>
      <c r="E64" s="114"/>
      <c r="F64" s="157"/>
      <c r="G64" s="227"/>
      <c r="H64" s="227"/>
      <c r="I64" s="224"/>
      <c r="J64" s="224"/>
      <c r="K64" s="227"/>
      <c r="L64" s="227"/>
      <c r="M64" s="227"/>
      <c r="N64" s="227"/>
      <c r="O64" s="230"/>
      <c r="P64" s="231">
        <v>13730323.42</v>
      </c>
      <c r="Q64" s="494">
        <v>10729334.369999999</v>
      </c>
      <c r="R64" s="172"/>
      <c r="S64" s="494">
        <v>3000989.05</v>
      </c>
      <c r="T64" s="160"/>
    </row>
    <row r="65" spans="1:20" x14ac:dyDescent="0.25">
      <c r="A65" s="568" t="s">
        <v>164</v>
      </c>
      <c r="B65" s="56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409" t="s">
        <v>28</v>
      </c>
      <c r="B66" s="410" t="s">
        <v>163</v>
      </c>
      <c r="C66" s="62" t="s">
        <v>31</v>
      </c>
      <c r="D66" s="62" t="s">
        <v>30</v>
      </c>
      <c r="E66" s="62" t="s">
        <v>161</v>
      </c>
      <c r="F66" s="261" t="s">
        <v>37</v>
      </c>
      <c r="G66" s="312">
        <v>584542</v>
      </c>
      <c r="H66" s="312">
        <v>682496</v>
      </c>
      <c r="I66" s="237">
        <v>40.0124</v>
      </c>
      <c r="J66" s="237">
        <v>39.436999999999998</v>
      </c>
      <c r="K66" s="312"/>
      <c r="L66" s="312"/>
      <c r="M66" s="312"/>
      <c r="N66" s="312"/>
      <c r="O66" s="245">
        <v>50304523.072799996</v>
      </c>
      <c r="P66" s="281">
        <v>18733404.390000001</v>
      </c>
      <c r="Q66" s="243">
        <v>9366702.1999999993</v>
      </c>
      <c r="R66" s="244">
        <v>0.5</v>
      </c>
      <c r="S66" s="243"/>
      <c r="T66" s="286"/>
    </row>
    <row r="67" spans="1:20" x14ac:dyDescent="0.25">
      <c r="A67" s="409" t="s">
        <v>28</v>
      </c>
      <c r="B67" s="410" t="s">
        <v>162</v>
      </c>
      <c r="C67" s="62" t="s">
        <v>31</v>
      </c>
      <c r="D67" s="62" t="s">
        <v>30</v>
      </c>
      <c r="E67" s="62" t="s">
        <v>161</v>
      </c>
      <c r="F67" s="262" t="s">
        <v>56</v>
      </c>
      <c r="G67" s="312">
        <v>5922794.3499999996</v>
      </c>
      <c r="H67" s="312">
        <v>8159835.71</v>
      </c>
      <c r="I67" s="237">
        <v>2.0074000000000001</v>
      </c>
      <c r="J67" s="237">
        <v>2.0074000000000001</v>
      </c>
      <c r="K67" s="312"/>
      <c r="L67" s="312"/>
      <c r="M67" s="312"/>
      <c r="N67" s="312"/>
      <c r="O67" s="245">
        <v>28269471.582444001</v>
      </c>
      <c r="P67" s="281">
        <v>10527551.220000001</v>
      </c>
      <c r="Q67" s="243">
        <v>5263775.6100000003</v>
      </c>
      <c r="R67" s="244">
        <v>0.5</v>
      </c>
      <c r="S67" s="243"/>
      <c r="T67" s="244"/>
    </row>
    <row r="68" spans="1:20" x14ac:dyDescent="0.25">
      <c r="A68" s="409" t="s">
        <v>28</v>
      </c>
      <c r="B68" s="410" t="s">
        <v>181</v>
      </c>
      <c r="C68" s="62" t="s">
        <v>31</v>
      </c>
      <c r="D68" s="62" t="s">
        <v>30</v>
      </c>
      <c r="E68" s="62" t="s">
        <v>161</v>
      </c>
      <c r="F68" s="262" t="s">
        <v>56</v>
      </c>
      <c r="G68" s="312">
        <v>15400.77</v>
      </c>
      <c r="H68" s="312">
        <v>18459.87</v>
      </c>
      <c r="I68" s="237">
        <v>2.7319</v>
      </c>
      <c r="J68" s="237">
        <v>2.7319</v>
      </c>
      <c r="K68" s="312"/>
      <c r="L68" s="312"/>
      <c r="M68" s="312"/>
      <c r="N68" s="312"/>
      <c r="O68" s="245">
        <v>92503.882415999993</v>
      </c>
      <c r="P68" s="281">
        <v>34448.449999999997</v>
      </c>
      <c r="Q68" s="243">
        <v>17224.23</v>
      </c>
      <c r="R68" s="244">
        <v>0.5</v>
      </c>
      <c r="S68" s="243"/>
      <c r="T68" s="244"/>
    </row>
    <row r="69" spans="1:20" ht="12" customHeight="1" x14ac:dyDescent="0.25">
      <c r="A69" s="590" t="s">
        <v>28</v>
      </c>
      <c r="B69" s="216" t="s">
        <v>182</v>
      </c>
      <c r="C69" s="62" t="s">
        <v>31</v>
      </c>
      <c r="D69" s="62" t="s">
        <v>30</v>
      </c>
      <c r="E69" s="62" t="s">
        <v>161</v>
      </c>
      <c r="F69" s="262" t="s">
        <v>56</v>
      </c>
      <c r="G69" s="312">
        <v>756204.8</v>
      </c>
      <c r="H69" s="312">
        <v>816198.27</v>
      </c>
      <c r="I69" s="237">
        <v>1.929</v>
      </c>
      <c r="J69" s="237">
        <v>2.7069999999999999</v>
      </c>
      <c r="K69" s="312"/>
      <c r="L69" s="312"/>
      <c r="M69" s="312"/>
      <c r="N69" s="312"/>
      <c r="O69" s="245">
        <v>3668167.7760899998</v>
      </c>
      <c r="P69" s="281">
        <v>1393903.75</v>
      </c>
      <c r="Q69" s="243">
        <v>696951.88</v>
      </c>
      <c r="R69" s="314">
        <v>0.5</v>
      </c>
      <c r="S69" s="243"/>
      <c r="T69" s="244"/>
    </row>
    <row r="70" spans="1:20" x14ac:dyDescent="0.25">
      <c r="A70" s="409" t="s">
        <v>28</v>
      </c>
      <c r="B70" s="216" t="s">
        <v>171</v>
      </c>
      <c r="C70" s="62" t="s">
        <v>31</v>
      </c>
      <c r="D70" s="62" t="s">
        <v>30</v>
      </c>
      <c r="E70" s="62" t="s">
        <v>161</v>
      </c>
      <c r="F70" s="261" t="s">
        <v>37</v>
      </c>
      <c r="G70" s="312">
        <v>204457</v>
      </c>
      <c r="H70" s="312">
        <v>305195</v>
      </c>
      <c r="I70" s="237">
        <v>39.939300000000003</v>
      </c>
      <c r="J70" s="237">
        <v>39.316499999999998</v>
      </c>
      <c r="K70" s="312"/>
      <c r="L70" s="312"/>
      <c r="M70" s="312"/>
      <c r="N70" s="312"/>
      <c r="O70" s="245">
        <v>20165068.6776</v>
      </c>
      <c r="P70" s="281">
        <v>8066027.4700000007</v>
      </c>
      <c r="Q70" s="243">
        <v>4033013.74</v>
      </c>
      <c r="R70" s="244">
        <v>0.5</v>
      </c>
      <c r="S70" s="243"/>
      <c r="T70" s="244"/>
    </row>
    <row r="71" spans="1:20" x14ac:dyDescent="0.25">
      <c r="A71" s="409" t="s">
        <v>28</v>
      </c>
      <c r="B71" s="216" t="s">
        <v>172</v>
      </c>
      <c r="C71" s="62" t="s">
        <v>31</v>
      </c>
      <c r="D71" s="62" t="s">
        <v>30</v>
      </c>
      <c r="E71" s="62" t="s">
        <v>161</v>
      </c>
      <c r="F71" s="261" t="s">
        <v>56</v>
      </c>
      <c r="G71" s="312">
        <v>3160917.05</v>
      </c>
      <c r="H71" s="312">
        <v>3640728.45</v>
      </c>
      <c r="I71" s="237">
        <v>1.929</v>
      </c>
      <c r="J71" s="237">
        <v>2.7069999999999999</v>
      </c>
      <c r="K71" s="312"/>
      <c r="L71" s="312"/>
      <c r="M71" s="312"/>
      <c r="N71" s="312"/>
      <c r="O71" s="245">
        <v>15952860.9036</v>
      </c>
      <c r="P71" s="281">
        <v>6062087.1500000004</v>
      </c>
      <c r="Q71" s="243">
        <v>3031043.58</v>
      </c>
      <c r="R71" s="244">
        <v>0.5</v>
      </c>
      <c r="S71" s="243"/>
      <c r="T71" s="244"/>
    </row>
    <row r="72" spans="1:20" x14ac:dyDescent="0.25">
      <c r="A72" s="409" t="s">
        <v>28</v>
      </c>
      <c r="B72" s="585" t="s">
        <v>177</v>
      </c>
      <c r="C72" s="62" t="s">
        <v>31</v>
      </c>
      <c r="D72" s="62" t="s">
        <v>30</v>
      </c>
      <c r="E72" s="62" t="s">
        <v>161</v>
      </c>
      <c r="F72" s="261" t="s">
        <v>56</v>
      </c>
      <c r="G72" s="312">
        <v>125217.25</v>
      </c>
      <c r="H72" s="312">
        <v>155652.97</v>
      </c>
      <c r="I72" s="237">
        <v>1.9367000000000001</v>
      </c>
      <c r="J72" s="237">
        <v>1.9367000000000001</v>
      </c>
      <c r="K72" s="236"/>
      <c r="L72" s="312"/>
      <c r="M72" s="312"/>
      <c r="N72" s="236"/>
      <c r="O72" s="245">
        <v>543961.35507400008</v>
      </c>
      <c r="P72" s="281">
        <v>202571.21</v>
      </c>
      <c r="Q72" s="243">
        <v>101285.61</v>
      </c>
      <c r="R72" s="244">
        <v>0.5</v>
      </c>
      <c r="S72" s="243"/>
      <c r="T72" s="286"/>
    </row>
    <row r="73" spans="1:20" x14ac:dyDescent="0.25">
      <c r="A73" s="409" t="s">
        <v>28</v>
      </c>
      <c r="B73" s="585" t="s">
        <v>179</v>
      </c>
      <c r="C73" s="62" t="s">
        <v>31</v>
      </c>
      <c r="D73" s="62" t="s">
        <v>30</v>
      </c>
      <c r="E73" s="62" t="s">
        <v>161</v>
      </c>
      <c r="F73" s="261" t="s">
        <v>37</v>
      </c>
      <c r="G73" s="312">
        <v>107514</v>
      </c>
      <c r="H73" s="312">
        <v>130155</v>
      </c>
      <c r="I73" s="237">
        <v>34.1922</v>
      </c>
      <c r="J73" s="237">
        <v>33.575000000000003</v>
      </c>
      <c r="K73" s="236"/>
      <c r="L73" s="312"/>
      <c r="M73" s="312"/>
      <c r="N73" s="236"/>
      <c r="O73" s="245">
        <v>8046094.3158</v>
      </c>
      <c r="P73" s="281">
        <v>482945.83608599997</v>
      </c>
      <c r="Q73" s="243">
        <v>241472.92</v>
      </c>
      <c r="R73" s="244">
        <v>0.5</v>
      </c>
      <c r="S73" s="243"/>
      <c r="T73" s="286"/>
    </row>
    <row r="74" spans="1:20" x14ac:dyDescent="0.25">
      <c r="A74" s="409" t="s">
        <v>28</v>
      </c>
      <c r="B74" s="586" t="s">
        <v>180</v>
      </c>
      <c r="C74" s="62" t="s">
        <v>31</v>
      </c>
      <c r="D74" s="62" t="s">
        <v>30</v>
      </c>
      <c r="E74" s="62" t="s">
        <v>161</v>
      </c>
      <c r="F74" s="261" t="s">
        <v>56</v>
      </c>
      <c r="G74" s="312">
        <v>1702537.98</v>
      </c>
      <c r="H74" s="312">
        <v>2007104.51</v>
      </c>
      <c r="I74" s="237">
        <v>1.2849999999999999</v>
      </c>
      <c r="J74" s="237">
        <v>1.2849999999999999</v>
      </c>
      <c r="K74" s="472"/>
      <c r="L74" s="312"/>
      <c r="M74" s="312"/>
      <c r="N74" s="236"/>
      <c r="O74" s="245">
        <v>4766890.5996499993</v>
      </c>
      <c r="P74" s="281">
        <v>422899.52006999997</v>
      </c>
      <c r="Q74" s="243">
        <v>211449.76</v>
      </c>
      <c r="R74" s="244">
        <v>0.5</v>
      </c>
      <c r="S74" s="243"/>
      <c r="T74" s="286"/>
    </row>
    <row r="75" spans="1:20" x14ac:dyDescent="0.25">
      <c r="A75" s="591" t="s">
        <v>28</v>
      </c>
      <c r="B75" s="592" t="s">
        <v>165</v>
      </c>
      <c r="C75" s="196"/>
      <c r="D75" s="196"/>
      <c r="E75" s="197"/>
      <c r="F75" s="38"/>
      <c r="G75" s="290"/>
      <c r="H75" s="291"/>
      <c r="I75" s="291"/>
      <c r="J75" s="292"/>
      <c r="K75" s="292"/>
      <c r="L75" s="292"/>
      <c r="M75" s="200"/>
      <c r="N75" s="200"/>
      <c r="O75" s="213">
        <v>-2777499.8370529893</v>
      </c>
      <c r="P75" s="213">
        <v>-343053.6876180002</v>
      </c>
      <c r="Q75" s="213">
        <v>-171526.84000000008</v>
      </c>
      <c r="R75" s="160"/>
      <c r="S75" s="201"/>
      <c r="T75" s="160"/>
    </row>
    <row r="76" spans="1:20" x14ac:dyDescent="0.25">
      <c r="A76" s="581"/>
      <c r="B76" s="582" t="s">
        <v>108</v>
      </c>
      <c r="C76" s="35" t="s">
        <v>349</v>
      </c>
      <c r="D76" s="22"/>
      <c r="E76" s="22"/>
      <c r="F76" s="297"/>
      <c r="G76" s="282"/>
      <c r="H76" s="282"/>
      <c r="I76" s="356"/>
      <c r="J76" s="282"/>
      <c r="K76" s="294"/>
      <c r="L76" s="287"/>
      <c r="M76" s="353"/>
      <c r="N76" s="219"/>
      <c r="O76" s="219">
        <v>129032042.32842098</v>
      </c>
      <c r="P76" s="219">
        <v>45582785.308537997</v>
      </c>
      <c r="Q76" s="219">
        <v>22791392.690000005</v>
      </c>
      <c r="R76" s="199"/>
      <c r="S76" s="207"/>
      <c r="T76" s="160"/>
    </row>
    <row r="77" spans="1:20" x14ac:dyDescent="0.25">
      <c r="A77" s="588"/>
      <c r="B77" s="589"/>
      <c r="C77" s="35" t="s">
        <v>350</v>
      </c>
      <c r="D77" s="114"/>
      <c r="E77" s="114"/>
      <c r="F77" s="297"/>
      <c r="G77" s="283"/>
      <c r="H77" s="283"/>
      <c r="I77" s="357"/>
      <c r="J77" s="282"/>
      <c r="K77" s="295"/>
      <c r="L77" s="288"/>
      <c r="M77" s="478"/>
      <c r="N77" s="479"/>
      <c r="O77" s="479"/>
      <c r="P77" s="209"/>
      <c r="Q77" s="209">
        <v>85399348.409430012</v>
      </c>
      <c r="R77" s="198"/>
      <c r="S77" s="207"/>
      <c r="T77" s="160"/>
    </row>
    <row r="78" spans="1:20" x14ac:dyDescent="0.25">
      <c r="A78" s="593" t="s">
        <v>55</v>
      </c>
      <c r="B78" s="594"/>
      <c r="C78" s="308"/>
      <c r="D78" s="308"/>
      <c r="E78" s="308"/>
      <c r="F78" s="298"/>
      <c r="G78" s="284"/>
      <c r="H78" s="284"/>
      <c r="I78" s="282"/>
      <c r="J78" s="282"/>
      <c r="K78" s="358"/>
      <c r="L78" s="359"/>
      <c r="M78" s="311"/>
      <c r="N78" s="311">
        <v>0</v>
      </c>
      <c r="O78" s="311">
        <v>204691340.63552099</v>
      </c>
      <c r="P78" s="311">
        <v>36906866.469999999</v>
      </c>
      <c r="Q78" s="211">
        <v>138290028.57943001</v>
      </c>
      <c r="R78" s="60"/>
      <c r="S78" s="211"/>
      <c r="T78" s="60"/>
    </row>
    <row r="79" spans="1:20" x14ac:dyDescent="0.25">
      <c r="A79" s="400"/>
      <c r="B79" s="400"/>
      <c r="C79" s="6"/>
      <c r="D79" s="6"/>
      <c r="E79" s="6"/>
      <c r="F79" s="6"/>
      <c r="G79" s="6"/>
      <c r="H79" s="6"/>
      <c r="I79" s="6"/>
      <c r="J79" s="6"/>
      <c r="K79" s="6"/>
      <c r="L79" s="6"/>
      <c r="M79" s="6"/>
      <c r="N79" s="6"/>
      <c r="O79" s="280"/>
      <c r="P79" s="6"/>
      <c r="Q79" s="6"/>
      <c r="R79" s="6"/>
      <c r="S79" s="285"/>
      <c r="T79" s="6"/>
    </row>
    <row r="80" spans="1:20" x14ac:dyDescent="0.25">
      <c r="A80" s="595" t="s">
        <v>93</v>
      </c>
      <c r="B80" s="596" t="s">
        <v>76</v>
      </c>
      <c r="C80" s="7"/>
      <c r="D80" s="6"/>
      <c r="E80" s="6"/>
      <c r="F80" s="6"/>
      <c r="G80" s="307"/>
      <c r="H80" s="99" t="s">
        <v>77</v>
      </c>
      <c r="I80" s="307"/>
      <c r="J80" s="72"/>
      <c r="K80" s="72"/>
      <c r="L80" s="6"/>
      <c r="M80" s="6"/>
      <c r="N80" s="220"/>
      <c r="O80" s="280">
        <v>309943823.04999995</v>
      </c>
      <c r="P80" s="285"/>
      <c r="Q80" s="220"/>
      <c r="R80" s="6"/>
      <c r="S80" s="285"/>
      <c r="T80" s="6"/>
    </row>
    <row r="81" spans="1:20" x14ac:dyDescent="0.25">
      <c r="A81" s="400"/>
      <c r="B81" s="597" t="s">
        <v>78</v>
      </c>
      <c r="C81" s="127" t="s">
        <v>79</v>
      </c>
      <c r="D81" s="128"/>
      <c r="E81" s="129" t="s">
        <v>35</v>
      </c>
      <c r="F81" s="129" t="s">
        <v>80</v>
      </c>
      <c r="G81" s="307"/>
      <c r="H81" s="100" t="s">
        <v>35</v>
      </c>
      <c r="I81" s="308"/>
      <c r="J81" s="308"/>
      <c r="K81" s="308"/>
      <c r="L81" s="101"/>
      <c r="M81" s="6"/>
      <c r="N81" s="451"/>
      <c r="O81" s="390">
        <v>105252482.41447896</v>
      </c>
      <c r="P81" s="307"/>
      <c r="Q81" s="346"/>
      <c r="R81" s="6"/>
      <c r="S81" s="6"/>
      <c r="T81" s="6"/>
    </row>
    <row r="82" spans="1:20" x14ac:dyDescent="0.25">
      <c r="A82" s="596"/>
      <c r="B82" s="598" t="s">
        <v>81</v>
      </c>
      <c r="C82" s="103" t="s">
        <v>82</v>
      </c>
      <c r="D82" s="104"/>
      <c r="E82" s="105">
        <v>62.1267</v>
      </c>
      <c r="F82" s="105">
        <v>64.630300000000005</v>
      </c>
      <c r="G82" s="307"/>
      <c r="H82" s="106" t="s">
        <v>375</v>
      </c>
      <c r="I82" s="6"/>
      <c r="J82" s="6"/>
      <c r="K82" s="6"/>
      <c r="L82" s="107"/>
      <c r="M82" s="393">
        <v>6.2200000337121024E-2</v>
      </c>
      <c r="N82" s="393">
        <v>6.4199999463479832E-2</v>
      </c>
      <c r="O82" s="402"/>
      <c r="P82" s="220"/>
      <c r="Q82" s="6"/>
      <c r="R82" s="6"/>
      <c r="S82" s="6"/>
      <c r="T82" s="6"/>
    </row>
    <row r="83" spans="1:20" x14ac:dyDescent="0.25">
      <c r="A83" s="400"/>
      <c r="B83" s="599" t="s">
        <v>83</v>
      </c>
      <c r="C83" s="109" t="s">
        <v>84</v>
      </c>
      <c r="D83" s="110"/>
      <c r="E83" s="111">
        <v>38.992699999999999</v>
      </c>
      <c r="F83" s="112">
        <v>37.994</v>
      </c>
      <c r="G83" s="307"/>
      <c r="H83" s="113">
        <v>48.832098281973998</v>
      </c>
      <c r="I83" s="114"/>
      <c r="J83" s="114"/>
      <c r="K83" s="114"/>
      <c r="L83" s="115"/>
      <c r="M83" s="393">
        <v>9.4199999857272176E-2</v>
      </c>
      <c r="N83" s="393">
        <v>9.8900000237297003E-2</v>
      </c>
      <c r="O83" s="405"/>
      <c r="P83" s="220"/>
      <c r="Q83" s="6"/>
      <c r="R83" s="6"/>
      <c r="S83" s="6"/>
      <c r="T83" s="6"/>
    </row>
    <row r="84" spans="1:20" x14ac:dyDescent="0.25">
      <c r="A84" s="400"/>
      <c r="B84" s="599" t="s">
        <v>85</v>
      </c>
      <c r="C84" s="109" t="s">
        <v>86</v>
      </c>
      <c r="D84" s="110"/>
      <c r="E84" s="111">
        <v>7.1769999999999996</v>
      </c>
      <c r="F84" s="111">
        <v>7.1769999999999996</v>
      </c>
      <c r="G84" s="6"/>
      <c r="H84" s="307"/>
      <c r="I84" s="116"/>
      <c r="J84" s="6"/>
      <c r="K84" s="6"/>
      <c r="L84" s="6"/>
      <c r="M84" s="393">
        <v>0.39999999969547706</v>
      </c>
      <c r="N84" s="393">
        <v>0.39999999979093542</v>
      </c>
      <c r="O84" s="403"/>
      <c r="P84" s="6"/>
      <c r="Q84" s="6"/>
      <c r="R84" s="6"/>
      <c r="S84" s="6"/>
      <c r="T84" s="6"/>
    </row>
    <row r="85" spans="1:20" x14ac:dyDescent="0.25">
      <c r="A85" s="400"/>
      <c r="B85" s="599" t="s">
        <v>87</v>
      </c>
      <c r="C85" s="109" t="s">
        <v>88</v>
      </c>
      <c r="D85" s="110"/>
      <c r="E85" s="117">
        <v>0.65390000000000004</v>
      </c>
      <c r="F85" s="117">
        <v>0.6462</v>
      </c>
      <c r="G85" s="6"/>
      <c r="H85" s="100" t="s">
        <v>80</v>
      </c>
      <c r="I85" s="118"/>
      <c r="J85" s="308"/>
      <c r="K85" s="308"/>
      <c r="L85" s="101"/>
      <c r="M85" s="393">
        <v>0.38000000287019686</v>
      </c>
      <c r="N85" s="393"/>
      <c r="O85" s="403"/>
      <c r="P85" s="6"/>
      <c r="Q85" s="6"/>
      <c r="R85" s="6"/>
      <c r="S85" s="6"/>
      <c r="T85" s="6"/>
    </row>
    <row r="86" spans="1:20" x14ac:dyDescent="0.25">
      <c r="A86" s="400"/>
      <c r="B86" s="599" t="s">
        <v>89</v>
      </c>
      <c r="C86" s="109" t="s">
        <v>90</v>
      </c>
      <c r="D86" s="110"/>
      <c r="E86" s="119"/>
      <c r="F86" s="112"/>
      <c r="G86" s="6"/>
      <c r="H86" s="106" t="s">
        <v>376</v>
      </c>
      <c r="I86" s="116"/>
      <c r="J86" s="6"/>
      <c r="K86" s="6"/>
      <c r="L86" s="107"/>
      <c r="M86" s="7"/>
      <c r="N86" s="473"/>
      <c r="O86" s="403"/>
      <c r="P86" s="6"/>
      <c r="Q86" s="6"/>
      <c r="R86" s="6"/>
      <c r="S86" s="6"/>
      <c r="T86" s="6"/>
    </row>
    <row r="87" spans="1:20" x14ac:dyDescent="0.25">
      <c r="A87" s="400"/>
      <c r="B87" s="600" t="s">
        <v>91</v>
      </c>
      <c r="C87" s="121" t="s">
        <v>92</v>
      </c>
      <c r="D87" s="122"/>
      <c r="E87" s="123">
        <v>0</v>
      </c>
      <c r="F87" s="123">
        <v>0</v>
      </c>
      <c r="G87" s="6"/>
      <c r="H87" s="113">
        <v>49.669388679628</v>
      </c>
      <c r="I87" s="124"/>
      <c r="J87" s="114"/>
      <c r="K87" s="114"/>
      <c r="L87" s="115"/>
      <c r="M87" s="403"/>
      <c r="N87" s="403"/>
      <c r="O87" s="403"/>
      <c r="P87" s="6"/>
      <c r="Q87" s="6"/>
      <c r="R87" s="6"/>
      <c r="S87" s="6"/>
      <c r="T87" s="6"/>
    </row>
    <row r="88" spans="1:20" x14ac:dyDescent="0.25">
      <c r="A88" s="601"/>
      <c r="C88" s="4"/>
      <c r="D88" s="4"/>
      <c r="E88" s="307"/>
      <c r="F88" s="307"/>
      <c r="G88" s="307"/>
      <c r="H88" s="190"/>
      <c r="I88" s="307"/>
      <c r="J88" s="307"/>
      <c r="K88" s="307"/>
      <c r="L88" s="307"/>
      <c r="M88" s="406"/>
      <c r="N88" s="406"/>
      <c r="O88" s="406"/>
      <c r="P88" s="307"/>
      <c r="Q88" s="307"/>
      <c r="R88" s="307"/>
      <c r="S88" s="307"/>
      <c r="T88" s="307"/>
    </row>
    <row r="89" spans="1:20" x14ac:dyDescent="0.25">
      <c r="C89" s="307"/>
      <c r="D89" s="307"/>
      <c r="E89" s="307"/>
      <c r="F89" s="307"/>
      <c r="G89" s="307"/>
      <c r="H89" s="307"/>
      <c r="I89" s="307"/>
      <c r="J89" s="307"/>
      <c r="K89" s="307"/>
      <c r="L89" s="307"/>
      <c r="M89" s="307"/>
      <c r="N89" s="307"/>
      <c r="O89" s="307"/>
      <c r="P89" s="307"/>
      <c r="Q89" s="307"/>
      <c r="R89" s="307"/>
      <c r="S89" s="307"/>
      <c r="T89" s="307"/>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
    <pageSetUpPr fitToPage="1"/>
  </sheetPr>
  <dimension ref="A1:T89"/>
  <sheetViews>
    <sheetView view="pageBreakPreview" topLeftCell="A74" zoomScale="95" zoomScaleNormal="95" zoomScaleSheetLayoutView="95" workbookViewId="0">
      <pane xSplit="2" topLeftCell="C1" activePane="topRight" state="frozen"/>
      <selection pane="topRight" activeCell="A90" sqref="A90:XFD204"/>
    </sheetView>
  </sheetViews>
  <sheetFormatPr baseColWidth="10" defaultColWidth="8.90625" defaultRowHeight="13.2" x14ac:dyDescent="0.25"/>
  <cols>
    <col min="1" max="1" width="3" style="1" customWidth="1"/>
    <col min="2" max="2" width="12.81640625" style="1" customWidth="1"/>
    <col min="3" max="4" width="7.1796875" style="1" customWidth="1"/>
    <col min="5" max="5" width="7.453125" style="1" customWidth="1"/>
    <col min="6" max="6" width="9.81640625" style="1" customWidth="1"/>
    <col min="7" max="10" width="10.453125" style="1" customWidth="1"/>
    <col min="11" max="12" width="10.453125" style="1" hidden="1" customWidth="1"/>
    <col min="13" max="14" width="10.453125" style="1" customWidth="1"/>
    <col min="15" max="15" width="12.453125" style="1" customWidth="1"/>
    <col min="16" max="17" width="11.54296875" style="1" customWidth="1"/>
    <col min="18" max="18" width="5.6328125" style="1" customWidth="1"/>
    <col min="19" max="19" width="11.54296875" style="1" customWidth="1"/>
    <col min="20" max="20" width="5.6328125" style="1" customWidth="1"/>
    <col min="21" max="16384" width="8.90625" style="1"/>
  </cols>
  <sheetData>
    <row r="1" spans="1:20" x14ac:dyDescent="0.25">
      <c r="A1" s="4" t="s">
        <v>51</v>
      </c>
      <c r="C1" s="3"/>
      <c r="D1" s="3"/>
      <c r="E1" s="9">
        <v>44317</v>
      </c>
      <c r="F1" s="300">
        <v>3.9169999999999998</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371</v>
      </c>
      <c r="B4" s="143"/>
      <c r="C4" s="143"/>
      <c r="D4" s="143"/>
      <c r="E4" s="143"/>
      <c r="F4" s="143"/>
      <c r="G4" s="143"/>
      <c r="H4" s="143"/>
      <c r="I4" s="143"/>
      <c r="J4" s="143"/>
      <c r="K4" s="143"/>
      <c r="L4" s="143"/>
      <c r="M4" s="143"/>
      <c r="N4" s="143"/>
      <c r="O4" s="143"/>
      <c r="P4" s="143"/>
      <c r="Q4" s="143"/>
      <c r="R4" s="143"/>
      <c r="S4" s="143"/>
      <c r="T4" s="143"/>
    </row>
    <row r="5" spans="1:20" x14ac:dyDescent="0.25">
      <c r="A5" s="143" t="s">
        <v>372</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17760</v>
      </c>
      <c r="I10" s="237"/>
      <c r="J10" s="238">
        <v>66.380399999999995</v>
      </c>
      <c r="K10" s="312"/>
      <c r="L10" s="312"/>
      <c r="M10" s="312"/>
      <c r="N10" s="236">
        <v>215.31710000000001</v>
      </c>
      <c r="O10" s="236">
        <v>1178700.5828999998</v>
      </c>
      <c r="P10" s="243">
        <v>221006.36</v>
      </c>
      <c r="Q10" s="243">
        <v>176805.09</v>
      </c>
      <c r="R10" s="244">
        <v>0.15</v>
      </c>
      <c r="S10" s="243">
        <v>44201.27</v>
      </c>
      <c r="T10" s="286">
        <v>3.7499999999999999E-2</v>
      </c>
    </row>
    <row r="11" spans="1:20" x14ac:dyDescent="0.25">
      <c r="A11" s="26" t="s">
        <v>28</v>
      </c>
      <c r="B11" s="27" t="s">
        <v>14</v>
      </c>
      <c r="C11" s="62" t="s">
        <v>29</v>
      </c>
      <c r="D11" s="28" t="s">
        <v>21</v>
      </c>
      <c r="E11" s="62" t="s">
        <v>98</v>
      </c>
      <c r="F11" s="260" t="s">
        <v>56</v>
      </c>
      <c r="G11" s="312"/>
      <c r="H11" s="236">
        <v>116449.23</v>
      </c>
      <c r="I11" s="237"/>
      <c r="J11" s="238">
        <v>3.1312000000000002</v>
      </c>
      <c r="K11" s="312"/>
      <c r="L11" s="312"/>
      <c r="M11" s="312"/>
      <c r="N11" s="236">
        <v>605.65139999999997</v>
      </c>
      <c r="O11" s="236">
        <v>364020.17860000004</v>
      </c>
      <c r="P11" s="243">
        <v>68253.78</v>
      </c>
      <c r="Q11" s="243">
        <v>54603.03</v>
      </c>
      <c r="R11" s="244">
        <v>0.15</v>
      </c>
      <c r="S11" s="243">
        <v>13650.76</v>
      </c>
      <c r="T11" s="286">
        <v>3.7499999999999999E-2</v>
      </c>
    </row>
    <row r="12" spans="1:20" s="307" customFormat="1"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5452</v>
      </c>
      <c r="H13" s="236">
        <v>6291</v>
      </c>
      <c r="I13" s="238">
        <v>67.315700000000007</v>
      </c>
      <c r="J13" s="238">
        <v>66.816800000000001</v>
      </c>
      <c r="K13" s="312"/>
      <c r="L13" s="312"/>
      <c r="M13" s="312"/>
      <c r="N13" s="236">
        <v>558.5471</v>
      </c>
      <c r="O13" s="236">
        <v>786791.14289999998</v>
      </c>
      <c r="P13" s="243">
        <v>147523.34</v>
      </c>
      <c r="Q13" s="243">
        <v>118018.67</v>
      </c>
      <c r="R13" s="244">
        <v>0.15</v>
      </c>
      <c r="S13" s="243">
        <v>29504.67</v>
      </c>
      <c r="T13" s="286">
        <v>3.7499999999999999E-2</v>
      </c>
    </row>
    <row r="14" spans="1:20" x14ac:dyDescent="0.25">
      <c r="A14" s="267" t="s">
        <v>28</v>
      </c>
      <c r="B14" s="271" t="s">
        <v>176</v>
      </c>
      <c r="C14" s="260" t="s">
        <v>29</v>
      </c>
      <c r="D14" s="268" t="s">
        <v>21</v>
      </c>
      <c r="E14" s="260" t="s">
        <v>98</v>
      </c>
      <c r="F14" s="260" t="s">
        <v>56</v>
      </c>
      <c r="G14" s="236">
        <v>14451.6</v>
      </c>
      <c r="H14" s="236">
        <v>21166.74</v>
      </c>
      <c r="I14" s="238">
        <v>2.6775000000000002</v>
      </c>
      <c r="J14" s="238">
        <v>2.6775000000000002</v>
      </c>
      <c r="K14" s="312"/>
      <c r="L14" s="312"/>
      <c r="M14" s="312"/>
      <c r="N14" s="236">
        <v>595.53769999999997</v>
      </c>
      <c r="O14" s="236">
        <v>94772.5723</v>
      </c>
      <c r="P14" s="243">
        <v>17769.86</v>
      </c>
      <c r="Q14" s="243">
        <v>14215.89</v>
      </c>
      <c r="R14" s="244">
        <v>0.15</v>
      </c>
      <c r="S14" s="243">
        <v>3553.9700000000012</v>
      </c>
      <c r="T14" s="286">
        <v>3.7499999999999999E-2</v>
      </c>
    </row>
    <row r="15" spans="1:20" x14ac:dyDescent="0.25">
      <c r="A15" s="26" t="s">
        <v>28</v>
      </c>
      <c r="B15" s="27" t="s">
        <v>4</v>
      </c>
      <c r="C15" s="62" t="s">
        <v>31</v>
      </c>
      <c r="D15" s="28" t="s">
        <v>30</v>
      </c>
      <c r="E15" s="62" t="s">
        <v>101</v>
      </c>
      <c r="F15" s="260" t="s">
        <v>37</v>
      </c>
      <c r="G15" s="236">
        <v>8214</v>
      </c>
      <c r="H15" s="236">
        <v>8575</v>
      </c>
      <c r="I15" s="238">
        <v>66.684399999999997</v>
      </c>
      <c r="J15" s="237">
        <v>66.110200000000006</v>
      </c>
      <c r="K15" s="312"/>
      <c r="L15" s="312"/>
      <c r="M15" s="312"/>
      <c r="N15" s="236">
        <v>397.01650000000001</v>
      </c>
      <c r="O15" s="236">
        <v>1114243.6135</v>
      </c>
      <c r="P15" s="243">
        <v>208920.68</v>
      </c>
      <c r="Q15" s="243">
        <v>167136.54</v>
      </c>
      <c r="R15" s="244">
        <v>0.15</v>
      </c>
      <c r="S15" s="243">
        <v>41784.14</v>
      </c>
      <c r="T15" s="286">
        <v>3.7499999999999999E-2</v>
      </c>
    </row>
    <row r="16" spans="1:20" x14ac:dyDescent="0.25">
      <c r="A16" s="26" t="s">
        <v>28</v>
      </c>
      <c r="B16" s="27" t="s">
        <v>5</v>
      </c>
      <c r="C16" s="62" t="s">
        <v>31</v>
      </c>
      <c r="D16" s="28" t="s">
        <v>30</v>
      </c>
      <c r="E16" s="62" t="s">
        <v>101</v>
      </c>
      <c r="F16" s="260" t="s">
        <v>37</v>
      </c>
      <c r="G16" s="236">
        <v>26557</v>
      </c>
      <c r="H16" s="236">
        <v>29206</v>
      </c>
      <c r="I16" s="238">
        <v>66.684399999999997</v>
      </c>
      <c r="J16" s="237">
        <v>66.110200000000006</v>
      </c>
      <c r="K16" s="312"/>
      <c r="L16" s="312"/>
      <c r="M16" s="312"/>
      <c r="N16" s="236">
        <v>1026.2109</v>
      </c>
      <c r="O16" s="236">
        <v>3700725.8991000005</v>
      </c>
      <c r="P16" s="243">
        <v>693886.11</v>
      </c>
      <c r="Q16" s="243">
        <v>555108.88</v>
      </c>
      <c r="R16" s="244">
        <v>0.15</v>
      </c>
      <c r="S16" s="243">
        <v>138777.22</v>
      </c>
      <c r="T16" s="286">
        <v>3.7499999999999999E-2</v>
      </c>
    </row>
    <row r="17" spans="1:20" s="307" customFormat="1" x14ac:dyDescent="0.25">
      <c r="A17" s="26" t="s">
        <v>28</v>
      </c>
      <c r="B17" s="27" t="s">
        <v>331</v>
      </c>
      <c r="C17" s="62" t="s">
        <v>31</v>
      </c>
      <c r="D17" s="28" t="s">
        <v>30</v>
      </c>
      <c r="E17" s="62" t="s">
        <v>101</v>
      </c>
      <c r="F17" s="260" t="s">
        <v>37</v>
      </c>
      <c r="G17" s="236">
        <v>16153.35</v>
      </c>
      <c r="H17" s="236">
        <v>20807.39</v>
      </c>
      <c r="I17" s="238">
        <v>5.0164999999999997</v>
      </c>
      <c r="J17" s="237">
        <v>5.0164999999999997</v>
      </c>
      <c r="K17" s="312"/>
      <c r="L17" s="312"/>
      <c r="M17" s="312"/>
      <c r="N17" s="236"/>
      <c r="O17" s="236">
        <v>185413.55</v>
      </c>
      <c r="P17" s="243">
        <v>34765.040000000001</v>
      </c>
      <c r="Q17" s="243">
        <v>27812.03</v>
      </c>
      <c r="R17" s="244">
        <v>0.15</v>
      </c>
      <c r="S17" s="243">
        <v>6953.01</v>
      </c>
      <c r="T17" s="286">
        <v>3.7499999999999999E-2</v>
      </c>
    </row>
    <row r="18" spans="1:20" x14ac:dyDescent="0.25">
      <c r="A18" s="26" t="s">
        <v>28</v>
      </c>
      <c r="B18" s="27" t="s">
        <v>17</v>
      </c>
      <c r="C18" s="62" t="s">
        <v>29</v>
      </c>
      <c r="D18" s="28" t="s">
        <v>21</v>
      </c>
      <c r="E18" s="62" t="s">
        <v>98</v>
      </c>
      <c r="F18" s="260" t="s">
        <v>37</v>
      </c>
      <c r="G18" s="312"/>
      <c r="H18" s="236">
        <v>2415</v>
      </c>
      <c r="I18" s="237"/>
      <c r="J18" s="238">
        <v>66.380399999999995</v>
      </c>
      <c r="K18" s="312"/>
      <c r="L18" s="312"/>
      <c r="M18" s="312"/>
      <c r="N18" s="236">
        <v>471.07220000000001</v>
      </c>
      <c r="O18" s="245">
        <v>159837.59780000002</v>
      </c>
      <c r="P18" s="243">
        <v>29969.55</v>
      </c>
      <c r="Q18" s="243">
        <v>23975.64</v>
      </c>
      <c r="R18" s="244">
        <v>0.15</v>
      </c>
      <c r="S18" s="243">
        <v>5993.91</v>
      </c>
      <c r="T18" s="286">
        <v>3.7499999999999999E-2</v>
      </c>
    </row>
    <row r="19" spans="1:20" x14ac:dyDescent="0.25">
      <c r="A19" s="26" t="s">
        <v>28</v>
      </c>
      <c r="B19" s="27" t="s">
        <v>6</v>
      </c>
      <c r="C19" s="62" t="s">
        <v>31</v>
      </c>
      <c r="D19" s="28" t="s">
        <v>30</v>
      </c>
      <c r="E19" s="62" t="s">
        <v>101</v>
      </c>
      <c r="F19" s="260" t="s">
        <v>37</v>
      </c>
      <c r="G19" s="236">
        <v>51158</v>
      </c>
      <c r="H19" s="236">
        <v>71353</v>
      </c>
      <c r="I19" s="238">
        <v>66.134399999999999</v>
      </c>
      <c r="J19" s="237">
        <v>65.560199999999995</v>
      </c>
      <c r="K19" s="312"/>
      <c r="L19" s="312"/>
      <c r="M19" s="312"/>
      <c r="N19" s="236">
        <v>2859.8878</v>
      </c>
      <c r="O19" s="245">
        <v>8058360.7022000002</v>
      </c>
      <c r="P19" s="243">
        <v>1510942.63</v>
      </c>
      <c r="Q19" s="243">
        <v>1208754.1100000001</v>
      </c>
      <c r="R19" s="244">
        <v>0.15</v>
      </c>
      <c r="S19" s="243">
        <v>302188.53000000003</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67274.820000000007</v>
      </c>
      <c r="H21" s="312">
        <v>75047.11</v>
      </c>
      <c r="I21" s="237">
        <v>2.3087</v>
      </c>
      <c r="J21" s="237">
        <v>2.3087</v>
      </c>
      <c r="K21" s="312"/>
      <c r="L21" s="312"/>
      <c r="M21" s="312"/>
      <c r="N21" s="312">
        <v>669.53499999999997</v>
      </c>
      <c r="O21" s="245">
        <v>327909.10500000004</v>
      </c>
      <c r="P21" s="243">
        <v>61482.96</v>
      </c>
      <c r="Q21" s="243">
        <v>49186.37</v>
      </c>
      <c r="R21" s="244">
        <v>0.15</v>
      </c>
      <c r="S21" s="243">
        <v>12296.59</v>
      </c>
      <c r="T21" s="286">
        <v>3.7499999999999999E-2</v>
      </c>
    </row>
    <row r="22" spans="1:20" x14ac:dyDescent="0.25">
      <c r="A22" s="26" t="s">
        <v>28</v>
      </c>
      <c r="B22" s="27" t="s">
        <v>18</v>
      </c>
      <c r="C22" s="62" t="s">
        <v>31</v>
      </c>
      <c r="D22" s="28" t="s">
        <v>30</v>
      </c>
      <c r="E22" s="62" t="s">
        <v>101</v>
      </c>
      <c r="F22" s="260" t="s">
        <v>37</v>
      </c>
      <c r="G22" s="312">
        <v>2042</v>
      </c>
      <c r="H22" s="312">
        <v>2715</v>
      </c>
      <c r="I22" s="237">
        <v>66.684399999999997</v>
      </c>
      <c r="J22" s="238">
        <v>66.110200000000006</v>
      </c>
      <c r="K22" s="312"/>
      <c r="L22" s="312"/>
      <c r="M22" s="312"/>
      <c r="N22" s="236">
        <v>232.13319999999999</v>
      </c>
      <c r="O22" s="245">
        <v>315426.5968</v>
      </c>
      <c r="P22" s="243">
        <v>59142.49</v>
      </c>
      <c r="Q22" s="243">
        <v>47313.99</v>
      </c>
      <c r="R22" s="244">
        <v>0.15</v>
      </c>
      <c r="S22" s="243">
        <v>11828.5</v>
      </c>
      <c r="T22" s="286">
        <v>3.7499999999999999E-2</v>
      </c>
    </row>
    <row r="23" spans="1:20" x14ac:dyDescent="0.25">
      <c r="A23" s="26" t="s">
        <v>28</v>
      </c>
      <c r="B23" s="29" t="s">
        <v>20</v>
      </c>
      <c r="C23" s="62" t="s">
        <v>31</v>
      </c>
      <c r="D23" s="28" t="s">
        <v>30</v>
      </c>
      <c r="E23" s="62" t="s">
        <v>101</v>
      </c>
      <c r="F23" s="260" t="s">
        <v>37</v>
      </c>
      <c r="G23" s="312">
        <v>175510</v>
      </c>
      <c r="H23" s="312">
        <v>188914</v>
      </c>
      <c r="I23" s="237">
        <v>66.684399999999997</v>
      </c>
      <c r="J23" s="238">
        <v>66.110200000000006</v>
      </c>
      <c r="K23" s="312"/>
      <c r="L23" s="312"/>
      <c r="M23" s="312"/>
      <c r="N23" s="236">
        <v>3579.8793000000001</v>
      </c>
      <c r="O23" s="245">
        <v>24189341.480700001</v>
      </c>
      <c r="P23" s="243">
        <v>4535501.53</v>
      </c>
      <c r="Q23" s="243">
        <v>3628401.22</v>
      </c>
      <c r="R23" s="244">
        <v>0.15</v>
      </c>
      <c r="S23" s="243">
        <v>907100.31</v>
      </c>
      <c r="T23" s="286">
        <v>3.7499999999999999E-2</v>
      </c>
    </row>
    <row r="24" spans="1:20" x14ac:dyDescent="0.25">
      <c r="A24" s="26" t="s">
        <v>28</v>
      </c>
      <c r="B24" s="27" t="s">
        <v>8</v>
      </c>
      <c r="C24" s="62" t="s">
        <v>31</v>
      </c>
      <c r="D24" s="28" t="s">
        <v>21</v>
      </c>
      <c r="E24" s="62" t="s">
        <v>101</v>
      </c>
      <c r="F24" s="260" t="s">
        <v>56</v>
      </c>
      <c r="G24" s="312">
        <v>251273.19</v>
      </c>
      <c r="H24" s="312">
        <v>265066.56</v>
      </c>
      <c r="I24" s="238">
        <v>1.9227000000000001</v>
      </c>
      <c r="J24" s="238">
        <v>1.9227000000000001</v>
      </c>
      <c r="K24" s="312"/>
      <c r="L24" s="312"/>
      <c r="M24" s="312"/>
      <c r="N24" s="236">
        <v>706.5761</v>
      </c>
      <c r="O24" s="245">
        <v>992059.85389999999</v>
      </c>
      <c r="P24" s="243">
        <v>186011.22</v>
      </c>
      <c r="Q24" s="243">
        <v>148808.98000000001</v>
      </c>
      <c r="R24" s="244">
        <v>0.15</v>
      </c>
      <c r="S24" s="243">
        <v>37202.239999999998</v>
      </c>
      <c r="T24" s="286">
        <v>3.7499999999999999E-2</v>
      </c>
    </row>
    <row r="25" spans="1:20" x14ac:dyDescent="0.25">
      <c r="A25" s="26" t="s">
        <v>28</v>
      </c>
      <c r="B25" s="29" t="s">
        <v>57</v>
      </c>
      <c r="C25" s="62" t="s">
        <v>31</v>
      </c>
      <c r="D25" s="28" t="s">
        <v>21</v>
      </c>
      <c r="E25" s="62" t="s">
        <v>101</v>
      </c>
      <c r="F25" s="260" t="s">
        <v>37</v>
      </c>
      <c r="G25" s="312"/>
      <c r="H25" s="312"/>
      <c r="I25" s="237"/>
      <c r="J25" s="237"/>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427</v>
      </c>
      <c r="H26" s="312">
        <v>526</v>
      </c>
      <c r="I26" s="237">
        <v>67.123900000000006</v>
      </c>
      <c r="J26" s="238">
        <v>66.913200000000003</v>
      </c>
      <c r="K26" s="312"/>
      <c r="L26" s="312"/>
      <c r="M26" s="312"/>
      <c r="N26" s="312">
        <v>252.316</v>
      </c>
      <c r="O26" s="245">
        <v>63605.934000000001</v>
      </c>
      <c r="P26" s="243">
        <v>11926.11</v>
      </c>
      <c r="Q26" s="243">
        <v>9540.89</v>
      </c>
      <c r="R26" s="244">
        <v>0.15</v>
      </c>
      <c r="S26" s="243">
        <v>2385.2199999999998</v>
      </c>
      <c r="T26" s="286">
        <v>3.7499999999999999E-2</v>
      </c>
    </row>
    <row r="27" spans="1:20" x14ac:dyDescent="0.25">
      <c r="A27" s="26" t="s">
        <v>28</v>
      </c>
      <c r="B27" s="29" t="s">
        <v>168</v>
      </c>
      <c r="C27" s="62" t="s">
        <v>31</v>
      </c>
      <c r="D27" s="28" t="s">
        <v>30</v>
      </c>
      <c r="E27" s="62" t="s">
        <v>101</v>
      </c>
      <c r="F27" s="260" t="s">
        <v>37</v>
      </c>
      <c r="G27" s="236">
        <v>12967</v>
      </c>
      <c r="H27" s="236">
        <v>19697</v>
      </c>
      <c r="I27" s="238">
        <v>64.694400000000002</v>
      </c>
      <c r="J27" s="238">
        <v>64.120199999999997</v>
      </c>
      <c r="K27" s="312"/>
      <c r="L27" s="312"/>
      <c r="M27" s="312"/>
      <c r="N27" s="236">
        <v>2434.2896999999998</v>
      </c>
      <c r="O27" s="245">
        <v>2099433.5703000003</v>
      </c>
      <c r="P27" s="243">
        <v>393643.79</v>
      </c>
      <c r="Q27" s="243">
        <v>314915.03999999998</v>
      </c>
      <c r="R27" s="244">
        <v>0.15</v>
      </c>
      <c r="S27" s="243">
        <v>78728.759999999995</v>
      </c>
      <c r="T27" s="286">
        <v>3.7499999999999999E-2</v>
      </c>
    </row>
    <row r="28" spans="1:20" s="307" customFormat="1"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152214.41</v>
      </c>
      <c r="H29" s="312">
        <v>56072.36</v>
      </c>
      <c r="I29" s="237">
        <v>1.5</v>
      </c>
      <c r="J29" s="237">
        <v>1.5</v>
      </c>
      <c r="K29" s="312"/>
      <c r="L29" s="312"/>
      <c r="M29" s="312"/>
      <c r="N29" s="236">
        <v>999.28309999999999</v>
      </c>
      <c r="O29" s="245">
        <v>311430.87689999997</v>
      </c>
      <c r="P29" s="243">
        <v>58393.29</v>
      </c>
      <c r="Q29" s="243">
        <v>46714.63</v>
      </c>
      <c r="R29" s="244">
        <v>0.15</v>
      </c>
      <c r="S29" s="243">
        <v>11678.66</v>
      </c>
      <c r="T29" s="286">
        <v>3.7499999999999999E-2</v>
      </c>
    </row>
    <row r="30" spans="1:20" s="395" customFormat="1" x14ac:dyDescent="0.25">
      <c r="A30" s="409" t="s">
        <v>28</v>
      </c>
      <c r="B30" s="216" t="s">
        <v>319</v>
      </c>
      <c r="C30" s="62" t="s">
        <v>31</v>
      </c>
      <c r="D30" s="28" t="s">
        <v>30</v>
      </c>
      <c r="E30" s="62" t="s">
        <v>101</v>
      </c>
      <c r="F30" s="260" t="s">
        <v>56</v>
      </c>
      <c r="G30" s="236">
        <v>59659.83</v>
      </c>
      <c r="H30" s="312">
        <v>109817.81</v>
      </c>
      <c r="I30" s="237">
        <v>3.5939000000000001</v>
      </c>
      <c r="J30" s="237">
        <v>3.3891</v>
      </c>
      <c r="K30" s="312"/>
      <c r="L30" s="312"/>
      <c r="M30" s="312"/>
      <c r="N30" s="236"/>
      <c r="O30" s="245">
        <v>586595</v>
      </c>
      <c r="P30" s="243">
        <v>109986.56</v>
      </c>
      <c r="Q30" s="243">
        <v>87989.25</v>
      </c>
      <c r="R30" s="244">
        <v>0.15</v>
      </c>
      <c r="S30" s="243">
        <v>21997.31</v>
      </c>
      <c r="T30" s="286">
        <v>3.7499999999999999E-2</v>
      </c>
    </row>
    <row r="31" spans="1:20" s="307" customFormat="1" x14ac:dyDescent="0.25">
      <c r="A31" s="26" t="s">
        <v>28</v>
      </c>
      <c r="B31" s="29" t="s">
        <v>323</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s="307" customFormat="1"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s="307" customFormat="1" x14ac:dyDescent="0.25">
      <c r="A33" s="26" t="s">
        <v>28</v>
      </c>
      <c r="B33" s="29" t="s">
        <v>336</v>
      </c>
      <c r="C33" s="62" t="s">
        <v>31</v>
      </c>
      <c r="D33" s="28" t="s">
        <v>30</v>
      </c>
      <c r="E33" s="62" t="s">
        <v>101</v>
      </c>
      <c r="F33" s="260" t="s">
        <v>56</v>
      </c>
      <c r="G33" s="236">
        <v>9286.31</v>
      </c>
      <c r="H33" s="312">
        <v>10255.56</v>
      </c>
      <c r="I33" s="237">
        <v>3.14</v>
      </c>
      <c r="J33" s="237">
        <v>3.14</v>
      </c>
      <c r="K33" s="312"/>
      <c r="L33" s="312"/>
      <c r="M33" s="312"/>
      <c r="N33" s="236"/>
      <c r="O33" s="245">
        <v>61361.47</v>
      </c>
      <c r="P33" s="243">
        <v>11505.28</v>
      </c>
      <c r="Q33" s="243">
        <v>9204.2199999999993</v>
      </c>
      <c r="R33" s="244">
        <v>0.15</v>
      </c>
      <c r="S33" s="243">
        <v>2301.06</v>
      </c>
      <c r="T33" s="286">
        <v>3.7499999999999999E-2</v>
      </c>
    </row>
    <row r="34" spans="1:20" x14ac:dyDescent="0.25">
      <c r="A34" s="26" t="s">
        <v>28</v>
      </c>
      <c r="B34" s="27" t="s">
        <v>15</v>
      </c>
      <c r="C34" s="62" t="s">
        <v>29</v>
      </c>
      <c r="D34" s="28" t="s">
        <v>21</v>
      </c>
      <c r="E34" s="62" t="s">
        <v>98</v>
      </c>
      <c r="F34" s="260" t="s">
        <v>37</v>
      </c>
      <c r="G34" s="312"/>
      <c r="H34" s="236">
        <v>188731</v>
      </c>
      <c r="I34" s="237"/>
      <c r="J34" s="238">
        <v>68.308999999999997</v>
      </c>
      <c r="K34" s="312"/>
      <c r="L34" s="312"/>
      <c r="M34" s="312"/>
      <c r="N34" s="236">
        <v>774.33569999999997</v>
      </c>
      <c r="O34" s="245">
        <v>12891251.544300001</v>
      </c>
      <c r="P34" s="243">
        <v>2417109.66</v>
      </c>
      <c r="Q34" s="243">
        <v>1933687.73</v>
      </c>
      <c r="R34" s="244">
        <v>0.15</v>
      </c>
      <c r="S34" s="243">
        <v>483421.93</v>
      </c>
      <c r="T34" s="286">
        <v>3.7499999999999999E-2</v>
      </c>
    </row>
    <row r="35" spans="1:20" x14ac:dyDescent="0.25">
      <c r="A35" s="26" t="s">
        <v>28</v>
      </c>
      <c r="B35" s="27" t="s">
        <v>16</v>
      </c>
      <c r="C35" s="62" t="s">
        <v>29</v>
      </c>
      <c r="D35" s="28" t="s">
        <v>21</v>
      </c>
      <c r="E35" s="62" t="s">
        <v>98</v>
      </c>
      <c r="F35" s="260" t="s">
        <v>56</v>
      </c>
      <c r="G35" s="312"/>
      <c r="H35" s="236">
        <v>322078.59999999998</v>
      </c>
      <c r="I35" s="237"/>
      <c r="J35" s="221">
        <v>6.2751000000000001</v>
      </c>
      <c r="K35" s="312"/>
      <c r="L35" s="312"/>
      <c r="M35" s="312"/>
      <c r="N35" s="236">
        <v>679.60299999999995</v>
      </c>
      <c r="O35" s="245">
        <v>2020395.817</v>
      </c>
      <c r="P35" s="243">
        <v>378824.22</v>
      </c>
      <c r="Q35" s="243">
        <v>303059.37</v>
      </c>
      <c r="R35" s="244">
        <v>0.15</v>
      </c>
      <c r="S35" s="243">
        <v>75764.84</v>
      </c>
      <c r="T35" s="286">
        <v>3.7499999999999999E-2</v>
      </c>
    </row>
    <row r="36" spans="1:20" x14ac:dyDescent="0.25">
      <c r="A36" s="26" t="s">
        <v>28</v>
      </c>
      <c r="B36" s="27" t="s">
        <v>173</v>
      </c>
      <c r="C36" s="62" t="s">
        <v>31</v>
      </c>
      <c r="D36" s="28" t="s">
        <v>30</v>
      </c>
      <c r="E36" s="62" t="s">
        <v>101</v>
      </c>
      <c r="F36" s="260" t="s">
        <v>37</v>
      </c>
      <c r="G36" s="312">
        <v>241</v>
      </c>
      <c r="H36" s="236">
        <v>216</v>
      </c>
      <c r="I36" s="238">
        <v>66.684399999999997</v>
      </c>
      <c r="J36" s="238">
        <v>66.110200000000006</v>
      </c>
      <c r="K36" s="312"/>
      <c r="L36" s="312"/>
      <c r="M36" s="312"/>
      <c r="N36" s="236">
        <v>148.02189999999999</v>
      </c>
      <c r="O36" s="245">
        <v>30202.718099999998</v>
      </c>
      <c r="P36" s="243">
        <v>5663.01</v>
      </c>
      <c r="Q36" s="243">
        <v>1132.5999999999999</v>
      </c>
      <c r="R36" s="286">
        <v>3.7499999999999999E-2</v>
      </c>
      <c r="S36" s="243">
        <v>4530.41</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25234</v>
      </c>
      <c r="I39" s="238"/>
      <c r="J39" s="238">
        <v>61.461399999999998</v>
      </c>
      <c r="K39" s="236"/>
      <c r="L39" s="312"/>
      <c r="M39" s="312"/>
      <c r="N39" s="236">
        <v>740.15859999999998</v>
      </c>
      <c r="O39" s="245">
        <v>1550176.8114</v>
      </c>
      <c r="P39" s="243">
        <v>290658.15000000002</v>
      </c>
      <c r="Q39" s="243">
        <v>232526.52</v>
      </c>
      <c r="R39" s="247">
        <v>0.15</v>
      </c>
      <c r="S39" s="243">
        <v>58131.63</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-73735.759999999369</v>
      </c>
      <c r="P41" s="245">
        <v>-13825.449999999892</v>
      </c>
      <c r="Q41" s="245">
        <v>-11060.359999999848</v>
      </c>
      <c r="R41" s="275"/>
      <c r="S41" s="245">
        <v>-2765.0899999999865</v>
      </c>
      <c r="T41" s="286"/>
    </row>
    <row r="42" spans="1:20" x14ac:dyDescent="0.25">
      <c r="A42" s="34"/>
      <c r="B42" s="165" t="s">
        <v>108</v>
      </c>
      <c r="C42" s="35" t="s">
        <v>343</v>
      </c>
      <c r="D42" s="43"/>
      <c r="E42" s="44"/>
      <c r="F42" s="270"/>
      <c r="G42" s="239"/>
      <c r="H42" s="239"/>
      <c r="I42" s="240"/>
      <c r="J42" s="240"/>
      <c r="K42" s="239"/>
      <c r="L42" s="239"/>
      <c r="M42" s="239"/>
      <c r="N42" s="239"/>
      <c r="O42" s="249">
        <v>61008320.857699998</v>
      </c>
      <c r="P42" s="250">
        <v>11439060.170000002</v>
      </c>
      <c r="Q42" s="251">
        <v>9147850.3300000001</v>
      </c>
      <c r="R42" s="252"/>
      <c r="S42" s="253">
        <v>2291209.85</v>
      </c>
      <c r="T42" s="252"/>
    </row>
    <row r="43" spans="1:20" x14ac:dyDescent="0.25">
      <c r="A43" s="136"/>
      <c r="B43" s="137"/>
      <c r="C43" s="35" t="s">
        <v>344</v>
      </c>
      <c r="D43" s="148"/>
      <c r="E43" s="148"/>
      <c r="F43" s="149"/>
      <c r="G43" s="299"/>
      <c r="H43" s="299"/>
      <c r="I43" s="221"/>
      <c r="J43" s="221"/>
      <c r="K43" s="299"/>
      <c r="L43" s="299"/>
      <c r="M43" s="299"/>
      <c r="N43" s="299"/>
      <c r="O43" s="228"/>
      <c r="P43" s="229">
        <v>44806798.689999998</v>
      </c>
      <c r="Q43" s="495">
        <v>35832129.740000002</v>
      </c>
      <c r="R43" s="151"/>
      <c r="S43" s="494">
        <v>8974668.9800000004</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v>1162090.6299999997</v>
      </c>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24155</v>
      </c>
      <c r="H46" s="236">
        <v>31504</v>
      </c>
      <c r="I46" s="238">
        <v>55.466200000000001</v>
      </c>
      <c r="J46" s="238">
        <v>55.066600000000001</v>
      </c>
      <c r="K46" s="312"/>
      <c r="L46" s="312"/>
      <c r="M46" s="312"/>
      <c r="N46" s="236">
        <v>2997.201</v>
      </c>
      <c r="O46" s="245">
        <v>3071607.0290000001</v>
      </c>
      <c r="P46" s="243">
        <v>460741.05</v>
      </c>
      <c r="Q46" s="243">
        <v>460741.05</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3071607.0290000001</v>
      </c>
      <c r="P48" s="250">
        <v>460741.05</v>
      </c>
      <c r="Q48" s="250">
        <v>460741.05</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1804722.69</v>
      </c>
      <c r="Q49" s="495">
        <v>1804722.69</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v>172952.01</v>
      </c>
      <c r="N52" s="312">
        <v>291.97000000000003</v>
      </c>
      <c r="O52" s="245">
        <v>-173243.98</v>
      </c>
      <c r="P52" s="243">
        <v>-32483.25</v>
      </c>
      <c r="Q52" s="243">
        <v>-25986.6</v>
      </c>
      <c r="R52" s="244">
        <v>0.15</v>
      </c>
      <c r="S52" s="243">
        <v>-6496.65</v>
      </c>
      <c r="T52" s="286">
        <v>3.7499999999999999E-2</v>
      </c>
    </row>
    <row r="53" spans="1:20" x14ac:dyDescent="0.25">
      <c r="A53" s="26"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s="307" customFormat="1"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624.73</v>
      </c>
      <c r="H56" s="236">
        <v>199695.57</v>
      </c>
      <c r="I56" s="238">
        <v>3.6507999999999998</v>
      </c>
      <c r="J56" s="238">
        <v>3.6516000000000002</v>
      </c>
      <c r="K56" s="312"/>
      <c r="L56" s="312"/>
      <c r="M56" s="312"/>
      <c r="N56" s="236">
        <v>375.4896</v>
      </c>
      <c r="O56" s="245">
        <v>731113.61040000001</v>
      </c>
      <c r="P56" s="243">
        <v>137083.79999999999</v>
      </c>
      <c r="Q56" s="243">
        <v>27416.76</v>
      </c>
      <c r="R56" s="286">
        <v>3.7499999999999999E-2</v>
      </c>
      <c r="S56" s="243">
        <v>109667.04</v>
      </c>
      <c r="T56" s="244">
        <v>0.15</v>
      </c>
    </row>
    <row r="57" spans="1:20" x14ac:dyDescent="0.25">
      <c r="A57" s="26" t="s">
        <v>28</v>
      </c>
      <c r="B57" s="29" t="s">
        <v>75</v>
      </c>
      <c r="C57" s="62" t="s">
        <v>31</v>
      </c>
      <c r="D57" s="62" t="s">
        <v>30</v>
      </c>
      <c r="E57" s="62" t="s">
        <v>103</v>
      </c>
      <c r="F57" s="261" t="s">
        <v>37</v>
      </c>
      <c r="G57" s="236">
        <v>4438</v>
      </c>
      <c r="H57" s="236">
        <v>1695</v>
      </c>
      <c r="I57" s="238">
        <v>51.354199999999999</v>
      </c>
      <c r="J57" s="238">
        <v>51.816699999999997</v>
      </c>
      <c r="K57" s="312"/>
      <c r="L57" s="312"/>
      <c r="M57" s="312"/>
      <c r="N57" s="312">
        <v>1701.5859</v>
      </c>
      <c r="O57" s="245">
        <v>314037.66409999999</v>
      </c>
      <c r="P57" s="243">
        <v>58882.06</v>
      </c>
      <c r="Q57" s="243">
        <v>11776.41</v>
      </c>
      <c r="R57" s="286">
        <v>3.7499999999999999E-2</v>
      </c>
      <c r="S57" s="243">
        <v>47105.65</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162345</v>
      </c>
      <c r="H60" s="236">
        <v>145896</v>
      </c>
      <c r="I60" s="238">
        <v>52.646000000000001</v>
      </c>
      <c r="J60" s="238">
        <v>52.348599999999998</v>
      </c>
      <c r="K60" s="236"/>
      <c r="L60" s="312"/>
      <c r="M60" s="312"/>
      <c r="N60" s="236">
        <v>4093.4821000000002</v>
      </c>
      <c r="O60" s="245">
        <v>16180172.737899998</v>
      </c>
      <c r="P60" s="243">
        <v>3033782.39</v>
      </c>
      <c r="Q60" s="243">
        <v>2427025.91</v>
      </c>
      <c r="R60" s="244">
        <v>0.15</v>
      </c>
      <c r="S60" s="243">
        <v>606756.48</v>
      </c>
      <c r="T60" s="286">
        <v>3.7499999999999999E-2</v>
      </c>
    </row>
    <row r="61" spans="1:20" x14ac:dyDescent="0.25">
      <c r="A61" s="26" t="s">
        <v>28</v>
      </c>
      <c r="B61" s="302">
        <v>67</v>
      </c>
      <c r="C61" s="62" t="s">
        <v>31</v>
      </c>
      <c r="D61" s="62" t="s">
        <v>30</v>
      </c>
      <c r="E61" s="62" t="s">
        <v>101</v>
      </c>
      <c r="F61" s="261" t="s">
        <v>37</v>
      </c>
      <c r="G61" s="236">
        <v>43786</v>
      </c>
      <c r="H61" s="236">
        <v>48316</v>
      </c>
      <c r="I61" s="238">
        <v>35.347200000000001</v>
      </c>
      <c r="J61" s="238">
        <v>35.052599999999998</v>
      </c>
      <c r="K61" s="236"/>
      <c r="L61" s="312"/>
      <c r="M61" s="312"/>
      <c r="N61" s="236">
        <v>2833.6842999999999</v>
      </c>
      <c r="O61" s="245">
        <v>3238480.2357000001</v>
      </c>
      <c r="P61" s="243">
        <v>607215.04</v>
      </c>
      <c r="Q61" s="243">
        <v>485772.03</v>
      </c>
      <c r="R61" s="244">
        <v>0.15</v>
      </c>
      <c r="S61" s="243">
        <v>121443.01</v>
      </c>
      <c r="T61" s="286">
        <v>3.7499999999999999E-2</v>
      </c>
    </row>
    <row r="62" spans="1:20" x14ac:dyDescent="0.25">
      <c r="A62" s="21" t="s">
        <v>28</v>
      </c>
      <c r="B62" s="33" t="s">
        <v>54</v>
      </c>
      <c r="C62" s="61"/>
      <c r="D62" s="31"/>
      <c r="E62" s="31"/>
      <c r="F62" s="263"/>
      <c r="G62" s="312"/>
      <c r="H62" s="312"/>
      <c r="I62" s="237"/>
      <c r="J62" s="237"/>
      <c r="K62" s="312"/>
      <c r="L62" s="312"/>
      <c r="M62" s="312"/>
      <c r="N62" s="312"/>
      <c r="O62" s="312">
        <v>388781.91</v>
      </c>
      <c r="P62" s="312">
        <v>72896.61</v>
      </c>
      <c r="Q62" s="312">
        <v>58317.29</v>
      </c>
      <c r="R62" s="312"/>
      <c r="S62" s="312">
        <v>14579.32</v>
      </c>
      <c r="T62" s="244"/>
    </row>
    <row r="63" spans="1:20" x14ac:dyDescent="0.25">
      <c r="A63" s="34"/>
      <c r="B63" s="165" t="s">
        <v>108</v>
      </c>
      <c r="C63" s="35" t="s">
        <v>347</v>
      </c>
      <c r="D63" s="22"/>
      <c r="E63" s="22"/>
      <c r="F63" s="279"/>
      <c r="G63" s="277"/>
      <c r="H63" s="277"/>
      <c r="I63" s="278"/>
      <c r="J63" s="265"/>
      <c r="K63" s="264"/>
      <c r="L63" s="264"/>
      <c r="M63" s="264"/>
      <c r="N63" s="249"/>
      <c r="O63" s="249">
        <v>20679342.178099997</v>
      </c>
      <c r="P63" s="250">
        <v>3877376.65</v>
      </c>
      <c r="Q63" s="250">
        <v>2984321.8</v>
      </c>
      <c r="R63" s="266"/>
      <c r="S63" s="250">
        <v>893054.85</v>
      </c>
      <c r="T63" s="252"/>
    </row>
    <row r="64" spans="1:20" x14ac:dyDescent="0.25">
      <c r="A64" s="157"/>
      <c r="B64" s="158"/>
      <c r="C64" s="35" t="s">
        <v>348</v>
      </c>
      <c r="D64" s="114"/>
      <c r="E64" s="114"/>
      <c r="F64" s="157"/>
      <c r="G64" s="227"/>
      <c r="H64" s="227"/>
      <c r="I64" s="224"/>
      <c r="J64" s="224"/>
      <c r="K64" s="227"/>
      <c r="L64" s="227"/>
      <c r="M64" s="227"/>
      <c r="N64" s="227"/>
      <c r="O64" s="230"/>
      <c r="P64" s="231">
        <v>15187684.34</v>
      </c>
      <c r="Q64" s="494">
        <v>11689588.49</v>
      </c>
      <c r="R64" s="172"/>
      <c r="S64" s="494">
        <v>3498095.85</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723785</v>
      </c>
      <c r="H66" s="312">
        <v>820539</v>
      </c>
      <c r="I66" s="237">
        <v>40.621699999999997</v>
      </c>
      <c r="J66" s="237">
        <v>41.345300000000002</v>
      </c>
      <c r="K66" s="312"/>
      <c r="L66" s="312"/>
      <c r="M66" s="312"/>
      <c r="N66" s="312"/>
      <c r="O66" s="245">
        <v>63326808.251199998</v>
      </c>
      <c r="P66" s="281">
        <v>23582903.390000001</v>
      </c>
      <c r="Q66" s="243">
        <v>11791451.699999999</v>
      </c>
      <c r="R66" s="244">
        <v>0.5</v>
      </c>
      <c r="S66" s="243"/>
      <c r="T66" s="286"/>
    </row>
    <row r="67" spans="1:20" x14ac:dyDescent="0.25">
      <c r="A67" s="26" t="s">
        <v>28</v>
      </c>
      <c r="B67" s="27" t="s">
        <v>162</v>
      </c>
      <c r="C67" s="62" t="s">
        <v>31</v>
      </c>
      <c r="D67" s="62" t="s">
        <v>30</v>
      </c>
      <c r="E67" s="62" t="s">
        <v>161</v>
      </c>
      <c r="F67" s="262" t="s">
        <v>56</v>
      </c>
      <c r="G67" s="312">
        <v>9191844.7899999991</v>
      </c>
      <c r="H67" s="312">
        <v>11648698.85</v>
      </c>
      <c r="I67" s="237">
        <v>2.0495999999999999</v>
      </c>
      <c r="J67" s="237">
        <v>2.0495999999999999</v>
      </c>
      <c r="K67" s="312"/>
      <c r="L67" s="312"/>
      <c r="M67" s="312"/>
      <c r="N67" s="312"/>
      <c r="O67" s="245">
        <v>42714778.244543992</v>
      </c>
      <c r="P67" s="281">
        <v>15906983.42</v>
      </c>
      <c r="Q67" s="243">
        <v>7953491.71</v>
      </c>
      <c r="R67" s="244">
        <v>0.5</v>
      </c>
      <c r="S67" s="243"/>
      <c r="T67" s="244"/>
    </row>
    <row r="68" spans="1:20" s="307" customFormat="1" x14ac:dyDescent="0.25">
      <c r="A68" s="26" t="s">
        <v>28</v>
      </c>
      <c r="B68" s="27" t="s">
        <v>181</v>
      </c>
      <c r="C68" s="62" t="s">
        <v>31</v>
      </c>
      <c r="D68" s="62" t="s">
        <v>30</v>
      </c>
      <c r="E68" s="62" t="s">
        <v>161</v>
      </c>
      <c r="F68" s="262" t="s">
        <v>56</v>
      </c>
      <c r="G68" s="312">
        <v>0</v>
      </c>
      <c r="H68" s="312">
        <v>7846.65</v>
      </c>
      <c r="I68" s="237">
        <v>0</v>
      </c>
      <c r="J68" s="237">
        <v>2.7452999999999999</v>
      </c>
      <c r="K68" s="312"/>
      <c r="L68" s="312"/>
      <c r="M68" s="312"/>
      <c r="N68" s="312"/>
      <c r="O68" s="245">
        <v>21541.408244999999</v>
      </c>
      <c r="P68" s="281">
        <v>8022.02</v>
      </c>
      <c r="Q68" s="243">
        <v>4011.01</v>
      </c>
      <c r="R68" s="244">
        <v>0.5</v>
      </c>
      <c r="S68" s="243"/>
      <c r="T68" s="244"/>
    </row>
    <row r="69" spans="1:20" s="307" customFormat="1" ht="12" customHeight="1" x14ac:dyDescent="0.25">
      <c r="A69" s="26" t="s">
        <v>28</v>
      </c>
      <c r="B69" s="27" t="s">
        <v>182</v>
      </c>
      <c r="C69" s="62" t="s">
        <v>31</v>
      </c>
      <c r="D69" s="62" t="s">
        <v>30</v>
      </c>
      <c r="E69" s="62" t="s">
        <v>161</v>
      </c>
      <c r="F69" s="262" t="s">
        <v>56</v>
      </c>
      <c r="G69" s="312">
        <v>135938.92000000001</v>
      </c>
      <c r="H69" s="312">
        <v>680239.27</v>
      </c>
      <c r="I69" s="237">
        <v>3.4420000000000002</v>
      </c>
      <c r="J69" s="237">
        <v>3.7309999999999999</v>
      </c>
      <c r="K69" s="312"/>
      <c r="L69" s="312"/>
      <c r="M69" s="312"/>
      <c r="N69" s="312"/>
      <c r="O69" s="245">
        <v>3005874.4790099999</v>
      </c>
      <c r="P69" s="281">
        <v>1142232.3</v>
      </c>
      <c r="Q69" s="243">
        <v>571116.15</v>
      </c>
      <c r="R69" s="314">
        <v>0.5</v>
      </c>
      <c r="S69" s="243"/>
      <c r="T69" s="244"/>
    </row>
    <row r="70" spans="1:20" x14ac:dyDescent="0.25">
      <c r="A70" s="26" t="s">
        <v>28</v>
      </c>
      <c r="B70" s="29" t="s">
        <v>171</v>
      </c>
      <c r="C70" s="62" t="s">
        <v>31</v>
      </c>
      <c r="D70" s="62" t="s">
        <v>30</v>
      </c>
      <c r="E70" s="62" t="s">
        <v>161</v>
      </c>
      <c r="F70" s="261" t="s">
        <v>37</v>
      </c>
      <c r="G70" s="312">
        <v>419195</v>
      </c>
      <c r="H70" s="312">
        <v>440665</v>
      </c>
      <c r="I70" s="237">
        <v>40.615600000000001</v>
      </c>
      <c r="J70" s="237">
        <v>41.3386</v>
      </c>
      <c r="K70" s="312"/>
      <c r="L70" s="312"/>
      <c r="M70" s="312"/>
      <c r="N70" s="312"/>
      <c r="O70" s="245">
        <v>35242330.611000001</v>
      </c>
      <c r="P70" s="281">
        <v>14096932.25</v>
      </c>
      <c r="Q70" s="243">
        <v>7048466.1299999999</v>
      </c>
      <c r="R70" s="244">
        <v>0.5</v>
      </c>
      <c r="S70" s="243"/>
      <c r="T70" s="244"/>
    </row>
    <row r="71" spans="1:20" x14ac:dyDescent="0.25">
      <c r="A71" s="26" t="s">
        <v>28</v>
      </c>
      <c r="B71" s="29" t="s">
        <v>172</v>
      </c>
      <c r="C71" s="62" t="s">
        <v>31</v>
      </c>
      <c r="D71" s="62" t="s">
        <v>30</v>
      </c>
      <c r="E71" s="62" t="s">
        <v>161</v>
      </c>
      <c r="F71" s="261" t="s">
        <v>56</v>
      </c>
      <c r="G71" s="312">
        <v>0</v>
      </c>
      <c r="H71" s="312">
        <v>1559740.84</v>
      </c>
      <c r="I71" s="237">
        <v>0</v>
      </c>
      <c r="J71" s="237">
        <v>3.7309999999999999</v>
      </c>
      <c r="K71" s="312"/>
      <c r="L71" s="312"/>
      <c r="M71" s="312"/>
      <c r="N71" s="312"/>
      <c r="O71" s="245">
        <v>5819393.0740400003</v>
      </c>
      <c r="P71" s="281">
        <v>2211369.37</v>
      </c>
      <c r="Q71" s="243">
        <v>1105684.69</v>
      </c>
      <c r="R71" s="244">
        <v>0.5</v>
      </c>
      <c r="S71" s="243"/>
      <c r="T71" s="244"/>
    </row>
    <row r="72" spans="1:20" x14ac:dyDescent="0.25">
      <c r="A72" s="26" t="s">
        <v>28</v>
      </c>
      <c r="B72" s="32" t="s">
        <v>177</v>
      </c>
      <c r="C72" s="62" t="s">
        <v>31</v>
      </c>
      <c r="D72" s="62" t="s">
        <v>30</v>
      </c>
      <c r="E72" s="62" t="s">
        <v>161</v>
      </c>
      <c r="F72" s="261" t="s">
        <v>56</v>
      </c>
      <c r="G72" s="312">
        <v>1443.11</v>
      </c>
      <c r="H72" s="312">
        <v>70873.89</v>
      </c>
      <c r="I72" s="237">
        <v>1.9421999999999999</v>
      </c>
      <c r="J72" s="237">
        <v>1.9421999999999999</v>
      </c>
      <c r="K72" s="236"/>
      <c r="L72" s="312"/>
      <c r="M72" s="312"/>
      <c r="N72" s="236"/>
      <c r="O72" s="245">
        <v>140454.07739999998</v>
      </c>
      <c r="P72" s="281">
        <v>52305.1</v>
      </c>
      <c r="Q72" s="243">
        <v>26152.55</v>
      </c>
      <c r="R72" s="244">
        <v>0.5</v>
      </c>
      <c r="S72" s="243"/>
      <c r="T72" s="286"/>
    </row>
    <row r="73" spans="1:20" s="307" customFormat="1" x14ac:dyDescent="0.25">
      <c r="A73" s="26" t="s">
        <v>28</v>
      </c>
      <c r="B73" s="32" t="s">
        <v>179</v>
      </c>
      <c r="C73" s="62" t="s">
        <v>31</v>
      </c>
      <c r="D73" s="62" t="s">
        <v>30</v>
      </c>
      <c r="E73" s="62" t="s">
        <v>161</v>
      </c>
      <c r="F73" s="261" t="s">
        <v>37</v>
      </c>
      <c r="G73" s="312">
        <v>0</v>
      </c>
      <c r="H73" s="312">
        <v>56652</v>
      </c>
      <c r="I73" s="237">
        <v>0</v>
      </c>
      <c r="J73" s="237">
        <v>35.767000000000003</v>
      </c>
      <c r="K73" s="236"/>
      <c r="L73" s="312"/>
      <c r="M73" s="312"/>
      <c r="N73" s="236"/>
      <c r="O73" s="245">
        <v>2026272.0840000003</v>
      </c>
      <c r="P73" s="281">
        <v>115497.50856</v>
      </c>
      <c r="Q73" s="243">
        <v>57748.75</v>
      </c>
      <c r="R73" s="244">
        <v>0.5</v>
      </c>
      <c r="S73" s="243"/>
      <c r="T73" s="286"/>
    </row>
    <row r="74" spans="1:20" s="307" customFormat="1" x14ac:dyDescent="0.25">
      <c r="A74" s="26" t="s">
        <v>28</v>
      </c>
      <c r="B74" s="302" t="s">
        <v>180</v>
      </c>
      <c r="C74" s="62" t="s">
        <v>31</v>
      </c>
      <c r="D74" s="62" t="s">
        <v>30</v>
      </c>
      <c r="E74" s="62" t="s">
        <v>161</v>
      </c>
      <c r="F74" s="261" t="s">
        <v>56</v>
      </c>
      <c r="G74" s="312">
        <v>0</v>
      </c>
      <c r="H74" s="312">
        <v>888435.85</v>
      </c>
      <c r="I74" s="237">
        <v>0</v>
      </c>
      <c r="J74" s="237">
        <v>2.347</v>
      </c>
      <c r="K74" s="472"/>
      <c r="L74" s="312"/>
      <c r="M74" s="312"/>
      <c r="N74" s="236"/>
      <c r="O74" s="245">
        <v>2085158.93995</v>
      </c>
      <c r="P74" s="281">
        <v>168897.87414</v>
      </c>
      <c r="Q74" s="243">
        <v>84448.94</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4563218.3526779907</v>
      </c>
      <c r="P75" s="213">
        <v>577727.85931999912</v>
      </c>
      <c r="Q75" s="213">
        <v>288863.92999999935</v>
      </c>
      <c r="R75" s="244"/>
      <c r="S75" s="201"/>
      <c r="T75" s="160"/>
    </row>
    <row r="76" spans="1:20" x14ac:dyDescent="0.25">
      <c r="A76" s="34"/>
      <c r="B76" s="165" t="s">
        <v>108</v>
      </c>
      <c r="C76" s="35" t="s">
        <v>349</v>
      </c>
      <c r="D76" s="22"/>
      <c r="E76" s="22"/>
      <c r="F76" s="297"/>
      <c r="G76" s="282"/>
      <c r="H76" s="282"/>
      <c r="I76" s="356"/>
      <c r="J76" s="282"/>
      <c r="K76" s="294"/>
      <c r="L76" s="287"/>
      <c r="M76" s="353"/>
      <c r="N76" s="219"/>
      <c r="O76" s="219">
        <v>158945829.52206698</v>
      </c>
      <c r="P76" s="219">
        <v>57862871.092020005</v>
      </c>
      <c r="Q76" s="219">
        <v>28931435.560000002</v>
      </c>
      <c r="R76" s="199"/>
      <c r="S76" s="207"/>
      <c r="T76" s="160"/>
    </row>
    <row r="77" spans="1:20" x14ac:dyDescent="0.25">
      <c r="A77" s="157"/>
      <c r="B77" s="158"/>
      <c r="C77" s="35" t="s">
        <v>350</v>
      </c>
      <c r="D77" s="114"/>
      <c r="E77" s="114"/>
      <c r="F77" s="297"/>
      <c r="G77" s="283"/>
      <c r="H77" s="283"/>
      <c r="I77" s="357"/>
      <c r="J77" s="282"/>
      <c r="K77" s="295"/>
      <c r="L77" s="288"/>
      <c r="M77" s="478"/>
      <c r="N77" s="479"/>
      <c r="O77" s="479"/>
      <c r="P77" s="209"/>
      <c r="Q77" s="209">
        <v>113324433.08852001</v>
      </c>
      <c r="R77" s="198"/>
      <c r="S77" s="207"/>
      <c r="T77" s="160"/>
    </row>
    <row r="78" spans="1:20" x14ac:dyDescent="0.25">
      <c r="A78" s="10" t="s">
        <v>55</v>
      </c>
      <c r="B78" s="308"/>
      <c r="C78" s="308"/>
      <c r="D78" s="308"/>
      <c r="E78" s="308"/>
      <c r="F78" s="298"/>
      <c r="G78" s="284"/>
      <c r="H78" s="284"/>
      <c r="I78" s="282"/>
      <c r="J78" s="282"/>
      <c r="K78" s="358"/>
      <c r="L78" s="359"/>
      <c r="M78" s="311">
        <v>172952.01</v>
      </c>
      <c r="N78" s="311">
        <v>30238.785200000006</v>
      </c>
      <c r="O78" s="311">
        <v>243705099.58686697</v>
      </c>
      <c r="P78" s="311">
        <v>44708613.430000007</v>
      </c>
      <c r="Q78" s="211">
        <v>175123638.83851999</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G80" s="307"/>
      <c r="H80" s="99" t="s">
        <v>77</v>
      </c>
      <c r="I80" s="307"/>
      <c r="J80" s="72"/>
      <c r="K80" s="72"/>
      <c r="L80" s="6"/>
      <c r="M80" s="6"/>
      <c r="N80" s="220"/>
      <c r="O80" s="280">
        <v>309943823.04999995</v>
      </c>
      <c r="P80" s="285"/>
      <c r="Q80" s="220"/>
      <c r="R80" s="6"/>
      <c r="S80" s="285"/>
      <c r="T80" s="6"/>
    </row>
    <row r="81" spans="1:20" x14ac:dyDescent="0.25">
      <c r="A81" s="6"/>
      <c r="B81" s="126" t="s">
        <v>78</v>
      </c>
      <c r="C81" s="127" t="s">
        <v>79</v>
      </c>
      <c r="D81" s="128"/>
      <c r="E81" s="129" t="s">
        <v>35</v>
      </c>
      <c r="F81" s="129" t="s">
        <v>80</v>
      </c>
      <c r="G81" s="307"/>
      <c r="H81" s="100" t="s">
        <v>35</v>
      </c>
      <c r="I81" s="308"/>
      <c r="J81" s="308"/>
      <c r="K81" s="308"/>
      <c r="L81" s="101"/>
      <c r="M81" s="6"/>
      <c r="N81" s="451"/>
      <c r="O81" s="635"/>
      <c r="P81" s="346"/>
      <c r="Q81" s="74"/>
      <c r="R81" s="6"/>
      <c r="S81" s="6"/>
      <c r="T81" s="6"/>
    </row>
    <row r="82" spans="1:20" x14ac:dyDescent="0.25">
      <c r="A82" s="7"/>
      <c r="B82" s="102" t="s">
        <v>81</v>
      </c>
      <c r="C82" s="103" t="s">
        <v>82</v>
      </c>
      <c r="D82" s="104"/>
      <c r="E82" s="105"/>
      <c r="F82" s="105"/>
      <c r="G82" s="307"/>
      <c r="H82" s="106" t="s">
        <v>352</v>
      </c>
      <c r="I82" s="6"/>
      <c r="J82" s="6"/>
      <c r="K82" s="6"/>
      <c r="L82" s="107"/>
      <c r="M82" s="393">
        <v>6.2200000337121024E-2</v>
      </c>
      <c r="N82" s="393">
        <v>6.4199999463479832E-2</v>
      </c>
      <c r="O82" s="635"/>
      <c r="P82" s="220"/>
      <c r="Q82" s="285"/>
      <c r="R82" s="6"/>
      <c r="S82" s="6"/>
      <c r="T82" s="6"/>
    </row>
    <row r="83" spans="1:20" x14ac:dyDescent="0.25">
      <c r="A83" s="6"/>
      <c r="B83" s="108" t="s">
        <v>83</v>
      </c>
      <c r="C83" s="109" t="s">
        <v>84</v>
      </c>
      <c r="D83" s="110"/>
      <c r="E83" s="111"/>
      <c r="F83" s="112"/>
      <c r="G83" s="307"/>
      <c r="H83" s="113">
        <v>0</v>
      </c>
      <c r="I83" s="114"/>
      <c r="J83" s="114"/>
      <c r="K83" s="114"/>
      <c r="L83" s="115"/>
      <c r="M83" s="393">
        <v>9.4199999857272176E-2</v>
      </c>
      <c r="N83" s="393">
        <v>9.8900000237297003E-2</v>
      </c>
      <c r="O83" s="405"/>
      <c r="P83" s="220"/>
      <c r="Q83" s="6"/>
      <c r="R83" s="6"/>
      <c r="S83" s="6"/>
      <c r="T83" s="6"/>
    </row>
    <row r="84" spans="1:20" x14ac:dyDescent="0.25">
      <c r="A84" s="6"/>
      <c r="B84" s="108" t="s">
        <v>85</v>
      </c>
      <c r="C84" s="109" t="s">
        <v>86</v>
      </c>
      <c r="D84" s="110"/>
      <c r="E84" s="111"/>
      <c r="F84" s="111"/>
      <c r="G84" s="6"/>
      <c r="H84" s="307"/>
      <c r="I84" s="116"/>
      <c r="J84" s="6"/>
      <c r="K84" s="6"/>
      <c r="L84" s="6"/>
      <c r="M84" s="393">
        <v>0.39999999969547706</v>
      </c>
      <c r="N84" s="393">
        <v>0.39999999979093542</v>
      </c>
      <c r="O84" s="403"/>
      <c r="P84" s="6"/>
      <c r="Q84" s="6"/>
      <c r="R84" s="6"/>
      <c r="S84" s="6"/>
      <c r="T84" s="6"/>
    </row>
    <row r="85" spans="1:20" x14ac:dyDescent="0.25">
      <c r="A85" s="6"/>
      <c r="B85" s="108" t="s">
        <v>87</v>
      </c>
      <c r="C85" s="109" t="s">
        <v>88</v>
      </c>
      <c r="D85" s="110"/>
      <c r="E85" s="117"/>
      <c r="F85" s="117"/>
      <c r="G85" s="6"/>
      <c r="H85" s="100" t="s">
        <v>80</v>
      </c>
      <c r="I85" s="118"/>
      <c r="J85" s="308"/>
      <c r="K85" s="308"/>
      <c r="L85" s="101"/>
      <c r="M85" s="393">
        <v>0.38000000287019686</v>
      </c>
      <c r="N85" s="393"/>
      <c r="O85" s="403"/>
      <c r="P85" s="6"/>
      <c r="Q85" s="6"/>
      <c r="R85" s="6"/>
      <c r="S85" s="6"/>
      <c r="T85" s="6"/>
    </row>
    <row r="86" spans="1:20" x14ac:dyDescent="0.25">
      <c r="A86" s="6"/>
      <c r="B86" s="108" t="s">
        <v>89</v>
      </c>
      <c r="C86" s="109" t="s">
        <v>90</v>
      </c>
      <c r="D86" s="110"/>
      <c r="E86" s="119"/>
      <c r="F86" s="112"/>
      <c r="G86" s="6"/>
      <c r="H86" s="106" t="s">
        <v>352</v>
      </c>
      <c r="I86" s="116"/>
      <c r="J86" s="6"/>
      <c r="K86" s="6"/>
      <c r="L86" s="107"/>
      <c r="M86" s="7"/>
      <c r="N86" s="473"/>
      <c r="O86" s="403"/>
      <c r="P86" s="6"/>
      <c r="Q86" s="6"/>
      <c r="R86" s="6"/>
      <c r="S86" s="6"/>
      <c r="T86" s="6"/>
    </row>
    <row r="87" spans="1:20" x14ac:dyDescent="0.25">
      <c r="A87" s="6"/>
      <c r="B87" s="120" t="s">
        <v>91</v>
      </c>
      <c r="C87" s="121" t="s">
        <v>92</v>
      </c>
      <c r="D87" s="122"/>
      <c r="E87" s="123">
        <v>0</v>
      </c>
      <c r="F87" s="123">
        <v>0</v>
      </c>
      <c r="G87" s="6"/>
      <c r="H87" s="113">
        <v>0</v>
      </c>
      <c r="I87" s="124"/>
      <c r="J87" s="114"/>
      <c r="K87" s="114"/>
      <c r="L87" s="115"/>
      <c r="M87" s="403"/>
      <c r="N87" s="403"/>
      <c r="O87" s="403"/>
      <c r="P87" s="6"/>
      <c r="Q87" s="6"/>
      <c r="R87" s="6"/>
      <c r="S87" s="6"/>
      <c r="T87" s="6"/>
    </row>
    <row r="88" spans="1:20" x14ac:dyDescent="0.25">
      <c r="A88" s="5"/>
      <c r="B88" s="307"/>
      <c r="C88" s="4"/>
      <c r="D88" s="4"/>
      <c r="E88" s="307"/>
      <c r="F88" s="307"/>
      <c r="G88" s="307"/>
      <c r="H88" s="190"/>
      <c r="I88" s="307"/>
      <c r="J88" s="307"/>
      <c r="K88" s="307"/>
      <c r="L88" s="307"/>
      <c r="M88" s="406"/>
      <c r="N88" s="406"/>
      <c r="O88" s="406"/>
      <c r="P88" s="307"/>
      <c r="Q88" s="307"/>
      <c r="R88" s="307"/>
      <c r="S88" s="307"/>
      <c r="T88" s="307"/>
    </row>
    <row r="89" spans="1:20" x14ac:dyDescent="0.25">
      <c r="A89" s="307"/>
      <c r="B89" s="307"/>
      <c r="C89" s="307"/>
      <c r="D89" s="307"/>
      <c r="E89" s="307"/>
      <c r="F89" s="307"/>
      <c r="G89" s="307"/>
      <c r="H89" s="307"/>
      <c r="I89" s="307"/>
      <c r="J89" s="307"/>
      <c r="K89" s="307"/>
      <c r="L89" s="307"/>
      <c r="M89" s="307"/>
      <c r="N89" s="307"/>
      <c r="O89" s="307"/>
      <c r="P89" s="307"/>
      <c r="Q89" s="307"/>
      <c r="R89" s="307"/>
      <c r="S89" s="307"/>
      <c r="T89" s="307"/>
    </row>
  </sheetData>
  <mergeCells count="2">
    <mergeCell ref="C7:C8"/>
    <mergeCell ref="O7:O8"/>
  </mergeCells>
  <phoneticPr fontId="0" type="noConversion"/>
  <printOptions horizontalCentered="1" verticalCentered="1"/>
  <pageMargins left="0.25" right="0.25" top="0.5" bottom="0.5" header="0" footer="0"/>
  <pageSetup paperSize="9" scale="47"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6">
    <pageSetUpPr fitToPage="1"/>
  </sheetPr>
  <dimension ref="A1:T88"/>
  <sheetViews>
    <sheetView view="pageBreakPreview" zoomScale="95" zoomScaleNormal="95" zoomScaleSheetLayoutView="95" workbookViewId="0">
      <selection activeCell="I77" sqref="I77"/>
    </sheetView>
  </sheetViews>
  <sheetFormatPr baseColWidth="10" defaultColWidth="8.90625" defaultRowHeight="13.2" x14ac:dyDescent="0.25"/>
  <cols>
    <col min="1" max="1" width="3" style="307" customWidth="1"/>
    <col min="2" max="2" width="11" style="307" customWidth="1"/>
    <col min="3" max="4" width="7.1796875" style="307" customWidth="1"/>
    <col min="5" max="5" width="7.54296875" style="307" customWidth="1"/>
    <col min="6" max="6" width="8.453125" style="307" customWidth="1"/>
    <col min="7" max="10" width="10.453125" style="307" customWidth="1"/>
    <col min="11" max="13" width="10.453125" style="307" hidden="1" customWidth="1"/>
    <col min="14" max="14" width="10.453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44348</v>
      </c>
      <c r="F1" s="300">
        <v>3.9390000000000001</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367</v>
      </c>
      <c r="B4" s="143"/>
      <c r="C4" s="143"/>
      <c r="D4" s="143"/>
      <c r="E4" s="143"/>
      <c r="F4" s="143"/>
      <c r="G4" s="143"/>
      <c r="H4" s="143"/>
      <c r="I4" s="143"/>
      <c r="J4" s="143"/>
      <c r="K4" s="143"/>
      <c r="L4" s="143"/>
      <c r="M4" s="143"/>
      <c r="N4" s="143"/>
      <c r="O4" s="143"/>
      <c r="P4" s="143"/>
      <c r="Q4" s="143"/>
      <c r="R4" s="143"/>
      <c r="S4" s="143"/>
      <c r="T4" s="143"/>
    </row>
    <row r="5" spans="1:20" x14ac:dyDescent="0.25">
      <c r="A5" s="143" t="s">
        <v>368</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16830</v>
      </c>
      <c r="I10" s="237"/>
      <c r="J10" s="238">
        <v>71.214799999999997</v>
      </c>
      <c r="K10" s="312"/>
      <c r="L10" s="312"/>
      <c r="M10" s="312"/>
      <c r="N10" s="236">
        <v>211.4589</v>
      </c>
      <c r="O10" s="236">
        <v>1198333.6211000001</v>
      </c>
      <c r="P10" s="243">
        <v>224687.55</v>
      </c>
      <c r="Q10" s="243">
        <v>179750.04</v>
      </c>
      <c r="R10" s="244">
        <v>0.15</v>
      </c>
      <c r="S10" s="243">
        <v>44937.51</v>
      </c>
      <c r="T10" s="286">
        <v>3.7499999999999999E-2</v>
      </c>
    </row>
    <row r="11" spans="1:20" x14ac:dyDescent="0.25">
      <c r="A11" s="26" t="s">
        <v>28</v>
      </c>
      <c r="B11" s="27" t="s">
        <v>14</v>
      </c>
      <c r="C11" s="62" t="s">
        <v>29</v>
      </c>
      <c r="D11" s="28" t="s">
        <v>21</v>
      </c>
      <c r="E11" s="62" t="s">
        <v>98</v>
      </c>
      <c r="F11" s="260" t="s">
        <v>56</v>
      </c>
      <c r="G11" s="312"/>
      <c r="H11" s="236">
        <v>118582.96</v>
      </c>
      <c r="I11" s="237"/>
      <c r="J11" s="238">
        <v>3.1905000000000001</v>
      </c>
      <c r="K11" s="312"/>
      <c r="L11" s="312"/>
      <c r="M11" s="312"/>
      <c r="N11" s="236">
        <v>594.73099999999999</v>
      </c>
      <c r="O11" s="236">
        <v>377744.19899999996</v>
      </c>
      <c r="P11" s="243">
        <v>70827.039999999994</v>
      </c>
      <c r="Q11" s="243">
        <v>56661.63</v>
      </c>
      <c r="R11" s="244">
        <v>0.15</v>
      </c>
      <c r="S11" s="243">
        <v>14165.41</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5690</v>
      </c>
      <c r="H13" s="236">
        <v>6030</v>
      </c>
      <c r="I13" s="238">
        <v>70.678200000000004</v>
      </c>
      <c r="J13" s="238">
        <v>72.959800000000001</v>
      </c>
      <c r="K13" s="312"/>
      <c r="L13" s="312"/>
      <c r="M13" s="312"/>
      <c r="N13" s="236">
        <v>548.47649999999999</v>
      </c>
      <c r="O13" s="236">
        <v>841558.07350000006</v>
      </c>
      <c r="P13" s="243">
        <v>157792.14000000001</v>
      </c>
      <c r="Q13" s="243">
        <v>126233.71</v>
      </c>
      <c r="R13" s="244">
        <v>0.15</v>
      </c>
      <c r="S13" s="243">
        <v>31558.43</v>
      </c>
      <c r="T13" s="286">
        <v>3.7499999999999999E-2</v>
      </c>
    </row>
    <row r="14" spans="1:20" x14ac:dyDescent="0.25">
      <c r="A14" s="267" t="s">
        <v>28</v>
      </c>
      <c r="B14" s="271" t="s">
        <v>176</v>
      </c>
      <c r="C14" s="260" t="s">
        <v>29</v>
      </c>
      <c r="D14" s="268" t="s">
        <v>21</v>
      </c>
      <c r="E14" s="260" t="s">
        <v>98</v>
      </c>
      <c r="F14" s="260" t="s">
        <v>56</v>
      </c>
      <c r="G14" s="236">
        <v>24283.7</v>
      </c>
      <c r="H14" s="236">
        <v>19970.939999999999</v>
      </c>
      <c r="I14" s="238">
        <v>2.6775000000000002</v>
      </c>
      <c r="J14" s="238">
        <v>2.6775000000000002</v>
      </c>
      <c r="K14" s="312"/>
      <c r="L14" s="312"/>
      <c r="M14" s="312"/>
      <c r="N14" s="236">
        <v>584.81889999999999</v>
      </c>
      <c r="O14" s="236">
        <v>117906.9811</v>
      </c>
      <c r="P14" s="243">
        <v>22107.56</v>
      </c>
      <c r="Q14" s="243">
        <v>17686.05</v>
      </c>
      <c r="R14" s="244">
        <v>0.15</v>
      </c>
      <c r="S14" s="243">
        <v>4421.510000000002</v>
      </c>
      <c r="T14" s="286">
        <v>3.7499999999999999E-2</v>
      </c>
    </row>
    <row r="15" spans="1:20" x14ac:dyDescent="0.25">
      <c r="A15" s="26" t="s">
        <v>28</v>
      </c>
      <c r="B15" s="27" t="s">
        <v>4</v>
      </c>
      <c r="C15" s="62" t="s">
        <v>31</v>
      </c>
      <c r="D15" s="28" t="s">
        <v>30</v>
      </c>
      <c r="E15" s="62" t="s">
        <v>101</v>
      </c>
      <c r="F15" s="260" t="s">
        <v>37</v>
      </c>
      <c r="G15" s="236">
        <v>7464</v>
      </c>
      <c r="H15" s="236">
        <v>8596</v>
      </c>
      <c r="I15" s="238">
        <v>69.735299999999995</v>
      </c>
      <c r="J15" s="237">
        <v>72.694199999999995</v>
      </c>
      <c r="K15" s="312"/>
      <c r="L15" s="312"/>
      <c r="M15" s="312"/>
      <c r="N15" s="236">
        <v>389.88099999999997</v>
      </c>
      <c r="O15" s="236">
        <v>1144993.7390000001</v>
      </c>
      <c r="P15" s="243">
        <v>214686.33</v>
      </c>
      <c r="Q15" s="243">
        <v>171749.06</v>
      </c>
      <c r="R15" s="244">
        <v>0.15</v>
      </c>
      <c r="S15" s="243">
        <v>42937.27</v>
      </c>
      <c r="T15" s="286">
        <v>3.7499999999999999E-2</v>
      </c>
    </row>
    <row r="16" spans="1:20" x14ac:dyDescent="0.25">
      <c r="A16" s="26" t="s">
        <v>28</v>
      </c>
      <c r="B16" s="27" t="s">
        <v>5</v>
      </c>
      <c r="C16" s="62" t="s">
        <v>31</v>
      </c>
      <c r="D16" s="28" t="s">
        <v>30</v>
      </c>
      <c r="E16" s="62" t="s">
        <v>101</v>
      </c>
      <c r="F16" s="260" t="s">
        <v>37</v>
      </c>
      <c r="G16" s="236">
        <v>26016</v>
      </c>
      <c r="H16" s="236">
        <v>24129</v>
      </c>
      <c r="I16" s="238">
        <v>69.735299999999995</v>
      </c>
      <c r="J16" s="237">
        <v>72.694199999999995</v>
      </c>
      <c r="K16" s="312"/>
      <c r="L16" s="312"/>
      <c r="M16" s="312"/>
      <c r="N16" s="236">
        <v>1007.7393</v>
      </c>
      <c r="O16" s="236">
        <v>3567264.1707000001</v>
      </c>
      <c r="P16" s="243">
        <v>668862.03</v>
      </c>
      <c r="Q16" s="243">
        <v>535089.63</v>
      </c>
      <c r="R16" s="244">
        <v>0.15</v>
      </c>
      <c r="S16" s="243">
        <v>133772.41</v>
      </c>
      <c r="T16" s="286">
        <v>3.7499999999999999E-2</v>
      </c>
    </row>
    <row r="17" spans="1:20" x14ac:dyDescent="0.25">
      <c r="A17" s="26" t="s">
        <v>28</v>
      </c>
      <c r="B17" s="27" t="s">
        <v>331</v>
      </c>
      <c r="C17" s="62" t="s">
        <v>31</v>
      </c>
      <c r="D17" s="28" t="s">
        <v>30</v>
      </c>
      <c r="E17" s="62" t="s">
        <v>101</v>
      </c>
      <c r="F17" s="260" t="s">
        <v>37</v>
      </c>
      <c r="G17" s="236">
        <v>24923.86</v>
      </c>
      <c r="H17" s="236">
        <v>16816.919999999998</v>
      </c>
      <c r="I17" s="238">
        <v>4.6295999999999999</v>
      </c>
      <c r="J17" s="238">
        <v>4.6295999999999999</v>
      </c>
      <c r="K17" s="312"/>
      <c r="L17" s="312"/>
      <c r="M17" s="312"/>
      <c r="N17" s="236"/>
      <c r="O17" s="236">
        <v>193243.11</v>
      </c>
      <c r="P17" s="243">
        <v>36233.08</v>
      </c>
      <c r="Q17" s="243">
        <v>28986.47</v>
      </c>
      <c r="R17" s="244">
        <v>0.15</v>
      </c>
      <c r="S17" s="243">
        <v>7246.62</v>
      </c>
      <c r="T17" s="286">
        <v>3.7499999999999999E-2</v>
      </c>
    </row>
    <row r="18" spans="1:20" x14ac:dyDescent="0.25">
      <c r="A18" s="26" t="s">
        <v>28</v>
      </c>
      <c r="B18" s="27" t="s">
        <v>17</v>
      </c>
      <c r="C18" s="62" t="s">
        <v>29</v>
      </c>
      <c r="D18" s="28" t="s">
        <v>21</v>
      </c>
      <c r="E18" s="62" t="s">
        <v>98</v>
      </c>
      <c r="F18" s="260" t="s">
        <v>37</v>
      </c>
      <c r="G18" s="312"/>
      <c r="H18" s="236">
        <v>3104</v>
      </c>
      <c r="I18" s="237"/>
      <c r="J18" s="238">
        <v>71.214799999999997</v>
      </c>
      <c r="K18" s="312"/>
      <c r="L18" s="312"/>
      <c r="M18" s="312"/>
      <c r="N18" s="236">
        <v>462.56849999999997</v>
      </c>
      <c r="O18" s="245">
        <v>220588.1715</v>
      </c>
      <c r="P18" s="243">
        <v>41360.28</v>
      </c>
      <c r="Q18" s="243">
        <v>33088.230000000003</v>
      </c>
      <c r="R18" s="244">
        <v>0.15</v>
      </c>
      <c r="S18" s="243">
        <v>8272.06</v>
      </c>
      <c r="T18" s="286">
        <v>3.7499999999999999E-2</v>
      </c>
    </row>
    <row r="19" spans="1:20" x14ac:dyDescent="0.25">
      <c r="A19" s="26" t="s">
        <v>28</v>
      </c>
      <c r="B19" s="27" t="s">
        <v>6</v>
      </c>
      <c r="C19" s="62" t="s">
        <v>31</v>
      </c>
      <c r="D19" s="28" t="s">
        <v>30</v>
      </c>
      <c r="E19" s="62" t="s">
        <v>101</v>
      </c>
      <c r="F19" s="260" t="s">
        <v>37</v>
      </c>
      <c r="G19" s="236">
        <v>60011</v>
      </c>
      <c r="H19" s="236">
        <v>72218</v>
      </c>
      <c r="I19" s="238">
        <v>69.185299999999998</v>
      </c>
      <c r="J19" s="237">
        <v>72.144199999999998</v>
      </c>
      <c r="K19" s="312"/>
      <c r="L19" s="312"/>
      <c r="M19" s="312"/>
      <c r="N19" s="236">
        <v>2808.4558000000002</v>
      </c>
      <c r="O19" s="245">
        <v>9359180.4241999984</v>
      </c>
      <c r="P19" s="243">
        <v>1754846.33</v>
      </c>
      <c r="Q19" s="243">
        <v>1403877.06</v>
      </c>
      <c r="R19" s="244">
        <v>0.15</v>
      </c>
      <c r="S19" s="243">
        <v>350969.27</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74184.14</v>
      </c>
      <c r="H21" s="312">
        <v>70055.820000000007</v>
      </c>
      <c r="I21" s="237">
        <v>2.3111000000000002</v>
      </c>
      <c r="J21" s="237">
        <v>2.3111000000000002</v>
      </c>
      <c r="K21" s="312"/>
      <c r="L21" s="312"/>
      <c r="M21" s="312"/>
      <c r="N21" s="312">
        <v>657.50909999999999</v>
      </c>
      <c r="O21" s="245">
        <v>332695.47089999996</v>
      </c>
      <c r="P21" s="243">
        <v>62380.4</v>
      </c>
      <c r="Q21" s="243">
        <v>49904.32</v>
      </c>
      <c r="R21" s="244">
        <v>0.15</v>
      </c>
      <c r="S21" s="243">
        <v>12476.08</v>
      </c>
      <c r="T21" s="286">
        <v>3.7499999999999999E-2</v>
      </c>
    </row>
    <row r="22" spans="1:20" x14ac:dyDescent="0.25">
      <c r="A22" s="26" t="s">
        <v>28</v>
      </c>
      <c r="B22" s="27" t="s">
        <v>18</v>
      </c>
      <c r="C22" s="62" t="s">
        <v>31</v>
      </c>
      <c r="D22" s="28" t="s">
        <v>30</v>
      </c>
      <c r="E22" s="62" t="s">
        <v>101</v>
      </c>
      <c r="F22" s="260" t="s">
        <v>37</v>
      </c>
      <c r="G22" s="312">
        <v>2074</v>
      </c>
      <c r="H22" s="312">
        <v>2877</v>
      </c>
      <c r="I22" s="237">
        <v>69.735299999999995</v>
      </c>
      <c r="J22" s="238">
        <v>72.694199999999995</v>
      </c>
      <c r="K22" s="312"/>
      <c r="L22" s="312"/>
      <c r="M22" s="312"/>
      <c r="N22" s="236">
        <v>227.97980000000001</v>
      </c>
      <c r="O22" s="245">
        <v>353544.2402</v>
      </c>
      <c r="P22" s="243">
        <v>66289.55</v>
      </c>
      <c r="Q22" s="243">
        <v>53031.64</v>
      </c>
      <c r="R22" s="244">
        <v>0.15</v>
      </c>
      <c r="S22" s="243">
        <v>13257.91</v>
      </c>
      <c r="T22" s="286">
        <v>3.7499999999999999E-2</v>
      </c>
    </row>
    <row r="23" spans="1:20" x14ac:dyDescent="0.25">
      <c r="A23" s="26" t="s">
        <v>28</v>
      </c>
      <c r="B23" s="29" t="s">
        <v>20</v>
      </c>
      <c r="C23" s="62" t="s">
        <v>31</v>
      </c>
      <c r="D23" s="28" t="s">
        <v>30</v>
      </c>
      <c r="E23" s="62" t="s">
        <v>101</v>
      </c>
      <c r="F23" s="260" t="s">
        <v>37</v>
      </c>
      <c r="G23" s="312">
        <v>178482</v>
      </c>
      <c r="H23" s="312">
        <v>179618</v>
      </c>
      <c r="I23" s="237">
        <v>69.735299999999995</v>
      </c>
      <c r="J23" s="238">
        <v>72.694199999999995</v>
      </c>
      <c r="K23" s="312"/>
      <c r="L23" s="312"/>
      <c r="M23" s="312"/>
      <c r="N23" s="236">
        <v>3515.5250999999998</v>
      </c>
      <c r="O23" s="245">
        <v>25500167.104900002</v>
      </c>
      <c r="P23" s="243">
        <v>4781281.33</v>
      </c>
      <c r="Q23" s="243">
        <v>3825025.07</v>
      </c>
      <c r="R23" s="244">
        <v>0.15</v>
      </c>
      <c r="S23" s="243">
        <v>956256.27</v>
      </c>
      <c r="T23" s="286">
        <v>3.7499999999999999E-2</v>
      </c>
    </row>
    <row r="24" spans="1:20" x14ac:dyDescent="0.25">
      <c r="A24" s="26" t="s">
        <v>28</v>
      </c>
      <c r="B24" s="27" t="s">
        <v>8</v>
      </c>
      <c r="C24" s="62" t="s">
        <v>31</v>
      </c>
      <c r="D24" s="28" t="s">
        <v>21</v>
      </c>
      <c r="E24" s="62" t="s">
        <v>101</v>
      </c>
      <c r="F24" s="260" t="s">
        <v>56</v>
      </c>
      <c r="G24" s="312">
        <v>251460.69</v>
      </c>
      <c r="H24" s="236">
        <v>248296.85</v>
      </c>
      <c r="I24" s="238">
        <v>1.8959999999999999</v>
      </c>
      <c r="J24" s="238">
        <v>1.8959999999999999</v>
      </c>
      <c r="K24" s="312"/>
      <c r="L24" s="312"/>
      <c r="M24" s="312"/>
      <c r="N24" s="236">
        <v>693.85149999999999</v>
      </c>
      <c r="O24" s="245">
        <v>946846.44850000006</v>
      </c>
      <c r="P24" s="243">
        <v>177533.71</v>
      </c>
      <c r="Q24" s="243">
        <v>142026.97</v>
      </c>
      <c r="R24" s="244">
        <v>0.15</v>
      </c>
      <c r="S24" s="243">
        <v>35506.74</v>
      </c>
      <c r="T24" s="286">
        <v>3.7499999999999999E-2</v>
      </c>
    </row>
    <row r="25" spans="1:20" x14ac:dyDescent="0.25">
      <c r="A25" s="26" t="s">
        <v>28</v>
      </c>
      <c r="B25" s="29" t="s">
        <v>57</v>
      </c>
      <c r="C25" s="62" t="s">
        <v>31</v>
      </c>
      <c r="D25" s="28" t="s">
        <v>21</v>
      </c>
      <c r="E25" s="62" t="s">
        <v>101</v>
      </c>
      <c r="F25" s="260" t="s">
        <v>37</v>
      </c>
      <c r="G25" s="312"/>
      <c r="H25" s="236"/>
      <c r="I25" s="237"/>
      <c r="J25" s="237"/>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374</v>
      </c>
      <c r="H26" s="312">
        <v>507</v>
      </c>
      <c r="I26" s="237">
        <v>70.914500000000004</v>
      </c>
      <c r="J26" s="238">
        <v>73.025899999999993</v>
      </c>
      <c r="K26" s="312"/>
      <c r="L26" s="312"/>
      <c r="M26" s="312"/>
      <c r="N26" s="312">
        <v>247.8039</v>
      </c>
      <c r="O26" s="245">
        <v>63298.346099999995</v>
      </c>
      <c r="P26" s="243">
        <v>11868.44</v>
      </c>
      <c r="Q26" s="243">
        <v>9494.75</v>
      </c>
      <c r="R26" s="244">
        <v>0.15</v>
      </c>
      <c r="S26" s="243">
        <v>2373.69</v>
      </c>
      <c r="T26" s="286">
        <v>3.7499999999999999E-2</v>
      </c>
    </row>
    <row r="27" spans="1:20" x14ac:dyDescent="0.25">
      <c r="A27" s="26" t="s">
        <v>28</v>
      </c>
      <c r="B27" s="29" t="s">
        <v>168</v>
      </c>
      <c r="C27" s="62" t="s">
        <v>31</v>
      </c>
      <c r="D27" s="28" t="s">
        <v>30</v>
      </c>
      <c r="E27" s="62" t="s">
        <v>101</v>
      </c>
      <c r="F27" s="260" t="s">
        <v>37</v>
      </c>
      <c r="G27" s="312">
        <v>12659</v>
      </c>
      <c r="H27" s="312">
        <v>18730</v>
      </c>
      <c r="I27" s="238">
        <v>67.735299999999995</v>
      </c>
      <c r="J27" s="238">
        <v>70.694199999999995</v>
      </c>
      <c r="K27" s="312"/>
      <c r="L27" s="312"/>
      <c r="M27" s="312"/>
      <c r="N27" s="236">
        <v>2362.4056</v>
      </c>
      <c r="O27" s="245">
        <v>2179201.1244000001</v>
      </c>
      <c r="P27" s="243">
        <v>408600.21</v>
      </c>
      <c r="Q27" s="243">
        <v>326880.17</v>
      </c>
      <c r="R27" s="244">
        <v>0.15</v>
      </c>
      <c r="S27" s="243">
        <v>81720.039999999994</v>
      </c>
      <c r="T27" s="286">
        <v>3.7499999999999999E-2</v>
      </c>
    </row>
    <row r="28" spans="1:20"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53246.75</v>
      </c>
      <c r="H29" s="312">
        <v>55437.85</v>
      </c>
      <c r="I29" s="237">
        <v>1.5</v>
      </c>
      <c r="J29" s="237">
        <v>1.5</v>
      </c>
      <c r="K29" s="312"/>
      <c r="L29" s="312"/>
      <c r="M29" s="312"/>
      <c r="N29" s="236">
        <v>981.30629999999996</v>
      </c>
      <c r="O29" s="245">
        <v>162045.60370000001</v>
      </c>
      <c r="P29" s="243">
        <v>30383.55</v>
      </c>
      <c r="Q29" s="243">
        <v>24306.84</v>
      </c>
      <c r="R29" s="244">
        <v>0.15</v>
      </c>
      <c r="S29" s="243">
        <v>6076.71</v>
      </c>
      <c r="T29" s="286">
        <v>3.7499999999999999E-2</v>
      </c>
    </row>
    <row r="30" spans="1:20" s="395" customFormat="1" x14ac:dyDescent="0.25">
      <c r="A30" s="409" t="s">
        <v>28</v>
      </c>
      <c r="B30" s="216" t="s">
        <v>319</v>
      </c>
      <c r="C30" s="62" t="s">
        <v>31</v>
      </c>
      <c r="D30" s="28" t="s">
        <v>30</v>
      </c>
      <c r="E30" s="62" t="s">
        <v>101</v>
      </c>
      <c r="F30" s="260" t="s">
        <v>56</v>
      </c>
      <c r="G30" s="236">
        <v>81400.19</v>
      </c>
      <c r="H30" s="312">
        <v>91842.55</v>
      </c>
      <c r="I30" s="237">
        <v>3.45</v>
      </c>
      <c r="J30" s="237">
        <v>3.4352999999999998</v>
      </c>
      <c r="K30" s="312"/>
      <c r="L30" s="312"/>
      <c r="M30" s="312"/>
      <c r="N30" s="236"/>
      <c r="O30" s="245">
        <v>596337.37</v>
      </c>
      <c r="P30" s="243">
        <v>111813.26</v>
      </c>
      <c r="Q30" s="243">
        <v>89450.61</v>
      </c>
      <c r="R30" s="244">
        <v>0.15</v>
      </c>
      <c r="S30" s="243">
        <v>22362.65</v>
      </c>
      <c r="T30" s="286">
        <v>3.7499999999999999E-2</v>
      </c>
    </row>
    <row r="31" spans="1:20" x14ac:dyDescent="0.25">
      <c r="A31" s="26" t="s">
        <v>28</v>
      </c>
      <c r="B31" s="29" t="s">
        <v>323</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x14ac:dyDescent="0.25">
      <c r="A33" s="26" t="s">
        <v>28</v>
      </c>
      <c r="B33" s="29" t="s">
        <v>336</v>
      </c>
      <c r="C33" s="62" t="s">
        <v>31</v>
      </c>
      <c r="D33" s="28" t="s">
        <v>30</v>
      </c>
      <c r="E33" s="62" t="s">
        <v>101</v>
      </c>
      <c r="F33" s="260" t="s">
        <v>56</v>
      </c>
      <c r="G33" s="236">
        <v>25694.54</v>
      </c>
      <c r="H33" s="312">
        <v>21002.71</v>
      </c>
      <c r="I33" s="237">
        <v>3.14</v>
      </c>
      <c r="J33" s="237">
        <v>3.14</v>
      </c>
      <c r="K33" s="312"/>
      <c r="L33" s="312"/>
      <c r="M33" s="312"/>
      <c r="N33" s="236"/>
      <c r="O33" s="245">
        <v>146629.37</v>
      </c>
      <c r="P33" s="243">
        <v>27493.01</v>
      </c>
      <c r="Q33" s="243">
        <v>21994.41</v>
      </c>
      <c r="R33" s="244">
        <v>0.15</v>
      </c>
      <c r="S33" s="243">
        <v>5498.6</v>
      </c>
      <c r="T33" s="286">
        <v>3.7499999999999999E-2</v>
      </c>
    </row>
    <row r="34" spans="1:20" x14ac:dyDescent="0.25">
      <c r="A34" s="26" t="s">
        <v>28</v>
      </c>
      <c r="B34" s="27" t="s">
        <v>15</v>
      </c>
      <c r="C34" s="62" t="s">
        <v>29</v>
      </c>
      <c r="D34" s="28" t="s">
        <v>21</v>
      </c>
      <c r="E34" s="62" t="s">
        <v>98</v>
      </c>
      <c r="F34" s="260" t="s">
        <v>37</v>
      </c>
      <c r="G34" s="312"/>
      <c r="H34" s="236">
        <v>171161</v>
      </c>
      <c r="I34" s="237"/>
      <c r="J34" s="238">
        <v>73.408199999999994</v>
      </c>
      <c r="K34" s="312"/>
      <c r="L34" s="312"/>
      <c r="M34" s="312"/>
      <c r="N34" s="236">
        <v>759.93529999999998</v>
      </c>
      <c r="O34" s="245">
        <v>12563860.9847</v>
      </c>
      <c r="P34" s="243">
        <v>2355723.9300000002</v>
      </c>
      <c r="Q34" s="243">
        <v>1884579.15</v>
      </c>
      <c r="R34" s="244">
        <v>0.15</v>
      </c>
      <c r="S34" s="243">
        <v>471144.79</v>
      </c>
      <c r="T34" s="286">
        <v>3.7499999999999999E-2</v>
      </c>
    </row>
    <row r="35" spans="1:20" x14ac:dyDescent="0.25">
      <c r="A35" s="26" t="s">
        <v>28</v>
      </c>
      <c r="B35" s="27" t="s">
        <v>16</v>
      </c>
      <c r="C35" s="62" t="s">
        <v>29</v>
      </c>
      <c r="D35" s="28" t="s">
        <v>21</v>
      </c>
      <c r="E35" s="62" t="s">
        <v>98</v>
      </c>
      <c r="F35" s="260" t="s">
        <v>56</v>
      </c>
      <c r="G35" s="312"/>
      <c r="H35" s="236">
        <v>312414.26</v>
      </c>
      <c r="I35" s="237"/>
      <c r="J35" s="221">
        <v>6.5187999999999997</v>
      </c>
      <c r="K35" s="312"/>
      <c r="L35" s="312"/>
      <c r="M35" s="312"/>
      <c r="N35" s="236">
        <v>667.42110000000002</v>
      </c>
      <c r="O35" s="245">
        <v>2035898.6589000002</v>
      </c>
      <c r="P35" s="243">
        <v>381731</v>
      </c>
      <c r="Q35" s="243">
        <v>305384.8</v>
      </c>
      <c r="R35" s="244">
        <v>0.15</v>
      </c>
      <c r="S35" s="243">
        <v>76346.2</v>
      </c>
      <c r="T35" s="286">
        <v>3.7499999999999999E-2</v>
      </c>
    </row>
    <row r="36" spans="1:20" x14ac:dyDescent="0.25">
      <c r="A36" s="26" t="s">
        <v>28</v>
      </c>
      <c r="B36" s="27" t="s">
        <v>173</v>
      </c>
      <c r="C36" s="62" t="s">
        <v>31</v>
      </c>
      <c r="D36" s="28" t="s">
        <v>30</v>
      </c>
      <c r="E36" s="62" t="s">
        <v>101</v>
      </c>
      <c r="F36" s="260" t="s">
        <v>37</v>
      </c>
      <c r="G36" s="312">
        <v>200</v>
      </c>
      <c r="H36" s="236">
        <v>175</v>
      </c>
      <c r="I36" s="238">
        <v>69.735299999999995</v>
      </c>
      <c r="J36" s="238">
        <v>72.694199999999995</v>
      </c>
      <c r="K36" s="312"/>
      <c r="L36" s="312"/>
      <c r="M36" s="312"/>
      <c r="N36" s="236">
        <v>145.3802</v>
      </c>
      <c r="O36" s="245">
        <v>26523.1698</v>
      </c>
      <c r="P36" s="243">
        <v>4973.09</v>
      </c>
      <c r="Q36" s="243">
        <v>994.62</v>
      </c>
      <c r="R36" s="286">
        <v>3.7499999999999999E-2</v>
      </c>
      <c r="S36" s="243">
        <v>3978.48</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24064</v>
      </c>
      <c r="I39" s="238"/>
      <c r="J39" s="238">
        <v>62.5017</v>
      </c>
      <c r="K39" s="236"/>
      <c r="L39" s="312"/>
      <c r="M39" s="312"/>
      <c r="N39" s="236">
        <v>726.89340000000004</v>
      </c>
      <c r="O39" s="245">
        <v>1503314.0166</v>
      </c>
      <c r="P39" s="243">
        <v>281871.38</v>
      </c>
      <c r="Q39" s="243">
        <v>225497.1</v>
      </c>
      <c r="R39" s="247">
        <v>0.15</v>
      </c>
      <c r="S39" s="243">
        <v>56374.28</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-69776.509999999704</v>
      </c>
      <c r="P41" s="245">
        <v>-13083.090000000129</v>
      </c>
      <c r="Q41" s="245">
        <v>-10466.469999999983</v>
      </c>
      <c r="R41" s="275"/>
      <c r="S41" s="245">
        <v>-2616.6299999999937</v>
      </c>
      <c r="T41" s="244"/>
    </row>
    <row r="42" spans="1:20" x14ac:dyDescent="0.25">
      <c r="A42" s="34"/>
      <c r="B42" s="165" t="s">
        <v>108</v>
      </c>
      <c r="C42" s="35" t="s">
        <v>343</v>
      </c>
      <c r="D42" s="43"/>
      <c r="E42" s="44"/>
      <c r="F42" s="270"/>
      <c r="G42" s="239"/>
      <c r="H42" s="239"/>
      <c r="I42" s="240"/>
      <c r="J42" s="240"/>
      <c r="K42" s="239"/>
      <c r="L42" s="239"/>
      <c r="M42" s="239"/>
      <c r="N42" s="239"/>
      <c r="O42" s="249">
        <v>63361397.888799995</v>
      </c>
      <c r="P42" s="250">
        <v>11880262.110000001</v>
      </c>
      <c r="Q42" s="251">
        <v>9501225.8599999994</v>
      </c>
      <c r="R42" s="252"/>
      <c r="S42" s="253">
        <v>2379036.2999999998</v>
      </c>
      <c r="T42" s="252"/>
    </row>
    <row r="43" spans="1:20" x14ac:dyDescent="0.25">
      <c r="A43" s="136"/>
      <c r="B43" s="137"/>
      <c r="C43" s="35" t="s">
        <v>344</v>
      </c>
      <c r="D43" s="148"/>
      <c r="E43" s="148"/>
      <c r="F43" s="149"/>
      <c r="G43" s="299"/>
      <c r="H43" s="299"/>
      <c r="I43" s="221"/>
      <c r="J43" s="221"/>
      <c r="K43" s="299"/>
      <c r="L43" s="299"/>
      <c r="M43" s="299"/>
      <c r="N43" s="299"/>
      <c r="O43" s="228"/>
      <c r="P43" s="229">
        <v>46796352.450000003</v>
      </c>
      <c r="Q43" s="495">
        <v>37425328.659999996</v>
      </c>
      <c r="R43" s="151"/>
      <c r="S43" s="494">
        <v>9371023.9900000002</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21035</v>
      </c>
      <c r="H46" s="236">
        <v>4804</v>
      </c>
      <c r="I46" s="238">
        <v>59.235300000000002</v>
      </c>
      <c r="J46" s="238">
        <v>62.299199999999999</v>
      </c>
      <c r="K46" s="312"/>
      <c r="L46" s="312"/>
      <c r="M46" s="312"/>
      <c r="N46" s="236">
        <v>2927.4004</v>
      </c>
      <c r="O46" s="245">
        <v>1542372.4996</v>
      </c>
      <c r="P46" s="243">
        <v>231355.87</v>
      </c>
      <c r="Q46" s="243">
        <v>231355.87</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1542372.4996</v>
      </c>
      <c r="P48" s="250">
        <v>231355.87</v>
      </c>
      <c r="Q48" s="250">
        <v>231355.87</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911310.77</v>
      </c>
      <c r="Q49" s="495">
        <v>911310.77</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236"/>
      <c r="M52" s="236"/>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81722.179999999993</v>
      </c>
      <c r="H56" s="236">
        <v>181079.61</v>
      </c>
      <c r="I56" s="238">
        <v>3.6520999999999999</v>
      </c>
      <c r="J56" s="238">
        <v>3.6476999999999999</v>
      </c>
      <c r="K56" s="312">
        <v>366.75119999999998</v>
      </c>
      <c r="L56" s="312"/>
      <c r="M56" s="312"/>
      <c r="N56" s="236"/>
      <c r="O56" s="245">
        <v>958614.90879999986</v>
      </c>
      <c r="P56" s="243">
        <v>179740.3</v>
      </c>
      <c r="Q56" s="243">
        <v>35948.06</v>
      </c>
      <c r="R56" s="286">
        <v>3.7499999999999999E-2</v>
      </c>
      <c r="S56" s="243">
        <v>143792.24</v>
      </c>
      <c r="T56" s="244">
        <v>0.15</v>
      </c>
    </row>
    <row r="57" spans="1:20" x14ac:dyDescent="0.25">
      <c r="A57" s="26" t="s">
        <v>28</v>
      </c>
      <c r="B57" s="29" t="s">
        <v>75</v>
      </c>
      <c r="C57" s="62" t="s">
        <v>31</v>
      </c>
      <c r="D57" s="62" t="s">
        <v>30</v>
      </c>
      <c r="E57" s="62" t="s">
        <v>103</v>
      </c>
      <c r="F57" s="261" t="s">
        <v>37</v>
      </c>
      <c r="G57" s="236">
        <v>3353</v>
      </c>
      <c r="H57" s="236">
        <v>2817</v>
      </c>
      <c r="I57" s="238">
        <v>53.474600000000002</v>
      </c>
      <c r="J57" s="238">
        <v>55.778500000000001</v>
      </c>
      <c r="K57" s="312">
        <v>1661.9426000000001</v>
      </c>
      <c r="L57" s="312"/>
      <c r="M57" s="312"/>
      <c r="N57" s="312"/>
      <c r="O57" s="245">
        <v>334766.41739999998</v>
      </c>
      <c r="P57" s="243">
        <v>62768.7</v>
      </c>
      <c r="Q57" s="243">
        <v>12553.74</v>
      </c>
      <c r="R57" s="286">
        <v>3.7499999999999999E-2</v>
      </c>
      <c r="S57" s="243">
        <v>50214.96</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136819</v>
      </c>
      <c r="H60" s="236">
        <v>129496</v>
      </c>
      <c r="I60" s="238">
        <v>56.289000000000001</v>
      </c>
      <c r="J60" s="238">
        <v>58.5807</v>
      </c>
      <c r="K60" s="236">
        <v>3918.6212999999998</v>
      </c>
      <c r="L60" s="312"/>
      <c r="M60" s="312"/>
      <c r="N60" s="236"/>
      <c r="O60" s="245">
        <v>15283452.398699999</v>
      </c>
      <c r="P60" s="243">
        <v>2865647.32</v>
      </c>
      <c r="Q60" s="243">
        <v>2292517.86</v>
      </c>
      <c r="R60" s="244">
        <v>0.15</v>
      </c>
      <c r="S60" s="243">
        <v>573129.46</v>
      </c>
      <c r="T60" s="286">
        <v>3.7499999999999999E-2</v>
      </c>
    </row>
    <row r="61" spans="1:20" x14ac:dyDescent="0.25">
      <c r="A61" s="26" t="s">
        <v>28</v>
      </c>
      <c r="B61" s="302">
        <v>67</v>
      </c>
      <c r="C61" s="62" t="s">
        <v>31</v>
      </c>
      <c r="D61" s="62" t="s">
        <v>30</v>
      </c>
      <c r="E61" s="62" t="s">
        <v>101</v>
      </c>
      <c r="F61" s="261" t="s">
        <v>37</v>
      </c>
      <c r="G61" s="236">
        <v>34441</v>
      </c>
      <c r="H61" s="236">
        <v>42902</v>
      </c>
      <c r="I61" s="238">
        <v>38.962499999999999</v>
      </c>
      <c r="J61" s="238">
        <v>40.4178</v>
      </c>
      <c r="K61" s="236">
        <v>2712.6383999999998</v>
      </c>
      <c r="L61" s="312"/>
      <c r="M61" s="312"/>
      <c r="N61" s="236"/>
      <c r="O61" s="245">
        <v>3073199.2815999999</v>
      </c>
      <c r="P61" s="243">
        <v>576224.87</v>
      </c>
      <c r="Q61" s="243">
        <v>460979.9</v>
      </c>
      <c r="R61" s="244">
        <v>0.15</v>
      </c>
      <c r="S61" s="243">
        <v>115244.97</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19650033.006499998</v>
      </c>
      <c r="P63" s="250">
        <v>3684381.19</v>
      </c>
      <c r="Q63" s="250">
        <v>2801999.5599999996</v>
      </c>
      <c r="R63" s="266"/>
      <c r="S63" s="250">
        <v>882381.62999999989</v>
      </c>
      <c r="T63" s="252"/>
    </row>
    <row r="64" spans="1:20" x14ac:dyDescent="0.25">
      <c r="A64" s="157"/>
      <c r="B64" s="158"/>
      <c r="C64" s="35" t="s">
        <v>348</v>
      </c>
      <c r="D64" s="114"/>
      <c r="E64" s="114"/>
      <c r="F64" s="157"/>
      <c r="G64" s="227"/>
      <c r="H64" s="227"/>
      <c r="I64" s="224"/>
      <c r="J64" s="224"/>
      <c r="K64" s="227"/>
      <c r="L64" s="227"/>
      <c r="M64" s="227"/>
      <c r="N64" s="227"/>
      <c r="O64" s="230"/>
      <c r="P64" s="231">
        <v>14512777.51</v>
      </c>
      <c r="Q64" s="494">
        <v>11037076.27</v>
      </c>
      <c r="R64" s="172"/>
      <c r="S64" s="494">
        <v>3475701.24</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789862</v>
      </c>
      <c r="H66" s="312">
        <v>778671</v>
      </c>
      <c r="I66" s="610">
        <v>45.427100000000003</v>
      </c>
      <c r="J66" s="237">
        <v>48.081000000000003</v>
      </c>
      <c r="K66" s="312"/>
      <c r="L66" s="312"/>
      <c r="M66" s="312"/>
      <c r="N66" s="312"/>
      <c r="O66" s="245">
        <v>73320420.411200017</v>
      </c>
      <c r="P66" s="281">
        <v>27304524.559999999</v>
      </c>
      <c r="Q66" s="243">
        <v>13652262.279999999</v>
      </c>
      <c r="R66" s="244">
        <v>0.5</v>
      </c>
      <c r="S66" s="243"/>
      <c r="T66" s="286"/>
    </row>
    <row r="67" spans="1:20" x14ac:dyDescent="0.25">
      <c r="A67" s="26" t="s">
        <v>28</v>
      </c>
      <c r="B67" s="27" t="s">
        <v>162</v>
      </c>
      <c r="C67" s="62" t="s">
        <v>31</v>
      </c>
      <c r="D67" s="62" t="s">
        <v>30</v>
      </c>
      <c r="E67" s="62" t="s">
        <v>161</v>
      </c>
      <c r="F67" s="262" t="s">
        <v>56</v>
      </c>
      <c r="G67" s="312">
        <v>11158149.85</v>
      </c>
      <c r="H67" s="312">
        <v>11551056.57</v>
      </c>
      <c r="I67" s="610">
        <v>1.9684999999999999</v>
      </c>
      <c r="J67" s="237">
        <v>1.9684999999999999</v>
      </c>
      <c r="K67" s="312"/>
      <c r="L67" s="312"/>
      <c r="M67" s="312"/>
      <c r="N67" s="312"/>
      <c r="O67" s="245">
        <v>44703072.83777</v>
      </c>
      <c r="P67" s="281">
        <v>16647424.32</v>
      </c>
      <c r="Q67" s="243">
        <v>8323712.1600000001</v>
      </c>
      <c r="R67" s="244">
        <v>0.5</v>
      </c>
      <c r="S67" s="243"/>
      <c r="T67" s="244"/>
    </row>
    <row r="68" spans="1:20" x14ac:dyDescent="0.25">
      <c r="A68" s="26" t="s">
        <v>28</v>
      </c>
      <c r="B68" s="27" t="s">
        <v>181</v>
      </c>
      <c r="C68" s="62" t="s">
        <v>31</v>
      </c>
      <c r="D68" s="62" t="s">
        <v>30</v>
      </c>
      <c r="E68" s="62" t="s">
        <v>161</v>
      </c>
      <c r="F68" s="262" t="s">
        <v>56</v>
      </c>
      <c r="G68" s="312">
        <v>8891.93</v>
      </c>
      <c r="H68" s="312">
        <v>16385.37</v>
      </c>
      <c r="I68" s="610">
        <v>2.7557999999999998</v>
      </c>
      <c r="J68" s="237">
        <v>2.7557999999999998</v>
      </c>
      <c r="K68" s="312"/>
      <c r="L68" s="312"/>
      <c r="M68" s="312"/>
      <c r="N68" s="312"/>
      <c r="O68" s="245">
        <v>69659.183339999989</v>
      </c>
      <c r="P68" s="281">
        <v>25941.08</v>
      </c>
      <c r="Q68" s="243">
        <v>12970.54</v>
      </c>
      <c r="R68" s="244">
        <v>0.5</v>
      </c>
      <c r="S68" s="243"/>
      <c r="T68" s="244"/>
    </row>
    <row r="69" spans="1:20" ht="12" customHeight="1" x14ac:dyDescent="0.25">
      <c r="A69" s="26" t="s">
        <v>28</v>
      </c>
      <c r="B69" s="27" t="s">
        <v>182</v>
      </c>
      <c r="C69" s="62" t="s">
        <v>31</v>
      </c>
      <c r="D69" s="62" t="s">
        <v>30</v>
      </c>
      <c r="E69" s="62" t="s">
        <v>161</v>
      </c>
      <c r="F69" s="262" t="s">
        <v>56</v>
      </c>
      <c r="G69" s="312">
        <v>611214.39</v>
      </c>
      <c r="H69" s="312">
        <v>843758.57</v>
      </c>
      <c r="I69" s="610">
        <v>4.5220000000000002</v>
      </c>
      <c r="J69" s="237">
        <v>5.0860000000000003</v>
      </c>
      <c r="K69" s="312"/>
      <c r="L69" s="312"/>
      <c r="M69" s="312"/>
      <c r="N69" s="312"/>
      <c r="O69" s="245">
        <v>7055267.558600001</v>
      </c>
      <c r="P69" s="281">
        <v>2681001.67</v>
      </c>
      <c r="Q69" s="243">
        <v>1340500.8400000001</v>
      </c>
      <c r="R69" s="314">
        <v>0.5</v>
      </c>
      <c r="S69" s="243"/>
      <c r="T69" s="244"/>
    </row>
    <row r="70" spans="1:20" x14ac:dyDescent="0.25">
      <c r="A70" s="26" t="s">
        <v>28</v>
      </c>
      <c r="B70" s="29" t="s">
        <v>171</v>
      </c>
      <c r="C70" s="62" t="s">
        <v>31</v>
      </c>
      <c r="D70" s="62" t="s">
        <v>30</v>
      </c>
      <c r="E70" s="62" t="s">
        <v>161</v>
      </c>
      <c r="F70" s="261" t="s">
        <v>37</v>
      </c>
      <c r="G70" s="312">
        <v>324129</v>
      </c>
      <c r="H70" s="312">
        <v>375603</v>
      </c>
      <c r="I70" s="610">
        <v>45.328000000000003</v>
      </c>
      <c r="J70" s="237">
        <v>48.078699999999998</v>
      </c>
      <c r="K70" s="312"/>
      <c r="L70" s="312"/>
      <c r="M70" s="312"/>
      <c r="N70" s="312"/>
      <c r="O70" s="245">
        <v>32750623.268100001</v>
      </c>
      <c r="P70" s="281">
        <v>13100249.300000001</v>
      </c>
      <c r="Q70" s="243">
        <v>6550124.6500000004</v>
      </c>
      <c r="R70" s="244">
        <v>0.5</v>
      </c>
      <c r="S70" s="243"/>
      <c r="T70" s="244"/>
    </row>
    <row r="71" spans="1:20" x14ac:dyDescent="0.25">
      <c r="A71" s="26" t="s">
        <v>28</v>
      </c>
      <c r="B71" s="29" t="s">
        <v>172</v>
      </c>
      <c r="C71" s="62" t="s">
        <v>31</v>
      </c>
      <c r="D71" s="62" t="s">
        <v>30</v>
      </c>
      <c r="E71" s="62" t="s">
        <v>161</v>
      </c>
      <c r="F71" s="261" t="s">
        <v>56</v>
      </c>
      <c r="G71" s="312">
        <v>1891465.86</v>
      </c>
      <c r="H71" s="312">
        <v>3382216.28</v>
      </c>
      <c r="I71" s="610">
        <v>4.5220000000000002</v>
      </c>
      <c r="J71" s="237">
        <v>5.0860000000000003</v>
      </c>
      <c r="K71" s="312"/>
      <c r="L71" s="312"/>
      <c r="M71" s="312"/>
      <c r="N71" s="312"/>
      <c r="O71" s="245">
        <v>25755160.619000003</v>
      </c>
      <c r="P71" s="281">
        <v>9786961.0399999991</v>
      </c>
      <c r="Q71" s="243">
        <v>4893480.5199999996</v>
      </c>
      <c r="R71" s="244">
        <v>0.5</v>
      </c>
      <c r="S71" s="243"/>
      <c r="T71" s="244"/>
    </row>
    <row r="72" spans="1:20" x14ac:dyDescent="0.25">
      <c r="A72" s="26" t="s">
        <v>28</v>
      </c>
      <c r="B72" s="32" t="s">
        <v>177</v>
      </c>
      <c r="C72" s="62" t="s">
        <v>31</v>
      </c>
      <c r="D72" s="62" t="s">
        <v>30</v>
      </c>
      <c r="E72" s="62" t="s">
        <v>161</v>
      </c>
      <c r="F72" s="261" t="s">
        <v>56</v>
      </c>
      <c r="G72" s="312">
        <v>82265.289999999994</v>
      </c>
      <c r="H72" s="312">
        <v>136524.74</v>
      </c>
      <c r="I72" s="610">
        <v>1.9540999999999999</v>
      </c>
      <c r="J72" s="237">
        <v>1.9540999999999999</v>
      </c>
      <c r="K72" s="236"/>
      <c r="L72" s="312"/>
      <c r="M72" s="312"/>
      <c r="N72" s="236"/>
      <c r="O72" s="245">
        <v>427537.59762299998</v>
      </c>
      <c r="P72" s="281">
        <v>159215</v>
      </c>
      <c r="Q72" s="243">
        <v>79607.5</v>
      </c>
      <c r="R72" s="244">
        <v>0.5</v>
      </c>
      <c r="S72" s="243"/>
      <c r="T72" s="286"/>
    </row>
    <row r="73" spans="1:20" x14ac:dyDescent="0.25">
      <c r="A73" s="26" t="s">
        <v>28</v>
      </c>
      <c r="B73" s="32" t="s">
        <v>179</v>
      </c>
      <c r="C73" s="62" t="s">
        <v>31</v>
      </c>
      <c r="D73" s="62" t="s">
        <v>30</v>
      </c>
      <c r="E73" s="62" t="s">
        <v>161</v>
      </c>
      <c r="F73" s="261" t="s">
        <v>37</v>
      </c>
      <c r="G73" s="312">
        <v>63334</v>
      </c>
      <c r="H73" s="312">
        <v>119162</v>
      </c>
      <c r="I73" s="610">
        <v>39.590299999999999</v>
      </c>
      <c r="J73" s="237">
        <v>42.154200000000003</v>
      </c>
      <c r="K73" s="236"/>
      <c r="L73" s="312"/>
      <c r="M73" s="312"/>
      <c r="N73" s="236"/>
      <c r="O73" s="245">
        <v>7530590.8406000007</v>
      </c>
      <c r="P73" s="281">
        <v>438790.22396000009</v>
      </c>
      <c r="Q73" s="243">
        <v>219395.11</v>
      </c>
      <c r="R73" s="244">
        <v>0.5</v>
      </c>
      <c r="S73" s="243"/>
      <c r="T73" s="286"/>
    </row>
    <row r="74" spans="1:20" x14ac:dyDescent="0.25">
      <c r="A74" s="26" t="s">
        <v>28</v>
      </c>
      <c r="B74" s="302" t="s">
        <v>180</v>
      </c>
      <c r="C74" s="62" t="s">
        <v>31</v>
      </c>
      <c r="D74" s="62" t="s">
        <v>30</v>
      </c>
      <c r="E74" s="62" t="s">
        <v>161</v>
      </c>
      <c r="F74" s="261" t="s">
        <v>56</v>
      </c>
      <c r="G74" s="312">
        <v>992507.92</v>
      </c>
      <c r="H74" s="312">
        <v>1870145.04</v>
      </c>
      <c r="I74" s="610">
        <v>3.722</v>
      </c>
      <c r="J74" s="237">
        <v>3.722</v>
      </c>
      <c r="K74" s="472"/>
      <c r="L74" s="312"/>
      <c r="M74" s="312"/>
      <c r="N74" s="236"/>
      <c r="O74" s="245">
        <v>10654794.317120001</v>
      </c>
      <c r="P74" s="281">
        <v>897499.69982400001</v>
      </c>
      <c r="Q74" s="243">
        <v>448749.85</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1467246.5929830004</v>
      </c>
      <c r="P75" s="213">
        <v>209227.08989999988</v>
      </c>
      <c r="Q75" s="213">
        <v>104613.55000000089</v>
      </c>
      <c r="R75" s="160"/>
      <c r="S75" s="201"/>
      <c r="T75" s="160"/>
    </row>
    <row r="76" spans="1:20" x14ac:dyDescent="0.25">
      <c r="A76" s="34"/>
      <c r="B76" s="165" t="s">
        <v>108</v>
      </c>
      <c r="C76" s="35" t="s">
        <v>349</v>
      </c>
      <c r="D76" s="22"/>
      <c r="E76" s="22"/>
      <c r="F76" s="297"/>
      <c r="G76" s="282">
        <v>1973731.1500000001</v>
      </c>
      <c r="H76" s="282">
        <v>3518741.0199999996</v>
      </c>
      <c r="I76" s="356"/>
      <c r="J76" s="282"/>
      <c r="K76" s="294"/>
      <c r="L76" s="287"/>
      <c r="M76" s="353"/>
      <c r="N76" s="219"/>
      <c r="O76" s="219">
        <v>203734373.22633606</v>
      </c>
      <c r="P76" s="219">
        <v>71250833.983684003</v>
      </c>
      <c r="Q76" s="219">
        <v>35625417</v>
      </c>
      <c r="R76" s="199"/>
      <c r="S76" s="207"/>
      <c r="T76" s="160"/>
    </row>
    <row r="77" spans="1:20" x14ac:dyDescent="0.25">
      <c r="A77" s="157"/>
      <c r="B77" s="158"/>
      <c r="C77" s="35" t="s">
        <v>350</v>
      </c>
      <c r="D77" s="114"/>
      <c r="E77" s="114"/>
      <c r="F77" s="297"/>
      <c r="G77" s="283">
        <v>4.4149696994491885</v>
      </c>
      <c r="H77" s="283">
        <v>4.9644844264537555</v>
      </c>
      <c r="I77" s="357"/>
      <c r="J77" s="282"/>
      <c r="K77" s="295"/>
      <c r="L77" s="288"/>
      <c r="M77" s="478"/>
      <c r="N77" s="479"/>
      <c r="O77" s="479"/>
      <c r="P77" s="209"/>
      <c r="Q77" s="209">
        <v>140328517.56299999</v>
      </c>
      <c r="R77" s="198"/>
      <c r="S77" s="207"/>
      <c r="T77" s="160"/>
    </row>
    <row r="78" spans="1:20" x14ac:dyDescent="0.25">
      <c r="A78" s="10" t="s">
        <v>55</v>
      </c>
      <c r="B78" s="308"/>
      <c r="C78" s="308"/>
      <c r="D78" s="308"/>
      <c r="E78" s="308"/>
      <c r="F78" s="298"/>
      <c r="G78" s="284">
        <v>8713963.2221090011</v>
      </c>
      <c r="H78" s="284">
        <v>17468734.994514</v>
      </c>
      <c r="I78" s="282">
        <v>26182698.216623001</v>
      </c>
      <c r="J78" s="282">
        <v>26182698.216623005</v>
      </c>
      <c r="K78" s="358">
        <v>0</v>
      </c>
      <c r="L78" s="359"/>
      <c r="M78" s="311">
        <v>0</v>
      </c>
      <c r="N78" s="311">
        <v>20521.5416</v>
      </c>
      <c r="O78" s="311">
        <v>288288176.62123609</v>
      </c>
      <c r="P78" s="311">
        <v>51421416.169999994</v>
      </c>
      <c r="Q78" s="211">
        <v>202548958.493</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H80" s="99" t="s">
        <v>77</v>
      </c>
      <c r="J80" s="72"/>
      <c r="K80" s="72"/>
      <c r="L80" s="6"/>
      <c r="M80" s="6"/>
      <c r="N80" s="220"/>
      <c r="O80" s="643"/>
      <c r="P80" s="285"/>
      <c r="Q80" s="645"/>
      <c r="R80" s="6"/>
      <c r="S80" s="285"/>
      <c r="T80" s="6"/>
    </row>
    <row r="81" spans="1:20" x14ac:dyDescent="0.25">
      <c r="A81" s="6"/>
      <c r="B81" s="126" t="s">
        <v>78</v>
      </c>
      <c r="C81" s="127" t="s">
        <v>79</v>
      </c>
      <c r="D81" s="128"/>
      <c r="E81" s="129" t="s">
        <v>35</v>
      </c>
      <c r="F81" s="129" t="s">
        <v>80</v>
      </c>
      <c r="H81" s="100" t="s">
        <v>35</v>
      </c>
      <c r="I81" s="308"/>
      <c r="J81" s="308"/>
      <c r="K81" s="308"/>
      <c r="L81" s="101"/>
      <c r="M81" s="6"/>
      <c r="N81" s="451"/>
      <c r="O81" s="643"/>
      <c r="P81" s="74"/>
      <c r="Q81" s="346"/>
      <c r="R81" s="6"/>
      <c r="S81" s="6"/>
      <c r="T81" s="6"/>
    </row>
    <row r="82" spans="1:20" x14ac:dyDescent="0.25">
      <c r="A82" s="7"/>
      <c r="B82" s="102" t="s">
        <v>81</v>
      </c>
      <c r="C82" s="103" t="s">
        <v>82</v>
      </c>
      <c r="D82" s="104"/>
      <c r="E82" s="105">
        <v>70.881799999999998</v>
      </c>
      <c r="F82" s="111">
        <v>73.984700000000004</v>
      </c>
      <c r="H82" s="106" t="s">
        <v>369</v>
      </c>
      <c r="I82" s="6"/>
      <c r="J82" s="6"/>
      <c r="K82" s="6"/>
      <c r="L82" s="107"/>
      <c r="M82" s="393">
        <v>6.2200000337121024E-2</v>
      </c>
      <c r="N82" s="451"/>
      <c r="O82" s="646"/>
      <c r="P82" s="607"/>
      <c r="Q82" s="72"/>
      <c r="R82" s="6"/>
      <c r="S82" s="6"/>
      <c r="T82" s="6"/>
    </row>
    <row r="83" spans="1:20" x14ac:dyDescent="0.25">
      <c r="A83" s="6"/>
      <c r="B83" s="108" t="s">
        <v>83</v>
      </c>
      <c r="C83" s="109" t="s">
        <v>84</v>
      </c>
      <c r="D83" s="110"/>
      <c r="E83" s="111">
        <v>37.193600000000004</v>
      </c>
      <c r="F83" s="111">
        <v>36.030799999999999</v>
      </c>
      <c r="H83" s="113">
        <v>53.47464210030401</v>
      </c>
      <c r="I83" s="114"/>
      <c r="J83" s="114"/>
      <c r="K83" s="114"/>
      <c r="L83" s="115"/>
      <c r="M83" s="393">
        <v>9.4199999857272176E-2</v>
      </c>
      <c r="N83" s="393"/>
      <c r="O83" s="644"/>
      <c r="P83" s="220"/>
      <c r="Q83" s="72"/>
      <c r="R83" s="6"/>
      <c r="S83" s="6"/>
      <c r="T83" s="6"/>
    </row>
    <row r="84" spans="1:20" x14ac:dyDescent="0.25">
      <c r="A84" s="6"/>
      <c r="B84" s="108" t="s">
        <v>85</v>
      </c>
      <c r="C84" s="109" t="s">
        <v>86</v>
      </c>
      <c r="D84" s="110"/>
      <c r="E84" s="111">
        <v>7.1769999999999996</v>
      </c>
      <c r="F84" s="111">
        <v>7.1769999999999996</v>
      </c>
      <c r="G84" s="6"/>
      <c r="I84" s="116"/>
      <c r="J84" s="6"/>
      <c r="K84" s="6"/>
      <c r="L84" s="6"/>
      <c r="M84" s="393">
        <v>0.39999999969547706</v>
      </c>
      <c r="N84" s="393"/>
      <c r="O84" s="7"/>
      <c r="P84" s="72"/>
      <c r="Q84" s="473"/>
      <c r="R84" s="6"/>
      <c r="S84" s="6"/>
      <c r="T84" s="6"/>
    </row>
    <row r="85" spans="1:20" x14ac:dyDescent="0.25">
      <c r="A85" s="6"/>
      <c r="B85" s="108" t="s">
        <v>87</v>
      </c>
      <c r="C85" s="109" t="s">
        <v>88</v>
      </c>
      <c r="D85" s="110"/>
      <c r="E85" s="117">
        <v>0.66359999999999997</v>
      </c>
      <c r="F85" s="117">
        <v>0.68720000000000003</v>
      </c>
      <c r="G85" s="6"/>
      <c r="H85" s="100" t="s">
        <v>80</v>
      </c>
      <c r="I85" s="118"/>
      <c r="J85" s="308"/>
      <c r="K85" s="308"/>
      <c r="L85" s="101"/>
      <c r="M85" s="393">
        <v>0.38000000287019686</v>
      </c>
      <c r="N85" s="393"/>
      <c r="O85" s="403"/>
      <c r="P85" s="72"/>
      <c r="Q85" s="72"/>
      <c r="R85" s="6"/>
      <c r="S85" s="6"/>
      <c r="T85" s="6"/>
    </row>
    <row r="86" spans="1:20" x14ac:dyDescent="0.25">
      <c r="A86" s="6"/>
      <c r="B86" s="108" t="s">
        <v>89</v>
      </c>
      <c r="C86" s="109" t="s">
        <v>90</v>
      </c>
      <c r="D86" s="110"/>
      <c r="E86" s="119"/>
      <c r="F86" s="111"/>
      <c r="G86" s="6"/>
      <c r="H86" s="106" t="s">
        <v>370</v>
      </c>
      <c r="I86" s="116"/>
      <c r="J86" s="6"/>
      <c r="K86" s="6"/>
      <c r="L86" s="107"/>
      <c r="M86" s="7"/>
      <c r="N86" s="473"/>
      <c r="O86" s="403"/>
      <c r="P86" s="6"/>
      <c r="Q86" s="6"/>
      <c r="R86" s="6"/>
      <c r="S86" s="6"/>
      <c r="T86" s="6"/>
    </row>
    <row r="87" spans="1:20" x14ac:dyDescent="0.25">
      <c r="A87" s="6"/>
      <c r="B87" s="120" t="s">
        <v>91</v>
      </c>
      <c r="C87" s="121" t="s">
        <v>92</v>
      </c>
      <c r="D87" s="122"/>
      <c r="E87" s="123">
        <v>0</v>
      </c>
      <c r="F87" s="123">
        <v>0</v>
      </c>
      <c r="G87" s="6"/>
      <c r="H87" s="113">
        <v>55.778533125232009</v>
      </c>
      <c r="I87" s="124"/>
      <c r="J87" s="114"/>
      <c r="K87" s="114"/>
      <c r="L87" s="115"/>
      <c r="M87" s="403"/>
      <c r="N87" s="403"/>
      <c r="O87" s="403"/>
      <c r="P87" s="6"/>
      <c r="Q87" s="6"/>
      <c r="R87" s="6"/>
      <c r="S87" s="6"/>
      <c r="T87" s="6"/>
    </row>
    <row r="88" spans="1:20" x14ac:dyDescent="0.25">
      <c r="A88" s="5"/>
      <c r="C88" s="4"/>
      <c r="D88" s="4"/>
      <c r="H88" s="190"/>
      <c r="M88" s="406"/>
      <c r="N88" s="406"/>
      <c r="O88" s="406"/>
    </row>
  </sheetData>
  <mergeCells count="2">
    <mergeCell ref="O7:O8"/>
    <mergeCell ref="C7:C8"/>
  </mergeCells>
  <phoneticPr fontId="0" type="noConversion"/>
  <printOptions horizontalCentered="1" verticalCentered="1"/>
  <pageMargins left="0.25" right="0.25" top="0.5" bottom="0.5" header="0" footer="0"/>
  <pageSetup paperSize="9" scale="47"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7">
    <pageSetUpPr fitToPage="1"/>
  </sheetPr>
  <dimension ref="A1:T88"/>
  <sheetViews>
    <sheetView view="pageBreakPreview" zoomScale="95" zoomScaleNormal="95" zoomScaleSheetLayoutView="95" workbookViewId="0">
      <pane xSplit="5" ySplit="1" topLeftCell="F2" activePane="bottomRight" state="frozen"/>
      <selection pane="topRight" activeCell="F1" sqref="F1"/>
      <selection pane="bottomLeft" activeCell="A2" sqref="A2"/>
      <selection pane="bottomRight" activeCell="A90" sqref="A90:XFD311"/>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8.36328125" style="307" customWidth="1"/>
    <col min="6" max="6" width="9.81640625" style="307" customWidth="1"/>
    <col min="7" max="10" width="10.453125" style="307" customWidth="1"/>
    <col min="11" max="13" width="10.453125" style="307" hidden="1" customWidth="1"/>
    <col min="14" max="14" width="10.453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44378</v>
      </c>
      <c r="F1" s="300">
        <v>4.0949999999999998</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363</v>
      </c>
      <c r="B4" s="143"/>
      <c r="C4" s="143"/>
      <c r="D4" s="143"/>
      <c r="E4" s="143"/>
      <c r="F4" s="143"/>
      <c r="G4" s="143"/>
      <c r="H4" s="143"/>
      <c r="I4" s="143"/>
      <c r="J4" s="143"/>
      <c r="K4" s="143"/>
      <c r="L4" s="143"/>
      <c r="M4" s="143"/>
      <c r="N4" s="143"/>
      <c r="O4" s="143"/>
      <c r="P4" s="143"/>
      <c r="Q4" s="143"/>
      <c r="R4" s="143"/>
      <c r="S4" s="143"/>
      <c r="T4" s="143"/>
    </row>
    <row r="5" spans="1:20" x14ac:dyDescent="0.25">
      <c r="A5" s="143" t="s">
        <v>364</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655">
        <v>16849</v>
      </c>
      <c r="I10" s="237"/>
      <c r="J10" s="238">
        <v>72.5745</v>
      </c>
      <c r="K10" s="312"/>
      <c r="L10" s="312"/>
      <c r="M10" s="312"/>
      <c r="N10" s="655">
        <v>303.8501</v>
      </c>
      <c r="O10" s="236">
        <v>1222503.8999000001</v>
      </c>
      <c r="P10" s="243">
        <v>229219.48</v>
      </c>
      <c r="Q10" s="243">
        <v>183375.58</v>
      </c>
      <c r="R10" s="244">
        <v>0.15</v>
      </c>
      <c r="S10" s="243">
        <v>45843.9</v>
      </c>
      <c r="T10" s="286">
        <v>3.7499999999999999E-2</v>
      </c>
    </row>
    <row r="11" spans="1:20" x14ac:dyDescent="0.25">
      <c r="A11" s="26" t="s">
        <v>28</v>
      </c>
      <c r="B11" s="27" t="s">
        <v>14</v>
      </c>
      <c r="C11" s="62" t="s">
        <v>29</v>
      </c>
      <c r="D11" s="28" t="s">
        <v>21</v>
      </c>
      <c r="E11" s="62" t="s">
        <v>98</v>
      </c>
      <c r="F11" s="260" t="s">
        <v>56</v>
      </c>
      <c r="G11" s="312"/>
      <c r="H11" s="655">
        <v>122277.28</v>
      </c>
      <c r="I11" s="237"/>
      <c r="J11" s="238">
        <v>3.4870000000000001</v>
      </c>
      <c r="K11" s="312"/>
      <c r="L11" s="312"/>
      <c r="M11" s="312"/>
      <c r="N11" s="655">
        <v>854.57960000000003</v>
      </c>
      <c r="O11" s="236">
        <v>425526.30040000001</v>
      </c>
      <c r="P11" s="243">
        <v>79786.179999999993</v>
      </c>
      <c r="Q11" s="243">
        <v>63828.95</v>
      </c>
      <c r="R11" s="244">
        <v>0.15</v>
      </c>
      <c r="S11" s="243">
        <v>15957.24</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655">
        <v>5650</v>
      </c>
      <c r="H13" s="655">
        <v>5878</v>
      </c>
      <c r="I13" s="238">
        <v>73.454700000000003</v>
      </c>
      <c r="J13" s="238">
        <v>71.373999999999995</v>
      </c>
      <c r="K13" s="312"/>
      <c r="L13" s="312"/>
      <c r="M13" s="312"/>
      <c r="N13" s="655">
        <v>788.11329999999998</v>
      </c>
      <c r="O13" s="236">
        <v>833767.31669999997</v>
      </c>
      <c r="P13" s="243">
        <v>156331.37</v>
      </c>
      <c r="Q13" s="243">
        <v>125065.1</v>
      </c>
      <c r="R13" s="244">
        <v>0.15</v>
      </c>
      <c r="S13" s="243">
        <v>31266.27</v>
      </c>
      <c r="T13" s="286">
        <v>3.7499999999999999E-2</v>
      </c>
    </row>
    <row r="14" spans="1:20" x14ac:dyDescent="0.25">
      <c r="A14" s="267" t="s">
        <v>28</v>
      </c>
      <c r="B14" s="271" t="s">
        <v>176</v>
      </c>
      <c r="C14" s="260" t="s">
        <v>29</v>
      </c>
      <c r="D14" s="268" t="s">
        <v>21</v>
      </c>
      <c r="E14" s="260" t="s">
        <v>98</v>
      </c>
      <c r="F14" s="260" t="s">
        <v>56</v>
      </c>
      <c r="G14" s="655">
        <v>13291.86</v>
      </c>
      <c r="H14" s="655">
        <v>10228.69</v>
      </c>
      <c r="I14" s="238">
        <v>2.6775000000000002</v>
      </c>
      <c r="J14" s="238">
        <v>2.6775000000000002</v>
      </c>
      <c r="K14" s="312"/>
      <c r="L14" s="312"/>
      <c r="M14" s="312"/>
      <c r="N14" s="655">
        <v>840.33630000000005</v>
      </c>
      <c r="O14" s="236">
        <v>62135.943699999996</v>
      </c>
      <c r="P14" s="243">
        <v>11650.49</v>
      </c>
      <c r="Q14" s="243">
        <v>9320.39</v>
      </c>
      <c r="R14" s="244">
        <v>0.15</v>
      </c>
      <c r="S14" s="243">
        <v>2330.1000000000004</v>
      </c>
      <c r="T14" s="286">
        <v>3.7499999999999999E-2</v>
      </c>
    </row>
    <row r="15" spans="1:20" x14ac:dyDescent="0.25">
      <c r="A15" s="26" t="s">
        <v>28</v>
      </c>
      <c r="B15" s="27" t="s">
        <v>4</v>
      </c>
      <c r="C15" s="62" t="s">
        <v>31</v>
      </c>
      <c r="D15" s="28" t="s">
        <v>30</v>
      </c>
      <c r="E15" s="62" t="s">
        <v>101</v>
      </c>
      <c r="F15" s="260" t="s">
        <v>37</v>
      </c>
      <c r="G15" s="236">
        <v>8011</v>
      </c>
      <c r="H15" s="236">
        <v>8415</v>
      </c>
      <c r="I15" s="238">
        <v>73.550600000000003</v>
      </c>
      <c r="J15" s="238">
        <v>71.500799999999998</v>
      </c>
      <c r="K15" s="312"/>
      <c r="L15" s="312"/>
      <c r="M15" s="312"/>
      <c r="N15" s="655">
        <v>560.22500000000002</v>
      </c>
      <c r="O15" s="236">
        <v>1190332.8649999998</v>
      </c>
      <c r="P15" s="243">
        <v>223187.41</v>
      </c>
      <c r="Q15" s="243">
        <v>178549.93</v>
      </c>
      <c r="R15" s="244">
        <v>0.15</v>
      </c>
      <c r="S15" s="243">
        <v>44637.48</v>
      </c>
      <c r="T15" s="286">
        <v>3.7499999999999999E-2</v>
      </c>
    </row>
    <row r="16" spans="1:20" x14ac:dyDescent="0.25">
      <c r="A16" s="26" t="s">
        <v>28</v>
      </c>
      <c r="B16" s="27" t="s">
        <v>5</v>
      </c>
      <c r="C16" s="62" t="s">
        <v>31</v>
      </c>
      <c r="D16" s="28" t="s">
        <v>30</v>
      </c>
      <c r="E16" s="62" t="s">
        <v>101</v>
      </c>
      <c r="F16" s="260" t="s">
        <v>37</v>
      </c>
      <c r="G16" s="236">
        <v>26512</v>
      </c>
      <c r="H16" s="236">
        <v>26446</v>
      </c>
      <c r="I16" s="238">
        <v>73.550600000000003</v>
      </c>
      <c r="J16" s="238">
        <v>71.500799999999998</v>
      </c>
      <c r="K16" s="312"/>
      <c r="L16" s="312"/>
      <c r="M16" s="312"/>
      <c r="N16" s="655">
        <v>1448.0365999999999</v>
      </c>
      <c r="O16" s="236">
        <v>3839435.6333999997</v>
      </c>
      <c r="P16" s="243">
        <v>719894.18</v>
      </c>
      <c r="Q16" s="243">
        <v>575915.35</v>
      </c>
      <c r="R16" s="244">
        <v>0.15</v>
      </c>
      <c r="S16" s="243">
        <v>143978.84</v>
      </c>
      <c r="T16" s="286">
        <v>3.7499999999999999E-2</v>
      </c>
    </row>
    <row r="17" spans="1:20" x14ac:dyDescent="0.25">
      <c r="A17" s="26" t="s">
        <v>28</v>
      </c>
      <c r="B17" s="27" t="s">
        <v>331</v>
      </c>
      <c r="C17" s="62" t="s">
        <v>31</v>
      </c>
      <c r="D17" s="28" t="s">
        <v>30</v>
      </c>
      <c r="E17" s="62" t="s">
        <v>101</v>
      </c>
      <c r="F17" s="260" t="s">
        <v>37</v>
      </c>
      <c r="G17" s="236">
        <v>28520.55</v>
      </c>
      <c r="H17" s="236">
        <v>23470.93</v>
      </c>
      <c r="I17" s="238">
        <v>2.7675000000000001</v>
      </c>
      <c r="J17" s="237">
        <v>2.7675000000000001</v>
      </c>
      <c r="K17" s="312"/>
      <c r="L17" s="312"/>
      <c r="M17" s="312"/>
      <c r="N17" s="655"/>
      <c r="O17" s="236">
        <v>143886.41999999998</v>
      </c>
      <c r="P17" s="243">
        <v>26978.7</v>
      </c>
      <c r="Q17" s="243">
        <v>21582.959999999999</v>
      </c>
      <c r="R17" s="244">
        <v>0.15</v>
      </c>
      <c r="S17" s="243">
        <v>5395.74</v>
      </c>
      <c r="T17" s="286">
        <v>3.7499999999999999E-2</v>
      </c>
    </row>
    <row r="18" spans="1:20" x14ac:dyDescent="0.25">
      <c r="A18" s="26" t="s">
        <v>28</v>
      </c>
      <c r="B18" s="27" t="s">
        <v>17</v>
      </c>
      <c r="C18" s="62" t="s">
        <v>29</v>
      </c>
      <c r="D18" s="28" t="s">
        <v>21</v>
      </c>
      <c r="E18" s="62" t="s">
        <v>98</v>
      </c>
      <c r="F18" s="260" t="s">
        <v>37</v>
      </c>
      <c r="G18" s="312"/>
      <c r="H18" s="236">
        <v>3343</v>
      </c>
      <c r="I18" s="237"/>
      <c r="J18" s="238">
        <v>72.5745</v>
      </c>
      <c r="K18" s="312"/>
      <c r="L18" s="312"/>
      <c r="M18" s="312"/>
      <c r="N18" s="655">
        <v>664.67359999999996</v>
      </c>
      <c r="O18" s="245">
        <v>241951.87639999998</v>
      </c>
      <c r="P18" s="243">
        <v>45365.98</v>
      </c>
      <c r="Q18" s="243">
        <v>36292.78</v>
      </c>
      <c r="R18" s="244">
        <v>0.15</v>
      </c>
      <c r="S18" s="243">
        <v>9073.2000000000007</v>
      </c>
      <c r="T18" s="286">
        <v>3.7499999999999999E-2</v>
      </c>
    </row>
    <row r="19" spans="1:20" x14ac:dyDescent="0.25">
      <c r="A19" s="26" t="s">
        <v>28</v>
      </c>
      <c r="B19" s="27" t="s">
        <v>6</v>
      </c>
      <c r="C19" s="62" t="s">
        <v>31</v>
      </c>
      <c r="D19" s="28" t="s">
        <v>30</v>
      </c>
      <c r="E19" s="62" t="s">
        <v>101</v>
      </c>
      <c r="F19" s="260" t="s">
        <v>37</v>
      </c>
      <c r="G19" s="236">
        <v>58340</v>
      </c>
      <c r="H19" s="236">
        <v>75790</v>
      </c>
      <c r="I19" s="238">
        <v>73.000600000000006</v>
      </c>
      <c r="J19" s="237">
        <v>70.950800000000001</v>
      </c>
      <c r="K19" s="312"/>
      <c r="L19" s="312"/>
      <c r="M19" s="312"/>
      <c r="N19" s="655">
        <v>4035.5167999999999</v>
      </c>
      <c r="O19" s="245">
        <v>9632180.6131999996</v>
      </c>
      <c r="P19" s="243">
        <v>1806033.86</v>
      </c>
      <c r="Q19" s="243">
        <v>1444827.09</v>
      </c>
      <c r="R19" s="244">
        <v>0.15</v>
      </c>
      <c r="S19" s="243">
        <v>361206.77</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655"/>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82118.12</v>
      </c>
      <c r="H21" s="312">
        <v>85532.26</v>
      </c>
      <c r="I21" s="237">
        <v>2.3125</v>
      </c>
      <c r="J21" s="237">
        <v>2.3125</v>
      </c>
      <c r="K21" s="312"/>
      <c r="L21" s="312"/>
      <c r="M21" s="312"/>
      <c r="N21" s="655">
        <v>944.78489999999999</v>
      </c>
      <c r="O21" s="245">
        <v>386746.71509999997</v>
      </c>
      <c r="P21" s="243">
        <v>72515.009999999995</v>
      </c>
      <c r="Q21" s="243">
        <v>58012.01</v>
      </c>
      <c r="R21" s="244">
        <v>0.15</v>
      </c>
      <c r="S21" s="243">
        <v>14503</v>
      </c>
      <c r="T21" s="286">
        <v>3.7499999999999999E-2</v>
      </c>
    </row>
    <row r="22" spans="1:20" x14ac:dyDescent="0.25">
      <c r="A22" s="26" t="s">
        <v>28</v>
      </c>
      <c r="B22" s="27" t="s">
        <v>18</v>
      </c>
      <c r="C22" s="62" t="s">
        <v>31</v>
      </c>
      <c r="D22" s="28" t="s">
        <v>30</v>
      </c>
      <c r="E22" s="62" t="s">
        <v>101</v>
      </c>
      <c r="F22" s="260" t="s">
        <v>37</v>
      </c>
      <c r="G22" s="312">
        <v>1677</v>
      </c>
      <c r="H22" s="312">
        <v>3028</v>
      </c>
      <c r="I22" s="349">
        <v>73.550600000000003</v>
      </c>
      <c r="J22" s="237">
        <v>71.500799999999998</v>
      </c>
      <c r="K22" s="312"/>
      <c r="L22" s="312"/>
      <c r="M22" s="312"/>
      <c r="N22" s="655">
        <v>327.589</v>
      </c>
      <c r="O22" s="245">
        <v>339521.19100000005</v>
      </c>
      <c r="P22" s="243">
        <v>63660.22</v>
      </c>
      <c r="Q22" s="243">
        <v>50928.18</v>
      </c>
      <c r="R22" s="244">
        <v>0.15</v>
      </c>
      <c r="S22" s="243">
        <v>12732.04</v>
      </c>
      <c r="T22" s="286">
        <v>3.7499999999999999E-2</v>
      </c>
    </row>
    <row r="23" spans="1:20" x14ac:dyDescent="0.25">
      <c r="A23" s="26" t="s">
        <v>28</v>
      </c>
      <c r="B23" s="29" t="s">
        <v>20</v>
      </c>
      <c r="C23" s="62" t="s">
        <v>31</v>
      </c>
      <c r="D23" s="28" t="s">
        <v>30</v>
      </c>
      <c r="E23" s="62" t="s">
        <v>101</v>
      </c>
      <c r="F23" s="260" t="s">
        <v>37</v>
      </c>
      <c r="G23" s="312">
        <v>180625</v>
      </c>
      <c r="H23" s="312">
        <v>192828</v>
      </c>
      <c r="I23" s="237">
        <v>73.550600000000003</v>
      </c>
      <c r="J23" s="238">
        <v>71.500799999999998</v>
      </c>
      <c r="K23" s="312"/>
      <c r="L23" s="312"/>
      <c r="M23" s="312"/>
      <c r="N23" s="655">
        <v>5051.5208000000002</v>
      </c>
      <c r="O23" s="245">
        <v>27067381.869200002</v>
      </c>
      <c r="P23" s="243">
        <v>5075134.0999999996</v>
      </c>
      <c r="Q23" s="243">
        <v>4060107.28</v>
      </c>
      <c r="R23" s="244">
        <v>0.15</v>
      </c>
      <c r="S23" s="243">
        <v>1015026.82</v>
      </c>
      <c r="T23" s="286">
        <v>3.7499999999999999E-2</v>
      </c>
    </row>
    <row r="24" spans="1:20" x14ac:dyDescent="0.25">
      <c r="A24" s="26" t="s">
        <v>28</v>
      </c>
      <c r="B24" s="27" t="s">
        <v>8</v>
      </c>
      <c r="C24" s="62" t="s">
        <v>31</v>
      </c>
      <c r="D24" s="28" t="s">
        <v>21</v>
      </c>
      <c r="E24" s="62" t="s">
        <v>101</v>
      </c>
      <c r="F24" s="260" t="s">
        <v>56</v>
      </c>
      <c r="G24" s="312">
        <v>240945.06</v>
      </c>
      <c r="H24" s="236">
        <v>261058.18</v>
      </c>
      <c r="I24" s="363">
        <v>1.9545999999999999</v>
      </c>
      <c r="J24" s="238">
        <v>1.9545999999999999</v>
      </c>
      <c r="K24" s="312"/>
      <c r="L24" s="312"/>
      <c r="M24" s="312"/>
      <c r="N24" s="655">
        <v>997.0104</v>
      </c>
      <c r="O24" s="245">
        <v>980218.5196</v>
      </c>
      <c r="P24" s="243">
        <v>183790.97</v>
      </c>
      <c r="Q24" s="243">
        <v>147032.78</v>
      </c>
      <c r="R24" s="244">
        <v>0.15</v>
      </c>
      <c r="S24" s="243">
        <v>36758.19</v>
      </c>
      <c r="T24" s="286">
        <v>3.7499999999999999E-2</v>
      </c>
    </row>
    <row r="25" spans="1:20" x14ac:dyDescent="0.25">
      <c r="A25" s="26" t="s">
        <v>28</v>
      </c>
      <c r="B25" s="29" t="s">
        <v>57</v>
      </c>
      <c r="C25" s="62" t="s">
        <v>31</v>
      </c>
      <c r="D25" s="28" t="s">
        <v>21</v>
      </c>
      <c r="E25" s="62" t="s">
        <v>101</v>
      </c>
      <c r="F25" s="260" t="s">
        <v>37</v>
      </c>
      <c r="G25" s="312"/>
      <c r="H25" s="312"/>
      <c r="I25" s="237"/>
      <c r="J25" s="237"/>
      <c r="K25" s="312"/>
      <c r="L25" s="312"/>
      <c r="M25" s="312"/>
      <c r="N25" s="655"/>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314</v>
      </c>
      <c r="H26" s="312">
        <v>472</v>
      </c>
      <c r="I26" s="237">
        <v>73.382300000000001</v>
      </c>
      <c r="J26" s="238">
        <v>71.242699999999999</v>
      </c>
      <c r="K26" s="312"/>
      <c r="L26" s="312"/>
      <c r="M26" s="312"/>
      <c r="N26" s="655">
        <v>356.07319999999999</v>
      </c>
      <c r="O26" s="245">
        <v>56312.516800000005</v>
      </c>
      <c r="P26" s="243">
        <v>10558.6</v>
      </c>
      <c r="Q26" s="243">
        <v>8446.8799999999992</v>
      </c>
      <c r="R26" s="244">
        <v>0.15</v>
      </c>
      <c r="S26" s="243">
        <v>2111.7199999999998</v>
      </c>
      <c r="T26" s="286">
        <v>3.7499999999999999E-2</v>
      </c>
    </row>
    <row r="27" spans="1:20" x14ac:dyDescent="0.25">
      <c r="A27" s="26" t="s">
        <v>28</v>
      </c>
      <c r="B27" s="29" t="s">
        <v>168</v>
      </c>
      <c r="C27" s="62" t="s">
        <v>31</v>
      </c>
      <c r="D27" s="28" t="s">
        <v>30</v>
      </c>
      <c r="E27" s="62" t="s">
        <v>101</v>
      </c>
      <c r="F27" s="260" t="s">
        <v>37</v>
      </c>
      <c r="G27" s="236">
        <v>12632</v>
      </c>
      <c r="H27" s="236">
        <v>19736</v>
      </c>
      <c r="I27" s="363">
        <v>71.550600000000003</v>
      </c>
      <c r="J27" s="238">
        <v>69.5608</v>
      </c>
      <c r="K27" s="312"/>
      <c r="L27" s="312"/>
      <c r="M27" s="312"/>
      <c r="N27" s="655">
        <v>3394.5821000000001</v>
      </c>
      <c r="O27" s="245">
        <v>2273284.5478999997</v>
      </c>
      <c r="P27" s="243">
        <v>426240.85</v>
      </c>
      <c r="Q27" s="243">
        <v>340992.68</v>
      </c>
      <c r="R27" s="244">
        <v>0.15</v>
      </c>
      <c r="S27" s="243">
        <v>85248.17</v>
      </c>
      <c r="T27" s="286">
        <v>3.7499999999999999E-2</v>
      </c>
    </row>
    <row r="28" spans="1:20" x14ac:dyDescent="0.25">
      <c r="A28" s="26" t="s">
        <v>28</v>
      </c>
      <c r="B28" s="29" t="s">
        <v>191</v>
      </c>
      <c r="C28" s="62" t="s">
        <v>31</v>
      </c>
      <c r="D28" s="28" t="s">
        <v>30</v>
      </c>
      <c r="E28" s="62" t="s">
        <v>101</v>
      </c>
      <c r="F28" s="260" t="s">
        <v>37</v>
      </c>
      <c r="G28" s="236"/>
      <c r="H28" s="312"/>
      <c r="I28" s="237"/>
      <c r="J28" s="237"/>
      <c r="K28" s="312"/>
      <c r="L28" s="312"/>
      <c r="M28" s="312"/>
      <c r="N28" s="655"/>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52859.74</v>
      </c>
      <c r="H29" s="312">
        <v>55790.37</v>
      </c>
      <c r="I29" s="237">
        <v>1.5</v>
      </c>
      <c r="J29" s="237">
        <v>1.5</v>
      </c>
      <c r="K29" s="312"/>
      <c r="L29" s="312"/>
      <c r="M29" s="312"/>
      <c r="N29" s="655">
        <v>1410.0592999999999</v>
      </c>
      <c r="O29" s="245">
        <v>161565.11069999999</v>
      </c>
      <c r="P29" s="243">
        <v>30293.46</v>
      </c>
      <c r="Q29" s="243">
        <v>24234.77</v>
      </c>
      <c r="R29" s="244">
        <v>0.15</v>
      </c>
      <c r="S29" s="243">
        <v>6058.69</v>
      </c>
      <c r="T29" s="286">
        <v>3.7499999999999999E-2</v>
      </c>
    </row>
    <row r="30" spans="1:20" s="395" customFormat="1" x14ac:dyDescent="0.25">
      <c r="A30" s="409" t="s">
        <v>28</v>
      </c>
      <c r="B30" s="216" t="s">
        <v>319</v>
      </c>
      <c r="C30" s="62" t="s">
        <v>31</v>
      </c>
      <c r="D30" s="28" t="s">
        <v>30</v>
      </c>
      <c r="E30" s="62" t="s">
        <v>101</v>
      </c>
      <c r="F30" s="260" t="s">
        <v>56</v>
      </c>
      <c r="G30" s="236">
        <v>98207.22</v>
      </c>
      <c r="H30" s="312">
        <v>109969.92</v>
      </c>
      <c r="I30" s="237">
        <v>3.3418999999999999</v>
      </c>
      <c r="J30" s="237">
        <v>3.2927</v>
      </c>
      <c r="K30" s="312"/>
      <c r="L30" s="312"/>
      <c r="M30" s="312"/>
      <c r="N30" s="655"/>
      <c r="O30" s="245">
        <v>690296.67</v>
      </c>
      <c r="P30" s="243">
        <v>129430.63</v>
      </c>
      <c r="Q30" s="281">
        <v>103544.5</v>
      </c>
      <c r="R30" s="244">
        <v>0.15</v>
      </c>
      <c r="S30" s="243">
        <v>25886.13</v>
      </c>
      <c r="T30" s="286">
        <v>3.7499999999999999E-2</v>
      </c>
    </row>
    <row r="31" spans="1:20" x14ac:dyDescent="0.25">
      <c r="A31" s="26" t="s">
        <v>28</v>
      </c>
      <c r="B31" s="29" t="s">
        <v>323</v>
      </c>
      <c r="C31" s="62" t="s">
        <v>31</v>
      </c>
      <c r="D31" s="28" t="s">
        <v>30</v>
      </c>
      <c r="E31" s="62" t="s">
        <v>101</v>
      </c>
      <c r="F31" s="260" t="s">
        <v>56</v>
      </c>
      <c r="G31" s="236"/>
      <c r="H31" s="312"/>
      <c r="I31" s="237"/>
      <c r="J31" s="237"/>
      <c r="K31" s="312"/>
      <c r="L31" s="312"/>
      <c r="M31" s="312"/>
      <c r="N31" s="655"/>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c r="H32" s="312"/>
      <c r="I32" s="237"/>
      <c r="J32" s="237"/>
      <c r="K32" s="312"/>
      <c r="L32" s="312"/>
      <c r="M32" s="312"/>
      <c r="N32" s="655"/>
      <c r="O32" s="245">
        <v>0</v>
      </c>
      <c r="P32" s="243">
        <v>0</v>
      </c>
      <c r="Q32" s="243">
        <v>0</v>
      </c>
      <c r="R32" s="244">
        <v>0.15</v>
      </c>
      <c r="S32" s="243">
        <v>0</v>
      </c>
      <c r="T32" s="286">
        <v>3.7499999999999999E-2</v>
      </c>
    </row>
    <row r="33" spans="1:20" x14ac:dyDescent="0.25">
      <c r="A33" s="26" t="s">
        <v>28</v>
      </c>
      <c r="B33" s="29" t="s">
        <v>336</v>
      </c>
      <c r="C33" s="62" t="s">
        <v>31</v>
      </c>
      <c r="D33" s="28" t="s">
        <v>30</v>
      </c>
      <c r="E33" s="62" t="s">
        <v>101</v>
      </c>
      <c r="F33" s="260" t="s">
        <v>56</v>
      </c>
      <c r="G33" s="236">
        <v>15042.43</v>
      </c>
      <c r="H33" s="312">
        <v>9336.69</v>
      </c>
      <c r="I33" s="237">
        <v>3.14</v>
      </c>
      <c r="J33" s="237">
        <v>3.14</v>
      </c>
      <c r="K33" s="312">
        <v>3.14</v>
      </c>
      <c r="L33" s="312"/>
      <c r="M33" s="312"/>
      <c r="N33" s="655"/>
      <c r="O33" s="245">
        <v>76547.3</v>
      </c>
      <c r="P33" s="243">
        <v>14352.62</v>
      </c>
      <c r="Q33" s="281">
        <v>11482.1</v>
      </c>
      <c r="R33" s="244">
        <v>0.15</v>
      </c>
      <c r="S33" s="243">
        <v>2870.52</v>
      </c>
      <c r="T33" s="286">
        <v>3.7499999999999999E-2</v>
      </c>
    </row>
    <row r="34" spans="1:20" x14ac:dyDescent="0.25">
      <c r="A34" s="26" t="s">
        <v>28</v>
      </c>
      <c r="B34" s="27" t="s">
        <v>15</v>
      </c>
      <c r="C34" s="62" t="s">
        <v>29</v>
      </c>
      <c r="D34" s="28" t="s">
        <v>21</v>
      </c>
      <c r="E34" s="62" t="s">
        <v>98</v>
      </c>
      <c r="F34" s="260" t="s">
        <v>37</v>
      </c>
      <c r="G34" s="312"/>
      <c r="H34" s="236">
        <v>191016</v>
      </c>
      <c r="I34" s="237"/>
      <c r="J34" s="238">
        <v>74.293599999999998</v>
      </c>
      <c r="K34" s="312"/>
      <c r="L34" s="312"/>
      <c r="M34" s="312"/>
      <c r="N34" s="655">
        <v>1091.9658999999999</v>
      </c>
      <c r="O34" s="245">
        <v>14190174.334100001</v>
      </c>
      <c r="P34" s="243">
        <v>2660657.69</v>
      </c>
      <c r="Q34" s="243">
        <v>2128526.15</v>
      </c>
      <c r="R34" s="244">
        <v>0.15</v>
      </c>
      <c r="S34" s="243">
        <v>532131.54</v>
      </c>
      <c r="T34" s="286">
        <v>3.7499999999999999E-2</v>
      </c>
    </row>
    <row r="35" spans="1:20" x14ac:dyDescent="0.25">
      <c r="A35" s="26" t="s">
        <v>28</v>
      </c>
      <c r="B35" s="27" t="s">
        <v>16</v>
      </c>
      <c r="C35" s="62" t="s">
        <v>29</v>
      </c>
      <c r="D35" s="28" t="s">
        <v>21</v>
      </c>
      <c r="E35" s="62" t="s">
        <v>98</v>
      </c>
      <c r="F35" s="260" t="s">
        <v>56</v>
      </c>
      <c r="G35" s="312"/>
      <c r="H35" s="236">
        <v>358535.38</v>
      </c>
      <c r="I35" s="237"/>
      <c r="J35" s="221">
        <v>6.6592000000000002</v>
      </c>
      <c r="K35" s="312"/>
      <c r="L35" s="312"/>
      <c r="M35" s="312"/>
      <c r="N35" s="655">
        <v>959.02819999999997</v>
      </c>
      <c r="O35" s="245">
        <v>2386599.7717999998</v>
      </c>
      <c r="P35" s="243">
        <v>447487.46</v>
      </c>
      <c r="Q35" s="243">
        <v>357989.97</v>
      </c>
      <c r="R35" s="244">
        <v>0.15</v>
      </c>
      <c r="S35" s="243">
        <v>89497.49</v>
      </c>
      <c r="T35" s="286">
        <v>3.7499999999999999E-2</v>
      </c>
    </row>
    <row r="36" spans="1:20" x14ac:dyDescent="0.25">
      <c r="A36" s="26" t="s">
        <v>28</v>
      </c>
      <c r="B36" s="27" t="s">
        <v>173</v>
      </c>
      <c r="C36" s="62" t="s">
        <v>31</v>
      </c>
      <c r="D36" s="28" t="s">
        <v>30</v>
      </c>
      <c r="E36" s="62" t="s">
        <v>101</v>
      </c>
      <c r="F36" s="260" t="s">
        <v>37</v>
      </c>
      <c r="G36" s="312">
        <v>146</v>
      </c>
      <c r="H36" s="236">
        <v>169</v>
      </c>
      <c r="I36" s="238">
        <v>73.550600000000003</v>
      </c>
      <c r="J36" s="238">
        <v>71.500799999999998</v>
      </c>
      <c r="K36" s="312"/>
      <c r="L36" s="312"/>
      <c r="M36" s="312"/>
      <c r="N36" s="655">
        <v>208.89709999999999</v>
      </c>
      <c r="O36" s="245">
        <v>22613.132900000001</v>
      </c>
      <c r="P36" s="243">
        <v>4239.96</v>
      </c>
      <c r="Q36" s="243">
        <v>847.99</v>
      </c>
      <c r="R36" s="286">
        <v>3.7499999999999999E-2</v>
      </c>
      <c r="S36" s="243">
        <v>3391.97</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655"/>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312"/>
      <c r="I38" s="237"/>
      <c r="J38" s="238"/>
      <c r="K38" s="236"/>
      <c r="L38" s="312"/>
      <c r="M38" s="312"/>
      <c r="N38" s="655"/>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19975</v>
      </c>
      <c r="I39" s="238"/>
      <c r="J39" s="238">
        <v>67.543599999999998</v>
      </c>
      <c r="K39" s="236"/>
      <c r="L39" s="312"/>
      <c r="M39" s="312"/>
      <c r="N39" s="655">
        <v>1044.4881</v>
      </c>
      <c r="O39" s="245">
        <v>1348138.9219</v>
      </c>
      <c r="P39" s="243">
        <v>252776.05</v>
      </c>
      <c r="Q39" s="243">
        <v>202220.84</v>
      </c>
      <c r="R39" s="247">
        <v>0.15</v>
      </c>
      <c r="S39" s="243">
        <v>50555.21</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655"/>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-101307.81000000003</v>
      </c>
      <c r="P41" s="245">
        <v>-18995.22</v>
      </c>
      <c r="Q41" s="245">
        <v>-15196.179999999995</v>
      </c>
      <c r="R41" s="275"/>
      <c r="S41" s="245">
        <v>-3799.0500000000011</v>
      </c>
      <c r="T41" s="244"/>
    </row>
    <row r="42" spans="1:20" x14ac:dyDescent="0.25">
      <c r="A42" s="34"/>
      <c r="B42" s="165" t="s">
        <v>108</v>
      </c>
      <c r="C42" s="35" t="s">
        <v>343</v>
      </c>
      <c r="D42" s="43"/>
      <c r="E42" s="44"/>
      <c r="F42" s="270"/>
      <c r="G42" s="239"/>
      <c r="H42" s="239"/>
      <c r="I42" s="240"/>
      <c r="J42" s="240"/>
      <c r="K42" s="239"/>
      <c r="L42" s="239"/>
      <c r="M42" s="239"/>
      <c r="N42" s="239"/>
      <c r="O42" s="249">
        <v>67469813.659699991</v>
      </c>
      <c r="P42" s="250">
        <v>12650590.050000003</v>
      </c>
      <c r="Q42" s="251">
        <v>10117928.08</v>
      </c>
      <c r="R42" s="252"/>
      <c r="S42" s="253">
        <v>2532661.98</v>
      </c>
      <c r="T42" s="252"/>
    </row>
    <row r="43" spans="1:20" x14ac:dyDescent="0.25">
      <c r="A43" s="136"/>
      <c r="B43" s="137"/>
      <c r="C43" s="35" t="s">
        <v>344</v>
      </c>
      <c r="D43" s="148"/>
      <c r="E43" s="148"/>
      <c r="F43" s="149"/>
      <c r="G43" s="299"/>
      <c r="H43" s="299"/>
      <c r="I43" s="221"/>
      <c r="J43" s="221"/>
      <c r="K43" s="299"/>
      <c r="L43" s="299"/>
      <c r="M43" s="299"/>
      <c r="N43" s="299"/>
      <c r="O43" s="228"/>
      <c r="P43" s="229">
        <v>51804166.25</v>
      </c>
      <c r="Q43" s="495">
        <v>41432915.490000002</v>
      </c>
      <c r="R43" s="151"/>
      <c r="S43" s="494">
        <v>10371250.810000001</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c r="H46" s="236">
        <v>6891</v>
      </c>
      <c r="I46" s="363"/>
      <c r="J46" s="238">
        <v>60.684399999999997</v>
      </c>
      <c r="K46" s="312"/>
      <c r="L46" s="312"/>
      <c r="M46" s="312"/>
      <c r="N46" s="236">
        <v>4206.4341999999997</v>
      </c>
      <c r="O46" s="245">
        <v>413969.76579999999</v>
      </c>
      <c r="P46" s="243">
        <v>62095.46</v>
      </c>
      <c r="Q46" s="243">
        <v>62095.46</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413969.76579999999</v>
      </c>
      <c r="P48" s="250">
        <v>62095.46</v>
      </c>
      <c r="Q48" s="250">
        <v>62095.46</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254280.91</v>
      </c>
      <c r="Q49" s="495">
        <v>254280.91</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107395.45</v>
      </c>
      <c r="H56" s="236">
        <v>104178.27</v>
      </c>
      <c r="I56" s="238">
        <v>3.6484000000000001</v>
      </c>
      <c r="J56" s="238">
        <v>3.649</v>
      </c>
      <c r="K56" s="312"/>
      <c r="L56" s="312"/>
      <c r="M56" s="312"/>
      <c r="N56" s="236">
        <v>526.99059999999997</v>
      </c>
      <c r="O56" s="245">
        <v>771441.07940000005</v>
      </c>
      <c r="P56" s="243">
        <v>144645.20000000001</v>
      </c>
      <c r="Q56" s="243">
        <v>28929.040000000001</v>
      </c>
      <c r="R56" s="286">
        <v>3.7499999999999999E-2</v>
      </c>
      <c r="S56" s="243">
        <v>115716.16</v>
      </c>
      <c r="T56" s="244">
        <v>0.15</v>
      </c>
    </row>
    <row r="57" spans="1:20" x14ac:dyDescent="0.25">
      <c r="A57" s="26" t="s">
        <v>28</v>
      </c>
      <c r="B57" s="29" t="s">
        <v>75</v>
      </c>
      <c r="C57" s="62" t="s">
        <v>31</v>
      </c>
      <c r="D57" s="62" t="s">
        <v>30</v>
      </c>
      <c r="E57" s="62" t="s">
        <v>103</v>
      </c>
      <c r="F57" s="261" t="s">
        <v>37</v>
      </c>
      <c r="G57" s="236">
        <v>2206</v>
      </c>
      <c r="H57" s="236">
        <v>2146</v>
      </c>
      <c r="I57" s="238">
        <v>50.408700000000003</v>
      </c>
      <c r="J57" s="238">
        <v>48.715800000000002</v>
      </c>
      <c r="K57" s="312"/>
      <c r="L57" s="312"/>
      <c r="M57" s="312"/>
      <c r="N57" s="312">
        <v>2388.0785999999998</v>
      </c>
      <c r="O57" s="245">
        <v>213357.6214</v>
      </c>
      <c r="P57" s="243">
        <v>40004.550000000003</v>
      </c>
      <c r="Q57" s="243">
        <v>8000.91</v>
      </c>
      <c r="R57" s="286">
        <v>3.7499999999999999E-2</v>
      </c>
      <c r="S57" s="243">
        <v>32003.64</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112091</v>
      </c>
      <c r="H60" s="236">
        <v>149744</v>
      </c>
      <c r="I60" s="238">
        <v>58.990400000000001</v>
      </c>
      <c r="J60" s="238">
        <v>56.482100000000003</v>
      </c>
      <c r="K60" s="236"/>
      <c r="L60" s="312"/>
      <c r="M60" s="312"/>
      <c r="N60" s="236">
        <v>5630.7344000000003</v>
      </c>
      <c r="O60" s="245">
        <v>15064517.775599999</v>
      </c>
      <c r="P60" s="243">
        <v>2824597.08</v>
      </c>
      <c r="Q60" s="243">
        <v>2259677.66</v>
      </c>
      <c r="R60" s="244">
        <v>0.15</v>
      </c>
      <c r="S60" s="243">
        <v>564919.42000000004</v>
      </c>
      <c r="T60" s="286">
        <v>3.7499999999999999E-2</v>
      </c>
    </row>
    <row r="61" spans="1:20" x14ac:dyDescent="0.25">
      <c r="A61" s="26" t="s">
        <v>28</v>
      </c>
      <c r="B61" s="302">
        <v>67</v>
      </c>
      <c r="C61" s="62" t="s">
        <v>31</v>
      </c>
      <c r="D61" s="62" t="s">
        <v>30</v>
      </c>
      <c r="E61" s="62" t="s">
        <v>101</v>
      </c>
      <c r="F61" s="261" t="s">
        <v>37</v>
      </c>
      <c r="G61" s="236">
        <v>48698</v>
      </c>
      <c r="H61" s="236">
        <v>50216</v>
      </c>
      <c r="I61" s="238">
        <v>40.401499999999999</v>
      </c>
      <c r="J61" s="238">
        <v>37.915799999999997</v>
      </c>
      <c r="K61" s="236"/>
      <c r="L61" s="312"/>
      <c r="M61" s="312"/>
      <c r="N61" s="236">
        <v>3897.8362999999999</v>
      </c>
      <c r="O61" s="245">
        <v>3867554.2237</v>
      </c>
      <c r="P61" s="243">
        <v>725166.42</v>
      </c>
      <c r="Q61" s="243">
        <v>580133.14</v>
      </c>
      <c r="R61" s="244">
        <v>0.15</v>
      </c>
      <c r="S61" s="243">
        <v>145033.28</v>
      </c>
      <c r="T61" s="286">
        <v>3.7499999999999999E-2</v>
      </c>
    </row>
    <row r="62" spans="1:20" x14ac:dyDescent="0.25">
      <c r="A62" s="21" t="s">
        <v>28</v>
      </c>
      <c r="B62" s="33" t="s">
        <v>54</v>
      </c>
      <c r="C62" s="61"/>
      <c r="D62" s="31"/>
      <c r="E62" s="31"/>
      <c r="F62" s="263"/>
      <c r="G62" s="312"/>
      <c r="H62" s="312"/>
      <c r="I62" s="237"/>
      <c r="J62" s="237"/>
      <c r="K62" s="312"/>
      <c r="L62" s="312"/>
      <c r="M62" s="312"/>
      <c r="N62" s="312"/>
      <c r="O62" s="312">
        <v>-787206.81999999937</v>
      </c>
      <c r="P62" s="312">
        <v>-147601.27000000002</v>
      </c>
      <c r="Q62" s="312">
        <v>-29520.229999999992</v>
      </c>
      <c r="R62" s="312"/>
      <c r="S62" s="312">
        <v>-118081.04000000004</v>
      </c>
      <c r="T62" s="244"/>
    </row>
    <row r="63" spans="1:20" x14ac:dyDescent="0.25">
      <c r="A63" s="34"/>
      <c r="B63" s="165" t="s">
        <v>108</v>
      </c>
      <c r="C63" s="35" t="s">
        <v>347</v>
      </c>
      <c r="D63" s="22"/>
      <c r="E63" s="22"/>
      <c r="F63" s="279"/>
      <c r="G63" s="277"/>
      <c r="H63" s="277"/>
      <c r="I63" s="278"/>
      <c r="J63" s="265"/>
      <c r="K63" s="264"/>
      <c r="L63" s="264"/>
      <c r="M63" s="264"/>
      <c r="N63" s="249"/>
      <c r="O63" s="249">
        <v>19129663.880099997</v>
      </c>
      <c r="P63" s="250">
        <v>3586811.98</v>
      </c>
      <c r="Q63" s="250">
        <v>2847220.5200000005</v>
      </c>
      <c r="R63" s="266"/>
      <c r="S63" s="250">
        <v>739591.46</v>
      </c>
      <c r="T63" s="252"/>
    </row>
    <row r="64" spans="1:20" x14ac:dyDescent="0.25">
      <c r="A64" s="157"/>
      <c r="B64" s="158"/>
      <c r="C64" s="35" t="s">
        <v>348</v>
      </c>
      <c r="D64" s="114"/>
      <c r="E64" s="114"/>
      <c r="F64" s="157"/>
      <c r="G64" s="227"/>
      <c r="H64" s="227"/>
      <c r="I64" s="224"/>
      <c r="J64" s="224"/>
      <c r="K64" s="227"/>
      <c r="L64" s="227"/>
      <c r="M64" s="227"/>
      <c r="N64" s="227"/>
      <c r="O64" s="230"/>
      <c r="P64" s="231">
        <v>14687995.060000001</v>
      </c>
      <c r="Q64" s="494">
        <v>11659368.029999999</v>
      </c>
      <c r="R64" s="172"/>
      <c r="S64" s="494">
        <v>3028627.03</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708651</v>
      </c>
      <c r="H66" s="312">
        <v>832815</v>
      </c>
      <c r="I66" s="237">
        <v>50.667900000000003</v>
      </c>
      <c r="J66" s="237">
        <v>50.204000000000001</v>
      </c>
      <c r="K66" s="312"/>
      <c r="L66" s="312"/>
      <c r="M66" s="312"/>
      <c r="N66" s="312"/>
      <c r="O66" s="245">
        <v>77716502.262899995</v>
      </c>
      <c r="P66" s="281">
        <v>28941625.440000001</v>
      </c>
      <c r="Q66" s="391">
        <v>14470812.720000001</v>
      </c>
      <c r="R66" s="244">
        <v>0.5</v>
      </c>
      <c r="S66" s="243"/>
      <c r="T66" s="286"/>
    </row>
    <row r="67" spans="1:20" x14ac:dyDescent="0.25">
      <c r="A67" s="26" t="s">
        <v>28</v>
      </c>
      <c r="B67" s="27" t="s">
        <v>162</v>
      </c>
      <c r="C67" s="62" t="s">
        <v>31</v>
      </c>
      <c r="D67" s="62" t="s">
        <v>30</v>
      </c>
      <c r="E67" s="62" t="s">
        <v>161</v>
      </c>
      <c r="F67" s="262" t="s">
        <v>56</v>
      </c>
      <c r="G67" s="312">
        <v>11720135.289999999</v>
      </c>
      <c r="H67" s="312">
        <v>11685616.810000001</v>
      </c>
      <c r="I67" s="237">
        <v>1.9127000000000001</v>
      </c>
      <c r="J67" s="237">
        <v>1.9127000000000001</v>
      </c>
      <c r="K67" s="312"/>
      <c r="L67" s="312"/>
      <c r="M67" s="312"/>
      <c r="N67" s="312"/>
      <c r="O67" s="245">
        <v>44768182.041670002</v>
      </c>
      <c r="P67" s="281">
        <v>16671670.99</v>
      </c>
      <c r="Q67" s="391">
        <v>8335835.5</v>
      </c>
      <c r="R67" s="244">
        <v>0.5</v>
      </c>
      <c r="S67" s="243"/>
      <c r="T67" s="244"/>
    </row>
    <row r="68" spans="1:20" x14ac:dyDescent="0.25">
      <c r="A68" s="26" t="s">
        <v>28</v>
      </c>
      <c r="B68" s="27" t="s">
        <v>181</v>
      </c>
      <c r="C68" s="62" t="s">
        <v>31</v>
      </c>
      <c r="D68" s="62" t="s">
        <v>30</v>
      </c>
      <c r="E68" s="62" t="s">
        <v>161</v>
      </c>
      <c r="F68" s="262" t="s">
        <v>56</v>
      </c>
      <c r="G68" s="312">
        <v>4499.82</v>
      </c>
      <c r="H68" s="312"/>
      <c r="I68" s="237">
        <v>2.7496</v>
      </c>
      <c r="J68" s="237"/>
      <c r="K68" s="312"/>
      <c r="L68" s="312"/>
      <c r="M68" s="312"/>
      <c r="N68" s="312"/>
      <c r="O68" s="245">
        <v>12372.705071999999</v>
      </c>
      <c r="P68" s="281">
        <v>4607.6000000000004</v>
      </c>
      <c r="Q68" s="391">
        <v>2303.8000000000002</v>
      </c>
      <c r="R68" s="244">
        <v>0.5</v>
      </c>
      <c r="S68" s="243"/>
      <c r="T68" s="244"/>
    </row>
    <row r="69" spans="1:20" ht="12" customHeight="1" x14ac:dyDescent="0.25">
      <c r="A69" s="26" t="s">
        <v>28</v>
      </c>
      <c r="B69" s="27" t="s">
        <v>182</v>
      </c>
      <c r="C69" s="62" t="s">
        <v>31</v>
      </c>
      <c r="D69" s="62" t="s">
        <v>30</v>
      </c>
      <c r="E69" s="62" t="s">
        <v>161</v>
      </c>
      <c r="F69" s="262" t="s">
        <v>56</v>
      </c>
      <c r="G69" s="312">
        <v>539075.81000000006</v>
      </c>
      <c r="H69" s="312">
        <v>203713.06</v>
      </c>
      <c r="I69" s="349">
        <v>5.7370000000000001</v>
      </c>
      <c r="J69" s="237">
        <v>6.5119999999999996</v>
      </c>
      <c r="K69" s="312"/>
      <c r="L69" s="312"/>
      <c r="M69" s="312"/>
      <c r="N69" s="312"/>
      <c r="O69" s="245">
        <v>4419257.3686900008</v>
      </c>
      <c r="P69" s="281">
        <v>1679317.8</v>
      </c>
      <c r="Q69" s="391">
        <v>839658.9</v>
      </c>
      <c r="R69" s="314">
        <v>0.5</v>
      </c>
      <c r="S69" s="243"/>
      <c r="T69" s="244"/>
    </row>
    <row r="70" spans="1:20" x14ac:dyDescent="0.25">
      <c r="A70" s="26" t="s">
        <v>28</v>
      </c>
      <c r="B70" s="29" t="s">
        <v>171</v>
      </c>
      <c r="C70" s="62" t="s">
        <v>31</v>
      </c>
      <c r="D70" s="62" t="s">
        <v>30</v>
      </c>
      <c r="E70" s="62" t="s">
        <v>161</v>
      </c>
      <c r="F70" s="261" t="s">
        <v>37</v>
      </c>
      <c r="G70" s="312">
        <v>412639</v>
      </c>
      <c r="H70" s="312">
        <v>459176</v>
      </c>
      <c r="I70" s="237">
        <v>50.639200000000002</v>
      </c>
      <c r="J70" s="237">
        <v>50.200200000000002</v>
      </c>
      <c r="K70" s="312"/>
      <c r="L70" s="312"/>
      <c r="M70" s="312"/>
      <c r="N70" s="312"/>
      <c r="O70" s="245">
        <v>43946435.884000003</v>
      </c>
      <c r="P70" s="281">
        <v>17578574.350000001</v>
      </c>
      <c r="Q70" s="391">
        <v>8789287.1799999997</v>
      </c>
      <c r="R70" s="244">
        <v>0.5</v>
      </c>
      <c r="S70" s="243"/>
      <c r="T70" s="244"/>
    </row>
    <row r="71" spans="1:20" x14ac:dyDescent="0.25">
      <c r="A71" s="26" t="s">
        <v>28</v>
      </c>
      <c r="B71" s="29" t="s">
        <v>172</v>
      </c>
      <c r="C71" s="62" t="s">
        <v>31</v>
      </c>
      <c r="D71" s="62" t="s">
        <v>30</v>
      </c>
      <c r="E71" s="62" t="s">
        <v>161</v>
      </c>
      <c r="F71" s="261" t="s">
        <v>56</v>
      </c>
      <c r="G71" s="312">
        <v>916919.48</v>
      </c>
      <c r="H71" s="312">
        <v>0</v>
      </c>
      <c r="I71" s="349">
        <v>5.7370000000000001</v>
      </c>
      <c r="J71" s="237">
        <v>0</v>
      </c>
      <c r="K71" s="312"/>
      <c r="L71" s="312"/>
      <c r="M71" s="312"/>
      <c r="N71" s="312"/>
      <c r="O71" s="245">
        <v>5260367.0567600001</v>
      </c>
      <c r="P71" s="281">
        <v>1998939.48</v>
      </c>
      <c r="Q71" s="391">
        <v>999469.74</v>
      </c>
      <c r="R71" s="244">
        <v>0.5</v>
      </c>
      <c r="S71" s="243"/>
      <c r="T71" s="244"/>
    </row>
    <row r="72" spans="1:20" x14ac:dyDescent="0.25">
      <c r="A72" s="26" t="s">
        <v>28</v>
      </c>
      <c r="B72" s="32" t="s">
        <v>177</v>
      </c>
      <c r="C72" s="62" t="s">
        <v>31</v>
      </c>
      <c r="D72" s="62" t="s">
        <v>30</v>
      </c>
      <c r="E72" s="62" t="s">
        <v>161</v>
      </c>
      <c r="F72" s="261" t="s">
        <v>56</v>
      </c>
      <c r="G72" s="312">
        <v>38496.93</v>
      </c>
      <c r="H72" s="312">
        <v>1612.03</v>
      </c>
      <c r="I72" s="237">
        <v>1.9659</v>
      </c>
      <c r="J72" s="237">
        <v>1.9659</v>
      </c>
      <c r="K72" s="236"/>
      <c r="L72" s="312"/>
      <c r="M72" s="312"/>
      <c r="N72" s="236"/>
      <c r="O72" s="245">
        <v>78850.204463999995</v>
      </c>
      <c r="P72" s="281">
        <v>29363.82</v>
      </c>
      <c r="Q72" s="391">
        <v>14681.91</v>
      </c>
      <c r="R72" s="244">
        <v>0.5</v>
      </c>
      <c r="S72" s="243"/>
      <c r="T72" s="286"/>
    </row>
    <row r="73" spans="1:20" x14ac:dyDescent="0.25">
      <c r="A73" s="26" t="s">
        <v>28</v>
      </c>
      <c r="B73" s="32" t="s">
        <v>179</v>
      </c>
      <c r="C73" s="62" t="s">
        <v>31</v>
      </c>
      <c r="D73" s="62" t="s">
        <v>30</v>
      </c>
      <c r="E73" s="62" t="s">
        <v>161</v>
      </c>
      <c r="F73" s="261" t="s">
        <v>37</v>
      </c>
      <c r="G73" s="312">
        <v>31892</v>
      </c>
      <c r="H73" s="312">
        <v>0</v>
      </c>
      <c r="I73" s="237">
        <v>46.0017</v>
      </c>
      <c r="J73" s="237">
        <v>0</v>
      </c>
      <c r="K73" s="236"/>
      <c r="L73" s="312"/>
      <c r="M73" s="312"/>
      <c r="N73" s="236"/>
      <c r="O73" s="245">
        <v>1467086.2164</v>
      </c>
      <c r="P73" s="281">
        <v>80249.616234000001</v>
      </c>
      <c r="Q73" s="243">
        <v>40124.81</v>
      </c>
      <c r="R73" s="244">
        <v>0.5</v>
      </c>
      <c r="S73" s="243"/>
      <c r="T73" s="286"/>
    </row>
    <row r="74" spans="1:20" x14ac:dyDescent="0.25">
      <c r="A74" s="26" t="s">
        <v>28</v>
      </c>
      <c r="B74" s="302" t="s">
        <v>180</v>
      </c>
      <c r="C74" s="62" t="s">
        <v>31</v>
      </c>
      <c r="D74" s="62" t="s">
        <v>30</v>
      </c>
      <c r="E74" s="62" t="s">
        <v>161</v>
      </c>
      <c r="F74" s="261" t="s">
        <v>56</v>
      </c>
      <c r="G74" s="312">
        <v>497640.28</v>
      </c>
      <c r="H74" s="312">
        <v>0</v>
      </c>
      <c r="I74" s="237">
        <v>4.718</v>
      </c>
      <c r="J74" s="237">
        <v>0</v>
      </c>
      <c r="K74" s="472"/>
      <c r="L74" s="312"/>
      <c r="M74" s="312"/>
      <c r="N74" s="236"/>
      <c r="O74" s="245">
        <v>2347866.8410400003</v>
      </c>
      <c r="P74" s="281">
        <v>175620.43963199999</v>
      </c>
      <c r="Q74" s="243">
        <v>87810.22</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537143.58669000771</v>
      </c>
      <c r="P75" s="213">
        <v>-684302.23104199918</v>
      </c>
      <c r="Q75" s="213">
        <v>-342151.1</v>
      </c>
      <c r="R75" s="160"/>
      <c r="S75" s="201"/>
      <c r="T75" s="160"/>
    </row>
    <row r="76" spans="1:20" x14ac:dyDescent="0.25">
      <c r="A76" s="34"/>
      <c r="B76" s="165" t="s">
        <v>108</v>
      </c>
      <c r="C76" s="35" t="s">
        <v>349</v>
      </c>
      <c r="D76" s="22"/>
      <c r="E76" s="22"/>
      <c r="F76" s="297"/>
      <c r="G76" s="282">
        <v>955416.41</v>
      </c>
      <c r="H76" s="282">
        <v>1612.03</v>
      </c>
      <c r="I76" s="356"/>
      <c r="J76" s="282"/>
      <c r="K76" s="294"/>
      <c r="L76" s="287"/>
      <c r="M76" s="353"/>
      <c r="N76" s="219"/>
      <c r="O76" s="219">
        <v>180554064.16768599</v>
      </c>
      <c r="P76" s="219">
        <v>66475667.304823995</v>
      </c>
      <c r="Q76" s="219">
        <v>33237833.679999992</v>
      </c>
      <c r="R76" s="199"/>
      <c r="S76" s="207"/>
      <c r="T76" s="160"/>
    </row>
    <row r="77" spans="1:20" x14ac:dyDescent="0.25">
      <c r="A77" s="157"/>
      <c r="B77" s="158"/>
      <c r="C77" s="35" t="s">
        <v>350</v>
      </c>
      <c r="D77" s="114"/>
      <c r="E77" s="114"/>
      <c r="F77" s="297"/>
      <c r="G77" s="283">
        <v>5.5850497391467249</v>
      </c>
      <c r="H77" s="283">
        <v>1.9659000000000002</v>
      </c>
      <c r="I77" s="357"/>
      <c r="J77" s="282"/>
      <c r="K77" s="295"/>
      <c r="L77" s="288"/>
      <c r="M77" s="478"/>
      <c r="N77" s="479"/>
      <c r="O77" s="479"/>
      <c r="P77" s="209"/>
      <c r="Q77" s="209">
        <v>136108928.91959995</v>
      </c>
      <c r="R77" s="198"/>
      <c r="S77" s="207"/>
      <c r="T77" s="160"/>
    </row>
    <row r="78" spans="1:20" x14ac:dyDescent="0.25">
      <c r="A78" s="10" t="s">
        <v>55</v>
      </c>
      <c r="B78" s="308"/>
      <c r="C78" s="308"/>
      <c r="D78" s="308"/>
      <c r="E78" s="308"/>
      <c r="F78" s="298"/>
      <c r="G78" s="284">
        <v>5336048.1714470005</v>
      </c>
      <c r="H78" s="284">
        <v>3169.0897770000001</v>
      </c>
      <c r="I78" s="282">
        <v>5339217.2612240007</v>
      </c>
      <c r="J78" s="282">
        <v>5339217.2612239998</v>
      </c>
      <c r="K78" s="358">
        <v>0</v>
      </c>
      <c r="L78" s="359"/>
      <c r="M78" s="311">
        <v>0</v>
      </c>
      <c r="N78" s="311">
        <v>41931.404399999999</v>
      </c>
      <c r="O78" s="311">
        <v>267567511.47328597</v>
      </c>
      <c r="P78" s="311">
        <v>49537331.169999994</v>
      </c>
      <c r="Q78" s="211">
        <v>202855371.18959996</v>
      </c>
      <c r="R78" s="60"/>
      <c r="S78" s="211"/>
      <c r="T78" s="60"/>
    </row>
    <row r="79" spans="1:20" x14ac:dyDescent="0.25">
      <c r="A79" s="6"/>
      <c r="B79" s="6"/>
      <c r="C79" s="6"/>
      <c r="D79" s="6"/>
      <c r="E79" s="6"/>
      <c r="F79" s="6"/>
      <c r="G79" s="6"/>
      <c r="H79" s="6"/>
      <c r="I79" s="6"/>
      <c r="J79" s="6"/>
      <c r="K79" s="6"/>
      <c r="L79" s="6"/>
      <c r="M79" s="6"/>
      <c r="N79" s="6"/>
      <c r="O79" s="280"/>
      <c r="P79" s="285"/>
      <c r="Q79" s="6"/>
      <c r="R79" s="6"/>
      <c r="S79" s="285"/>
      <c r="T79" s="6"/>
    </row>
    <row r="80" spans="1:20" x14ac:dyDescent="0.25">
      <c r="A80" s="99" t="s">
        <v>93</v>
      </c>
      <c r="B80" s="7" t="s">
        <v>76</v>
      </c>
      <c r="C80" s="7"/>
      <c r="D80" s="6"/>
      <c r="E80" s="6"/>
      <c r="F80" s="6"/>
      <c r="H80" s="99" t="s">
        <v>77</v>
      </c>
      <c r="J80" s="72"/>
      <c r="K80" s="72"/>
      <c r="L80" s="6"/>
      <c r="M80" s="6"/>
      <c r="N80" s="220"/>
      <c r="O80" s="635"/>
      <c r="P80" s="285"/>
      <c r="Q80" s="220"/>
      <c r="R80" s="6"/>
      <c r="S80" s="285"/>
      <c r="T80" s="6"/>
    </row>
    <row r="81" spans="1:20" x14ac:dyDescent="0.25">
      <c r="A81" s="6"/>
      <c r="B81" s="126" t="s">
        <v>78</v>
      </c>
      <c r="C81" s="127" t="s">
        <v>79</v>
      </c>
      <c r="D81" s="128"/>
      <c r="E81" s="129" t="s">
        <v>35</v>
      </c>
      <c r="F81" s="129" t="s">
        <v>80</v>
      </c>
      <c r="H81" s="100" t="s">
        <v>35</v>
      </c>
      <c r="I81" s="308"/>
      <c r="J81" s="308"/>
      <c r="K81" s="308"/>
      <c r="L81" s="101"/>
      <c r="M81" s="6"/>
      <c r="N81" s="451"/>
      <c r="O81" s="635"/>
      <c r="P81" s="656"/>
      <c r="Q81" s="74"/>
      <c r="R81" s="6"/>
      <c r="S81" s="6"/>
      <c r="T81" s="6"/>
    </row>
    <row r="82" spans="1:20" x14ac:dyDescent="0.25">
      <c r="A82" s="7"/>
      <c r="B82" s="102" t="s">
        <v>81</v>
      </c>
      <c r="C82" s="103" t="s">
        <v>82</v>
      </c>
      <c r="D82" s="104"/>
      <c r="E82" s="105">
        <v>74.801000000000002</v>
      </c>
      <c r="F82" s="105">
        <v>66.939800000000005</v>
      </c>
      <c r="H82" s="106" t="s">
        <v>365</v>
      </c>
      <c r="I82" s="6"/>
      <c r="J82" s="6"/>
      <c r="K82" s="6"/>
      <c r="L82" s="107"/>
      <c r="M82" s="393">
        <v>6.2200000337121024E-2</v>
      </c>
      <c r="N82" s="393">
        <v>6.4199999463479832E-2</v>
      </c>
      <c r="O82" s="647"/>
      <c r="P82" s="220"/>
      <c r="Q82" s="6"/>
      <c r="R82" s="6"/>
      <c r="S82" s="6"/>
      <c r="T82" s="6"/>
    </row>
    <row r="83" spans="1:20" x14ac:dyDescent="0.25">
      <c r="A83" s="6"/>
      <c r="B83" s="108" t="s">
        <v>83</v>
      </c>
      <c r="C83" s="109" t="s">
        <v>84</v>
      </c>
      <c r="D83" s="110"/>
      <c r="E83" s="111">
        <v>36.347700000000003</v>
      </c>
      <c r="F83" s="112">
        <v>37.193600000000004</v>
      </c>
      <c r="H83" s="113">
        <v>50.408715788319995</v>
      </c>
      <c r="I83" s="114"/>
      <c r="J83" s="114"/>
      <c r="K83" s="114"/>
      <c r="L83" s="115"/>
      <c r="M83" s="393">
        <v>9.4199999857272176E-2</v>
      </c>
      <c r="N83" s="393">
        <v>9.8900000237297003E-2</v>
      </c>
      <c r="O83" s="405"/>
      <c r="P83" s="220"/>
      <c r="Q83" s="220"/>
      <c r="R83" s="6"/>
      <c r="S83" s="6"/>
      <c r="T83" s="6"/>
    </row>
    <row r="84" spans="1:20" x14ac:dyDescent="0.25">
      <c r="A84" s="6"/>
      <c r="B84" s="108" t="s">
        <v>85</v>
      </c>
      <c r="C84" s="109" t="s">
        <v>86</v>
      </c>
      <c r="D84" s="110"/>
      <c r="E84" s="111">
        <v>21.263000000000002</v>
      </c>
      <c r="F84" s="111">
        <v>21.263000000000002</v>
      </c>
      <c r="G84" s="6"/>
      <c r="I84" s="116"/>
      <c r="J84" s="6"/>
      <c r="K84" s="6"/>
      <c r="L84" s="6"/>
      <c r="M84" s="393">
        <v>0.39999999969547706</v>
      </c>
      <c r="N84" s="393">
        <v>0.39999999979093542</v>
      </c>
      <c r="O84" s="407"/>
      <c r="P84" s="72"/>
      <c r="Q84" s="72"/>
      <c r="R84" s="6"/>
      <c r="S84" s="6"/>
      <c r="T84" s="6"/>
    </row>
    <row r="85" spans="1:20" x14ac:dyDescent="0.25">
      <c r="A85" s="6"/>
      <c r="B85" s="108" t="s">
        <v>87</v>
      </c>
      <c r="C85" s="109" t="s">
        <v>88</v>
      </c>
      <c r="D85" s="110"/>
      <c r="E85" s="117">
        <v>0.65839999999999999</v>
      </c>
      <c r="F85" s="117">
        <v>0.68210000000000004</v>
      </c>
      <c r="G85" s="6"/>
      <c r="H85" s="100" t="s">
        <v>80</v>
      </c>
      <c r="I85" s="118"/>
      <c r="J85" s="308"/>
      <c r="K85" s="308"/>
      <c r="L85" s="101"/>
      <c r="M85" s="393">
        <v>0.38000000287019686</v>
      </c>
      <c r="N85" s="393"/>
      <c r="O85" s="373"/>
      <c r="P85" s="6"/>
      <c r="Q85" s="6"/>
      <c r="R85" s="6"/>
      <c r="S85" s="6"/>
      <c r="T85" s="6"/>
    </row>
    <row r="86" spans="1:20" x14ac:dyDescent="0.25">
      <c r="A86" s="6"/>
      <c r="B86" s="108" t="s">
        <v>89</v>
      </c>
      <c r="C86" s="109" t="s">
        <v>90</v>
      </c>
      <c r="D86" s="110"/>
      <c r="E86" s="119"/>
      <c r="F86" s="112"/>
      <c r="G86" s="6"/>
      <c r="H86" s="106" t="s">
        <v>366</v>
      </c>
      <c r="I86" s="116"/>
      <c r="J86" s="6"/>
      <c r="K86" s="6"/>
      <c r="L86" s="107"/>
      <c r="M86" s="7"/>
      <c r="N86" s="473"/>
      <c r="O86" s="403"/>
      <c r="P86" s="6"/>
      <c r="Q86" s="72"/>
      <c r="R86" s="6"/>
      <c r="S86" s="6"/>
      <c r="T86" s="6"/>
    </row>
    <row r="87" spans="1:20" x14ac:dyDescent="0.25">
      <c r="A87" s="6"/>
      <c r="B87" s="120" t="s">
        <v>91</v>
      </c>
      <c r="C87" s="121" t="s">
        <v>92</v>
      </c>
      <c r="D87" s="122"/>
      <c r="E87" s="123">
        <v>0</v>
      </c>
      <c r="F87" s="123">
        <v>0</v>
      </c>
      <c r="G87" s="6"/>
      <c r="H87" s="113">
        <v>47.338808541284003</v>
      </c>
      <c r="I87" s="124"/>
      <c r="J87" s="114"/>
      <c r="K87" s="114"/>
      <c r="L87" s="115"/>
      <c r="M87" s="403"/>
      <c r="N87" s="403"/>
      <c r="O87" s="403"/>
      <c r="P87" s="6"/>
      <c r="Q87" s="6"/>
      <c r="R87" s="6"/>
      <c r="S87" s="6"/>
      <c r="T87" s="6"/>
    </row>
    <row r="88" spans="1:20" x14ac:dyDescent="0.25">
      <c r="A88" s="5"/>
      <c r="C88" s="4"/>
      <c r="D88" s="4"/>
      <c r="H88" s="190"/>
      <c r="M88" s="406"/>
      <c r="N88" s="406"/>
      <c r="O88" s="406"/>
    </row>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47" fitToWidth="2"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8">
    <pageSetUpPr fitToPage="1"/>
  </sheetPr>
  <dimension ref="A1:T89"/>
  <sheetViews>
    <sheetView view="pageBreakPreview" topLeftCell="A14" zoomScale="95" zoomScaleNormal="95" zoomScaleSheetLayoutView="95" workbookViewId="0">
      <selection activeCell="A90" sqref="A90:XFD190"/>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8.81640625" style="307" customWidth="1"/>
    <col min="6" max="6" width="9.81640625" style="307" customWidth="1"/>
    <col min="7" max="10" width="10.453125" style="307" customWidth="1"/>
    <col min="11" max="13" width="10.453125" style="307" hidden="1" customWidth="1"/>
    <col min="14" max="14" width="10.453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44409</v>
      </c>
      <c r="F1" s="300">
        <v>4.1130000000000004</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359</v>
      </c>
      <c r="B4" s="143"/>
      <c r="C4" s="143"/>
      <c r="D4" s="143"/>
      <c r="E4" s="143"/>
      <c r="F4" s="143"/>
      <c r="G4" s="143"/>
      <c r="H4" s="143"/>
      <c r="I4" s="143"/>
      <c r="J4" s="143"/>
      <c r="K4" s="143"/>
      <c r="L4" s="143"/>
      <c r="M4" s="143"/>
      <c r="N4" s="143"/>
      <c r="O4" s="143"/>
      <c r="P4" s="143"/>
      <c r="Q4" s="143"/>
      <c r="R4" s="143"/>
      <c r="S4" s="143"/>
      <c r="T4" s="143"/>
    </row>
    <row r="5" spans="1:20" x14ac:dyDescent="0.25">
      <c r="A5" s="143" t="s">
        <v>360</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17140</v>
      </c>
      <c r="I10" s="237"/>
      <c r="J10" s="238">
        <v>68.495800000000003</v>
      </c>
      <c r="K10" s="312"/>
      <c r="L10" s="312"/>
      <c r="M10" s="312"/>
      <c r="N10" s="236">
        <v>209.61009999999999</v>
      </c>
      <c r="O10" s="236">
        <v>1173808.3999000001</v>
      </c>
      <c r="P10" s="243">
        <v>220089.07</v>
      </c>
      <c r="Q10" s="243">
        <v>176071.26</v>
      </c>
      <c r="R10" s="244">
        <v>0.15</v>
      </c>
      <c r="S10" s="243">
        <v>44017.81</v>
      </c>
      <c r="T10" s="286">
        <v>3.7499999999999999E-2</v>
      </c>
    </row>
    <row r="11" spans="1:20" x14ac:dyDescent="0.25">
      <c r="A11" s="26" t="s">
        <v>28</v>
      </c>
      <c r="B11" s="27" t="s">
        <v>14</v>
      </c>
      <c r="C11" s="62" t="s">
        <v>29</v>
      </c>
      <c r="D11" s="28" t="s">
        <v>21</v>
      </c>
      <c r="E11" s="62" t="s">
        <v>98</v>
      </c>
      <c r="F11" s="260" t="s">
        <v>56</v>
      </c>
      <c r="G11" s="312"/>
      <c r="H11" s="236">
        <v>122023.35</v>
      </c>
      <c r="I11" s="237"/>
      <c r="J11" s="238">
        <v>3.5165000000000002</v>
      </c>
      <c r="K11" s="312"/>
      <c r="L11" s="312"/>
      <c r="M11" s="312"/>
      <c r="N11" s="236">
        <v>589.52919999999995</v>
      </c>
      <c r="O11" s="236">
        <v>428505.5808</v>
      </c>
      <c r="P11" s="243">
        <v>80344.800000000003</v>
      </c>
      <c r="Q11" s="243">
        <v>64275.839999999997</v>
      </c>
      <c r="R11" s="244">
        <v>0.15</v>
      </c>
      <c r="S11" s="243">
        <v>16068.96</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5658</v>
      </c>
      <c r="H13" s="236">
        <v>5622</v>
      </c>
      <c r="I13" s="238">
        <v>69.149799999999999</v>
      </c>
      <c r="J13" s="238">
        <v>66.775000000000006</v>
      </c>
      <c r="K13" s="312"/>
      <c r="L13" s="312"/>
      <c r="M13" s="312"/>
      <c r="N13" s="236">
        <v>543.67830000000004</v>
      </c>
      <c r="O13" s="236">
        <v>766114.94169999997</v>
      </c>
      <c r="P13" s="243">
        <v>143646.54999999999</v>
      </c>
      <c r="Q13" s="243">
        <v>114917.24</v>
      </c>
      <c r="R13" s="244">
        <v>0.15</v>
      </c>
      <c r="S13" s="243">
        <v>28729.31</v>
      </c>
      <c r="T13" s="286">
        <v>3.7499999999999999E-2</v>
      </c>
    </row>
    <row r="14" spans="1:20" x14ac:dyDescent="0.25">
      <c r="A14" s="267" t="s">
        <v>28</v>
      </c>
      <c r="B14" s="271" t="s">
        <v>176</v>
      </c>
      <c r="C14" s="260" t="s">
        <v>29</v>
      </c>
      <c r="D14" s="268" t="s">
        <v>21</v>
      </c>
      <c r="E14" s="260" t="s">
        <v>98</v>
      </c>
      <c r="F14" s="260" t="s">
        <v>56</v>
      </c>
      <c r="G14" s="236">
        <v>2300.94</v>
      </c>
      <c r="H14" s="236">
        <v>1.97</v>
      </c>
      <c r="I14" s="238">
        <v>2.6775000000000002</v>
      </c>
      <c r="J14" s="238">
        <v>2.6781999999999999</v>
      </c>
      <c r="K14" s="312"/>
      <c r="L14" s="312"/>
      <c r="M14" s="312"/>
      <c r="N14" s="236">
        <v>579.70330000000001</v>
      </c>
      <c r="O14" s="236">
        <v>5586.3467000000001</v>
      </c>
      <c r="P14" s="243">
        <v>1047.44</v>
      </c>
      <c r="Q14" s="243">
        <v>837.95</v>
      </c>
      <c r="R14" s="244">
        <v>0.15</v>
      </c>
      <c r="S14" s="243">
        <v>209.49</v>
      </c>
      <c r="T14" s="286">
        <v>3.7499999999999999E-2</v>
      </c>
    </row>
    <row r="15" spans="1:20" x14ac:dyDescent="0.25">
      <c r="A15" s="26" t="s">
        <v>28</v>
      </c>
      <c r="B15" s="27" t="s">
        <v>4</v>
      </c>
      <c r="C15" s="62" t="s">
        <v>31</v>
      </c>
      <c r="D15" s="28" t="s">
        <v>30</v>
      </c>
      <c r="E15" s="62" t="s">
        <v>101</v>
      </c>
      <c r="F15" s="260" t="s">
        <v>37</v>
      </c>
      <c r="G15" s="236">
        <v>7469</v>
      </c>
      <c r="H15" s="236">
        <v>8302</v>
      </c>
      <c r="I15" s="238">
        <v>69.707400000000007</v>
      </c>
      <c r="J15" s="237">
        <v>67.504400000000004</v>
      </c>
      <c r="K15" s="312"/>
      <c r="L15" s="312"/>
      <c r="M15" s="312"/>
      <c r="N15" s="236">
        <v>386.46890000000002</v>
      </c>
      <c r="O15" s="236">
        <v>1080679.6311000001</v>
      </c>
      <c r="P15" s="243">
        <v>202627.43</v>
      </c>
      <c r="Q15" s="243">
        <v>162101.94</v>
      </c>
      <c r="R15" s="244">
        <v>0.15</v>
      </c>
      <c r="S15" s="243">
        <v>40525.49</v>
      </c>
      <c r="T15" s="286">
        <v>3.7499999999999999E-2</v>
      </c>
    </row>
    <row r="16" spans="1:20" x14ac:dyDescent="0.25">
      <c r="A16" s="26" t="s">
        <v>28</v>
      </c>
      <c r="B16" s="27" t="s">
        <v>5</v>
      </c>
      <c r="C16" s="62" t="s">
        <v>31</v>
      </c>
      <c r="D16" s="28" t="s">
        <v>30</v>
      </c>
      <c r="E16" s="62" t="s">
        <v>101</v>
      </c>
      <c r="F16" s="260" t="s">
        <v>37</v>
      </c>
      <c r="G16" s="236">
        <v>23886</v>
      </c>
      <c r="H16" s="236">
        <v>26490</v>
      </c>
      <c r="I16" s="238">
        <v>69.707400000000007</v>
      </c>
      <c r="J16" s="237">
        <v>67.504400000000004</v>
      </c>
      <c r="K16" s="312"/>
      <c r="L16" s="312"/>
      <c r="M16" s="312"/>
      <c r="N16" s="236">
        <v>998.92100000000005</v>
      </c>
      <c r="O16" s="236">
        <v>3452223.5989999999</v>
      </c>
      <c r="P16" s="243">
        <v>647291.92000000004</v>
      </c>
      <c r="Q16" s="243">
        <v>517833.54</v>
      </c>
      <c r="R16" s="244">
        <v>0.15</v>
      </c>
      <c r="S16" s="243">
        <v>129458.38</v>
      </c>
      <c r="T16" s="286">
        <v>3.7499999999999999E-2</v>
      </c>
    </row>
    <row r="17" spans="1:20" x14ac:dyDescent="0.25">
      <c r="A17" s="26" t="s">
        <v>28</v>
      </c>
      <c r="B17" s="27" t="s">
        <v>331</v>
      </c>
      <c r="C17" s="62" t="s">
        <v>31</v>
      </c>
      <c r="D17" s="28" t="s">
        <v>30</v>
      </c>
      <c r="E17" s="62" t="s">
        <v>101</v>
      </c>
      <c r="F17" s="260" t="s">
        <v>37</v>
      </c>
      <c r="G17" s="236">
        <v>23427.53</v>
      </c>
      <c r="H17" s="236">
        <v>23966.63</v>
      </c>
      <c r="I17" s="238">
        <v>3.4889999999999999</v>
      </c>
      <c r="J17" s="237">
        <v>3.4889999999999999</v>
      </c>
      <c r="K17" s="312"/>
      <c r="L17" s="312"/>
      <c r="M17" s="312"/>
      <c r="N17" s="236"/>
      <c r="O17" s="236">
        <v>165358.22</v>
      </c>
      <c r="P17" s="243">
        <v>31004.67</v>
      </c>
      <c r="Q17" s="243">
        <v>24803.73</v>
      </c>
      <c r="R17" s="244">
        <v>0.15</v>
      </c>
      <c r="S17" s="243">
        <v>6200.93</v>
      </c>
      <c r="T17" s="286">
        <v>3.7499999999999999E-2</v>
      </c>
    </row>
    <row r="18" spans="1:20" x14ac:dyDescent="0.25">
      <c r="A18" s="26" t="s">
        <v>28</v>
      </c>
      <c r="B18" s="27" t="s">
        <v>17</v>
      </c>
      <c r="C18" s="62" t="s">
        <v>29</v>
      </c>
      <c r="D18" s="28" t="s">
        <v>21</v>
      </c>
      <c r="E18" s="62" t="s">
        <v>98</v>
      </c>
      <c r="F18" s="260" t="s">
        <v>37</v>
      </c>
      <c r="G18" s="312"/>
      <c r="H18" s="236">
        <v>3757</v>
      </c>
      <c r="I18" s="237"/>
      <c r="J18" s="238">
        <v>68.495800000000003</v>
      </c>
      <c r="K18" s="312"/>
      <c r="L18" s="312"/>
      <c r="M18" s="312"/>
      <c r="N18" s="236">
        <v>458.5213</v>
      </c>
      <c r="O18" s="245">
        <v>256880.19870000001</v>
      </c>
      <c r="P18" s="243">
        <v>48165.04</v>
      </c>
      <c r="Q18" s="243">
        <v>38532.03</v>
      </c>
      <c r="R18" s="244">
        <v>0.15</v>
      </c>
      <c r="S18" s="243">
        <v>9633.01</v>
      </c>
      <c r="T18" s="286">
        <v>3.7499999999999999E-2</v>
      </c>
    </row>
    <row r="19" spans="1:20" x14ac:dyDescent="0.25">
      <c r="A19" s="26" t="s">
        <v>28</v>
      </c>
      <c r="B19" s="27" t="s">
        <v>6</v>
      </c>
      <c r="C19" s="62" t="s">
        <v>31</v>
      </c>
      <c r="D19" s="28" t="s">
        <v>30</v>
      </c>
      <c r="E19" s="62" t="s">
        <v>101</v>
      </c>
      <c r="F19" s="260" t="s">
        <v>37</v>
      </c>
      <c r="G19" s="236">
        <v>60243</v>
      </c>
      <c r="H19" s="236">
        <v>78370</v>
      </c>
      <c r="I19" s="237">
        <v>69.157399999999996</v>
      </c>
      <c r="J19" s="237">
        <v>66.954400000000007</v>
      </c>
      <c r="K19" s="312"/>
      <c r="L19" s="312"/>
      <c r="M19" s="312"/>
      <c r="N19" s="236">
        <v>2783.8892000000001</v>
      </c>
      <c r="O19" s="245">
        <v>9410681.6908</v>
      </c>
      <c r="P19" s="243">
        <v>1764502.82</v>
      </c>
      <c r="Q19" s="243">
        <v>1411602.25</v>
      </c>
      <c r="R19" s="244">
        <v>0.15</v>
      </c>
      <c r="S19" s="243">
        <v>352900.56</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236"/>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76288.27</v>
      </c>
      <c r="H21" s="312">
        <v>80643.22</v>
      </c>
      <c r="I21" s="349">
        <v>2.3125</v>
      </c>
      <c r="J21" s="238">
        <v>2.3111000000000002</v>
      </c>
      <c r="K21" s="312"/>
      <c r="L21" s="312"/>
      <c r="M21" s="312"/>
      <c r="N21" s="312">
        <v>651.75819999999999</v>
      </c>
      <c r="O21" s="245">
        <v>362139.4118</v>
      </c>
      <c r="P21" s="243">
        <v>67901.14</v>
      </c>
      <c r="Q21" s="243">
        <v>54320.91</v>
      </c>
      <c r="R21" s="244">
        <v>0.15</v>
      </c>
      <c r="S21" s="243">
        <v>13580.23</v>
      </c>
      <c r="T21" s="286">
        <v>3.7499999999999999E-2</v>
      </c>
    </row>
    <row r="22" spans="1:20" x14ac:dyDescent="0.25">
      <c r="A22" s="26" t="s">
        <v>28</v>
      </c>
      <c r="B22" s="27" t="s">
        <v>18</v>
      </c>
      <c r="C22" s="62" t="s">
        <v>31</v>
      </c>
      <c r="D22" s="28" t="s">
        <v>30</v>
      </c>
      <c r="E22" s="62" t="s">
        <v>101</v>
      </c>
      <c r="F22" s="260" t="s">
        <v>37</v>
      </c>
      <c r="G22" s="312">
        <v>1833</v>
      </c>
      <c r="H22" s="236">
        <v>2907</v>
      </c>
      <c r="I22" s="237">
        <v>69.707400000000007</v>
      </c>
      <c r="J22" s="238">
        <v>67.504400000000004</v>
      </c>
      <c r="K22" s="312"/>
      <c r="L22" s="312"/>
      <c r="M22" s="312"/>
      <c r="N22" s="236">
        <v>225.98580000000001</v>
      </c>
      <c r="O22" s="245">
        <v>323782.96419999999</v>
      </c>
      <c r="P22" s="243">
        <v>60709.31</v>
      </c>
      <c r="Q22" s="243">
        <v>48567.44</v>
      </c>
      <c r="R22" s="244">
        <v>0.15</v>
      </c>
      <c r="S22" s="243">
        <v>12141.86</v>
      </c>
      <c r="T22" s="286">
        <v>3.7499999999999999E-2</v>
      </c>
    </row>
    <row r="23" spans="1:20" x14ac:dyDescent="0.25">
      <c r="A23" s="26" t="s">
        <v>28</v>
      </c>
      <c r="B23" s="29" t="s">
        <v>20</v>
      </c>
      <c r="C23" s="62" t="s">
        <v>31</v>
      </c>
      <c r="D23" s="28" t="s">
        <v>30</v>
      </c>
      <c r="E23" s="62" t="s">
        <v>101</v>
      </c>
      <c r="F23" s="260" t="s">
        <v>37</v>
      </c>
      <c r="G23" s="312">
        <v>181116</v>
      </c>
      <c r="H23" s="312">
        <v>195647</v>
      </c>
      <c r="I23" s="238">
        <v>69.707400000000007</v>
      </c>
      <c r="J23" s="238">
        <v>67.504400000000004</v>
      </c>
      <c r="K23" s="312"/>
      <c r="L23" s="312"/>
      <c r="M23" s="312"/>
      <c r="N23" s="236">
        <v>3484.7719000000002</v>
      </c>
      <c r="O23" s="245">
        <v>25828674.038100004</v>
      </c>
      <c r="P23" s="243">
        <v>4842876.38</v>
      </c>
      <c r="Q23" s="243">
        <v>3874301.11</v>
      </c>
      <c r="R23" s="244">
        <v>0.15</v>
      </c>
      <c r="S23" s="243">
        <v>968575.28</v>
      </c>
      <c r="T23" s="286">
        <v>3.7499999999999999E-2</v>
      </c>
    </row>
    <row r="24" spans="1:20" x14ac:dyDescent="0.25">
      <c r="A24" s="26" t="s">
        <v>28</v>
      </c>
      <c r="B24" s="27" t="s">
        <v>8</v>
      </c>
      <c r="C24" s="62" t="s">
        <v>31</v>
      </c>
      <c r="D24" s="28" t="s">
        <v>21</v>
      </c>
      <c r="E24" s="62" t="s">
        <v>101</v>
      </c>
      <c r="F24" s="260" t="s">
        <v>56</v>
      </c>
      <c r="G24" s="312">
        <v>242469.34</v>
      </c>
      <c r="H24" s="312">
        <v>261207.2</v>
      </c>
      <c r="I24" s="349">
        <v>1.9761</v>
      </c>
      <c r="J24" s="237">
        <v>1.9761</v>
      </c>
      <c r="K24" s="312"/>
      <c r="L24" s="312"/>
      <c r="M24" s="312"/>
      <c r="N24" s="236">
        <v>687.78319999999997</v>
      </c>
      <c r="O24" s="245">
        <v>994627.42680000002</v>
      </c>
      <c r="P24" s="243">
        <v>186492.64</v>
      </c>
      <c r="Q24" s="243">
        <v>149194.10999999999</v>
      </c>
      <c r="R24" s="244">
        <v>0.15</v>
      </c>
      <c r="S24" s="243">
        <v>37298.53</v>
      </c>
      <c r="T24" s="286">
        <v>3.7499999999999999E-2</v>
      </c>
    </row>
    <row r="25" spans="1:20" x14ac:dyDescent="0.25">
      <c r="A25" s="26" t="s">
        <v>28</v>
      </c>
      <c r="B25" s="29" t="s">
        <v>57</v>
      </c>
      <c r="C25" s="62" t="s">
        <v>31</v>
      </c>
      <c r="D25" s="28" t="s">
        <v>21</v>
      </c>
      <c r="E25" s="62" t="s">
        <v>101</v>
      </c>
      <c r="F25" s="260" t="s">
        <v>37</v>
      </c>
      <c r="G25" s="312"/>
      <c r="H25" s="312"/>
      <c r="I25" s="237"/>
      <c r="J25" s="237"/>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425</v>
      </c>
      <c r="H26" s="312">
        <v>576</v>
      </c>
      <c r="I26" s="237">
        <v>69.042000000000002</v>
      </c>
      <c r="J26" s="238">
        <v>67.103499999999997</v>
      </c>
      <c r="K26" s="312"/>
      <c r="L26" s="312"/>
      <c r="M26" s="312"/>
      <c r="N26" s="312">
        <v>245.63759999999999</v>
      </c>
      <c r="O26" s="245">
        <v>67748.832399999999</v>
      </c>
      <c r="P26" s="243">
        <v>12702.91</v>
      </c>
      <c r="Q26" s="243">
        <v>10162.32</v>
      </c>
      <c r="R26" s="244">
        <v>0.15</v>
      </c>
      <c r="S26" s="243">
        <v>2540.58</v>
      </c>
      <c r="T26" s="286">
        <v>3.7499999999999999E-2</v>
      </c>
    </row>
    <row r="27" spans="1:20" x14ac:dyDescent="0.25">
      <c r="A27" s="26" t="s">
        <v>28</v>
      </c>
      <c r="B27" s="29" t="s">
        <v>168</v>
      </c>
      <c r="C27" s="62" t="s">
        <v>31</v>
      </c>
      <c r="D27" s="28" t="s">
        <v>30</v>
      </c>
      <c r="E27" s="62" t="s">
        <v>101</v>
      </c>
      <c r="F27" s="260" t="s">
        <v>37</v>
      </c>
      <c r="G27" s="236">
        <v>12418</v>
      </c>
      <c r="H27" s="236">
        <v>19648</v>
      </c>
      <c r="I27" s="238">
        <v>67.767399999999995</v>
      </c>
      <c r="J27" s="238">
        <v>65.564400000000006</v>
      </c>
      <c r="K27" s="312"/>
      <c r="L27" s="312"/>
      <c r="M27" s="312"/>
      <c r="N27" s="312">
        <v>2341.741</v>
      </c>
      <c r="O27" s="245">
        <v>2127403.159</v>
      </c>
      <c r="P27" s="243">
        <v>398888.09</v>
      </c>
      <c r="Q27" s="243">
        <v>319110.46999999997</v>
      </c>
      <c r="R27" s="244">
        <v>0.15</v>
      </c>
      <c r="S27" s="243">
        <v>79777.62</v>
      </c>
      <c r="T27" s="286">
        <v>3.7499999999999999E-2</v>
      </c>
    </row>
    <row r="28" spans="1:20"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55619.11</v>
      </c>
      <c r="H29" s="312">
        <v>58860.44</v>
      </c>
      <c r="I29" s="237">
        <v>1.5</v>
      </c>
      <c r="J29" s="237">
        <v>1.5</v>
      </c>
      <c r="K29" s="312"/>
      <c r="L29" s="312"/>
      <c r="M29" s="312"/>
      <c r="N29" s="236">
        <v>972.72190000000001</v>
      </c>
      <c r="O29" s="245">
        <v>170746.60810000001</v>
      </c>
      <c r="P29" s="243">
        <v>32014.99</v>
      </c>
      <c r="Q29" s="243">
        <v>25611.99</v>
      </c>
      <c r="R29" s="244">
        <v>0.15</v>
      </c>
      <c r="S29" s="243">
        <v>6403</v>
      </c>
      <c r="T29" s="286">
        <v>3.7499999999999999E-2</v>
      </c>
    </row>
    <row r="30" spans="1:20" s="395" customFormat="1" x14ac:dyDescent="0.25">
      <c r="A30" s="409" t="s">
        <v>28</v>
      </c>
      <c r="B30" s="216" t="s">
        <v>319</v>
      </c>
      <c r="C30" s="62" t="s">
        <v>31</v>
      </c>
      <c r="D30" s="28" t="s">
        <v>30</v>
      </c>
      <c r="E30" s="62" t="s">
        <v>101</v>
      </c>
      <c r="F30" s="260" t="s">
        <v>56</v>
      </c>
      <c r="G30" s="236">
        <v>111520.38</v>
      </c>
      <c r="H30" s="312">
        <v>116520.38</v>
      </c>
      <c r="I30" s="237">
        <v>3.3130000000000002</v>
      </c>
      <c r="J30" s="237">
        <v>3.3228</v>
      </c>
      <c r="K30" s="312"/>
      <c r="L30" s="312"/>
      <c r="M30" s="312"/>
      <c r="N30" s="236"/>
      <c r="O30" s="245">
        <v>756640.94</v>
      </c>
      <c r="P30" s="243">
        <v>141870.18</v>
      </c>
      <c r="Q30" s="243">
        <v>113496.14</v>
      </c>
      <c r="R30" s="244">
        <v>0.15</v>
      </c>
      <c r="S30" s="243">
        <v>28374.04</v>
      </c>
      <c r="T30" s="286">
        <v>3.7499999999999999E-2</v>
      </c>
    </row>
    <row r="31" spans="1:20" s="395" customFormat="1" x14ac:dyDescent="0.25">
      <c r="A31" s="409" t="s">
        <v>28</v>
      </c>
      <c r="B31" s="216" t="s">
        <v>322</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x14ac:dyDescent="0.25">
      <c r="A33" s="26" t="s">
        <v>28</v>
      </c>
      <c r="B33" s="29" t="s">
        <v>336</v>
      </c>
      <c r="C33" s="62" t="s">
        <v>31</v>
      </c>
      <c r="D33" s="28" t="s">
        <v>30</v>
      </c>
      <c r="E33" s="62" t="s">
        <v>101</v>
      </c>
      <c r="F33" s="260" t="s">
        <v>56</v>
      </c>
      <c r="G33" s="236">
        <v>15208.49</v>
      </c>
      <c r="H33" s="312">
        <v>18403.34</v>
      </c>
      <c r="I33" s="349">
        <v>3.14</v>
      </c>
      <c r="J33" s="237">
        <v>3.14</v>
      </c>
      <c r="K33" s="312"/>
      <c r="L33" s="312"/>
      <c r="M33" s="312"/>
      <c r="N33" s="236"/>
      <c r="O33" s="245">
        <v>105541.15</v>
      </c>
      <c r="P33" s="243">
        <v>19788.97</v>
      </c>
      <c r="Q33" s="243">
        <v>15831.17</v>
      </c>
      <c r="R33" s="244">
        <v>0.15</v>
      </c>
      <c r="S33" s="243">
        <v>3957.79</v>
      </c>
      <c r="T33" s="286">
        <v>3.7499999999999999E-2</v>
      </c>
    </row>
    <row r="34" spans="1:20" x14ac:dyDescent="0.25">
      <c r="A34" s="26" t="s">
        <v>28</v>
      </c>
      <c r="B34" s="27" t="s">
        <v>15</v>
      </c>
      <c r="C34" s="62" t="s">
        <v>29</v>
      </c>
      <c r="D34" s="28" t="s">
        <v>21</v>
      </c>
      <c r="E34" s="62" t="s">
        <v>98</v>
      </c>
      <c r="F34" s="260" t="s">
        <v>37</v>
      </c>
      <c r="G34" s="312"/>
      <c r="H34" s="236">
        <v>180708</v>
      </c>
      <c r="I34" s="237"/>
      <c r="J34" s="238">
        <v>70.513599999999997</v>
      </c>
      <c r="K34" s="312"/>
      <c r="L34" s="312"/>
      <c r="M34" s="312"/>
      <c r="N34" s="236">
        <v>753.28840000000002</v>
      </c>
      <c r="O34" s="245">
        <v>12741618.341600001</v>
      </c>
      <c r="P34" s="243">
        <v>2389053.4399999999</v>
      </c>
      <c r="Q34" s="243">
        <v>1911242.75</v>
      </c>
      <c r="R34" s="244">
        <v>0.15</v>
      </c>
      <c r="S34" s="243">
        <v>477810.69</v>
      </c>
      <c r="T34" s="286">
        <v>3.7499999999999999E-2</v>
      </c>
    </row>
    <row r="35" spans="1:20" x14ac:dyDescent="0.25">
      <c r="A35" s="26" t="s">
        <v>28</v>
      </c>
      <c r="B35" s="27" t="s">
        <v>16</v>
      </c>
      <c r="C35" s="62" t="s">
        <v>29</v>
      </c>
      <c r="D35" s="28" t="s">
        <v>21</v>
      </c>
      <c r="E35" s="62" t="s">
        <v>98</v>
      </c>
      <c r="F35" s="260" t="s">
        <v>56</v>
      </c>
      <c r="G35" s="312"/>
      <c r="H35" s="236">
        <v>356569.1</v>
      </c>
      <c r="I35" s="237"/>
      <c r="J35" s="221">
        <v>6.5709999999999997</v>
      </c>
      <c r="K35" s="312"/>
      <c r="L35" s="312"/>
      <c r="M35" s="312"/>
      <c r="N35" s="236">
        <v>661.58169999999996</v>
      </c>
      <c r="O35" s="245">
        <v>2342353.9783000001</v>
      </c>
      <c r="P35" s="243">
        <v>439191.37</v>
      </c>
      <c r="Q35" s="243">
        <v>351353.94</v>
      </c>
      <c r="R35" s="244">
        <v>0.15</v>
      </c>
      <c r="S35" s="243">
        <v>87838.48000000001</v>
      </c>
      <c r="T35" s="286">
        <v>3.7499999999999999E-2</v>
      </c>
    </row>
    <row r="36" spans="1:20" x14ac:dyDescent="0.25">
      <c r="A36" s="26" t="s">
        <v>28</v>
      </c>
      <c r="B36" s="27" t="s">
        <v>173</v>
      </c>
      <c r="C36" s="62" t="s">
        <v>31</v>
      </c>
      <c r="D36" s="28" t="s">
        <v>30</v>
      </c>
      <c r="E36" s="62" t="s">
        <v>101</v>
      </c>
      <c r="F36" s="260" t="s">
        <v>37</v>
      </c>
      <c r="G36" s="312">
        <v>164</v>
      </c>
      <c r="H36" s="236">
        <v>141</v>
      </c>
      <c r="I36" s="238">
        <v>69.707400000000007</v>
      </c>
      <c r="J36" s="238">
        <v>67.504400000000004</v>
      </c>
      <c r="K36" s="312"/>
      <c r="L36" s="312"/>
      <c r="M36" s="312"/>
      <c r="N36" s="236">
        <v>144.10740000000001</v>
      </c>
      <c r="O36" s="245">
        <v>20806.0226</v>
      </c>
      <c r="P36" s="243">
        <v>3901.13</v>
      </c>
      <c r="Q36" s="243">
        <v>780.23</v>
      </c>
      <c r="R36" s="286">
        <v>3.7499999999999999E-2</v>
      </c>
      <c r="S36" s="243">
        <v>3120.9</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20703</v>
      </c>
      <c r="I39" s="238"/>
      <c r="J39" s="238">
        <v>65.926500000000004</v>
      </c>
      <c r="K39" s="236"/>
      <c r="L39" s="312"/>
      <c r="M39" s="312"/>
      <c r="N39" s="236">
        <v>720.53459999999995</v>
      </c>
      <c r="O39" s="245">
        <v>1364155.7954000002</v>
      </c>
      <c r="P39" s="243">
        <v>255779.21</v>
      </c>
      <c r="Q39" s="243">
        <v>204623.37</v>
      </c>
      <c r="R39" s="247">
        <v>0.15</v>
      </c>
      <c r="S39" s="243">
        <v>51155.839999999997</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19932.610000000714</v>
      </c>
      <c r="P41" s="245">
        <v>3737.3699999999935</v>
      </c>
      <c r="Q41" s="245">
        <v>2989.890000000014</v>
      </c>
      <c r="R41" s="275"/>
      <c r="S41" s="245">
        <v>747.4700000000048</v>
      </c>
      <c r="T41" s="244"/>
    </row>
    <row r="42" spans="1:20" x14ac:dyDescent="0.25">
      <c r="A42" s="34"/>
      <c r="B42" s="165" t="s">
        <v>108</v>
      </c>
      <c r="C42" s="35" t="s">
        <v>343</v>
      </c>
      <c r="D42" s="43"/>
      <c r="E42" s="44"/>
      <c r="F42" s="270"/>
      <c r="G42" s="239"/>
      <c r="H42" s="239"/>
      <c r="I42" s="240"/>
      <c r="J42" s="240"/>
      <c r="K42" s="239"/>
      <c r="L42" s="239"/>
      <c r="M42" s="239"/>
      <c r="N42" s="239"/>
      <c r="O42" s="249">
        <v>63966009.887000002</v>
      </c>
      <c r="P42" s="250">
        <v>11993626.870000001</v>
      </c>
      <c r="Q42" s="251">
        <v>9592561.620000001</v>
      </c>
      <c r="R42" s="252"/>
      <c r="S42" s="253">
        <v>2401066.25</v>
      </c>
      <c r="T42" s="252"/>
    </row>
    <row r="43" spans="1:20" x14ac:dyDescent="0.25">
      <c r="A43" s="136"/>
      <c r="B43" s="137"/>
      <c r="C43" s="35" t="s">
        <v>344</v>
      </c>
      <c r="D43" s="148"/>
      <c r="E43" s="148"/>
      <c r="F43" s="149"/>
      <c r="G43" s="299"/>
      <c r="H43" s="299"/>
      <c r="I43" s="221"/>
      <c r="J43" s="221"/>
      <c r="K43" s="299"/>
      <c r="L43" s="299"/>
      <c r="M43" s="299"/>
      <c r="N43" s="299"/>
      <c r="O43" s="228"/>
      <c r="P43" s="229">
        <v>49329787.32</v>
      </c>
      <c r="Q43" s="495">
        <v>39454205.939999998</v>
      </c>
      <c r="R43" s="151"/>
      <c r="S43" s="494">
        <v>9875585.4900000002</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30658</v>
      </c>
      <c r="H46" s="236">
        <v>34130</v>
      </c>
      <c r="I46" s="238">
        <v>58.716799999999999</v>
      </c>
      <c r="J46" s="238">
        <v>56.7971</v>
      </c>
      <c r="K46" s="312"/>
      <c r="L46" s="312"/>
      <c r="M46" s="312"/>
      <c r="N46" s="236">
        <v>2901.7925</v>
      </c>
      <c r="O46" s="245">
        <v>3735722.8774999999</v>
      </c>
      <c r="P46" s="243">
        <v>560358.43000000005</v>
      </c>
      <c r="Q46" s="243">
        <v>560358.43000000005</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3735722.8774999999</v>
      </c>
      <c r="P48" s="250">
        <v>560358.43000000005</v>
      </c>
      <c r="Q48" s="250">
        <v>560358.43000000005</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2304754.2200000002</v>
      </c>
      <c r="Q49" s="495">
        <v>2304754.2200000002</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235625.41</v>
      </c>
      <c r="H56" s="236">
        <v>287043.68</v>
      </c>
      <c r="I56" s="238">
        <v>3.6503999999999999</v>
      </c>
      <c r="J56" s="238">
        <v>3.6520999999999999</v>
      </c>
      <c r="K56" s="312"/>
      <c r="L56" s="312"/>
      <c r="M56" s="312"/>
      <c r="N56" s="236">
        <v>363.54340000000002</v>
      </c>
      <c r="O56" s="245">
        <v>1908075.6765999999</v>
      </c>
      <c r="P56" s="243">
        <v>357764.19</v>
      </c>
      <c r="Q56" s="243">
        <v>71552.84</v>
      </c>
      <c r="R56" s="286">
        <v>3.7499999999999999E-2</v>
      </c>
      <c r="S56" s="243">
        <v>286211.34999999998</v>
      </c>
      <c r="T56" s="244">
        <v>0.15</v>
      </c>
    </row>
    <row r="57" spans="1:20" x14ac:dyDescent="0.25">
      <c r="A57" s="26" t="s">
        <v>28</v>
      </c>
      <c r="B57" s="29" t="s">
        <v>75</v>
      </c>
      <c r="C57" s="62" t="s">
        <v>31</v>
      </c>
      <c r="D57" s="62" t="s">
        <v>30</v>
      </c>
      <c r="E57" s="62" t="s">
        <v>103</v>
      </c>
      <c r="F57" s="261" t="s">
        <v>37</v>
      </c>
      <c r="G57" s="236">
        <v>1979</v>
      </c>
      <c r="H57" s="236">
        <v>2095</v>
      </c>
      <c r="I57" s="238">
        <v>47.834400000000002</v>
      </c>
      <c r="J57" s="238">
        <v>46.168100000000003</v>
      </c>
      <c r="K57" s="312"/>
      <c r="L57" s="312"/>
      <c r="M57" s="312"/>
      <c r="N57" s="312">
        <v>1647.4056</v>
      </c>
      <c r="O57" s="245">
        <v>189739.04440000001</v>
      </c>
      <c r="P57" s="243">
        <v>35576.07</v>
      </c>
      <c r="Q57" s="243">
        <v>7115.21</v>
      </c>
      <c r="R57" s="286">
        <v>3.7499999999999999E-2</v>
      </c>
      <c r="S57" s="243">
        <v>28460.86</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122991</v>
      </c>
      <c r="H60" s="236">
        <v>111451</v>
      </c>
      <c r="I60" s="238">
        <v>54.430500000000002</v>
      </c>
      <c r="J60" s="238">
        <v>52.267800000000001</v>
      </c>
      <c r="K60" s="236"/>
      <c r="L60" s="312"/>
      <c r="M60" s="312"/>
      <c r="N60" s="236">
        <v>3884.3427999999999</v>
      </c>
      <c r="O60" s="245">
        <v>12515875.8672</v>
      </c>
      <c r="P60" s="243">
        <v>2346726.73</v>
      </c>
      <c r="Q60" s="243">
        <v>1877381.38</v>
      </c>
      <c r="R60" s="244">
        <v>0.15</v>
      </c>
      <c r="S60" s="243">
        <v>469345.35</v>
      </c>
      <c r="T60" s="286">
        <v>3.7499999999999999E-2</v>
      </c>
    </row>
    <row r="61" spans="1:20" x14ac:dyDescent="0.25">
      <c r="A61" s="26" t="s">
        <v>28</v>
      </c>
      <c r="B61" s="302">
        <v>67</v>
      </c>
      <c r="C61" s="62" t="s">
        <v>31</v>
      </c>
      <c r="D61" s="62" t="s">
        <v>30</v>
      </c>
      <c r="E61" s="62" t="s">
        <v>101</v>
      </c>
      <c r="F61" s="261" t="s">
        <v>37</v>
      </c>
      <c r="G61" s="236">
        <v>36895</v>
      </c>
      <c r="H61" s="236">
        <v>44</v>
      </c>
      <c r="I61" s="238">
        <v>36.304900000000004</v>
      </c>
      <c r="J61" s="238">
        <v>34.4298</v>
      </c>
      <c r="K61" s="236"/>
      <c r="L61" s="312"/>
      <c r="M61" s="312"/>
      <c r="N61" s="236">
        <v>2688.9088000000002</v>
      </c>
      <c r="O61" s="245">
        <v>1338295.2911999999</v>
      </c>
      <c r="P61" s="243">
        <v>250930.37</v>
      </c>
      <c r="Q61" s="243">
        <v>200744.3</v>
      </c>
      <c r="R61" s="244">
        <v>0.15</v>
      </c>
      <c r="S61" s="243">
        <v>50186.07</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15951985.8794</v>
      </c>
      <c r="P63" s="250">
        <v>2990997.3600000003</v>
      </c>
      <c r="Q63" s="250">
        <v>2156793.73</v>
      </c>
      <c r="R63" s="266"/>
      <c r="S63" s="250">
        <v>834203.62999999989</v>
      </c>
      <c r="T63" s="252"/>
    </row>
    <row r="64" spans="1:20" x14ac:dyDescent="0.25">
      <c r="A64" s="157"/>
      <c r="B64" s="158"/>
      <c r="C64" s="35" t="s">
        <v>348</v>
      </c>
      <c r="D64" s="114"/>
      <c r="E64" s="114"/>
      <c r="F64" s="157"/>
      <c r="G64" s="227"/>
      <c r="H64" s="227"/>
      <c r="I64" s="224"/>
      <c r="J64" s="224"/>
      <c r="K64" s="227"/>
      <c r="L64" s="227"/>
      <c r="M64" s="227"/>
      <c r="N64" s="227"/>
      <c r="O64" s="230"/>
      <c r="P64" s="231">
        <v>12301972.140000001</v>
      </c>
      <c r="Q64" s="494">
        <v>8870892.6099999994</v>
      </c>
      <c r="R64" s="172"/>
      <c r="S64" s="494">
        <v>3431079.53</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806022</v>
      </c>
      <c r="H66" s="648">
        <v>892321</v>
      </c>
      <c r="I66" s="237">
        <v>50.797899999999998</v>
      </c>
      <c r="J66" s="237">
        <v>50.676000000000002</v>
      </c>
      <c r="K66" s="312"/>
      <c r="L66" s="312"/>
      <c r="M66" s="312"/>
      <c r="N66" s="312"/>
      <c r="O66" s="245">
        <v>86163483.9498</v>
      </c>
      <c r="P66" s="281">
        <v>32087281.420000002</v>
      </c>
      <c r="Q66" s="243">
        <v>16043640.710000001</v>
      </c>
      <c r="R66" s="244">
        <v>0.5</v>
      </c>
      <c r="S66" s="243"/>
      <c r="T66" s="286"/>
    </row>
    <row r="67" spans="1:20" x14ac:dyDescent="0.25">
      <c r="A67" s="26" t="s">
        <v>28</v>
      </c>
      <c r="B67" s="27" t="s">
        <v>162</v>
      </c>
      <c r="C67" s="62" t="s">
        <v>31</v>
      </c>
      <c r="D67" s="62" t="s">
        <v>30</v>
      </c>
      <c r="E67" s="62" t="s">
        <v>161</v>
      </c>
      <c r="F67" s="262" t="s">
        <v>56</v>
      </c>
      <c r="G67" s="312">
        <v>11832765.039999999</v>
      </c>
      <c r="H67" s="312">
        <v>13386567.82</v>
      </c>
      <c r="I67" s="237">
        <v>1.9015</v>
      </c>
      <c r="J67" s="237">
        <v>1.9015</v>
      </c>
      <c r="K67" s="312"/>
      <c r="L67" s="312"/>
      <c r="M67" s="312"/>
      <c r="N67" s="312"/>
      <c r="O67" s="245">
        <v>47954561.433289997</v>
      </c>
      <c r="P67" s="281">
        <v>17858278.68</v>
      </c>
      <c r="Q67" s="243">
        <v>8929139.3399999999</v>
      </c>
      <c r="R67" s="244">
        <v>0.5</v>
      </c>
      <c r="S67" s="243"/>
      <c r="T67" s="244"/>
    </row>
    <row r="68" spans="1:20" x14ac:dyDescent="0.25">
      <c r="A68" s="26" t="s">
        <v>28</v>
      </c>
      <c r="B68" s="27" t="s">
        <v>181</v>
      </c>
      <c r="C68" s="62" t="s">
        <v>31</v>
      </c>
      <c r="D68" s="62" t="s">
        <v>30</v>
      </c>
      <c r="E68" s="62" t="s">
        <v>161</v>
      </c>
      <c r="F68" s="262" t="s">
        <v>56</v>
      </c>
      <c r="G68" s="312">
        <v>0</v>
      </c>
      <c r="H68" s="312">
        <v>1660.29</v>
      </c>
      <c r="I68" s="237">
        <v>0</v>
      </c>
      <c r="J68" s="237">
        <v>2.7311999999999999</v>
      </c>
      <c r="K68" s="312"/>
      <c r="L68" s="312"/>
      <c r="M68" s="312"/>
      <c r="N68" s="312"/>
      <c r="O68" s="245">
        <v>4534.5840479999997</v>
      </c>
      <c r="P68" s="281">
        <v>1688.68</v>
      </c>
      <c r="Q68" s="243">
        <v>844.34</v>
      </c>
      <c r="R68" s="244">
        <v>0.5</v>
      </c>
      <c r="S68" s="243"/>
      <c r="T68" s="244"/>
    </row>
    <row r="69" spans="1:20" ht="12" customHeight="1" x14ac:dyDescent="0.25">
      <c r="A69" s="26" t="s">
        <v>28</v>
      </c>
      <c r="B69" s="27" t="s">
        <v>182</v>
      </c>
      <c r="C69" s="62" t="s">
        <v>31</v>
      </c>
      <c r="D69" s="62" t="s">
        <v>30</v>
      </c>
      <c r="E69" s="62" t="s">
        <v>161</v>
      </c>
      <c r="F69" s="262" t="s">
        <v>56</v>
      </c>
      <c r="G69" s="312">
        <v>204903.95</v>
      </c>
      <c r="H69" s="312">
        <v>522515.81</v>
      </c>
      <c r="I69" s="237">
        <v>7.6879999999999997</v>
      </c>
      <c r="J69" s="237">
        <v>8.0969999999999995</v>
      </c>
      <c r="K69" s="312"/>
      <c r="L69" s="312"/>
      <c r="M69" s="312"/>
      <c r="N69" s="312"/>
      <c r="O69" s="245">
        <v>5806112.0811699992</v>
      </c>
      <c r="P69" s="281">
        <v>2206322.6</v>
      </c>
      <c r="Q69" s="243">
        <v>1103161.3</v>
      </c>
      <c r="R69" s="314">
        <v>0.5</v>
      </c>
      <c r="S69" s="243"/>
      <c r="T69" s="244"/>
    </row>
    <row r="70" spans="1:20" x14ac:dyDescent="0.25">
      <c r="A70" s="26" t="s">
        <v>28</v>
      </c>
      <c r="B70" s="29" t="s">
        <v>171</v>
      </c>
      <c r="C70" s="62" t="s">
        <v>31</v>
      </c>
      <c r="D70" s="62" t="s">
        <v>30</v>
      </c>
      <c r="E70" s="62" t="s">
        <v>161</v>
      </c>
      <c r="F70" s="261" t="s">
        <v>37</v>
      </c>
      <c r="G70" s="312">
        <v>434034</v>
      </c>
      <c r="H70" s="312">
        <v>440367</v>
      </c>
      <c r="I70" s="237">
        <v>50.798099999999998</v>
      </c>
      <c r="J70" s="237">
        <v>50.670400000000001</v>
      </c>
      <c r="K70" s="312"/>
      <c r="L70" s="312"/>
      <c r="M70" s="312"/>
      <c r="N70" s="312"/>
      <c r="O70" s="245">
        <v>44361674.5722</v>
      </c>
      <c r="P70" s="281">
        <v>17744669.82</v>
      </c>
      <c r="Q70" s="243">
        <v>8872334.9100000001</v>
      </c>
      <c r="R70" s="244">
        <v>0.5</v>
      </c>
      <c r="S70" s="243"/>
      <c r="T70" s="244"/>
    </row>
    <row r="71" spans="1:20" x14ac:dyDescent="0.25">
      <c r="A71" s="26" t="s">
        <v>28</v>
      </c>
      <c r="B71" s="29" t="s">
        <v>172</v>
      </c>
      <c r="C71" s="62" t="s">
        <v>31</v>
      </c>
      <c r="D71" s="62" t="s">
        <v>30</v>
      </c>
      <c r="E71" s="62" t="s">
        <v>161</v>
      </c>
      <c r="F71" s="261" t="s">
        <v>56</v>
      </c>
      <c r="G71" s="312"/>
      <c r="H71" s="312"/>
      <c r="I71" s="237"/>
      <c r="J71" s="237"/>
      <c r="K71" s="312"/>
      <c r="L71" s="312"/>
      <c r="M71" s="312"/>
      <c r="N71" s="312"/>
      <c r="O71" s="245">
        <v>0</v>
      </c>
      <c r="P71" s="281">
        <v>0</v>
      </c>
      <c r="Q71" s="243">
        <v>0</v>
      </c>
      <c r="R71" s="244">
        <v>0.5</v>
      </c>
      <c r="S71" s="243"/>
      <c r="T71" s="244"/>
    </row>
    <row r="72" spans="1:20" x14ac:dyDescent="0.25">
      <c r="A72" s="26" t="s">
        <v>28</v>
      </c>
      <c r="B72" s="32" t="s">
        <v>177</v>
      </c>
      <c r="C72" s="62" t="s">
        <v>31</v>
      </c>
      <c r="D72" s="62" t="s">
        <v>30</v>
      </c>
      <c r="E72" s="62" t="s">
        <v>161</v>
      </c>
      <c r="F72" s="261" t="s">
        <v>56</v>
      </c>
      <c r="G72" s="312">
        <v>1502.52</v>
      </c>
      <c r="H72" s="312">
        <v>6628.25</v>
      </c>
      <c r="I72" s="237">
        <v>1.9796</v>
      </c>
      <c r="J72" s="237">
        <v>1.9796</v>
      </c>
      <c r="K72" s="236"/>
      <c r="L72" s="312"/>
      <c r="M72" s="312"/>
      <c r="N72" s="236"/>
      <c r="O72" s="245">
        <v>16095.672291999999</v>
      </c>
      <c r="P72" s="281">
        <v>5994.03</v>
      </c>
      <c r="Q72" s="243">
        <v>2997.02</v>
      </c>
      <c r="R72" s="244">
        <v>0.5</v>
      </c>
      <c r="S72" s="243"/>
      <c r="T72" s="286"/>
    </row>
    <row r="73" spans="1:20" x14ac:dyDescent="0.25">
      <c r="A73" s="26" t="s">
        <v>28</v>
      </c>
      <c r="B73" s="32" t="s">
        <v>179</v>
      </c>
      <c r="C73" s="62" t="s">
        <v>31</v>
      </c>
      <c r="D73" s="62" t="s">
        <v>30</v>
      </c>
      <c r="E73" s="62" t="s">
        <v>161</v>
      </c>
      <c r="F73" s="261" t="s">
        <v>37</v>
      </c>
      <c r="G73" s="312"/>
      <c r="H73" s="312">
        <v>11797</v>
      </c>
      <c r="I73" s="237"/>
      <c r="J73" s="237">
        <v>42.988999999999997</v>
      </c>
      <c r="K73" s="236"/>
      <c r="L73" s="312"/>
      <c r="M73" s="312"/>
      <c r="N73" s="236"/>
      <c r="O73" s="245">
        <v>507141.23299999995</v>
      </c>
      <c r="P73" s="281">
        <v>26067.059221999996</v>
      </c>
      <c r="Q73" s="243">
        <v>13033.53</v>
      </c>
      <c r="R73" s="244">
        <v>0.5</v>
      </c>
      <c r="S73" s="243"/>
      <c r="T73" s="286"/>
    </row>
    <row r="74" spans="1:20" x14ac:dyDescent="0.25">
      <c r="A74" s="26" t="s">
        <v>28</v>
      </c>
      <c r="B74" s="302" t="s">
        <v>180</v>
      </c>
      <c r="C74" s="62" t="s">
        <v>31</v>
      </c>
      <c r="D74" s="62" t="s">
        <v>30</v>
      </c>
      <c r="E74" s="62" t="s">
        <v>161</v>
      </c>
      <c r="F74" s="261" t="s">
        <v>56</v>
      </c>
      <c r="G74" s="312"/>
      <c r="H74" s="312">
        <v>184568.22</v>
      </c>
      <c r="I74" s="237"/>
      <c r="J74" s="237">
        <v>5.7530000000000001</v>
      </c>
      <c r="K74" s="472"/>
      <c r="L74" s="312"/>
      <c r="M74" s="312"/>
      <c r="N74" s="236"/>
      <c r="O74" s="245">
        <v>1061820.9696599999</v>
      </c>
      <c r="P74" s="281">
        <v>70398.730310999992</v>
      </c>
      <c r="Q74" s="243">
        <v>35199.370000000003</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110736.54142199116</v>
      </c>
      <c r="P75" s="213">
        <v>-68711.533293999644</v>
      </c>
      <c r="Q75" s="213">
        <v>-34355.75999999966</v>
      </c>
      <c r="R75" s="160"/>
      <c r="S75" s="201"/>
      <c r="T75" s="160"/>
    </row>
    <row r="76" spans="1:20" x14ac:dyDescent="0.25">
      <c r="A76" s="34"/>
      <c r="B76" s="165" t="s">
        <v>108</v>
      </c>
      <c r="C76" s="35" t="s">
        <v>349</v>
      </c>
      <c r="D76" s="22"/>
      <c r="E76" s="22"/>
      <c r="F76" s="297"/>
      <c r="G76" s="282"/>
      <c r="H76" s="282"/>
      <c r="I76" s="356"/>
      <c r="J76" s="282"/>
      <c r="K76" s="294"/>
      <c r="L76" s="287"/>
      <c r="M76" s="353"/>
      <c r="N76" s="219"/>
      <c r="O76" s="219">
        <v>185986161.03688198</v>
      </c>
      <c r="P76" s="219">
        <v>69931989.486239016</v>
      </c>
      <c r="Q76" s="219">
        <v>34965994.760000005</v>
      </c>
      <c r="R76" s="199"/>
      <c r="S76" s="207"/>
      <c r="T76" s="160"/>
    </row>
    <row r="77" spans="1:20" x14ac:dyDescent="0.25">
      <c r="A77" s="157"/>
      <c r="B77" s="158"/>
      <c r="C77" s="35" t="s">
        <v>350</v>
      </c>
      <c r="D77" s="114"/>
      <c r="E77" s="114"/>
      <c r="F77" s="297"/>
      <c r="G77" s="283">
        <v>1.9795999999999998</v>
      </c>
      <c r="H77" s="283">
        <v>1.9796</v>
      </c>
      <c r="I77" s="357"/>
      <c r="J77" s="282"/>
      <c r="K77" s="295"/>
      <c r="L77" s="288"/>
      <c r="M77" s="478"/>
      <c r="N77" s="479"/>
      <c r="O77" s="479"/>
      <c r="P77" s="209"/>
      <c r="Q77" s="209">
        <v>143815136.44788003</v>
      </c>
      <c r="R77" s="198"/>
      <c r="S77" s="207"/>
      <c r="T77" s="160"/>
    </row>
    <row r="78" spans="1:20" x14ac:dyDescent="0.25">
      <c r="A78" s="10" t="s">
        <v>55</v>
      </c>
      <c r="B78" s="308"/>
      <c r="C78" s="308"/>
      <c r="D78" s="308"/>
      <c r="E78" s="308"/>
      <c r="F78" s="298"/>
      <c r="G78" s="284">
        <v>0</v>
      </c>
      <c r="H78" s="284">
        <v>0</v>
      </c>
      <c r="I78" s="282">
        <v>0</v>
      </c>
      <c r="J78" s="282">
        <v>16095.672291999999</v>
      </c>
      <c r="K78" s="358">
        <v>-16095.672291999999</v>
      </c>
      <c r="L78" s="359"/>
      <c r="M78" s="311">
        <v>0</v>
      </c>
      <c r="N78" s="311">
        <v>28926.226099999996</v>
      </c>
      <c r="O78" s="311">
        <v>269639879.68078196</v>
      </c>
      <c r="P78" s="311">
        <v>50510977.420000002</v>
      </c>
      <c r="Q78" s="211">
        <v>207751654.23788002</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H80" s="99" t="s">
        <v>77</v>
      </c>
      <c r="J80" s="72"/>
      <c r="K80" s="72"/>
      <c r="L80" s="6"/>
      <c r="M80" s="6"/>
      <c r="N80" s="220"/>
      <c r="O80" s="280">
        <v>309943823.04999995</v>
      </c>
      <c r="P80" s="645"/>
      <c r="Q80" s="220"/>
      <c r="R80" s="6"/>
      <c r="S80" s="285"/>
      <c r="T80" s="6"/>
    </row>
    <row r="81" spans="1:20" x14ac:dyDescent="0.25">
      <c r="A81" s="6"/>
      <c r="B81" s="126" t="s">
        <v>78</v>
      </c>
      <c r="C81" s="127" t="s">
        <v>79</v>
      </c>
      <c r="D81" s="128"/>
      <c r="E81" s="129" t="s">
        <v>35</v>
      </c>
      <c r="F81" s="129" t="s">
        <v>80</v>
      </c>
      <c r="H81" s="100" t="s">
        <v>35</v>
      </c>
      <c r="I81" s="308"/>
      <c r="J81" s="308"/>
      <c r="K81" s="308"/>
      <c r="L81" s="101"/>
      <c r="M81" s="6"/>
      <c r="N81" s="451"/>
      <c r="O81" s="390">
        <v>40303943.369217992</v>
      </c>
      <c r="P81" s="346"/>
      <c r="R81" s="6"/>
      <c r="S81" s="6"/>
      <c r="T81" s="6"/>
    </row>
    <row r="82" spans="1:20" x14ac:dyDescent="0.25">
      <c r="A82" s="7"/>
      <c r="B82" s="102" t="s">
        <v>81</v>
      </c>
      <c r="C82" s="103" t="s">
        <v>82</v>
      </c>
      <c r="D82" s="104"/>
      <c r="E82" s="105">
        <v>70.197500000000005</v>
      </c>
      <c r="F82" s="105">
        <v>68.280600000000007</v>
      </c>
      <c r="H82" s="106" t="s">
        <v>361</v>
      </c>
      <c r="I82" s="6"/>
      <c r="J82" s="6"/>
      <c r="K82" s="6"/>
      <c r="L82" s="107"/>
      <c r="M82" s="393">
        <v>6.2200000337121024E-2</v>
      </c>
      <c r="N82" s="393">
        <v>6.4199999463479832E-2</v>
      </c>
      <c r="O82" s="402"/>
      <c r="P82" s="220"/>
      <c r="Q82" s="6"/>
      <c r="R82" s="6"/>
      <c r="S82" s="6"/>
      <c r="T82" s="6"/>
    </row>
    <row r="83" spans="1:20" x14ac:dyDescent="0.25">
      <c r="A83" s="6"/>
      <c r="B83" s="108" t="s">
        <v>83</v>
      </c>
      <c r="C83" s="109" t="s">
        <v>84</v>
      </c>
      <c r="D83" s="110"/>
      <c r="E83" s="111">
        <v>37.127800000000001</v>
      </c>
      <c r="F83" s="112">
        <v>36.151299999999999</v>
      </c>
      <c r="H83" s="113">
        <v>47.834409022800003</v>
      </c>
      <c r="I83" s="114"/>
      <c r="J83" s="114"/>
      <c r="K83" s="114"/>
      <c r="L83" s="115"/>
      <c r="M83" s="393">
        <v>9.4199999857272176E-2</v>
      </c>
      <c r="N83" s="393">
        <v>9.8900000237297003E-2</v>
      </c>
      <c r="O83" s="405"/>
      <c r="P83" s="220"/>
      <c r="Q83" s="6"/>
      <c r="R83" s="6"/>
      <c r="S83" s="6"/>
      <c r="T83" s="6"/>
    </row>
    <row r="84" spans="1:20" x14ac:dyDescent="0.25">
      <c r="A84" s="6"/>
      <c r="B84" s="108" t="s">
        <v>85</v>
      </c>
      <c r="C84" s="109" t="s">
        <v>86</v>
      </c>
      <c r="D84" s="110"/>
      <c r="E84" s="111">
        <v>21.263000000000002</v>
      </c>
      <c r="F84" s="111">
        <v>21.263000000000002</v>
      </c>
      <c r="G84" s="6"/>
      <c r="I84" s="116"/>
      <c r="J84" s="6"/>
      <c r="K84" s="6"/>
      <c r="L84" s="6"/>
      <c r="M84" s="393">
        <v>0.39999999969547706</v>
      </c>
      <c r="N84" s="393">
        <v>0.39999999979093542</v>
      </c>
      <c r="O84" s="403"/>
      <c r="P84" s="6"/>
      <c r="Q84" s="6"/>
      <c r="R84" s="6"/>
      <c r="S84" s="6"/>
      <c r="T84" s="6"/>
    </row>
    <row r="85" spans="1:20" x14ac:dyDescent="0.25">
      <c r="A85" s="6"/>
      <c r="B85" s="108" t="s">
        <v>87</v>
      </c>
      <c r="C85" s="109" t="s">
        <v>88</v>
      </c>
      <c r="D85" s="110"/>
      <c r="E85" s="117">
        <v>0.65359999999999996</v>
      </c>
      <c r="F85" s="117">
        <v>0.64839999999999998</v>
      </c>
      <c r="G85" s="6"/>
      <c r="H85" s="100" t="s">
        <v>80</v>
      </c>
      <c r="I85" s="118"/>
      <c r="J85" s="308"/>
      <c r="K85" s="308"/>
      <c r="L85" s="101"/>
      <c r="M85" s="393">
        <v>0.38000000287019686</v>
      </c>
      <c r="N85" s="393"/>
      <c r="O85" s="403"/>
      <c r="P85" s="6"/>
      <c r="Q85" s="6"/>
      <c r="R85" s="6"/>
      <c r="S85" s="6"/>
      <c r="T85" s="6"/>
    </row>
    <row r="86" spans="1:20" x14ac:dyDescent="0.25">
      <c r="A86" s="6"/>
      <c r="B86" s="108" t="s">
        <v>89</v>
      </c>
      <c r="C86" s="109" t="s">
        <v>90</v>
      </c>
      <c r="D86" s="110"/>
      <c r="E86" s="119"/>
      <c r="F86" s="112"/>
      <c r="G86" s="6"/>
      <c r="H86" s="106" t="s">
        <v>362</v>
      </c>
      <c r="I86" s="116"/>
      <c r="J86" s="6"/>
      <c r="K86" s="6"/>
      <c r="L86" s="107"/>
      <c r="M86" s="7"/>
      <c r="N86" s="473"/>
      <c r="O86" s="403"/>
      <c r="P86" s="6"/>
      <c r="Q86" s="6"/>
      <c r="R86" s="6"/>
      <c r="S86" s="6"/>
      <c r="T86" s="6"/>
    </row>
    <row r="87" spans="1:20" x14ac:dyDescent="0.25">
      <c r="A87" s="6"/>
      <c r="B87" s="120" t="s">
        <v>91</v>
      </c>
      <c r="C87" s="121" t="s">
        <v>92</v>
      </c>
      <c r="D87" s="122"/>
      <c r="E87" s="123"/>
      <c r="F87" s="123"/>
      <c r="G87" s="6"/>
      <c r="H87" s="113">
        <v>46.168062586192001</v>
      </c>
      <c r="I87" s="124"/>
      <c r="J87" s="114"/>
      <c r="K87" s="114"/>
      <c r="L87" s="115"/>
      <c r="M87" s="403"/>
      <c r="N87" s="403"/>
      <c r="O87" s="403"/>
      <c r="P87" s="6"/>
      <c r="Q87" s="6"/>
      <c r="R87" s="6"/>
      <c r="S87" s="6"/>
      <c r="T87" s="6"/>
    </row>
    <row r="88" spans="1:20" x14ac:dyDescent="0.25">
      <c r="A88" s="5"/>
      <c r="C88" s="4"/>
      <c r="D88" s="4"/>
      <c r="H88" s="190"/>
      <c r="M88" s="406"/>
      <c r="N88" s="406"/>
      <c r="O88" s="406"/>
    </row>
    <row r="89" spans="1:20" x14ac:dyDescent="0.25">
      <c r="A89" s="6"/>
      <c r="B89" s="6"/>
    </row>
  </sheetData>
  <mergeCells count="2">
    <mergeCell ref="O7:O8"/>
    <mergeCell ref="C7:C8"/>
  </mergeCells>
  <phoneticPr fontId="0" type="noConversion"/>
  <printOptions horizontalCentered="1" verticalCentered="1"/>
  <pageMargins left="0.25" right="0.25" top="0.5" bottom="0.25" header="0" footer="0"/>
  <pageSetup paperSize="9" scale="49"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89"/>
  <sheetViews>
    <sheetView view="pageBreakPreview" topLeftCell="A74" zoomScale="95" zoomScaleNormal="95" zoomScaleSheetLayoutView="95" workbookViewId="0">
      <pane xSplit="2" topLeftCell="C1" activePane="topRight" state="frozen"/>
      <selection pane="topRight" activeCell="A90" sqref="A90"/>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9.453125" style="307" customWidth="1"/>
    <col min="6" max="6" width="9.81640625" style="307" customWidth="1"/>
    <col min="7" max="14" width="10.453125" style="307" customWidth="1"/>
    <col min="15" max="15" width="12.453125" style="307" customWidth="1"/>
    <col min="16" max="17" width="11.54296875" style="395"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44440</v>
      </c>
      <c r="F1" s="300">
        <v>3.9470000000000001</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214"/>
      <c r="Q3" s="214"/>
      <c r="R3" s="144"/>
      <c r="S3" s="144"/>
      <c r="T3" s="144"/>
    </row>
    <row r="4" spans="1:20" x14ac:dyDescent="0.25">
      <c r="A4" s="143" t="s">
        <v>357</v>
      </c>
      <c r="B4" s="143"/>
      <c r="C4" s="143"/>
      <c r="D4" s="143"/>
      <c r="E4" s="143"/>
      <c r="F4" s="143"/>
      <c r="G4" s="143"/>
      <c r="H4" s="143"/>
      <c r="I4" s="143"/>
      <c r="J4" s="143"/>
      <c r="K4" s="143"/>
      <c r="L4" s="143"/>
      <c r="M4" s="143"/>
      <c r="N4" s="143"/>
      <c r="O4" s="143"/>
      <c r="P4" s="215"/>
      <c r="Q4" s="215"/>
      <c r="R4" s="143"/>
      <c r="S4" s="143"/>
      <c r="T4" s="143"/>
    </row>
    <row r="5" spans="1:20" x14ac:dyDescent="0.25">
      <c r="A5" s="143" t="s">
        <v>358</v>
      </c>
      <c r="B5" s="143"/>
      <c r="C5" s="143"/>
      <c r="D5" s="143"/>
      <c r="E5" s="143"/>
      <c r="F5" s="143"/>
      <c r="G5" s="143"/>
      <c r="H5" s="143"/>
      <c r="I5" s="143"/>
      <c r="J5" s="143"/>
      <c r="K5" s="143"/>
      <c r="L5" s="143"/>
      <c r="M5" s="143"/>
      <c r="N5" s="143"/>
      <c r="O5" s="143"/>
      <c r="P5" s="215"/>
      <c r="Q5" s="215"/>
      <c r="R5" s="143"/>
      <c r="S5" s="143"/>
      <c r="T5" s="143"/>
    </row>
    <row r="6" spans="1:20" x14ac:dyDescent="0.25">
      <c r="H6" s="2"/>
      <c r="P6" s="603"/>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560" t="s">
        <v>50</v>
      </c>
      <c r="Q7" s="561"/>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562" t="s">
        <v>1</v>
      </c>
      <c r="Q8" s="560" t="s">
        <v>45</v>
      </c>
      <c r="R8" s="310"/>
      <c r="S8" s="186" t="s">
        <v>46</v>
      </c>
      <c r="T8" s="310"/>
    </row>
    <row r="9" spans="1:20" x14ac:dyDescent="0.25">
      <c r="A9" s="313" t="s">
        <v>23</v>
      </c>
      <c r="B9" s="19"/>
      <c r="C9" s="64"/>
      <c r="D9" s="24"/>
      <c r="E9" s="24"/>
      <c r="F9" s="313"/>
      <c r="G9" s="236"/>
      <c r="H9" s="236"/>
      <c r="I9" s="238"/>
      <c r="J9" s="238"/>
      <c r="K9" s="205"/>
      <c r="L9" s="205"/>
      <c r="M9" s="205"/>
      <c r="N9" s="205"/>
      <c r="O9" s="212"/>
      <c r="P9" s="398"/>
      <c r="Q9" s="575" t="s">
        <v>43</v>
      </c>
      <c r="R9" s="182"/>
      <c r="S9" s="203" t="s">
        <v>44</v>
      </c>
      <c r="T9" s="182"/>
    </row>
    <row r="10" spans="1:20" x14ac:dyDescent="0.25">
      <c r="A10" s="26" t="s">
        <v>28</v>
      </c>
      <c r="B10" s="27" t="s">
        <v>13</v>
      </c>
      <c r="C10" s="62" t="s">
        <v>29</v>
      </c>
      <c r="D10" s="28" t="s">
        <v>21</v>
      </c>
      <c r="E10" s="62" t="s">
        <v>98</v>
      </c>
      <c r="F10" s="260" t="s">
        <v>37</v>
      </c>
      <c r="G10" s="312"/>
      <c r="H10" s="237">
        <v>16490</v>
      </c>
      <c r="I10" s="237"/>
      <c r="J10" s="238">
        <v>72.361099999999993</v>
      </c>
      <c r="K10" s="312"/>
      <c r="L10" s="312"/>
      <c r="M10" s="312"/>
      <c r="N10" s="236">
        <v>249.322</v>
      </c>
      <c r="O10" s="236">
        <v>1192985.2180000001</v>
      </c>
      <c r="P10" s="243">
        <v>223684.73</v>
      </c>
      <c r="Q10" s="243">
        <v>178947.78</v>
      </c>
      <c r="R10" s="244">
        <v>0.15</v>
      </c>
      <c r="S10" s="243">
        <v>44736.95</v>
      </c>
      <c r="T10" s="286">
        <v>3.7499999999999999E-2</v>
      </c>
    </row>
    <row r="11" spans="1:20" x14ac:dyDescent="0.25">
      <c r="A11" s="26" t="s">
        <v>28</v>
      </c>
      <c r="B11" s="27" t="s">
        <v>14</v>
      </c>
      <c r="C11" s="62" t="s">
        <v>29</v>
      </c>
      <c r="D11" s="28" t="s">
        <v>21</v>
      </c>
      <c r="E11" s="62" t="s">
        <v>98</v>
      </c>
      <c r="F11" s="260" t="s">
        <v>56</v>
      </c>
      <c r="G11" s="312"/>
      <c r="H11" s="237">
        <v>116303.56</v>
      </c>
      <c r="I11" s="237"/>
      <c r="J11" s="238">
        <v>3.7355</v>
      </c>
      <c r="K11" s="312"/>
      <c r="L11" s="312"/>
      <c r="M11" s="312"/>
      <c r="N11" s="236">
        <v>701.21550000000002</v>
      </c>
      <c r="O11" s="236">
        <v>433750.73450000002</v>
      </c>
      <c r="P11" s="243">
        <v>81328.259999999995</v>
      </c>
      <c r="Q11" s="243">
        <v>65062.61</v>
      </c>
      <c r="R11" s="244">
        <v>0.15</v>
      </c>
      <c r="S11" s="243">
        <v>16265.65</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5121</v>
      </c>
      <c r="H13" s="236">
        <v>5529</v>
      </c>
      <c r="I13" s="238">
        <v>70.834800000000001</v>
      </c>
      <c r="J13" s="238">
        <v>74.507599999999996</v>
      </c>
      <c r="K13" s="312"/>
      <c r="L13" s="312"/>
      <c r="M13" s="312"/>
      <c r="N13" s="236">
        <v>646.678</v>
      </c>
      <c r="O13" s="236">
        <v>774050.85200000007</v>
      </c>
      <c r="P13" s="243">
        <v>145134.53</v>
      </c>
      <c r="Q13" s="243">
        <v>116107.63</v>
      </c>
      <c r="R13" s="244">
        <v>0.15</v>
      </c>
      <c r="S13" s="243">
        <v>29026.91</v>
      </c>
      <c r="T13" s="286">
        <v>3.7499999999999999E-2</v>
      </c>
    </row>
    <row r="14" spans="1:20" x14ac:dyDescent="0.25">
      <c r="A14" s="267" t="s">
        <v>28</v>
      </c>
      <c r="B14" s="271" t="s">
        <v>176</v>
      </c>
      <c r="C14" s="260" t="s">
        <v>29</v>
      </c>
      <c r="D14" s="268" t="s">
        <v>21</v>
      </c>
      <c r="E14" s="260" t="s">
        <v>98</v>
      </c>
      <c r="F14" s="260" t="s">
        <v>56</v>
      </c>
      <c r="G14" s="236">
        <v>486.79329999999999</v>
      </c>
      <c r="H14" s="236">
        <v>0.32</v>
      </c>
      <c r="I14" s="238">
        <v>2.6775000000000002</v>
      </c>
      <c r="J14" s="610">
        <v>2.6816</v>
      </c>
      <c r="K14" s="312"/>
      <c r="L14" s="312"/>
      <c r="M14" s="236"/>
      <c r="N14" s="236">
        <v>689.53030000000001</v>
      </c>
      <c r="O14" s="236">
        <v>614.71969999999999</v>
      </c>
      <c r="P14" s="243">
        <v>115.26</v>
      </c>
      <c r="Q14" s="243">
        <v>92.21</v>
      </c>
      <c r="R14" s="244">
        <v>0.15</v>
      </c>
      <c r="S14" s="243">
        <v>23.050000000000011</v>
      </c>
      <c r="T14" s="286">
        <v>3.7499999999999999E-2</v>
      </c>
    </row>
    <row r="15" spans="1:20" x14ac:dyDescent="0.25">
      <c r="A15" s="26" t="s">
        <v>28</v>
      </c>
      <c r="B15" s="27" t="s">
        <v>4</v>
      </c>
      <c r="C15" s="62" t="s">
        <v>31</v>
      </c>
      <c r="D15" s="28" t="s">
        <v>30</v>
      </c>
      <c r="E15" s="62" t="s">
        <v>101</v>
      </c>
      <c r="F15" s="260" t="s">
        <v>37</v>
      </c>
      <c r="G15" s="236">
        <v>7632</v>
      </c>
      <c r="H15" s="236">
        <v>7332</v>
      </c>
      <c r="I15" s="238">
        <v>70.728200000000001</v>
      </c>
      <c r="J15" s="237">
        <v>73.994</v>
      </c>
      <c r="K15" s="312"/>
      <c r="L15" s="312"/>
      <c r="M15" s="312"/>
      <c r="N15" s="236">
        <v>459.68770000000001</v>
      </c>
      <c r="O15" s="236">
        <v>1081861.9423</v>
      </c>
      <c r="P15" s="243">
        <v>202849.11</v>
      </c>
      <c r="Q15" s="243">
        <v>162279.29</v>
      </c>
      <c r="R15" s="244">
        <v>0.15</v>
      </c>
      <c r="S15" s="243">
        <v>40569.82</v>
      </c>
      <c r="T15" s="286">
        <v>3.7499999999999999E-2</v>
      </c>
    </row>
    <row r="16" spans="1:20" x14ac:dyDescent="0.25">
      <c r="A16" s="26" t="s">
        <v>28</v>
      </c>
      <c r="B16" s="27" t="s">
        <v>5</v>
      </c>
      <c r="C16" s="62" t="s">
        <v>31</v>
      </c>
      <c r="D16" s="28" t="s">
        <v>30</v>
      </c>
      <c r="E16" s="62" t="s">
        <v>101</v>
      </c>
      <c r="F16" s="260" t="s">
        <v>37</v>
      </c>
      <c r="G16" s="236">
        <v>28588</v>
      </c>
      <c r="H16" s="236">
        <v>30632</v>
      </c>
      <c r="I16" s="238">
        <v>70.728200000000001</v>
      </c>
      <c r="J16" s="237">
        <v>73.994</v>
      </c>
      <c r="K16" s="312"/>
      <c r="L16" s="312"/>
      <c r="M16" s="312"/>
      <c r="N16" s="236">
        <v>1188.1719000000001</v>
      </c>
      <c r="O16" s="236">
        <v>4287373.8180999998</v>
      </c>
      <c r="P16" s="243">
        <v>803882.59</v>
      </c>
      <c r="Q16" s="243">
        <v>643106.06999999995</v>
      </c>
      <c r="R16" s="244">
        <v>0.15</v>
      </c>
      <c r="S16" s="243">
        <v>160776.51999999999</v>
      </c>
      <c r="T16" s="286">
        <v>3.7499999999999999E-2</v>
      </c>
    </row>
    <row r="17" spans="1:20" x14ac:dyDescent="0.25">
      <c r="A17" s="26" t="s">
        <v>28</v>
      </c>
      <c r="B17" s="27" t="s">
        <v>331</v>
      </c>
      <c r="C17" s="62" t="s">
        <v>31</v>
      </c>
      <c r="D17" s="28" t="s">
        <v>30</v>
      </c>
      <c r="E17" s="62" t="s">
        <v>101</v>
      </c>
      <c r="F17" s="260" t="s">
        <v>37</v>
      </c>
      <c r="G17" s="236">
        <v>9018.44</v>
      </c>
      <c r="H17" s="236">
        <v>29371.74</v>
      </c>
      <c r="I17" s="238">
        <v>3.7063000000000001</v>
      </c>
      <c r="J17" s="237">
        <v>3.7063000000000001</v>
      </c>
      <c r="K17" s="312"/>
      <c r="L17" s="312"/>
      <c r="M17" s="312"/>
      <c r="N17" s="236"/>
      <c r="O17" s="661">
        <v>142285.51999999999</v>
      </c>
      <c r="P17" s="243">
        <v>26678.54</v>
      </c>
      <c r="Q17" s="243">
        <v>21342.83</v>
      </c>
      <c r="R17" s="244">
        <v>0.15</v>
      </c>
      <c r="S17" s="243">
        <v>5335.71</v>
      </c>
      <c r="T17" s="286">
        <v>3.7499999999999999E-2</v>
      </c>
    </row>
    <row r="18" spans="1:20" x14ac:dyDescent="0.25">
      <c r="A18" s="26" t="s">
        <v>28</v>
      </c>
      <c r="B18" s="27" t="s">
        <v>17</v>
      </c>
      <c r="C18" s="62" t="s">
        <v>29</v>
      </c>
      <c r="D18" s="28" t="s">
        <v>21</v>
      </c>
      <c r="E18" s="62" t="s">
        <v>98</v>
      </c>
      <c r="F18" s="260" t="s">
        <v>37</v>
      </c>
      <c r="G18" s="312"/>
      <c r="H18" s="236">
        <v>2986</v>
      </c>
      <c r="I18" s="237"/>
      <c r="J18" s="238">
        <v>72.361099999999993</v>
      </c>
      <c r="K18" s="312"/>
      <c r="L18" s="312"/>
      <c r="M18" s="312"/>
      <c r="N18" s="236">
        <v>545.38980000000004</v>
      </c>
      <c r="O18" s="245">
        <v>215524.85019999999</v>
      </c>
      <c r="P18" s="243">
        <v>40410.910000000003</v>
      </c>
      <c r="Q18" s="243">
        <v>32328.73</v>
      </c>
      <c r="R18" s="244">
        <v>0.15</v>
      </c>
      <c r="S18" s="243">
        <v>8082.18</v>
      </c>
      <c r="T18" s="286">
        <v>3.7499999999999999E-2</v>
      </c>
    </row>
    <row r="19" spans="1:20" x14ac:dyDescent="0.25">
      <c r="A19" s="26" t="s">
        <v>28</v>
      </c>
      <c r="B19" s="27" t="s">
        <v>6</v>
      </c>
      <c r="C19" s="62" t="s">
        <v>31</v>
      </c>
      <c r="D19" s="28" t="s">
        <v>30</v>
      </c>
      <c r="E19" s="62" t="s">
        <v>101</v>
      </c>
      <c r="F19" s="260" t="s">
        <v>37</v>
      </c>
      <c r="G19" s="236">
        <v>55438</v>
      </c>
      <c r="H19" s="236">
        <v>67835</v>
      </c>
      <c r="I19" s="238">
        <v>70.178200000000004</v>
      </c>
      <c r="J19" s="237">
        <v>73.444000000000003</v>
      </c>
      <c r="K19" s="312"/>
      <c r="L19" s="312"/>
      <c r="M19" s="312"/>
      <c r="N19" s="236">
        <v>3311.3027000000002</v>
      </c>
      <c r="O19" s="245">
        <v>8869301.4872999992</v>
      </c>
      <c r="P19" s="243">
        <v>1662994.03</v>
      </c>
      <c r="Q19" s="243">
        <v>1330395.22</v>
      </c>
      <c r="R19" s="244">
        <v>0.15</v>
      </c>
      <c r="S19" s="243">
        <v>332598.81</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79176.72</v>
      </c>
      <c r="H21" s="312">
        <v>82057.649999999994</v>
      </c>
      <c r="I21" s="658">
        <v>2.3542000000000001</v>
      </c>
      <c r="J21" s="237">
        <v>2.3542000000000001</v>
      </c>
      <c r="K21" s="312"/>
      <c r="L21" s="312"/>
      <c r="M21" s="312"/>
      <c r="N21" s="312">
        <v>775.23490000000004</v>
      </c>
      <c r="O21" s="245">
        <v>378802.71509999997</v>
      </c>
      <c r="P21" s="243">
        <v>71025.509999999995</v>
      </c>
      <c r="Q21" s="243">
        <v>56820.41</v>
      </c>
      <c r="R21" s="244">
        <v>0.15</v>
      </c>
      <c r="S21" s="243">
        <v>14205.1</v>
      </c>
      <c r="T21" s="286">
        <v>3.7499999999999999E-2</v>
      </c>
    </row>
    <row r="22" spans="1:20" x14ac:dyDescent="0.25">
      <c r="A22" s="26" t="s">
        <v>28</v>
      </c>
      <c r="B22" s="27" t="s">
        <v>18</v>
      </c>
      <c r="C22" s="62" t="s">
        <v>31</v>
      </c>
      <c r="D22" s="28" t="s">
        <v>30</v>
      </c>
      <c r="E22" s="62" t="s">
        <v>101</v>
      </c>
      <c r="F22" s="260" t="s">
        <v>37</v>
      </c>
      <c r="G22" s="312">
        <v>1974</v>
      </c>
      <c r="H22" s="312">
        <v>2554</v>
      </c>
      <c r="I22" s="237">
        <v>70.728200000000001</v>
      </c>
      <c r="J22" s="237">
        <v>73.994</v>
      </c>
      <c r="K22" s="312"/>
      <c r="L22" s="312"/>
      <c r="M22" s="312"/>
      <c r="N22" s="236">
        <v>268.80149999999998</v>
      </c>
      <c r="O22" s="245">
        <v>328329.34850000002</v>
      </c>
      <c r="P22" s="243">
        <v>61561.75</v>
      </c>
      <c r="Q22" s="243">
        <v>49249.4</v>
      </c>
      <c r="R22" s="244">
        <v>0.15</v>
      </c>
      <c r="S22" s="243">
        <v>12312.35</v>
      </c>
      <c r="T22" s="286">
        <v>3.7499999999999999E-2</v>
      </c>
    </row>
    <row r="23" spans="1:20" x14ac:dyDescent="0.25">
      <c r="A23" s="26" t="s">
        <v>28</v>
      </c>
      <c r="B23" s="29" t="s">
        <v>20</v>
      </c>
      <c r="C23" s="62" t="s">
        <v>31</v>
      </c>
      <c r="D23" s="28" t="s">
        <v>30</v>
      </c>
      <c r="E23" s="62" t="s">
        <v>101</v>
      </c>
      <c r="F23" s="260" t="s">
        <v>37</v>
      </c>
      <c r="G23" s="312">
        <v>179051</v>
      </c>
      <c r="H23" s="312">
        <v>184614</v>
      </c>
      <c r="I23" s="237">
        <v>70.728200000000001</v>
      </c>
      <c r="J23" s="238">
        <v>73.994</v>
      </c>
      <c r="K23" s="312"/>
      <c r="L23" s="312"/>
      <c r="M23" s="312"/>
      <c r="N23" s="236">
        <v>4144.9684999999999</v>
      </c>
      <c r="O23" s="245">
        <v>26320138.291499998</v>
      </c>
      <c r="P23" s="243">
        <v>4935025.93</v>
      </c>
      <c r="Q23" s="243">
        <v>3948020.74</v>
      </c>
      <c r="R23" s="244">
        <v>0.15</v>
      </c>
      <c r="S23" s="243">
        <v>987005.19</v>
      </c>
      <c r="T23" s="286">
        <v>3.7499999999999999E-2</v>
      </c>
    </row>
    <row r="24" spans="1:20" x14ac:dyDescent="0.25">
      <c r="A24" s="26" t="s">
        <v>28</v>
      </c>
      <c r="B24" s="27" t="s">
        <v>8</v>
      </c>
      <c r="C24" s="62" t="s">
        <v>31</v>
      </c>
      <c r="D24" s="28" t="s">
        <v>21</v>
      </c>
      <c r="E24" s="62" t="s">
        <v>101</v>
      </c>
      <c r="F24" s="260" t="s">
        <v>56</v>
      </c>
      <c r="G24" s="312">
        <v>234919.67</v>
      </c>
      <c r="H24" s="312">
        <v>245332.56</v>
      </c>
      <c r="I24" s="349">
        <v>1.9810000000000001</v>
      </c>
      <c r="J24" s="238">
        <v>1.9810000000000001</v>
      </c>
      <c r="K24" s="312"/>
      <c r="L24" s="312"/>
      <c r="M24" s="312"/>
      <c r="N24" s="236">
        <v>818.08720000000005</v>
      </c>
      <c r="O24" s="245">
        <v>950561.58279999997</v>
      </c>
      <c r="P24" s="243">
        <v>178230.3</v>
      </c>
      <c r="Q24" s="243">
        <v>142584.24</v>
      </c>
      <c r="R24" s="244">
        <v>0.15</v>
      </c>
      <c r="S24" s="243">
        <v>35646.06</v>
      </c>
      <c r="T24" s="286">
        <v>3.7499999999999999E-2</v>
      </c>
    </row>
    <row r="25" spans="1:20" x14ac:dyDescent="0.25">
      <c r="A25" s="26" t="s">
        <v>28</v>
      </c>
      <c r="B25" s="29" t="s">
        <v>57</v>
      </c>
      <c r="C25" s="62" t="s">
        <v>31</v>
      </c>
      <c r="D25" s="28" t="s">
        <v>21</v>
      </c>
      <c r="E25" s="62" t="s">
        <v>101</v>
      </c>
      <c r="F25" s="260" t="s">
        <v>37</v>
      </c>
      <c r="G25" s="312">
        <v>0</v>
      </c>
      <c r="H25" s="312">
        <v>0</v>
      </c>
      <c r="I25" s="237">
        <v>0</v>
      </c>
      <c r="J25" s="237">
        <v>0</v>
      </c>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469</v>
      </c>
      <c r="H26" s="312">
        <v>444</v>
      </c>
      <c r="I26" s="237">
        <v>71.042199999999994</v>
      </c>
      <c r="J26" s="238">
        <v>74.495699999999999</v>
      </c>
      <c r="K26" s="312"/>
      <c r="L26" s="312"/>
      <c r="M26" s="312"/>
      <c r="N26" s="312">
        <v>292.17189999999999</v>
      </c>
      <c r="O26" s="245">
        <v>66102.708100000003</v>
      </c>
      <c r="P26" s="243">
        <v>12394.26</v>
      </c>
      <c r="Q26" s="243">
        <v>9915.41</v>
      </c>
      <c r="R26" s="244">
        <v>0.15</v>
      </c>
      <c r="S26" s="243">
        <v>2478.85</v>
      </c>
      <c r="T26" s="286">
        <v>3.7499999999999999E-2</v>
      </c>
    </row>
    <row r="27" spans="1:20" x14ac:dyDescent="0.25">
      <c r="A27" s="26" t="s">
        <v>28</v>
      </c>
      <c r="B27" s="29" t="s">
        <v>168</v>
      </c>
      <c r="C27" s="62" t="s">
        <v>31</v>
      </c>
      <c r="D27" s="28" t="s">
        <v>30</v>
      </c>
      <c r="E27" s="62" t="s">
        <v>101</v>
      </c>
      <c r="F27" s="260" t="s">
        <v>37</v>
      </c>
      <c r="G27" s="236">
        <v>11295</v>
      </c>
      <c r="H27" s="236">
        <v>18959</v>
      </c>
      <c r="I27" s="363">
        <v>68.738200000000006</v>
      </c>
      <c r="J27" s="238">
        <v>72.004000000000005</v>
      </c>
      <c r="K27" s="312"/>
      <c r="L27" s="312"/>
      <c r="M27" s="312"/>
      <c r="N27" s="236">
        <v>2785.3897999999999</v>
      </c>
      <c r="O27" s="245">
        <v>2138736.4202000001</v>
      </c>
      <c r="P27" s="243">
        <v>401013.08</v>
      </c>
      <c r="Q27" s="243">
        <v>320810.46000000002</v>
      </c>
      <c r="R27" s="244">
        <v>0.15</v>
      </c>
      <c r="S27" s="243">
        <v>80202.62</v>
      </c>
      <c r="T27" s="286">
        <v>3.7499999999999999E-2</v>
      </c>
    </row>
    <row r="28" spans="1:20" x14ac:dyDescent="0.25">
      <c r="A28" s="26" t="s">
        <v>28</v>
      </c>
      <c r="B28" s="29" t="s">
        <v>191</v>
      </c>
      <c r="C28" s="62" t="s">
        <v>31</v>
      </c>
      <c r="D28" s="28" t="s">
        <v>30</v>
      </c>
      <c r="E28" s="62" t="s">
        <v>101</v>
      </c>
      <c r="F28" s="260" t="s">
        <v>37</v>
      </c>
      <c r="G28" s="236"/>
      <c r="H28" s="236"/>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54641.21</v>
      </c>
      <c r="H29" s="236">
        <v>56124.08</v>
      </c>
      <c r="I29" s="237">
        <v>1.5</v>
      </c>
      <c r="J29" s="237">
        <v>1.5</v>
      </c>
      <c r="K29" s="312"/>
      <c r="L29" s="312"/>
      <c r="M29" s="312"/>
      <c r="N29" s="236">
        <v>1157.0097000000001</v>
      </c>
      <c r="O29" s="245">
        <v>164990.93030000001</v>
      </c>
      <c r="P29" s="243">
        <v>30935.8</v>
      </c>
      <c r="Q29" s="243">
        <v>24748.639999999999</v>
      </c>
      <c r="R29" s="244">
        <v>0.15</v>
      </c>
      <c r="S29" s="243">
        <v>6187.16</v>
      </c>
      <c r="T29" s="286">
        <v>3.7499999999999999E-2</v>
      </c>
    </row>
    <row r="30" spans="1:20" s="395" customFormat="1" x14ac:dyDescent="0.25">
      <c r="A30" s="409" t="s">
        <v>28</v>
      </c>
      <c r="B30" s="216" t="s">
        <v>319</v>
      </c>
      <c r="C30" s="62" t="s">
        <v>31</v>
      </c>
      <c r="D30" s="28" t="s">
        <v>30</v>
      </c>
      <c r="E30" s="62" t="s">
        <v>101</v>
      </c>
      <c r="F30" s="260" t="s">
        <v>56</v>
      </c>
      <c r="G30" s="236">
        <v>82832.460000000006</v>
      </c>
      <c r="H30" s="236">
        <v>104086.33</v>
      </c>
      <c r="I30" s="237">
        <v>3.359</v>
      </c>
      <c r="J30" s="237">
        <v>3.2465999999999999</v>
      </c>
      <c r="K30" s="312"/>
      <c r="L30" s="312"/>
      <c r="M30" s="312"/>
      <c r="N30" s="236"/>
      <c r="O30" s="662">
        <v>616160.90999999992</v>
      </c>
      <c r="P30" s="243">
        <v>115530.17</v>
      </c>
      <c r="Q30" s="243">
        <v>92424.14</v>
      </c>
      <c r="R30" s="244">
        <v>0.15</v>
      </c>
      <c r="S30" s="243">
        <v>23106.03</v>
      </c>
      <c r="T30" s="286">
        <v>3.7499999999999999E-2</v>
      </c>
    </row>
    <row r="31" spans="1:20" s="395" customFormat="1" x14ac:dyDescent="0.25">
      <c r="A31" s="409" t="s">
        <v>28</v>
      </c>
      <c r="B31" s="216" t="s">
        <v>322</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c r="H32" s="312"/>
      <c r="I32" s="237"/>
      <c r="J32" s="237"/>
      <c r="K32" s="312"/>
      <c r="L32" s="312"/>
      <c r="M32" s="312"/>
      <c r="N32" s="236"/>
      <c r="O32" s="245">
        <v>0</v>
      </c>
      <c r="P32" s="243">
        <v>0</v>
      </c>
      <c r="Q32" s="243">
        <v>0</v>
      </c>
      <c r="R32" s="244">
        <v>0.15</v>
      </c>
      <c r="S32" s="243">
        <v>0</v>
      </c>
      <c r="T32" s="286">
        <v>3.7499999999999999E-2</v>
      </c>
    </row>
    <row r="33" spans="1:20" x14ac:dyDescent="0.25">
      <c r="A33" s="26" t="s">
        <v>28</v>
      </c>
      <c r="B33" s="29" t="s">
        <v>336</v>
      </c>
      <c r="C33" s="62" t="s">
        <v>31</v>
      </c>
      <c r="D33" s="28" t="s">
        <v>30</v>
      </c>
      <c r="E33" s="62" t="s">
        <v>101</v>
      </c>
      <c r="F33" s="260" t="s">
        <v>56</v>
      </c>
      <c r="G33" s="236">
        <v>18943.650000000001</v>
      </c>
      <c r="H33" s="312">
        <v>20223.830000000002</v>
      </c>
      <c r="I33" s="237">
        <v>3.14</v>
      </c>
      <c r="J33" s="237">
        <v>3.14</v>
      </c>
      <c r="K33" s="312"/>
      <c r="L33" s="312"/>
      <c r="M33" s="312"/>
      <c r="N33" s="236"/>
      <c r="O33" s="662">
        <v>122985.89</v>
      </c>
      <c r="P33" s="243">
        <v>23059.85</v>
      </c>
      <c r="Q33" s="243">
        <v>18447.88</v>
      </c>
      <c r="R33" s="244">
        <v>0.15</v>
      </c>
      <c r="S33" s="243">
        <v>4611.97</v>
      </c>
      <c r="T33" s="286">
        <v>3.7499999999999999E-2</v>
      </c>
    </row>
    <row r="34" spans="1:20" x14ac:dyDescent="0.25">
      <c r="A34" s="26" t="s">
        <v>28</v>
      </c>
      <c r="B34" s="27" t="s">
        <v>15</v>
      </c>
      <c r="C34" s="62" t="s">
        <v>29</v>
      </c>
      <c r="D34" s="28" t="s">
        <v>21</v>
      </c>
      <c r="E34" s="62" t="s">
        <v>98</v>
      </c>
      <c r="F34" s="260" t="s">
        <v>37</v>
      </c>
      <c r="G34" s="236"/>
      <c r="H34" s="312">
        <v>166164</v>
      </c>
      <c r="I34" s="237"/>
      <c r="J34" s="237">
        <v>74.876400000000004</v>
      </c>
      <c r="K34" s="312"/>
      <c r="L34" s="312"/>
      <c r="M34" s="312"/>
      <c r="N34" s="236">
        <v>895.99760000000003</v>
      </c>
      <c r="O34" s="245">
        <v>12440866.1324</v>
      </c>
      <c r="P34" s="243">
        <v>2332662.4</v>
      </c>
      <c r="Q34" s="243">
        <v>1866129.92</v>
      </c>
      <c r="R34" s="244">
        <v>0.15</v>
      </c>
      <c r="S34" s="243">
        <v>466532.48</v>
      </c>
      <c r="T34" s="286">
        <v>3.7499999999999999E-2</v>
      </c>
    </row>
    <row r="35" spans="1:20" s="304" customFormat="1" x14ac:dyDescent="0.25">
      <c r="A35" s="612" t="s">
        <v>28</v>
      </c>
      <c r="B35" s="613" t="s">
        <v>16</v>
      </c>
      <c r="C35" s="614" t="s">
        <v>29</v>
      </c>
      <c r="D35" s="615" t="s">
        <v>21</v>
      </c>
      <c r="E35" s="614" t="s">
        <v>98</v>
      </c>
      <c r="F35" s="616" t="s">
        <v>56</v>
      </c>
      <c r="G35" s="281"/>
      <c r="H35" s="312">
        <v>351676.94</v>
      </c>
      <c r="I35" s="364"/>
      <c r="J35" s="237">
        <v>7.0952999999999999</v>
      </c>
      <c r="K35" s="281"/>
      <c r="L35" s="281"/>
      <c r="M35" s="281"/>
      <c r="N35" s="617">
        <v>786.92010000000005</v>
      </c>
      <c r="O35" s="245">
        <v>2494466.4698999999</v>
      </c>
      <c r="P35" s="281">
        <v>467712.46</v>
      </c>
      <c r="Q35" s="281">
        <v>374169.97</v>
      </c>
      <c r="R35" s="618">
        <v>0.15</v>
      </c>
      <c r="S35" s="281">
        <v>93542.49</v>
      </c>
      <c r="T35" s="619">
        <v>3.7499999999999999E-2</v>
      </c>
    </row>
    <row r="36" spans="1:20" x14ac:dyDescent="0.25">
      <c r="A36" s="26" t="s">
        <v>28</v>
      </c>
      <c r="B36" s="27" t="s">
        <v>173</v>
      </c>
      <c r="C36" s="62" t="s">
        <v>31</v>
      </c>
      <c r="D36" s="28" t="s">
        <v>30</v>
      </c>
      <c r="E36" s="62" t="s">
        <v>101</v>
      </c>
      <c r="F36" s="260" t="s">
        <v>37</v>
      </c>
      <c r="G36" s="312">
        <v>161</v>
      </c>
      <c r="H36" s="236">
        <v>143</v>
      </c>
      <c r="I36" s="238">
        <v>70.728200000000001</v>
      </c>
      <c r="J36" s="237">
        <v>73.994</v>
      </c>
      <c r="K36" s="312"/>
      <c r="L36" s="312"/>
      <c r="M36" s="312"/>
      <c r="N36" s="236">
        <v>171.4068</v>
      </c>
      <c r="O36" s="245">
        <v>21796.973199999997</v>
      </c>
      <c r="P36" s="243">
        <v>4086.93</v>
      </c>
      <c r="Q36" s="243">
        <v>817.39</v>
      </c>
      <c r="R36" s="286">
        <v>3.7499999999999999E-2</v>
      </c>
      <c r="S36" s="243">
        <v>3269.55</v>
      </c>
      <c r="T36" s="244">
        <v>0.15</v>
      </c>
    </row>
    <row r="37" spans="1:20" x14ac:dyDescent="0.25">
      <c r="A37" s="26" t="s">
        <v>28</v>
      </c>
      <c r="B37" s="216" t="s">
        <v>169</v>
      </c>
      <c r="C37" s="62" t="s">
        <v>31</v>
      </c>
      <c r="D37" s="28" t="s">
        <v>30</v>
      </c>
      <c r="E37" s="62" t="s">
        <v>101</v>
      </c>
      <c r="F37" s="260" t="s">
        <v>37</v>
      </c>
      <c r="G37" s="236"/>
      <c r="H37" s="236"/>
      <c r="I37" s="238"/>
      <c r="J37" s="237"/>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7"/>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21870</v>
      </c>
      <c r="I39" s="238"/>
      <c r="J39" s="238">
        <v>68.646600000000007</v>
      </c>
      <c r="K39" s="236"/>
      <c r="L39" s="312"/>
      <c r="M39" s="312"/>
      <c r="N39" s="236">
        <v>857.04359999999997</v>
      </c>
      <c r="O39" s="245">
        <v>1500444.0963999999</v>
      </c>
      <c r="P39" s="243">
        <v>281333.27</v>
      </c>
      <c r="Q39" s="243">
        <v>225066.61</v>
      </c>
      <c r="R39" s="247">
        <v>0.15</v>
      </c>
      <c r="S39" s="243">
        <v>56266.65</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611"/>
      <c r="O41" s="245">
        <v>-60617.833777773129</v>
      </c>
      <c r="P41" s="245">
        <v>-11365.860000000002</v>
      </c>
      <c r="Q41" s="245">
        <v>-9092.6599999999962</v>
      </c>
      <c r="R41" s="275"/>
      <c r="S41" s="245">
        <v>-2273.16</v>
      </c>
      <c r="T41" s="244"/>
    </row>
    <row r="42" spans="1:20" x14ac:dyDescent="0.25">
      <c r="A42" s="34"/>
      <c r="B42" s="165" t="s">
        <v>108</v>
      </c>
      <c r="C42" s="35" t="s">
        <v>343</v>
      </c>
      <c r="D42" s="43"/>
      <c r="E42" s="44"/>
      <c r="F42" s="270"/>
      <c r="G42" s="239"/>
      <c r="H42" s="239"/>
      <c r="I42" s="240"/>
      <c r="J42" s="240"/>
      <c r="K42" s="239"/>
      <c r="L42" s="239"/>
      <c r="M42" s="239"/>
      <c r="N42" s="239"/>
      <c r="O42" s="249">
        <v>64481513.776722215</v>
      </c>
      <c r="P42" s="250">
        <v>12090283.810000001</v>
      </c>
      <c r="Q42" s="251">
        <v>9669774.9199999999</v>
      </c>
      <c r="R42" s="252"/>
      <c r="S42" s="253">
        <v>2420508.94</v>
      </c>
      <c r="T42" s="252"/>
    </row>
    <row r="43" spans="1:20" x14ac:dyDescent="0.25">
      <c r="A43" s="136"/>
      <c r="B43" s="137"/>
      <c r="C43" s="35" t="s">
        <v>344</v>
      </c>
      <c r="D43" s="148"/>
      <c r="E43" s="148"/>
      <c r="F43" s="149"/>
      <c r="G43" s="299"/>
      <c r="H43" s="299"/>
      <c r="I43" s="221"/>
      <c r="J43" s="221"/>
      <c r="K43" s="299"/>
      <c r="L43" s="299"/>
      <c r="M43" s="299"/>
      <c r="N43" s="299"/>
      <c r="O43" s="228"/>
      <c r="P43" s="229">
        <v>47720350.200000003</v>
      </c>
      <c r="Q43" s="495">
        <v>38166601.609999999</v>
      </c>
      <c r="R43" s="151"/>
      <c r="S43" s="494">
        <v>9553748.7899999991</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27907</v>
      </c>
      <c r="H46" s="236">
        <v>32619</v>
      </c>
      <c r="I46" s="238">
        <v>60.351900000000001</v>
      </c>
      <c r="J46" s="238">
        <v>64.2667</v>
      </c>
      <c r="K46" s="312"/>
      <c r="L46" s="312"/>
      <c r="M46" s="312"/>
      <c r="N46" s="236">
        <v>3451.5472</v>
      </c>
      <c r="O46" s="245">
        <v>3777104.4128</v>
      </c>
      <c r="P46" s="243">
        <v>566565.66</v>
      </c>
      <c r="Q46" s="243">
        <v>566565.66</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3777104.4128</v>
      </c>
      <c r="P48" s="250">
        <v>566565.66</v>
      </c>
      <c r="Q48" s="250">
        <v>566565.66</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2236234.66</v>
      </c>
      <c r="Q49" s="495">
        <v>2236234.66</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8"/>
      <c r="J53" s="312"/>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245043.0594</v>
      </c>
      <c r="H56" s="236">
        <v>321056.23680000001</v>
      </c>
      <c r="I56" s="238">
        <v>3.6539000000000001</v>
      </c>
      <c r="J56" s="238">
        <v>3.6566999999999998</v>
      </c>
      <c r="K56" s="312"/>
      <c r="L56" s="312"/>
      <c r="M56" s="312"/>
      <c r="N56" s="236">
        <v>432.41890000000001</v>
      </c>
      <c r="O56" s="245">
        <v>2068936.7511</v>
      </c>
      <c r="P56" s="243">
        <v>387925.64</v>
      </c>
      <c r="Q56" s="243">
        <v>77585.13</v>
      </c>
      <c r="R56" s="286">
        <v>3.7499999999999999E-2</v>
      </c>
      <c r="S56" s="243">
        <v>310340.51</v>
      </c>
      <c r="T56" s="244">
        <v>0.15</v>
      </c>
    </row>
    <row r="57" spans="1:20" x14ac:dyDescent="0.25">
      <c r="A57" s="26" t="s">
        <v>28</v>
      </c>
      <c r="B57" s="29" t="s">
        <v>75</v>
      </c>
      <c r="C57" s="62" t="s">
        <v>31</v>
      </c>
      <c r="D57" s="62" t="s">
        <v>30</v>
      </c>
      <c r="E57" s="62" t="s">
        <v>103</v>
      </c>
      <c r="F57" s="261" t="s">
        <v>37</v>
      </c>
      <c r="G57" s="236">
        <v>1797</v>
      </c>
      <c r="H57" s="236">
        <v>1842</v>
      </c>
      <c r="I57" s="238">
        <v>48.946100000000001</v>
      </c>
      <c r="J57" s="238">
        <v>55.441299999999998</v>
      </c>
      <c r="K57" s="312"/>
      <c r="L57" s="312"/>
      <c r="M57" s="312"/>
      <c r="N57" s="312">
        <v>1959.5109</v>
      </c>
      <c r="O57" s="245">
        <v>188119.49910000002</v>
      </c>
      <c r="P57" s="243">
        <v>35272.410000000003</v>
      </c>
      <c r="Q57" s="243">
        <v>7054.48</v>
      </c>
      <c r="R57" s="286">
        <v>3.7499999999999999E-2</v>
      </c>
      <c r="S57" s="243">
        <v>28217.919999999998</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135874</v>
      </c>
      <c r="H60" s="236">
        <v>220361</v>
      </c>
      <c r="I60" s="238">
        <v>55.384399999999999</v>
      </c>
      <c r="J60" s="238">
        <v>59.371600000000001</v>
      </c>
      <c r="K60" s="236"/>
      <c r="L60" s="312"/>
      <c r="M60" s="312"/>
      <c r="N60" s="236">
        <v>4620.2421000000004</v>
      </c>
      <c r="O60" s="245">
        <v>20603864.877900001</v>
      </c>
      <c r="P60" s="243">
        <v>3863224.66</v>
      </c>
      <c r="Q60" s="243">
        <v>3090579.73</v>
      </c>
      <c r="R60" s="244">
        <v>0.15</v>
      </c>
      <c r="S60" s="243">
        <v>772644.93</v>
      </c>
      <c r="T60" s="286">
        <v>3.7499999999999999E-2</v>
      </c>
    </row>
    <row r="61" spans="1:20" x14ac:dyDescent="0.25">
      <c r="A61" s="26" t="s">
        <v>28</v>
      </c>
      <c r="B61" s="302">
        <v>67</v>
      </c>
      <c r="C61" s="62" t="s">
        <v>31</v>
      </c>
      <c r="D61" s="62" t="s">
        <v>30</v>
      </c>
      <c r="E61" s="62" t="s">
        <v>101</v>
      </c>
      <c r="F61" s="261" t="s">
        <v>37</v>
      </c>
      <c r="G61" s="236"/>
      <c r="H61" s="236">
        <v>28566</v>
      </c>
      <c r="I61" s="238"/>
      <c r="J61" s="238">
        <v>40.740499999999997</v>
      </c>
      <c r="K61" s="236"/>
      <c r="L61" s="312"/>
      <c r="M61" s="312"/>
      <c r="N61" s="236">
        <v>3198.3292999999999</v>
      </c>
      <c r="O61" s="245">
        <v>1160594.7907</v>
      </c>
      <c r="P61" s="243">
        <v>217611.51999999999</v>
      </c>
      <c r="Q61" s="243">
        <v>174089.21999999997</v>
      </c>
      <c r="R61" s="244">
        <v>0.15</v>
      </c>
      <c r="S61" s="243">
        <v>43522.3</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24021515.9188</v>
      </c>
      <c r="P63" s="250">
        <v>4504034.2299999995</v>
      </c>
      <c r="Q63" s="250">
        <v>3349308.5599999996</v>
      </c>
      <c r="R63" s="266"/>
      <c r="S63" s="250">
        <v>1154725.6600000001</v>
      </c>
      <c r="T63" s="252"/>
    </row>
    <row r="64" spans="1:20" x14ac:dyDescent="0.25">
      <c r="A64" s="157"/>
      <c r="B64" s="158"/>
      <c r="C64" s="35" t="s">
        <v>348</v>
      </c>
      <c r="D64" s="114"/>
      <c r="E64" s="114"/>
      <c r="F64" s="157"/>
      <c r="G64" s="227"/>
      <c r="H64" s="227"/>
      <c r="I64" s="224"/>
      <c r="J64" s="224"/>
      <c r="K64" s="227"/>
      <c r="L64" s="227"/>
      <c r="M64" s="227"/>
      <c r="N64" s="227"/>
      <c r="O64" s="230"/>
      <c r="P64" s="231">
        <v>17777423.109999999</v>
      </c>
      <c r="Q64" s="494">
        <v>13219720.890000001</v>
      </c>
      <c r="R64" s="172"/>
      <c r="S64" s="494">
        <v>4557702.18</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851215</v>
      </c>
      <c r="H66" s="312">
        <v>808220</v>
      </c>
      <c r="I66" s="237">
        <v>54.372599999999998</v>
      </c>
      <c r="J66" s="237">
        <v>59.398600000000002</v>
      </c>
      <c r="K66" s="312"/>
      <c r="L66" s="312"/>
      <c r="M66" s="312"/>
      <c r="N66" s="312"/>
      <c r="O66" s="245">
        <v>94289909.201000005</v>
      </c>
      <c r="P66" s="281">
        <v>35113562.189999998</v>
      </c>
      <c r="Q66" s="243">
        <v>17556781.100000001</v>
      </c>
      <c r="R66" s="244">
        <v>0.5</v>
      </c>
      <c r="S66" s="243"/>
      <c r="T66" s="286"/>
    </row>
    <row r="67" spans="1:20" x14ac:dyDescent="0.25">
      <c r="A67" s="26" t="s">
        <v>28</v>
      </c>
      <c r="B67" s="27" t="s">
        <v>162</v>
      </c>
      <c r="C67" s="62" t="s">
        <v>31</v>
      </c>
      <c r="D67" s="62" t="s">
        <v>30</v>
      </c>
      <c r="E67" s="62" t="s">
        <v>161</v>
      </c>
      <c r="F67" s="262" t="s">
        <v>56</v>
      </c>
      <c r="G67" s="312">
        <v>12333105.502599999</v>
      </c>
      <c r="H67" s="312">
        <v>14157331.0469</v>
      </c>
      <c r="I67" s="237">
        <v>1.8857999999999999</v>
      </c>
      <c r="J67" s="237">
        <v>1.8857999999999999</v>
      </c>
      <c r="K67" s="312"/>
      <c r="L67" s="312"/>
      <c r="M67" s="312"/>
      <c r="N67" s="312"/>
      <c r="O67" s="245">
        <v>49955665.245047092</v>
      </c>
      <c r="P67" s="281">
        <v>18603489.739999998</v>
      </c>
      <c r="Q67" s="243">
        <v>9301744.8699999992</v>
      </c>
      <c r="R67" s="244">
        <v>0.5</v>
      </c>
      <c r="S67" s="243"/>
      <c r="T67" s="244"/>
    </row>
    <row r="68" spans="1:20" x14ac:dyDescent="0.25">
      <c r="A68" s="26" t="s">
        <v>28</v>
      </c>
      <c r="B68" s="27" t="s">
        <v>181</v>
      </c>
      <c r="C68" s="62" t="s">
        <v>31</v>
      </c>
      <c r="D68" s="62" t="s">
        <v>30</v>
      </c>
      <c r="E68" s="62" t="s">
        <v>161</v>
      </c>
      <c r="F68" s="262" t="s">
        <v>56</v>
      </c>
      <c r="G68" s="312">
        <v>3776.0052999999998</v>
      </c>
      <c r="H68" s="312">
        <v>23463.553800000002</v>
      </c>
      <c r="I68" s="237">
        <v>2.7890000000000001</v>
      </c>
      <c r="J68" s="237">
        <v>2.7890000000000001</v>
      </c>
      <c r="K68" s="312"/>
      <c r="L68" s="312"/>
      <c r="M68" s="312"/>
      <c r="N68" s="312"/>
      <c r="O68" s="245">
        <v>75971.130329900014</v>
      </c>
      <c r="P68" s="281">
        <v>28291.65</v>
      </c>
      <c r="Q68" s="243">
        <v>14145.83</v>
      </c>
      <c r="R68" s="244">
        <v>0.5</v>
      </c>
      <c r="S68" s="243"/>
      <c r="T68" s="244"/>
    </row>
    <row r="69" spans="1:20" ht="12" customHeight="1" x14ac:dyDescent="0.25">
      <c r="A69" s="26" t="s">
        <v>28</v>
      </c>
      <c r="B69" s="27" t="s">
        <v>182</v>
      </c>
      <c r="C69" s="62" t="s">
        <v>31</v>
      </c>
      <c r="D69" s="62" t="s">
        <v>30</v>
      </c>
      <c r="E69" s="62" t="s">
        <v>161</v>
      </c>
      <c r="F69" s="262" t="s">
        <v>56</v>
      </c>
      <c r="G69" s="531">
        <v>650578.81799999997</v>
      </c>
      <c r="H69" s="531">
        <v>888016.65839999996</v>
      </c>
      <c r="I69" s="657">
        <v>12.523999999999999</v>
      </c>
      <c r="J69" s="658">
        <v>12.523999999999999</v>
      </c>
      <c r="K69" s="531"/>
      <c r="L69" s="531"/>
      <c r="M69" s="531"/>
      <c r="N69" s="531"/>
      <c r="O69" s="659">
        <v>19269369.746433597</v>
      </c>
      <c r="P69" s="531">
        <v>7322360.5</v>
      </c>
      <c r="Q69" s="531">
        <v>3661180.25</v>
      </c>
      <c r="R69" s="660">
        <v>0.5</v>
      </c>
      <c r="S69" s="243"/>
      <c r="T69" s="244"/>
    </row>
    <row r="70" spans="1:20" x14ac:dyDescent="0.25">
      <c r="A70" s="26" t="s">
        <v>28</v>
      </c>
      <c r="B70" s="29" t="s">
        <v>171</v>
      </c>
      <c r="C70" s="62" t="s">
        <v>31</v>
      </c>
      <c r="D70" s="62" t="s">
        <v>30</v>
      </c>
      <c r="E70" s="62" t="s">
        <v>161</v>
      </c>
      <c r="F70" s="261" t="s">
        <v>37</v>
      </c>
      <c r="G70" s="312">
        <v>408542</v>
      </c>
      <c r="H70" s="312">
        <v>305048</v>
      </c>
      <c r="I70" s="237">
        <v>54.366999999999997</v>
      </c>
      <c r="J70" s="237">
        <v>59.403100000000002</v>
      </c>
      <c r="K70" s="312"/>
      <c r="L70" s="312"/>
      <c r="M70" s="312"/>
      <c r="N70" s="312"/>
      <c r="O70" s="245">
        <v>40331999.762799993</v>
      </c>
      <c r="P70" s="281">
        <v>16132799.91</v>
      </c>
      <c r="Q70" s="243">
        <v>8066399.96</v>
      </c>
      <c r="R70" s="244">
        <v>0.5</v>
      </c>
      <c r="S70" s="243"/>
      <c r="T70" s="244"/>
    </row>
    <row r="71" spans="1:20" x14ac:dyDescent="0.25">
      <c r="A71" s="26" t="s">
        <v>28</v>
      </c>
      <c r="B71" s="29" t="s">
        <v>172</v>
      </c>
      <c r="C71" s="62" t="s">
        <v>31</v>
      </c>
      <c r="D71" s="62" t="s">
        <v>30</v>
      </c>
      <c r="E71" s="62" t="s">
        <v>161</v>
      </c>
      <c r="F71" s="261" t="s">
        <v>56</v>
      </c>
      <c r="G71" s="312">
        <v>500545.56920000003</v>
      </c>
      <c r="H71" s="312">
        <v>6409487.1847999999</v>
      </c>
      <c r="I71" s="349">
        <v>12.523999999999999</v>
      </c>
      <c r="J71" s="237">
        <v>12.523999999999999</v>
      </c>
      <c r="K71" s="312"/>
      <c r="L71" s="312"/>
      <c r="M71" s="312"/>
      <c r="N71" s="312"/>
      <c r="O71" s="245">
        <v>86541250.211095989</v>
      </c>
      <c r="P71" s="281">
        <v>32885675.079999998</v>
      </c>
      <c r="Q71" s="243">
        <v>16442837.539999999</v>
      </c>
      <c r="R71" s="244">
        <v>0.5</v>
      </c>
      <c r="S71" s="243"/>
      <c r="T71" s="244"/>
    </row>
    <row r="72" spans="1:20" x14ac:dyDescent="0.25">
      <c r="A72" s="26" t="s">
        <v>28</v>
      </c>
      <c r="B72" s="32" t="s">
        <v>177</v>
      </c>
      <c r="C72" s="62" t="s">
        <v>31</v>
      </c>
      <c r="D72" s="62" t="s">
        <v>30</v>
      </c>
      <c r="E72" s="62" t="s">
        <v>161</v>
      </c>
      <c r="F72" s="261" t="s">
        <v>56</v>
      </c>
      <c r="G72" s="312">
        <v>28718.472600000001</v>
      </c>
      <c r="H72" s="312">
        <v>272584.81479999999</v>
      </c>
      <c r="I72" s="237">
        <v>1.996</v>
      </c>
      <c r="J72" s="237">
        <v>1.996</v>
      </c>
      <c r="K72" s="236"/>
      <c r="L72" s="312"/>
      <c r="M72" s="312"/>
      <c r="N72" s="236"/>
      <c r="O72" s="245">
        <v>601401.36165039998</v>
      </c>
      <c r="P72" s="281">
        <v>223961.87</v>
      </c>
      <c r="Q72" s="243">
        <v>111980.94</v>
      </c>
      <c r="R72" s="244">
        <v>0.5</v>
      </c>
      <c r="S72" s="243"/>
      <c r="T72" s="286"/>
    </row>
    <row r="73" spans="1:20" x14ac:dyDescent="0.25">
      <c r="A73" s="26" t="s">
        <v>28</v>
      </c>
      <c r="B73" s="32" t="s">
        <v>179</v>
      </c>
      <c r="C73" s="62" t="s">
        <v>31</v>
      </c>
      <c r="D73" s="62" t="s">
        <v>30</v>
      </c>
      <c r="E73" s="62" t="s">
        <v>161</v>
      </c>
      <c r="F73" s="261" t="s">
        <v>37</v>
      </c>
      <c r="G73" s="312">
        <v>30304</v>
      </c>
      <c r="H73" s="312">
        <v>180997</v>
      </c>
      <c r="I73" s="237">
        <v>40.728299999999997</v>
      </c>
      <c r="J73" s="237">
        <v>45.6556</v>
      </c>
      <c r="K73" s="236"/>
      <c r="L73" s="312"/>
      <c r="M73" s="312"/>
      <c r="N73" s="236"/>
      <c r="O73" s="245">
        <v>9497757.0363999996</v>
      </c>
      <c r="P73" s="281">
        <v>583242.27901499998</v>
      </c>
      <c r="Q73" s="243">
        <v>291621.14</v>
      </c>
      <c r="R73" s="244">
        <v>0.5</v>
      </c>
      <c r="S73" s="243"/>
      <c r="T73" s="286"/>
    </row>
    <row r="74" spans="1:20" x14ac:dyDescent="0.25">
      <c r="A74" s="26" t="s">
        <v>28</v>
      </c>
      <c r="B74" s="302" t="s">
        <v>180</v>
      </c>
      <c r="C74" s="62" t="s">
        <v>31</v>
      </c>
      <c r="D74" s="62" t="s">
        <v>30</v>
      </c>
      <c r="E74" s="62" t="s">
        <v>161</v>
      </c>
      <c r="F74" s="261" t="s">
        <v>56</v>
      </c>
      <c r="G74" s="312">
        <v>495602.84330000001</v>
      </c>
      <c r="H74" s="312">
        <v>2965265.6680999999</v>
      </c>
      <c r="I74" s="237">
        <v>8.02</v>
      </c>
      <c r="J74" s="237">
        <v>8.02</v>
      </c>
      <c r="K74" s="472"/>
      <c r="L74" s="312"/>
      <c r="M74" s="312"/>
      <c r="N74" s="236"/>
      <c r="O74" s="245">
        <v>27756165.461427998</v>
      </c>
      <c r="P74" s="281">
        <v>2625114.7511739996</v>
      </c>
      <c r="Q74" s="243">
        <v>1312557.3799999999</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14380138.766834002</v>
      </c>
      <c r="P75" s="213">
        <v>5358197.7570709977</v>
      </c>
      <c r="Q75" s="213">
        <v>2679098.8899999997</v>
      </c>
      <c r="R75" s="160"/>
      <c r="S75" s="201"/>
      <c r="T75" s="160"/>
    </row>
    <row r="76" spans="1:20" x14ac:dyDescent="0.25">
      <c r="A76" s="34"/>
      <c r="B76" s="165" t="s">
        <v>108</v>
      </c>
      <c r="C76" s="35" t="s">
        <v>349</v>
      </c>
      <c r="D76" s="22"/>
      <c r="E76" s="22"/>
      <c r="F76" s="297"/>
      <c r="G76" s="282">
        <v>529264.04180000001</v>
      </c>
      <c r="H76" s="282">
        <v>6682071.9995999997</v>
      </c>
      <c r="I76" s="356"/>
      <c r="J76" s="282"/>
      <c r="K76" s="294"/>
      <c r="L76" s="287"/>
      <c r="M76" s="353"/>
      <c r="N76" s="219"/>
      <c r="O76" s="219">
        <v>342699627.92301899</v>
      </c>
      <c r="P76" s="219">
        <v>118876695.72726001</v>
      </c>
      <c r="Q76" s="219">
        <v>59438347.899999999</v>
      </c>
      <c r="R76" s="199"/>
      <c r="S76" s="207"/>
      <c r="T76" s="160"/>
    </row>
    <row r="77" spans="1:20" x14ac:dyDescent="0.25">
      <c r="A77" s="157"/>
      <c r="B77" s="158"/>
      <c r="C77" s="35" t="s">
        <v>350</v>
      </c>
      <c r="D77" s="114"/>
      <c r="E77" s="114"/>
      <c r="F77" s="297"/>
      <c r="G77" s="283">
        <v>11.952738671713783</v>
      </c>
      <c r="H77" s="283">
        <v>12.094526487833983</v>
      </c>
      <c r="I77" s="357"/>
      <c r="J77" s="282"/>
      <c r="K77" s="295"/>
      <c r="L77" s="288"/>
      <c r="M77" s="478"/>
      <c r="N77" s="479"/>
      <c r="O77" s="479"/>
      <c r="P77" s="209"/>
      <c r="Q77" s="209">
        <v>234603159.1613</v>
      </c>
      <c r="R77" s="198"/>
      <c r="S77" s="207"/>
      <c r="T77" s="160"/>
    </row>
    <row r="78" spans="1:20" x14ac:dyDescent="0.25">
      <c r="A78" s="10" t="s">
        <v>55</v>
      </c>
      <c r="B78" s="308"/>
      <c r="C78" s="308"/>
      <c r="D78" s="308"/>
      <c r="E78" s="308"/>
      <c r="F78" s="298"/>
      <c r="G78" s="284">
        <v>6326154.7799704</v>
      </c>
      <c r="H78" s="284">
        <v>80816496.792775989</v>
      </c>
      <c r="I78" s="282">
        <v>87142651.572746396</v>
      </c>
      <c r="J78" s="282">
        <v>87142651.572746396</v>
      </c>
      <c r="K78" s="358">
        <v>0</v>
      </c>
      <c r="L78" s="359"/>
      <c r="M78" s="311">
        <v>0</v>
      </c>
      <c r="N78" s="311">
        <v>34406.377899999999</v>
      </c>
      <c r="O78" s="311">
        <v>434979762.0313412</v>
      </c>
      <c r="P78" s="311">
        <v>76599231.599999994</v>
      </c>
      <c r="Q78" s="211">
        <v>302337167.2913</v>
      </c>
      <c r="R78" s="60"/>
      <c r="S78" s="211"/>
      <c r="T78" s="60"/>
    </row>
    <row r="79" spans="1:20" x14ac:dyDescent="0.25">
      <c r="A79" s="6"/>
      <c r="B79" s="6"/>
      <c r="C79" s="6"/>
      <c r="D79" s="6"/>
      <c r="E79" s="6"/>
      <c r="F79" s="6"/>
      <c r="G79" s="6"/>
      <c r="H79" s="6"/>
      <c r="I79" s="6"/>
      <c r="J79" s="6"/>
      <c r="K79" s="6"/>
      <c r="L79" s="6"/>
      <c r="M79" s="6"/>
      <c r="N79" s="6"/>
      <c r="O79" s="360"/>
      <c r="P79" s="360"/>
      <c r="Q79" s="6"/>
      <c r="R79" s="6"/>
      <c r="S79" s="285"/>
      <c r="T79" s="6"/>
    </row>
    <row r="80" spans="1:20" x14ac:dyDescent="0.25">
      <c r="A80" s="99" t="s">
        <v>93</v>
      </c>
      <c r="B80" s="7" t="s">
        <v>76</v>
      </c>
      <c r="C80" s="7"/>
      <c r="D80" s="6"/>
      <c r="E80" s="6"/>
      <c r="F80" s="6"/>
      <c r="H80" s="99" t="s">
        <v>77</v>
      </c>
      <c r="J80" s="72"/>
      <c r="K80" s="72"/>
      <c r="L80" s="6"/>
      <c r="M80" s="6"/>
      <c r="N80" s="220"/>
      <c r="O80" s="360"/>
      <c r="P80" s="360"/>
      <c r="Q80" s="220"/>
      <c r="R80" s="6"/>
      <c r="S80" s="285"/>
      <c r="T80" s="6"/>
    </row>
    <row r="81" spans="1:20" x14ac:dyDescent="0.25">
      <c r="A81" s="6"/>
      <c r="B81" s="126" t="s">
        <v>78</v>
      </c>
      <c r="C81" s="127" t="s">
        <v>79</v>
      </c>
      <c r="D81" s="128"/>
      <c r="E81" s="129" t="s">
        <v>35</v>
      </c>
      <c r="F81" s="129" t="s">
        <v>80</v>
      </c>
      <c r="H81" s="100" t="s">
        <v>35</v>
      </c>
      <c r="I81" s="308"/>
      <c r="J81" s="308"/>
      <c r="K81" s="308"/>
      <c r="L81" s="101"/>
      <c r="M81" s="6"/>
      <c r="N81" s="220"/>
      <c r="O81" s="635"/>
      <c r="P81" s="635"/>
      <c r="Q81" s="635"/>
      <c r="R81" s="6"/>
      <c r="S81" s="6"/>
      <c r="T81" s="6"/>
    </row>
    <row r="82" spans="1:20" x14ac:dyDescent="0.25">
      <c r="A82" s="7"/>
      <c r="B82" s="102" t="s">
        <v>81</v>
      </c>
      <c r="C82" s="103" t="s">
        <v>82</v>
      </c>
      <c r="D82" s="104"/>
      <c r="E82" s="105"/>
      <c r="F82" s="105"/>
      <c r="H82" s="106" t="s">
        <v>352</v>
      </c>
      <c r="I82" s="6"/>
      <c r="J82" s="6"/>
      <c r="K82" s="6"/>
      <c r="L82" s="107"/>
      <c r="M82" s="393">
        <v>6.2200000337121024E-2</v>
      </c>
      <c r="N82" s="220"/>
      <c r="O82" s="401"/>
      <c r="P82" s="401"/>
      <c r="Q82" s="6"/>
      <c r="R82" s="6"/>
      <c r="S82" s="6"/>
      <c r="T82" s="6"/>
    </row>
    <row r="83" spans="1:20" x14ac:dyDescent="0.25">
      <c r="A83" s="6"/>
      <c r="B83" s="108" t="s">
        <v>83</v>
      </c>
      <c r="C83" s="109" t="s">
        <v>84</v>
      </c>
      <c r="D83" s="110"/>
      <c r="E83" s="111"/>
      <c r="F83" s="112"/>
      <c r="H83" s="113">
        <v>0</v>
      </c>
      <c r="I83" s="114"/>
      <c r="J83" s="114"/>
      <c r="K83" s="114"/>
      <c r="L83" s="115"/>
      <c r="M83" s="393">
        <v>9.4199999857272176E-2</v>
      </c>
      <c r="N83" s="220"/>
      <c r="O83" s="636"/>
      <c r="P83" s="636"/>
      <c r="Q83" s="6"/>
      <c r="R83" s="6"/>
      <c r="S83" s="6"/>
      <c r="T83" s="6"/>
    </row>
    <row r="84" spans="1:20" x14ac:dyDescent="0.25">
      <c r="A84" s="6"/>
      <c r="B84" s="108" t="s">
        <v>85</v>
      </c>
      <c r="C84" s="109" t="s">
        <v>86</v>
      </c>
      <c r="D84" s="110"/>
      <c r="E84" s="111"/>
      <c r="F84" s="111"/>
      <c r="G84" s="6"/>
      <c r="I84" s="116"/>
      <c r="J84" s="6"/>
      <c r="K84" s="6"/>
      <c r="L84" s="6"/>
      <c r="M84" s="393">
        <v>0.39999999969547706</v>
      </c>
      <c r="N84" s="220"/>
      <c r="O84" s="403"/>
      <c r="P84" s="360"/>
      <c r="Q84" s="6"/>
      <c r="R84" s="6"/>
      <c r="S84" s="6"/>
      <c r="T84" s="6"/>
    </row>
    <row r="85" spans="1:20" x14ac:dyDescent="0.25">
      <c r="A85" s="6"/>
      <c r="B85" s="108" t="s">
        <v>87</v>
      </c>
      <c r="C85" s="109" t="s">
        <v>88</v>
      </c>
      <c r="D85" s="110"/>
      <c r="E85" s="117"/>
      <c r="F85" s="117"/>
      <c r="G85" s="6"/>
      <c r="H85" s="100" t="s">
        <v>80</v>
      </c>
      <c r="I85" s="118"/>
      <c r="J85" s="308"/>
      <c r="K85" s="308"/>
      <c r="L85" s="101"/>
      <c r="M85" s="393">
        <v>0.38000000287019686</v>
      </c>
      <c r="N85" s="220"/>
      <c r="O85" s="403"/>
      <c r="P85" s="6"/>
      <c r="Q85" s="6"/>
      <c r="R85" s="6"/>
      <c r="S85" s="6"/>
      <c r="T85" s="6"/>
    </row>
    <row r="86" spans="1:20" x14ac:dyDescent="0.25">
      <c r="A86" s="6"/>
      <c r="B86" s="108" t="s">
        <v>89</v>
      </c>
      <c r="C86" s="109" t="s">
        <v>90</v>
      </c>
      <c r="D86" s="110"/>
      <c r="E86" s="119"/>
      <c r="F86" s="112"/>
      <c r="G86" s="6"/>
      <c r="H86" s="106" t="s">
        <v>352</v>
      </c>
      <c r="I86" s="116"/>
      <c r="J86" s="6"/>
      <c r="K86" s="6"/>
      <c r="L86" s="107"/>
      <c r="M86" s="7"/>
      <c r="N86" s="220"/>
      <c r="O86" s="403"/>
      <c r="P86" s="6"/>
      <c r="Q86" s="6"/>
      <c r="R86" s="6"/>
      <c r="S86" s="6"/>
      <c r="T86" s="6"/>
    </row>
    <row r="87" spans="1:20" x14ac:dyDescent="0.25">
      <c r="A87" s="6"/>
      <c r="B87" s="120" t="s">
        <v>91</v>
      </c>
      <c r="C87" s="121" t="s">
        <v>92</v>
      </c>
      <c r="D87" s="122"/>
      <c r="E87" s="123"/>
      <c r="F87" s="123"/>
      <c r="G87" s="6"/>
      <c r="H87" s="113">
        <v>0</v>
      </c>
      <c r="I87" s="124"/>
      <c r="J87" s="114"/>
      <c r="K87" s="114"/>
      <c r="L87" s="115"/>
      <c r="M87" s="403"/>
      <c r="N87" s="220"/>
      <c r="O87" s="403"/>
      <c r="P87" s="6"/>
      <c r="Q87" s="6"/>
      <c r="R87" s="6"/>
      <c r="S87" s="6"/>
      <c r="T87" s="6"/>
    </row>
    <row r="88" spans="1:20" x14ac:dyDescent="0.25">
      <c r="A88" s="5"/>
      <c r="C88" s="4"/>
      <c r="D88" s="4"/>
      <c r="H88" s="190"/>
      <c r="M88" s="406"/>
      <c r="N88" s="220"/>
      <c r="O88" s="406"/>
      <c r="P88" s="307"/>
      <c r="Q88" s="307"/>
    </row>
    <row r="89" spans="1:20" x14ac:dyDescent="0.25">
      <c r="P89" s="307"/>
      <c r="Q89" s="307"/>
    </row>
  </sheetData>
  <mergeCells count="2">
    <mergeCell ref="C7:C8"/>
    <mergeCell ref="O7:O8"/>
  </mergeCells>
  <printOptions horizontalCentered="1" verticalCentered="1"/>
  <pageMargins left="0.25" right="0.25" top="0.5" bottom="0.5" header="0" footer="0"/>
  <pageSetup paperSize="9" scale="47"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T90"/>
  <sheetViews>
    <sheetView view="pageBreakPreview" topLeftCell="A45" zoomScaleNormal="100" zoomScaleSheetLayoutView="100" workbookViewId="0">
      <selection activeCell="A90" sqref="A90:XFD267"/>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7.453125" style="307" customWidth="1"/>
    <col min="6" max="6" width="9.81640625" style="307" customWidth="1"/>
    <col min="7" max="10" width="10.453125" style="307" customWidth="1"/>
    <col min="11" max="13" width="10.453125" style="307" hidden="1" customWidth="1"/>
    <col min="14" max="14" width="10.453125" style="307" customWidth="1"/>
    <col min="15" max="15" width="12.453125" style="307" customWidth="1"/>
    <col min="16"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44470</v>
      </c>
      <c r="F1" s="300">
        <v>4.0199999999999996</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355</v>
      </c>
      <c r="B4" s="143"/>
      <c r="C4" s="143"/>
      <c r="D4" s="143"/>
      <c r="E4" s="143"/>
      <c r="F4" s="143"/>
      <c r="G4" s="143"/>
      <c r="H4" s="143"/>
      <c r="I4" s="143"/>
      <c r="J4" s="143"/>
      <c r="K4" s="143"/>
      <c r="L4" s="143"/>
      <c r="M4" s="143"/>
      <c r="N4" s="143"/>
      <c r="O4" s="143"/>
      <c r="P4" s="143"/>
      <c r="Q4" s="143"/>
      <c r="R4" s="143"/>
      <c r="S4" s="143"/>
      <c r="T4" s="143"/>
    </row>
    <row r="5" spans="1:20" x14ac:dyDescent="0.25">
      <c r="A5" s="143" t="s">
        <v>356</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16458</v>
      </c>
      <c r="I10" s="237"/>
      <c r="J10" s="238">
        <v>81.295100000000005</v>
      </c>
      <c r="K10" s="312"/>
      <c r="L10" s="312"/>
      <c r="M10" s="312"/>
      <c r="N10" s="236">
        <v>224.84469999999999</v>
      </c>
      <c r="O10" s="236">
        <v>1337729.9153</v>
      </c>
      <c r="P10" s="243">
        <v>250824.36</v>
      </c>
      <c r="Q10" s="243">
        <v>200659.49</v>
      </c>
      <c r="R10" s="244">
        <v>0.15</v>
      </c>
      <c r="S10" s="243">
        <v>50164.87</v>
      </c>
      <c r="T10" s="286">
        <v>3.7499999999999999E-2</v>
      </c>
    </row>
    <row r="11" spans="1:20" x14ac:dyDescent="0.25">
      <c r="A11" s="26" t="s">
        <v>28</v>
      </c>
      <c r="B11" s="27" t="s">
        <v>14</v>
      </c>
      <c r="C11" s="62" t="s">
        <v>29</v>
      </c>
      <c r="D11" s="28" t="s">
        <v>21</v>
      </c>
      <c r="E11" s="62" t="s">
        <v>98</v>
      </c>
      <c r="F11" s="260" t="s">
        <v>56</v>
      </c>
      <c r="G11" s="312"/>
      <c r="H11" s="236">
        <v>109197.96</v>
      </c>
      <c r="I11" s="237"/>
      <c r="J11" s="238">
        <v>4.2466999999999997</v>
      </c>
      <c r="K11" s="312"/>
      <c r="L11" s="312"/>
      <c r="M11" s="312"/>
      <c r="N11" s="236">
        <v>632.38229999999999</v>
      </c>
      <c r="O11" s="236">
        <v>463098.59769999998</v>
      </c>
      <c r="P11" s="243">
        <v>86830.99</v>
      </c>
      <c r="Q11" s="243">
        <v>69464.789999999994</v>
      </c>
      <c r="R11" s="244">
        <v>0.15</v>
      </c>
      <c r="S11" s="243">
        <v>17366.2</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5662</v>
      </c>
      <c r="H13" s="236">
        <v>5656</v>
      </c>
      <c r="I13" s="238">
        <v>80.129900000000006</v>
      </c>
      <c r="J13" s="238">
        <v>82.715999999999994</v>
      </c>
      <c r="K13" s="312"/>
      <c r="L13" s="312"/>
      <c r="M13" s="312"/>
      <c r="N13" s="236">
        <v>583.19640000000004</v>
      </c>
      <c r="O13" s="236">
        <v>920953.99359999993</v>
      </c>
      <c r="P13" s="243">
        <v>172678.87</v>
      </c>
      <c r="Q13" s="243">
        <v>138143.1</v>
      </c>
      <c r="R13" s="244">
        <v>0.15</v>
      </c>
      <c r="S13" s="243">
        <v>34535.769999999997</v>
      </c>
      <c r="T13" s="286">
        <v>3.7499999999999999E-2</v>
      </c>
    </row>
    <row r="14" spans="1:20" x14ac:dyDescent="0.25">
      <c r="A14" s="267" t="s">
        <v>28</v>
      </c>
      <c r="B14" s="271" t="s">
        <v>176</v>
      </c>
      <c r="C14" s="260" t="s">
        <v>29</v>
      </c>
      <c r="D14" s="268" t="s">
        <v>21</v>
      </c>
      <c r="E14" s="260" t="s">
        <v>98</v>
      </c>
      <c r="F14" s="260" t="s">
        <v>56</v>
      </c>
      <c r="G14" s="236">
        <v>4817.9799000000003</v>
      </c>
      <c r="H14" s="236">
        <v>1432.2709</v>
      </c>
      <c r="I14" s="238">
        <v>2.6775000000000002</v>
      </c>
      <c r="J14" s="237">
        <v>2.6775000000000002</v>
      </c>
      <c r="K14" s="312"/>
      <c r="L14" s="312"/>
      <c r="M14" s="312"/>
      <c r="N14" s="236">
        <v>621.84370000000001</v>
      </c>
      <c r="O14" s="236">
        <v>16113.2063</v>
      </c>
      <c r="P14" s="243">
        <v>3021.23</v>
      </c>
      <c r="Q14" s="243">
        <v>2416.98</v>
      </c>
      <c r="R14" s="244">
        <v>0.15</v>
      </c>
      <c r="S14" s="243">
        <v>604.25</v>
      </c>
      <c r="T14" s="286">
        <v>3.7499999999999999E-2</v>
      </c>
    </row>
    <row r="15" spans="1:20" x14ac:dyDescent="0.25">
      <c r="A15" s="26" t="s">
        <v>28</v>
      </c>
      <c r="B15" s="27" t="s">
        <v>4</v>
      </c>
      <c r="C15" s="62" t="s">
        <v>31</v>
      </c>
      <c r="D15" s="28" t="s">
        <v>30</v>
      </c>
      <c r="E15" s="62" t="s">
        <v>101</v>
      </c>
      <c r="F15" s="260" t="s">
        <v>37</v>
      </c>
      <c r="G15" s="236">
        <v>7208</v>
      </c>
      <c r="H15" s="236">
        <v>7737</v>
      </c>
      <c r="I15" s="237">
        <v>80.113799999999998</v>
      </c>
      <c r="J15" s="237">
        <v>82.594499999999996</v>
      </c>
      <c r="K15" s="312"/>
      <c r="L15" s="312"/>
      <c r="M15" s="312"/>
      <c r="N15" s="236">
        <v>414.5616</v>
      </c>
      <c r="O15" s="236">
        <v>1216079.3584</v>
      </c>
      <c r="P15" s="243">
        <v>228014.88</v>
      </c>
      <c r="Q15" s="243">
        <v>182411.9</v>
      </c>
      <c r="R15" s="244">
        <v>0.15</v>
      </c>
      <c r="S15" s="243">
        <v>45602.98</v>
      </c>
      <c r="T15" s="286">
        <v>3.7499999999999999E-2</v>
      </c>
    </row>
    <row r="16" spans="1:20" x14ac:dyDescent="0.25">
      <c r="A16" s="26" t="s">
        <v>28</v>
      </c>
      <c r="B16" s="27" t="s">
        <v>5</v>
      </c>
      <c r="C16" s="62" t="s">
        <v>31</v>
      </c>
      <c r="D16" s="28" t="s">
        <v>30</v>
      </c>
      <c r="E16" s="62" t="s">
        <v>101</v>
      </c>
      <c r="F16" s="260" t="s">
        <v>37</v>
      </c>
      <c r="G16" s="236">
        <v>33372</v>
      </c>
      <c r="H16" s="236">
        <v>36121</v>
      </c>
      <c r="I16" s="237">
        <v>80.113799999999998</v>
      </c>
      <c r="J16" s="237">
        <v>82.594499999999996</v>
      </c>
      <c r="K16" s="312"/>
      <c r="L16" s="312"/>
      <c r="M16" s="312"/>
      <c r="N16" s="236">
        <v>1071.54</v>
      </c>
      <c r="O16" s="236">
        <v>5655882.1200000001</v>
      </c>
      <c r="P16" s="243">
        <v>1060477.8999999999</v>
      </c>
      <c r="Q16" s="243">
        <v>848382.32</v>
      </c>
      <c r="R16" s="244">
        <v>0.15</v>
      </c>
      <c r="S16" s="243">
        <v>212095.58</v>
      </c>
      <c r="T16" s="286">
        <v>3.7499999999999999E-2</v>
      </c>
    </row>
    <row r="17" spans="1:20" x14ac:dyDescent="0.25">
      <c r="A17" s="26" t="s">
        <v>28</v>
      </c>
      <c r="B17" s="27" t="s">
        <v>331</v>
      </c>
      <c r="C17" s="62" t="s">
        <v>31</v>
      </c>
      <c r="D17" s="28" t="s">
        <v>30</v>
      </c>
      <c r="E17" s="62" t="s">
        <v>101</v>
      </c>
      <c r="F17" s="260" t="s">
        <v>37</v>
      </c>
      <c r="G17" s="236">
        <v>9237.1033000000007</v>
      </c>
      <c r="H17" s="236">
        <v>13045.391100000001</v>
      </c>
      <c r="I17" s="238">
        <v>4.6791999999999998</v>
      </c>
      <c r="J17" s="237">
        <v>4.6791999999999998</v>
      </c>
      <c r="K17" s="312"/>
      <c r="L17" s="312"/>
      <c r="M17" s="312"/>
      <c r="N17" s="236"/>
      <c r="O17" s="236">
        <v>104264.23999999999</v>
      </c>
      <c r="P17" s="243">
        <v>19549.55</v>
      </c>
      <c r="Q17" s="243">
        <v>15639.64</v>
      </c>
      <c r="R17" s="244">
        <v>0.15</v>
      </c>
      <c r="S17" s="243">
        <v>3909.91</v>
      </c>
      <c r="T17" s="286">
        <v>3.7499999999999999E-2</v>
      </c>
    </row>
    <row r="18" spans="1:20" x14ac:dyDescent="0.25">
      <c r="A18" s="26" t="s">
        <v>28</v>
      </c>
      <c r="B18" s="27" t="s">
        <v>17</v>
      </c>
      <c r="C18" s="62" t="s">
        <v>29</v>
      </c>
      <c r="D18" s="28" t="s">
        <v>21</v>
      </c>
      <c r="E18" s="62" t="s">
        <v>98</v>
      </c>
      <c r="F18" s="260" t="s">
        <v>37</v>
      </c>
      <c r="G18" s="312"/>
      <c r="H18" s="236">
        <v>3275</v>
      </c>
      <c r="I18" s="237"/>
      <c r="J18" s="238">
        <v>81.295100000000005</v>
      </c>
      <c r="K18" s="312"/>
      <c r="L18" s="312"/>
      <c r="M18" s="312"/>
      <c r="N18" s="236">
        <v>491.85120000000001</v>
      </c>
      <c r="O18" s="245">
        <v>265749.59880000004</v>
      </c>
      <c r="P18" s="243">
        <v>49828.05</v>
      </c>
      <c r="Q18" s="243">
        <v>39862.44</v>
      </c>
      <c r="R18" s="244">
        <v>0.15</v>
      </c>
      <c r="S18" s="243">
        <v>9965.61</v>
      </c>
      <c r="T18" s="286">
        <v>3.7499999999999999E-2</v>
      </c>
    </row>
    <row r="19" spans="1:20" x14ac:dyDescent="0.25">
      <c r="A19" s="26" t="s">
        <v>28</v>
      </c>
      <c r="B19" s="27" t="s">
        <v>6</v>
      </c>
      <c r="C19" s="62" t="s">
        <v>31</v>
      </c>
      <c r="D19" s="28" t="s">
        <v>30</v>
      </c>
      <c r="E19" s="62" t="s">
        <v>101</v>
      </c>
      <c r="F19" s="260" t="s">
        <v>37</v>
      </c>
      <c r="G19" s="236">
        <v>54817</v>
      </c>
      <c r="H19" s="236">
        <v>72200</v>
      </c>
      <c r="I19" s="237">
        <v>79.563800000000001</v>
      </c>
      <c r="J19" s="238">
        <v>82.044499999999999</v>
      </c>
      <c r="K19" s="312"/>
      <c r="L19" s="312"/>
      <c r="M19" s="312"/>
      <c r="N19" s="236">
        <v>2986.2474999999999</v>
      </c>
      <c r="O19" s="245">
        <v>10282075.4725</v>
      </c>
      <c r="P19" s="243">
        <v>1927889.15</v>
      </c>
      <c r="Q19" s="243">
        <v>1542311.32</v>
      </c>
      <c r="R19" s="244">
        <v>0.15</v>
      </c>
      <c r="S19" s="243">
        <v>385577.83</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83313.27</v>
      </c>
      <c r="H21" s="312">
        <v>92158.52</v>
      </c>
      <c r="I21" s="349">
        <v>2.3571</v>
      </c>
      <c r="J21" s="237">
        <v>2.3571</v>
      </c>
      <c r="K21" s="312"/>
      <c r="L21" s="312"/>
      <c r="M21" s="312"/>
      <c r="N21" s="312">
        <v>699.13329999999996</v>
      </c>
      <c r="O21" s="245">
        <v>412905.42670000001</v>
      </c>
      <c r="P21" s="243">
        <v>77419.77</v>
      </c>
      <c r="Q21" s="243">
        <v>61935.81</v>
      </c>
      <c r="R21" s="244">
        <v>0.15</v>
      </c>
      <c r="S21" s="243">
        <v>15483.95</v>
      </c>
      <c r="T21" s="286">
        <v>3.7499999999999999E-2</v>
      </c>
    </row>
    <row r="22" spans="1:20" x14ac:dyDescent="0.25">
      <c r="A22" s="26" t="s">
        <v>28</v>
      </c>
      <c r="B22" s="27" t="s">
        <v>18</v>
      </c>
      <c r="C22" s="62" t="s">
        <v>31</v>
      </c>
      <c r="D22" s="28" t="s">
        <v>30</v>
      </c>
      <c r="E22" s="62" t="s">
        <v>101</v>
      </c>
      <c r="F22" s="260" t="s">
        <v>37</v>
      </c>
      <c r="G22" s="312">
        <v>1817</v>
      </c>
      <c r="H22" s="312">
        <v>2915</v>
      </c>
      <c r="I22" s="237">
        <v>80.113799999999998</v>
      </c>
      <c r="J22" s="237">
        <v>82.594499999999996</v>
      </c>
      <c r="K22" s="312"/>
      <c r="L22" s="312"/>
      <c r="M22" s="312"/>
      <c r="N22" s="312">
        <v>242.41229999999999</v>
      </c>
      <c r="O22" s="245">
        <v>386087.32769999997</v>
      </c>
      <c r="P22" s="243">
        <v>72391.37</v>
      </c>
      <c r="Q22" s="243">
        <v>57913.1</v>
      </c>
      <c r="R22" s="244">
        <v>0.15</v>
      </c>
      <c r="S22" s="243">
        <v>14478.27</v>
      </c>
      <c r="T22" s="286">
        <v>3.7499999999999999E-2</v>
      </c>
    </row>
    <row r="23" spans="1:20" x14ac:dyDescent="0.25">
      <c r="A23" s="26" t="s">
        <v>28</v>
      </c>
      <c r="B23" s="29" t="s">
        <v>20</v>
      </c>
      <c r="C23" s="62" t="s">
        <v>31</v>
      </c>
      <c r="D23" s="28" t="s">
        <v>30</v>
      </c>
      <c r="E23" s="62" t="s">
        <v>101</v>
      </c>
      <c r="F23" s="260" t="s">
        <v>37</v>
      </c>
      <c r="G23" s="312">
        <v>186403</v>
      </c>
      <c r="H23" s="236">
        <v>201154</v>
      </c>
      <c r="I23" s="237">
        <v>80.113799999999998</v>
      </c>
      <c r="J23" s="237">
        <v>82.594499999999996</v>
      </c>
      <c r="K23" s="312"/>
      <c r="L23" s="312"/>
      <c r="M23" s="312"/>
      <c r="N23" s="236">
        <v>3738.0787</v>
      </c>
      <c r="O23" s="245">
        <v>31543928.631300002</v>
      </c>
      <c r="P23" s="243">
        <v>5914486.6200000001</v>
      </c>
      <c r="Q23" s="243">
        <v>4731589.29</v>
      </c>
      <c r="R23" s="244">
        <v>0.15</v>
      </c>
      <c r="S23" s="243">
        <v>1182897.32</v>
      </c>
      <c r="T23" s="286">
        <v>3.7499999999999999E-2</v>
      </c>
    </row>
    <row r="24" spans="1:20" x14ac:dyDescent="0.25">
      <c r="A24" s="26" t="s">
        <v>28</v>
      </c>
      <c r="B24" s="27" t="s">
        <v>8</v>
      </c>
      <c r="C24" s="62" t="s">
        <v>31</v>
      </c>
      <c r="D24" s="28" t="s">
        <v>21</v>
      </c>
      <c r="E24" s="62" t="s">
        <v>101</v>
      </c>
      <c r="F24" s="260" t="s">
        <v>56</v>
      </c>
      <c r="G24" s="312">
        <v>249125.23</v>
      </c>
      <c r="H24" s="312">
        <v>269212.01</v>
      </c>
      <c r="I24" s="363">
        <v>1.9238999999999999</v>
      </c>
      <c r="J24" s="237">
        <v>1.9238999999999999</v>
      </c>
      <c r="K24" s="312"/>
      <c r="L24" s="312"/>
      <c r="M24" s="312"/>
      <c r="N24" s="236">
        <v>737.78060000000005</v>
      </c>
      <c r="O24" s="245">
        <v>996491.23939999996</v>
      </c>
      <c r="P24" s="243">
        <v>186842.11</v>
      </c>
      <c r="Q24" s="243">
        <v>149473.69</v>
      </c>
      <c r="R24" s="244">
        <v>0.15</v>
      </c>
      <c r="S24" s="243">
        <v>37368.42</v>
      </c>
      <c r="T24" s="286">
        <v>3.7499999999999999E-2</v>
      </c>
    </row>
    <row r="25" spans="1:20" x14ac:dyDescent="0.25">
      <c r="A25" s="26" t="s">
        <v>28</v>
      </c>
      <c r="B25" s="29" t="s">
        <v>57</v>
      </c>
      <c r="C25" s="62" t="s">
        <v>31</v>
      </c>
      <c r="D25" s="28" t="s">
        <v>21</v>
      </c>
      <c r="E25" s="62" t="s">
        <v>101</v>
      </c>
      <c r="F25" s="260" t="s">
        <v>37</v>
      </c>
      <c r="G25" s="312"/>
      <c r="H25" s="312"/>
      <c r="I25" s="238"/>
      <c r="J25" s="237"/>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373</v>
      </c>
      <c r="H26" s="312">
        <v>455</v>
      </c>
      <c r="I26" s="238">
        <v>80.325599999999994</v>
      </c>
      <c r="J26" s="237">
        <v>82.762699999999995</v>
      </c>
      <c r="K26" s="312"/>
      <c r="L26" s="312"/>
      <c r="M26" s="312"/>
      <c r="N26" s="312">
        <v>263.49200000000002</v>
      </c>
      <c r="O26" s="245">
        <v>67354.987999999998</v>
      </c>
      <c r="P26" s="243">
        <v>12629.06</v>
      </c>
      <c r="Q26" s="243">
        <v>10103.25</v>
      </c>
      <c r="R26" s="244">
        <v>0.15</v>
      </c>
      <c r="S26" s="243">
        <v>2525.81</v>
      </c>
      <c r="T26" s="286">
        <v>3.7499999999999999E-2</v>
      </c>
    </row>
    <row r="27" spans="1:20" x14ac:dyDescent="0.25">
      <c r="A27" s="26" t="s">
        <v>28</v>
      </c>
      <c r="B27" s="29" t="s">
        <v>168</v>
      </c>
      <c r="C27" s="62" t="s">
        <v>31</v>
      </c>
      <c r="D27" s="28" t="s">
        <v>30</v>
      </c>
      <c r="E27" s="62" t="s">
        <v>101</v>
      </c>
      <c r="F27" s="260" t="s">
        <v>37</v>
      </c>
      <c r="G27" s="236">
        <v>12168</v>
      </c>
      <c r="H27" s="236">
        <v>23953</v>
      </c>
      <c r="I27" s="363">
        <v>78.133799999999994</v>
      </c>
      <c r="J27" s="237">
        <v>80.614500000000007</v>
      </c>
      <c r="K27" s="312"/>
      <c r="L27" s="312"/>
      <c r="M27" s="312"/>
      <c r="N27" s="236">
        <v>2511.9614000000001</v>
      </c>
      <c r="O27" s="245">
        <v>2879179.2386000003</v>
      </c>
      <c r="P27" s="243">
        <v>539846.11</v>
      </c>
      <c r="Q27" s="243">
        <v>431876.89</v>
      </c>
      <c r="R27" s="244">
        <v>0.15</v>
      </c>
      <c r="S27" s="243">
        <v>107969.22</v>
      </c>
      <c r="T27" s="286">
        <v>3.7499999999999999E-2</v>
      </c>
    </row>
    <row r="28" spans="1:20"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48056.306499999999</v>
      </c>
      <c r="H29" s="312">
        <v>58656.131399999998</v>
      </c>
      <c r="I29" s="237">
        <v>1.5</v>
      </c>
      <c r="J29" s="237">
        <v>1.5</v>
      </c>
      <c r="K29" s="312"/>
      <c r="L29" s="312"/>
      <c r="M29" s="312"/>
      <c r="N29" s="236">
        <v>1043.4294</v>
      </c>
      <c r="O29" s="245">
        <v>159025.23060000001</v>
      </c>
      <c r="P29" s="243">
        <v>29817.23</v>
      </c>
      <c r="Q29" s="243">
        <v>23853.78</v>
      </c>
      <c r="R29" s="244">
        <v>0.15</v>
      </c>
      <c r="S29" s="243">
        <v>5963.45</v>
      </c>
      <c r="T29" s="286">
        <v>3.7499999999999999E-2</v>
      </c>
    </row>
    <row r="30" spans="1:20" s="395" customFormat="1" x14ac:dyDescent="0.25">
      <c r="A30" s="409" t="s">
        <v>28</v>
      </c>
      <c r="B30" s="216" t="s">
        <v>319</v>
      </c>
      <c r="C30" s="62" t="s">
        <v>31</v>
      </c>
      <c r="D30" s="28" t="s">
        <v>30</v>
      </c>
      <c r="E30" s="62" t="s">
        <v>101</v>
      </c>
      <c r="F30" s="260" t="s">
        <v>56</v>
      </c>
      <c r="G30" s="236">
        <v>88160.967900000003</v>
      </c>
      <c r="H30" s="312">
        <v>104038.4322</v>
      </c>
      <c r="I30" s="237">
        <v>3.32</v>
      </c>
      <c r="J30" s="237">
        <v>3.2421000000000002</v>
      </c>
      <c r="K30" s="312"/>
      <c r="L30" s="312"/>
      <c r="M30" s="312"/>
      <c r="N30" s="236"/>
      <c r="O30" s="245">
        <v>629997.40999999992</v>
      </c>
      <c r="P30" s="243">
        <v>118124.51</v>
      </c>
      <c r="Q30" s="243">
        <v>94499.61</v>
      </c>
      <c r="R30" s="244">
        <v>0.15</v>
      </c>
      <c r="S30" s="243">
        <v>23624.9</v>
      </c>
      <c r="T30" s="286">
        <v>3.7499999999999999E-2</v>
      </c>
    </row>
    <row r="31" spans="1:20" s="395" customFormat="1" x14ac:dyDescent="0.25">
      <c r="A31" s="409" t="s">
        <v>28</v>
      </c>
      <c r="B31" s="216" t="s">
        <v>322</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x14ac:dyDescent="0.25">
      <c r="A32" s="26" t="s">
        <v>28</v>
      </c>
      <c r="B32" s="29" t="s">
        <v>340</v>
      </c>
      <c r="C32" s="62" t="s">
        <v>31</v>
      </c>
      <c r="D32" s="28" t="s">
        <v>30</v>
      </c>
      <c r="E32" s="62" t="s">
        <v>101</v>
      </c>
      <c r="F32" s="260" t="s">
        <v>56</v>
      </c>
      <c r="G32" s="236">
        <v>28.17</v>
      </c>
      <c r="H32" s="312">
        <v>57.14</v>
      </c>
      <c r="I32" s="237">
        <v>2.2999999999999998</v>
      </c>
      <c r="J32" s="237">
        <v>2.2999999999999998</v>
      </c>
      <c r="K32" s="312"/>
      <c r="L32" s="312"/>
      <c r="M32" s="312"/>
      <c r="N32" s="236"/>
      <c r="O32" s="245">
        <v>196.20999999999998</v>
      </c>
      <c r="P32" s="243">
        <v>36.79</v>
      </c>
      <c r="Q32" s="243">
        <v>29.43</v>
      </c>
      <c r="R32" s="244">
        <v>0.15</v>
      </c>
      <c r="S32" s="243">
        <v>7.36</v>
      </c>
      <c r="T32" s="286">
        <v>3.7499999999999999E-2</v>
      </c>
    </row>
    <row r="33" spans="1:20" x14ac:dyDescent="0.25">
      <c r="A33" s="26" t="s">
        <v>28</v>
      </c>
      <c r="B33" s="29" t="s">
        <v>336</v>
      </c>
      <c r="C33" s="62" t="s">
        <v>31</v>
      </c>
      <c r="D33" s="28" t="s">
        <v>30</v>
      </c>
      <c r="E33" s="62" t="s">
        <v>101</v>
      </c>
      <c r="F33" s="260" t="s">
        <v>56</v>
      </c>
      <c r="G33" s="236">
        <v>17670.87</v>
      </c>
      <c r="H33" s="312">
        <v>22639.05</v>
      </c>
      <c r="I33" s="237">
        <v>3.14</v>
      </c>
      <c r="J33" s="237">
        <v>3.14</v>
      </c>
      <c r="K33" s="312"/>
      <c r="L33" s="312"/>
      <c r="M33" s="312"/>
      <c r="N33" s="236"/>
      <c r="O33" s="245">
        <v>126573.15</v>
      </c>
      <c r="P33" s="243">
        <v>23732.47</v>
      </c>
      <c r="Q33" s="243">
        <v>18985.97</v>
      </c>
      <c r="R33" s="244">
        <v>0.15</v>
      </c>
      <c r="S33" s="243">
        <v>4746.49</v>
      </c>
      <c r="T33" s="286">
        <v>3.7499999999999999E-2</v>
      </c>
    </row>
    <row r="34" spans="1:20" x14ac:dyDescent="0.25">
      <c r="A34" s="26" t="s">
        <v>28</v>
      </c>
      <c r="B34" s="27" t="s">
        <v>15</v>
      </c>
      <c r="C34" s="62" t="s">
        <v>29</v>
      </c>
      <c r="D34" s="28" t="s">
        <v>21</v>
      </c>
      <c r="E34" s="62" t="s">
        <v>98</v>
      </c>
      <c r="F34" s="260" t="s">
        <v>37</v>
      </c>
      <c r="G34" s="312"/>
      <c r="H34" s="236">
        <v>179258</v>
      </c>
      <c r="I34" s="237"/>
      <c r="J34" s="237">
        <v>83.746200000000002</v>
      </c>
      <c r="K34" s="312"/>
      <c r="L34" s="312"/>
      <c r="M34" s="312"/>
      <c r="N34" s="236">
        <v>808.04359999999997</v>
      </c>
      <c r="O34" s="245">
        <v>15011368.2764</v>
      </c>
      <c r="P34" s="243">
        <v>2814631.55</v>
      </c>
      <c r="Q34" s="243">
        <v>2251705.2400000002</v>
      </c>
      <c r="R34" s="244">
        <v>0.15</v>
      </c>
      <c r="S34" s="243">
        <v>562926.31000000006</v>
      </c>
      <c r="T34" s="286">
        <v>3.7499999999999999E-2</v>
      </c>
    </row>
    <row r="35" spans="1:20" x14ac:dyDescent="0.25">
      <c r="A35" s="26" t="s">
        <v>28</v>
      </c>
      <c r="B35" s="27" t="s">
        <v>16</v>
      </c>
      <c r="C35" s="62" t="s">
        <v>29</v>
      </c>
      <c r="D35" s="28" t="s">
        <v>21</v>
      </c>
      <c r="E35" s="62" t="s">
        <v>98</v>
      </c>
      <c r="F35" s="260" t="s">
        <v>56</v>
      </c>
      <c r="G35" s="312"/>
      <c r="H35" s="236">
        <v>383203.3</v>
      </c>
      <c r="I35" s="236"/>
      <c r="J35" s="237">
        <v>7.8171999999999997</v>
      </c>
      <c r="K35" s="312"/>
      <c r="L35" s="312"/>
      <c r="M35" s="312"/>
      <c r="N35" s="236">
        <v>709.67430000000002</v>
      </c>
      <c r="O35" s="245">
        <v>2994867.1656999998</v>
      </c>
      <c r="P35" s="243">
        <v>561537.59</v>
      </c>
      <c r="Q35" s="243">
        <v>449230.07</v>
      </c>
      <c r="R35" s="244">
        <v>0.15</v>
      </c>
      <c r="S35" s="243">
        <v>112307.52</v>
      </c>
      <c r="T35" s="286">
        <v>3.7499999999999999E-2</v>
      </c>
    </row>
    <row r="36" spans="1:20" x14ac:dyDescent="0.25">
      <c r="A36" s="26" t="s">
        <v>28</v>
      </c>
      <c r="B36" s="27" t="s">
        <v>173</v>
      </c>
      <c r="C36" s="62" t="s">
        <v>31</v>
      </c>
      <c r="D36" s="28" t="s">
        <v>30</v>
      </c>
      <c r="E36" s="62" t="s">
        <v>101</v>
      </c>
      <c r="F36" s="260" t="s">
        <v>37</v>
      </c>
      <c r="G36" s="312">
        <v>150</v>
      </c>
      <c r="H36" s="236">
        <v>150</v>
      </c>
      <c r="I36" s="238">
        <v>80.113799999999998</v>
      </c>
      <c r="J36" s="237">
        <v>82.594499999999996</v>
      </c>
      <c r="K36" s="312"/>
      <c r="L36" s="312"/>
      <c r="M36" s="312"/>
      <c r="N36" s="236">
        <v>154.58170000000001</v>
      </c>
      <c r="O36" s="245">
        <v>24251.668300000001</v>
      </c>
      <c r="P36" s="243">
        <v>4547.1899999999996</v>
      </c>
      <c r="Q36" s="243">
        <v>909.44</v>
      </c>
      <c r="R36" s="286">
        <v>3.7499999999999999E-2</v>
      </c>
      <c r="S36" s="243">
        <v>3637.75</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22274</v>
      </c>
      <c r="I39" s="238"/>
      <c r="J39" s="238">
        <v>78.971299999999999</v>
      </c>
      <c r="K39" s="236"/>
      <c r="L39" s="312"/>
      <c r="M39" s="312"/>
      <c r="N39" s="236">
        <v>772.91079999999999</v>
      </c>
      <c r="O39" s="245">
        <v>1758233.8292</v>
      </c>
      <c r="P39" s="243">
        <v>329668.84000000003</v>
      </c>
      <c r="Q39" s="243">
        <v>263735.07</v>
      </c>
      <c r="R39" s="247">
        <v>0.15</v>
      </c>
      <c r="S39" s="243">
        <v>65933.77</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24962.02000000047</v>
      </c>
      <c r="P41" s="245">
        <v>4680.3599999999697</v>
      </c>
      <c r="Q41" s="245">
        <v>3744.3000000000065</v>
      </c>
      <c r="R41" s="275"/>
      <c r="S41" s="245">
        <v>936.06999999999744</v>
      </c>
      <c r="T41" s="244"/>
    </row>
    <row r="42" spans="1:20" x14ac:dyDescent="0.25">
      <c r="A42" s="34"/>
      <c r="B42" s="165" t="s">
        <v>108</v>
      </c>
      <c r="C42" s="35" t="s">
        <v>343</v>
      </c>
      <c r="D42" s="43"/>
      <c r="E42" s="44"/>
      <c r="F42" s="270"/>
      <c r="G42" s="239"/>
      <c r="H42" s="239"/>
      <c r="I42" s="240"/>
      <c r="J42" s="240"/>
      <c r="K42" s="239"/>
      <c r="L42" s="239"/>
      <c r="M42" s="239"/>
      <c r="N42" s="239"/>
      <c r="O42" s="249">
        <v>77277368.314500004</v>
      </c>
      <c r="P42" s="250">
        <v>14489506.549999999</v>
      </c>
      <c r="Q42" s="251">
        <v>11588876.92</v>
      </c>
      <c r="R42" s="252"/>
      <c r="S42" s="253">
        <v>2900629.6100000003</v>
      </c>
      <c r="T42" s="252"/>
    </row>
    <row r="43" spans="1:20" x14ac:dyDescent="0.25">
      <c r="A43" s="136"/>
      <c r="B43" s="137"/>
      <c r="C43" s="35" t="s">
        <v>344</v>
      </c>
      <c r="D43" s="148"/>
      <c r="E43" s="148"/>
      <c r="F43" s="149"/>
      <c r="G43" s="299"/>
      <c r="H43" s="299"/>
      <c r="I43" s="221"/>
      <c r="J43" s="221"/>
      <c r="K43" s="299"/>
      <c r="L43" s="299"/>
      <c r="M43" s="299"/>
      <c r="N43" s="299"/>
      <c r="O43" s="228"/>
      <c r="P43" s="229">
        <v>58247816.329999998</v>
      </c>
      <c r="Q43" s="495">
        <v>46587285.219999999</v>
      </c>
      <c r="R43" s="151"/>
      <c r="S43" s="494">
        <v>11660531.029999999</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29425</v>
      </c>
      <c r="H46" s="236">
        <v>30378</v>
      </c>
      <c r="I46" s="238">
        <v>70.55</v>
      </c>
      <c r="J46" s="238">
        <v>73.022599999999997</v>
      </c>
      <c r="K46" s="312"/>
      <c r="L46" s="312"/>
      <c r="M46" s="312"/>
      <c r="N46" s="312">
        <v>3112.7229000000002</v>
      </c>
      <c r="O46" s="662">
        <v>4291101.5670999996</v>
      </c>
      <c r="P46" s="243">
        <v>643665.24</v>
      </c>
      <c r="Q46" s="243">
        <v>643665.24</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4291101.5670999996</v>
      </c>
      <c r="P48" s="250">
        <v>643665.24</v>
      </c>
      <c r="Q48" s="250">
        <v>643665.24</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2587534.2599999998</v>
      </c>
      <c r="Q49" s="495">
        <v>2587534.2599999998</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127183.1004</v>
      </c>
      <c r="H56" s="236">
        <v>123726.5336</v>
      </c>
      <c r="I56" s="238">
        <v>3.6581000000000001</v>
      </c>
      <c r="J56" s="238">
        <v>3.6594000000000002</v>
      </c>
      <c r="K56" s="312"/>
      <c r="L56" s="312"/>
      <c r="M56" s="312"/>
      <c r="N56" s="236">
        <v>389.9699</v>
      </c>
      <c r="O56" s="245">
        <v>917623.41009999998</v>
      </c>
      <c r="P56" s="243">
        <v>172054.39</v>
      </c>
      <c r="Q56" s="243">
        <v>34410.879999999997</v>
      </c>
      <c r="R56" s="286">
        <v>3.7499999999999999E-2</v>
      </c>
      <c r="S56" s="243">
        <v>137643.51</v>
      </c>
      <c r="T56" s="244">
        <v>0.15</v>
      </c>
    </row>
    <row r="57" spans="1:20" x14ac:dyDescent="0.25">
      <c r="A57" s="26" t="s">
        <v>28</v>
      </c>
      <c r="B57" s="29" t="s">
        <v>75</v>
      </c>
      <c r="C57" s="62" t="s">
        <v>31</v>
      </c>
      <c r="D57" s="62" t="s">
        <v>30</v>
      </c>
      <c r="E57" s="62" t="s">
        <v>103</v>
      </c>
      <c r="F57" s="261" t="s">
        <v>37</v>
      </c>
      <c r="G57" s="236">
        <v>1727</v>
      </c>
      <c r="H57" s="236">
        <v>1964</v>
      </c>
      <c r="I57" s="238">
        <v>58.0017</v>
      </c>
      <c r="J57" s="238">
        <v>56.520699999999998</v>
      </c>
      <c r="K57" s="312"/>
      <c r="L57" s="312"/>
      <c r="M57" s="312"/>
      <c r="N57" s="312">
        <v>1767.1568</v>
      </c>
      <c r="O57" s="245">
        <v>209408.4332</v>
      </c>
      <c r="P57" s="243">
        <v>39264.080000000002</v>
      </c>
      <c r="Q57" s="243">
        <v>7852.82</v>
      </c>
      <c r="R57" s="286">
        <v>3.7499999999999999E-2</v>
      </c>
      <c r="S57" s="243">
        <v>31411.26</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211874</v>
      </c>
      <c r="H60" s="236">
        <v>183900</v>
      </c>
      <c r="I60" s="238">
        <v>65.730599999999995</v>
      </c>
      <c r="J60" s="238">
        <v>67.534300000000002</v>
      </c>
      <c r="K60" s="236"/>
      <c r="L60" s="312"/>
      <c r="M60" s="312"/>
      <c r="N60" s="236">
        <v>4166.6934000000001</v>
      </c>
      <c r="O60" s="245">
        <v>26341996.216600001</v>
      </c>
      <c r="P60" s="243">
        <v>4939124.29</v>
      </c>
      <c r="Q60" s="243">
        <v>3951299.43</v>
      </c>
      <c r="R60" s="244">
        <v>0.15</v>
      </c>
      <c r="S60" s="243">
        <v>987824.86</v>
      </c>
      <c r="T60" s="286">
        <v>3.7499999999999999E-2</v>
      </c>
    </row>
    <row r="61" spans="1:20" x14ac:dyDescent="0.25">
      <c r="A61" s="26" t="s">
        <v>28</v>
      </c>
      <c r="B61" s="302">
        <v>67</v>
      </c>
      <c r="C61" s="62" t="s">
        <v>31</v>
      </c>
      <c r="D61" s="62" t="s">
        <v>30</v>
      </c>
      <c r="E61" s="62" t="s">
        <v>101</v>
      </c>
      <c r="F61" s="261" t="s">
        <v>37</v>
      </c>
      <c r="G61" s="236">
        <v>45305</v>
      </c>
      <c r="H61" s="236">
        <v>20611</v>
      </c>
      <c r="I61" s="238">
        <v>45.7166</v>
      </c>
      <c r="J61" s="238">
        <v>47.524000000000001</v>
      </c>
      <c r="K61" s="236"/>
      <c r="L61" s="312"/>
      <c r="M61" s="312"/>
      <c r="N61" s="236">
        <v>2884.3636999999999</v>
      </c>
      <c r="O61" s="245">
        <v>3047823.3563000001</v>
      </c>
      <c r="P61" s="243">
        <v>571466.88</v>
      </c>
      <c r="Q61" s="243">
        <v>457173.5</v>
      </c>
      <c r="R61" s="244">
        <v>0.15</v>
      </c>
      <c r="S61" s="243">
        <v>114293.38</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30516851.416200001</v>
      </c>
      <c r="P63" s="250">
        <v>5721909.6399999997</v>
      </c>
      <c r="Q63" s="250">
        <v>4450736.6300000008</v>
      </c>
      <c r="R63" s="266"/>
      <c r="S63" s="250">
        <v>1271173.0099999998</v>
      </c>
      <c r="T63" s="252"/>
    </row>
    <row r="64" spans="1:20" x14ac:dyDescent="0.25">
      <c r="A64" s="157"/>
      <c r="B64" s="158"/>
      <c r="C64" s="35" t="s">
        <v>348</v>
      </c>
      <c r="D64" s="114"/>
      <c r="E64" s="114"/>
      <c r="F64" s="157"/>
      <c r="G64" s="227"/>
      <c r="H64" s="227"/>
      <c r="I64" s="224"/>
      <c r="J64" s="224"/>
      <c r="K64" s="227"/>
      <c r="L64" s="227"/>
      <c r="M64" s="227"/>
      <c r="N64" s="227"/>
      <c r="O64" s="230"/>
      <c r="P64" s="231">
        <v>23002076.75</v>
      </c>
      <c r="Q64" s="494">
        <v>17891961.25</v>
      </c>
      <c r="R64" s="172"/>
      <c r="S64" s="494">
        <v>5110115.5</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810594</v>
      </c>
      <c r="H66" s="312">
        <v>809008</v>
      </c>
      <c r="I66" s="237">
        <v>64.983599999999996</v>
      </c>
      <c r="J66" s="237">
        <v>65.127600000000001</v>
      </c>
      <c r="K66" s="312"/>
      <c r="L66" s="312"/>
      <c r="M66" s="312"/>
      <c r="N66" s="312"/>
      <c r="O66" s="245">
        <v>105364065.67919999</v>
      </c>
      <c r="P66" s="281">
        <v>39237578.060000002</v>
      </c>
      <c r="Q66" s="281">
        <v>19618789.030000001</v>
      </c>
      <c r="R66" s="244">
        <v>0.5</v>
      </c>
      <c r="S66" s="243"/>
      <c r="T66" s="286"/>
    </row>
    <row r="67" spans="1:20" x14ac:dyDescent="0.25">
      <c r="A67" s="26" t="s">
        <v>28</v>
      </c>
      <c r="B67" s="27" t="s">
        <v>162</v>
      </c>
      <c r="C67" s="62" t="s">
        <v>31</v>
      </c>
      <c r="D67" s="62" t="s">
        <v>30</v>
      </c>
      <c r="E67" s="62" t="s">
        <v>161</v>
      </c>
      <c r="F67" s="262" t="s">
        <v>56</v>
      </c>
      <c r="G67" s="312">
        <v>12088429.310000001</v>
      </c>
      <c r="H67" s="312">
        <v>12297797.85</v>
      </c>
      <c r="I67" s="237">
        <v>1.8939999999999999</v>
      </c>
      <c r="J67" s="237">
        <v>1.8939999999999999</v>
      </c>
      <c r="K67" s="312"/>
      <c r="L67" s="312"/>
      <c r="M67" s="312"/>
      <c r="N67" s="312"/>
      <c r="O67" s="245">
        <v>46187514.241039991</v>
      </c>
      <c r="P67" s="281">
        <v>17200230.300000001</v>
      </c>
      <c r="Q67" s="281">
        <v>8600115.1500000004</v>
      </c>
      <c r="R67" s="244">
        <v>0.5</v>
      </c>
      <c r="S67" s="243"/>
      <c r="T67" s="244"/>
    </row>
    <row r="68" spans="1:20" x14ac:dyDescent="0.25">
      <c r="A68" s="26" t="s">
        <v>28</v>
      </c>
      <c r="B68" s="27" t="s">
        <v>181</v>
      </c>
      <c r="C68" s="62" t="s">
        <v>31</v>
      </c>
      <c r="D68" s="62" t="s">
        <v>30</v>
      </c>
      <c r="E68" s="62" t="s">
        <v>161</v>
      </c>
      <c r="F68" s="262" t="s">
        <v>56</v>
      </c>
      <c r="G68" s="312">
        <v>26305.85</v>
      </c>
      <c r="H68" s="312">
        <v>23528.35</v>
      </c>
      <c r="I68" s="237">
        <v>2.7581000000000002</v>
      </c>
      <c r="J68" s="237">
        <v>2.7581000000000002</v>
      </c>
      <c r="K68" s="312"/>
      <c r="L68" s="312"/>
      <c r="M68" s="312"/>
      <c r="N68" s="312"/>
      <c r="O68" s="245">
        <v>137447.70702</v>
      </c>
      <c r="P68" s="281">
        <v>51185.53</v>
      </c>
      <c r="Q68" s="281">
        <v>25592.77</v>
      </c>
      <c r="R68" s="244">
        <v>0.5</v>
      </c>
      <c r="S68" s="243"/>
      <c r="T68" s="244"/>
    </row>
    <row r="69" spans="1:20" s="304" customFormat="1" ht="12" customHeight="1" x14ac:dyDescent="0.25">
      <c r="A69" s="612" t="s">
        <v>28</v>
      </c>
      <c r="B69" s="613" t="s">
        <v>182</v>
      </c>
      <c r="C69" s="614" t="s">
        <v>31</v>
      </c>
      <c r="D69" s="614" t="s">
        <v>30</v>
      </c>
      <c r="E69" s="614" t="s">
        <v>161</v>
      </c>
      <c r="F69" s="664" t="s">
        <v>56</v>
      </c>
      <c r="G69" s="281">
        <v>888743.59</v>
      </c>
      <c r="H69" s="281">
        <v>886702.75</v>
      </c>
      <c r="I69" s="364">
        <v>8.343</v>
      </c>
      <c r="J69" s="364">
        <v>14.521000000000001</v>
      </c>
      <c r="K69" s="281"/>
      <c r="L69" s="281"/>
      <c r="M69" s="281"/>
      <c r="N69" s="281"/>
      <c r="O69" s="665">
        <v>20290598.404119998</v>
      </c>
      <c r="P69" s="281">
        <v>7710427.3899999997</v>
      </c>
      <c r="Q69" s="281">
        <v>3855213.7</v>
      </c>
      <c r="R69" s="666">
        <v>0.5</v>
      </c>
      <c r="S69" s="281"/>
      <c r="T69" s="618"/>
    </row>
    <row r="70" spans="1:20" x14ac:dyDescent="0.25">
      <c r="A70" s="26" t="s">
        <v>28</v>
      </c>
      <c r="B70" s="29" t="s">
        <v>171</v>
      </c>
      <c r="C70" s="62" t="s">
        <v>31</v>
      </c>
      <c r="D70" s="62" t="s">
        <v>30</v>
      </c>
      <c r="E70" s="62" t="s">
        <v>161</v>
      </c>
      <c r="F70" s="261" t="s">
        <v>37</v>
      </c>
      <c r="G70" s="312">
        <v>299163</v>
      </c>
      <c r="H70" s="312">
        <v>328572</v>
      </c>
      <c r="I70" s="237">
        <v>64.973500000000001</v>
      </c>
      <c r="J70" s="237">
        <v>65.107799999999997</v>
      </c>
      <c r="K70" s="312"/>
      <c r="L70" s="312"/>
      <c r="M70" s="312"/>
      <c r="N70" s="312"/>
      <c r="O70" s="245">
        <v>40830267.2421</v>
      </c>
      <c r="P70" s="281">
        <v>16332106.890000001</v>
      </c>
      <c r="Q70" s="281">
        <v>8166053.4500000002</v>
      </c>
      <c r="R70" s="244">
        <v>0.5</v>
      </c>
      <c r="S70" s="243"/>
      <c r="T70" s="244"/>
    </row>
    <row r="71" spans="1:20" x14ac:dyDescent="0.25">
      <c r="A71" s="26" t="s">
        <v>28</v>
      </c>
      <c r="B71" s="29" t="s">
        <v>172</v>
      </c>
      <c r="C71" s="62" t="s">
        <v>31</v>
      </c>
      <c r="D71" s="62" t="s">
        <v>30</v>
      </c>
      <c r="E71" s="62" t="s">
        <v>161</v>
      </c>
      <c r="F71" s="261" t="s">
        <v>56</v>
      </c>
      <c r="G71" s="312">
        <v>5970093.3099999996</v>
      </c>
      <c r="H71" s="312">
        <v>4863061.37</v>
      </c>
      <c r="I71" s="610">
        <v>8.343</v>
      </c>
      <c r="J71" s="237">
        <v>14.521000000000001</v>
      </c>
      <c r="K71" s="312"/>
      <c r="L71" s="312"/>
      <c r="M71" s="312"/>
      <c r="N71" s="312"/>
      <c r="O71" s="245">
        <v>120425002.63909999</v>
      </c>
      <c r="P71" s="281">
        <v>45761501</v>
      </c>
      <c r="Q71" s="281">
        <v>22880750.5</v>
      </c>
      <c r="R71" s="244">
        <v>0.5</v>
      </c>
      <c r="S71" s="243"/>
      <c r="T71" s="244"/>
    </row>
    <row r="72" spans="1:20" x14ac:dyDescent="0.25">
      <c r="A72" s="26" t="s">
        <v>28</v>
      </c>
      <c r="B72" s="32" t="s">
        <v>177</v>
      </c>
      <c r="C72" s="62" t="s">
        <v>31</v>
      </c>
      <c r="D72" s="62" t="s">
        <v>30</v>
      </c>
      <c r="E72" s="62" t="s">
        <v>161</v>
      </c>
      <c r="F72" s="261" t="s">
        <v>56</v>
      </c>
      <c r="G72" s="312">
        <v>260989.68</v>
      </c>
      <c r="H72" s="312">
        <v>207799.25</v>
      </c>
      <c r="I72" s="610">
        <v>2.0059999999999998</v>
      </c>
      <c r="J72" s="237">
        <v>2.0059999999999998</v>
      </c>
      <c r="K72" s="236"/>
      <c r="L72" s="312"/>
      <c r="M72" s="312"/>
      <c r="N72" s="236"/>
      <c r="O72" s="245">
        <v>940390.59357999987</v>
      </c>
      <c r="P72" s="281">
        <v>350201.46</v>
      </c>
      <c r="Q72" s="281">
        <v>175100.73</v>
      </c>
      <c r="R72" s="244">
        <v>0.5</v>
      </c>
      <c r="S72" s="243"/>
      <c r="T72" s="286"/>
    </row>
    <row r="73" spans="1:20" x14ac:dyDescent="0.25">
      <c r="A73" s="26" t="s">
        <v>28</v>
      </c>
      <c r="B73" s="32" t="s">
        <v>179</v>
      </c>
      <c r="C73" s="62" t="s">
        <v>31</v>
      </c>
      <c r="D73" s="62" t="s">
        <v>30</v>
      </c>
      <c r="E73" s="62" t="s">
        <v>161</v>
      </c>
      <c r="F73" s="261" t="s">
        <v>37</v>
      </c>
      <c r="G73" s="312">
        <v>199954</v>
      </c>
      <c r="H73" s="312">
        <v>169790</v>
      </c>
      <c r="I73" s="237">
        <v>59.5334</v>
      </c>
      <c r="J73" s="237">
        <v>59.668300000000002</v>
      </c>
      <c r="K73" s="236"/>
      <c r="L73" s="312"/>
      <c r="M73" s="312"/>
      <c r="N73" s="236"/>
      <c r="O73" s="245">
        <v>22035022.1206</v>
      </c>
      <c r="P73" s="281">
        <v>1366905.6633359999</v>
      </c>
      <c r="Q73" s="281">
        <v>683452.83</v>
      </c>
      <c r="R73" s="244">
        <v>0.5</v>
      </c>
      <c r="S73" s="243"/>
      <c r="T73" s="286"/>
    </row>
    <row r="74" spans="1:20" x14ac:dyDescent="0.25">
      <c r="A74" s="26" t="s">
        <v>28</v>
      </c>
      <c r="B74" s="302" t="s">
        <v>180</v>
      </c>
      <c r="C74" s="62" t="s">
        <v>31</v>
      </c>
      <c r="D74" s="62" t="s">
        <v>30</v>
      </c>
      <c r="E74" s="62" t="s">
        <v>161</v>
      </c>
      <c r="F74" s="261" t="s">
        <v>56</v>
      </c>
      <c r="G74" s="312">
        <v>3226507.74</v>
      </c>
      <c r="H74" s="312">
        <v>2728727.27</v>
      </c>
      <c r="I74" s="349">
        <v>11.949</v>
      </c>
      <c r="J74" s="237">
        <v>11.949</v>
      </c>
      <c r="K74" s="472"/>
      <c r="L74" s="312"/>
      <c r="M74" s="312"/>
      <c r="N74" s="236"/>
      <c r="O74" s="245">
        <v>71159103.134489998</v>
      </c>
      <c r="P74" s="281">
        <v>6796727.3646069989</v>
      </c>
      <c r="Q74" s="281">
        <v>3398363.68</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-7516296.5430908781</v>
      </c>
      <c r="P75" s="213">
        <v>-7090476.0328539954</v>
      </c>
      <c r="Q75" s="213">
        <v>-3545238.0299999993</v>
      </c>
      <c r="R75" s="160"/>
      <c r="S75" s="201"/>
      <c r="T75" s="160"/>
    </row>
    <row r="76" spans="1:20" x14ac:dyDescent="0.25">
      <c r="A76" s="34"/>
      <c r="B76" s="165" t="s">
        <v>108</v>
      </c>
      <c r="C76" s="35" t="s">
        <v>349</v>
      </c>
      <c r="D76" s="22"/>
      <c r="E76" s="22"/>
      <c r="F76" s="297"/>
      <c r="G76" s="282">
        <v>6231082.9899999993</v>
      </c>
      <c r="H76" s="282">
        <v>5070860.62</v>
      </c>
      <c r="I76" s="356"/>
      <c r="J76" s="282"/>
      <c r="K76" s="294"/>
      <c r="L76" s="287"/>
      <c r="M76" s="353"/>
      <c r="N76" s="219"/>
      <c r="O76" s="219">
        <v>419853115.21815914</v>
      </c>
      <c r="P76" s="219">
        <v>127716387.62508899</v>
      </c>
      <c r="Q76" s="219">
        <v>63858193.810000002</v>
      </c>
      <c r="R76" s="199"/>
      <c r="S76" s="207"/>
      <c r="T76" s="160"/>
    </row>
    <row r="77" spans="1:20" x14ac:dyDescent="0.25">
      <c r="A77" s="157"/>
      <c r="B77" s="158"/>
      <c r="C77" s="35" t="s">
        <v>350</v>
      </c>
      <c r="D77" s="114"/>
      <c r="E77" s="114"/>
      <c r="F77" s="297"/>
      <c r="G77" s="283">
        <v>8.0775739729651708</v>
      </c>
      <c r="H77" s="283">
        <v>14.008146697841992</v>
      </c>
      <c r="I77" s="357"/>
      <c r="J77" s="282"/>
      <c r="K77" s="295"/>
      <c r="L77" s="288"/>
      <c r="M77" s="478"/>
      <c r="N77" s="479"/>
      <c r="O77" s="479"/>
      <c r="P77" s="209"/>
      <c r="Q77" s="209">
        <v>256709939.11619997</v>
      </c>
      <c r="R77" s="198"/>
      <c r="S77" s="207"/>
      <c r="T77" s="160"/>
    </row>
    <row r="78" spans="1:20" x14ac:dyDescent="0.25">
      <c r="A78" s="10" t="s">
        <v>55</v>
      </c>
      <c r="B78" s="308"/>
      <c r="C78" s="308"/>
      <c r="D78" s="308"/>
      <c r="E78" s="308"/>
      <c r="F78" s="298"/>
      <c r="G78" s="284">
        <v>50332033.78340999</v>
      </c>
      <c r="H78" s="284">
        <v>71033359.449269995</v>
      </c>
      <c r="I78" s="282">
        <v>121365393.23267999</v>
      </c>
      <c r="J78" s="282">
        <v>121365393.23267998</v>
      </c>
      <c r="K78" s="358">
        <v>0</v>
      </c>
      <c r="L78" s="359"/>
      <c r="M78" s="311">
        <v>0</v>
      </c>
      <c r="N78" s="311">
        <v>31028.872199999998</v>
      </c>
      <c r="O78" s="311">
        <v>531938436.51595914</v>
      </c>
      <c r="P78" s="311">
        <v>84713275.239999995</v>
      </c>
      <c r="Q78" s="211">
        <v>340547366.37619996</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H80" s="99" t="s">
        <v>77</v>
      </c>
      <c r="J80" s="72"/>
      <c r="K80" s="72"/>
      <c r="L80" s="6"/>
      <c r="M80" s="6"/>
      <c r="N80" s="220"/>
      <c r="O80" s="635"/>
      <c r="P80" s="285"/>
      <c r="Q80" s="72"/>
      <c r="R80" s="6"/>
      <c r="S80" s="285"/>
      <c r="T80" s="6"/>
    </row>
    <row r="81" spans="1:20" x14ac:dyDescent="0.25">
      <c r="A81" s="6"/>
      <c r="B81" s="126" t="s">
        <v>78</v>
      </c>
      <c r="C81" s="127" t="s">
        <v>79</v>
      </c>
      <c r="D81" s="128"/>
      <c r="E81" s="129" t="s">
        <v>35</v>
      </c>
      <c r="F81" s="129" t="s">
        <v>80</v>
      </c>
      <c r="H81" s="100" t="s">
        <v>35</v>
      </c>
      <c r="I81" s="308"/>
      <c r="J81" s="308"/>
      <c r="K81" s="308"/>
      <c r="L81" s="101"/>
      <c r="M81" s="6"/>
      <c r="N81" s="451"/>
      <c r="O81" s="635"/>
      <c r="P81" s="346"/>
      <c r="Q81" s="74"/>
      <c r="R81" s="6"/>
      <c r="S81" s="6"/>
      <c r="T81" s="6"/>
    </row>
    <row r="82" spans="1:20" x14ac:dyDescent="0.25">
      <c r="A82" s="7"/>
      <c r="B82" s="102" t="s">
        <v>81</v>
      </c>
      <c r="C82" s="103" t="s">
        <v>82</v>
      </c>
      <c r="D82" s="104"/>
      <c r="E82" s="105"/>
      <c r="F82" s="105"/>
      <c r="H82" s="106" t="s">
        <v>352</v>
      </c>
      <c r="I82" s="6"/>
      <c r="J82" s="6"/>
      <c r="K82" s="6"/>
      <c r="L82" s="107"/>
      <c r="M82" s="393">
        <v>6.2200000337121024E-2</v>
      </c>
      <c r="N82" s="393">
        <v>6.4199999463479832E-2</v>
      </c>
      <c r="O82" s="663"/>
      <c r="P82" s="220"/>
      <c r="Q82" s="72"/>
      <c r="R82" s="6"/>
      <c r="S82" s="6"/>
      <c r="T82" s="6"/>
    </row>
    <row r="83" spans="1:20" x14ac:dyDescent="0.25">
      <c r="A83" s="6"/>
      <c r="B83" s="108" t="s">
        <v>83</v>
      </c>
      <c r="C83" s="109" t="s">
        <v>84</v>
      </c>
      <c r="D83" s="110"/>
      <c r="E83" s="111"/>
      <c r="F83" s="112"/>
      <c r="H83" s="113">
        <v>0</v>
      </c>
      <c r="I83" s="114"/>
      <c r="J83" s="114"/>
      <c r="K83" s="114"/>
      <c r="L83" s="115"/>
      <c r="M83" s="393">
        <v>9.4199999857272176E-2</v>
      </c>
      <c r="N83" s="393">
        <v>9.8900000237297003E-2</v>
      </c>
      <c r="O83" s="405"/>
      <c r="P83" s="220"/>
      <c r="Q83" s="473"/>
      <c r="R83" s="6"/>
      <c r="S83" s="6"/>
      <c r="T83" s="6"/>
    </row>
    <row r="84" spans="1:20" x14ac:dyDescent="0.25">
      <c r="A84" s="6"/>
      <c r="B84" s="108" t="s">
        <v>85</v>
      </c>
      <c r="C84" s="109" t="s">
        <v>86</v>
      </c>
      <c r="D84" s="110"/>
      <c r="E84" s="111"/>
      <c r="F84" s="111"/>
      <c r="G84" s="6"/>
      <c r="I84" s="116"/>
      <c r="J84" s="6"/>
      <c r="K84" s="6"/>
      <c r="L84" s="6"/>
      <c r="M84" s="393">
        <v>0.39999999969547706</v>
      </c>
      <c r="N84" s="393">
        <v>0.39999999979093542</v>
      </c>
      <c r="O84" s="403"/>
      <c r="P84" s="6"/>
      <c r="Q84" s="72"/>
      <c r="R84" s="6"/>
      <c r="S84" s="6"/>
      <c r="T84" s="6"/>
    </row>
    <row r="85" spans="1:20" x14ac:dyDescent="0.25">
      <c r="A85" s="6"/>
      <c r="B85" s="108" t="s">
        <v>87</v>
      </c>
      <c r="C85" s="109" t="s">
        <v>88</v>
      </c>
      <c r="D85" s="110"/>
      <c r="E85" s="117"/>
      <c r="F85" s="117"/>
      <c r="G85" s="6"/>
      <c r="H85" s="100" t="s">
        <v>80</v>
      </c>
      <c r="I85" s="118"/>
      <c r="J85" s="308"/>
      <c r="K85" s="308"/>
      <c r="L85" s="101"/>
      <c r="M85" s="393">
        <v>0.38000000287019686</v>
      </c>
      <c r="N85" s="393"/>
      <c r="O85" s="403"/>
      <c r="P85" s="6"/>
      <c r="Q85" s="6"/>
      <c r="R85" s="6"/>
      <c r="S85" s="6"/>
      <c r="T85" s="6"/>
    </row>
    <row r="86" spans="1:20" x14ac:dyDescent="0.25">
      <c r="A86" s="6"/>
      <c r="B86" s="108" t="s">
        <v>89</v>
      </c>
      <c r="C86" s="109" t="s">
        <v>90</v>
      </c>
      <c r="D86" s="110"/>
      <c r="E86" s="119"/>
      <c r="F86" s="112"/>
      <c r="G86" s="6"/>
      <c r="H86" s="106" t="s">
        <v>352</v>
      </c>
      <c r="I86" s="116"/>
      <c r="J86" s="6"/>
      <c r="K86" s="6"/>
      <c r="L86" s="107"/>
      <c r="M86" s="7"/>
      <c r="N86" s="473"/>
      <c r="O86" s="403"/>
      <c r="P86" s="6"/>
      <c r="Q86" s="6"/>
      <c r="R86" s="6"/>
      <c r="S86" s="6"/>
      <c r="T86" s="6"/>
    </row>
    <row r="87" spans="1:20" x14ac:dyDescent="0.25">
      <c r="A87" s="6"/>
      <c r="B87" s="120" t="s">
        <v>91</v>
      </c>
      <c r="C87" s="121" t="s">
        <v>92</v>
      </c>
      <c r="D87" s="122"/>
      <c r="E87" s="123">
        <v>0</v>
      </c>
      <c r="F87" s="123">
        <v>0</v>
      </c>
      <c r="G87" s="6"/>
      <c r="H87" s="113">
        <v>0</v>
      </c>
      <c r="I87" s="124"/>
      <c r="J87" s="114"/>
      <c r="K87" s="114"/>
      <c r="L87" s="115"/>
      <c r="M87" s="403"/>
      <c r="N87" s="403"/>
      <c r="O87" s="403"/>
      <c r="P87" s="6"/>
      <c r="Q87" s="6"/>
      <c r="R87" s="6"/>
      <c r="S87" s="6"/>
      <c r="T87" s="6"/>
    </row>
    <row r="88" spans="1:20" x14ac:dyDescent="0.25">
      <c r="A88" s="5"/>
      <c r="C88" s="4"/>
      <c r="D88" s="4"/>
      <c r="H88" s="190"/>
      <c r="M88" s="406"/>
      <c r="N88" s="406"/>
      <c r="O88" s="406"/>
    </row>
    <row r="90" spans="1:20" x14ac:dyDescent="0.25">
      <c r="A90" s="307" t="s">
        <v>339</v>
      </c>
    </row>
  </sheetData>
  <mergeCells count="2">
    <mergeCell ref="C7:C8"/>
    <mergeCell ref="O7:O8"/>
  </mergeCells>
  <phoneticPr fontId="0" type="noConversion"/>
  <printOptions horizontalCentered="1" verticalCentered="1"/>
  <pageMargins left="0.25" right="0.25" top="0.5" bottom="0.5" header="0" footer="0"/>
  <pageSetup paperSize="9" scale="47"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88"/>
  <sheetViews>
    <sheetView view="pageBreakPreview" zoomScale="115" zoomScaleNormal="95" zoomScaleSheetLayoutView="115" workbookViewId="0">
      <pane xSplit="2" topLeftCell="C1" activePane="topRight" state="frozen"/>
      <selection pane="topRight" activeCell="A3" sqref="A3"/>
    </sheetView>
  </sheetViews>
  <sheetFormatPr baseColWidth="10" defaultColWidth="8.90625" defaultRowHeight="13.2" x14ac:dyDescent="0.25"/>
  <cols>
    <col min="1" max="1" width="3" style="307" customWidth="1"/>
    <col min="2" max="2" width="12.81640625" style="307" customWidth="1"/>
    <col min="3" max="3" width="7.1796875" style="307" customWidth="1"/>
    <col min="4" max="4" width="9.1796875" style="307" customWidth="1"/>
    <col min="5" max="5" width="6.08984375" style="307" customWidth="1"/>
    <col min="6" max="6" width="7.1796875" style="307" customWidth="1"/>
    <col min="7" max="14" width="10.453125" style="307" customWidth="1"/>
    <col min="15" max="15" width="12.453125" style="307" customWidth="1"/>
    <col min="16" max="16" width="11.54296875" style="307" customWidth="1"/>
    <col min="17" max="17" width="12.8164062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44501</v>
      </c>
      <c r="F1" s="300">
        <v>4.0430000000000001</v>
      </c>
    </row>
    <row r="2" spans="1:20" x14ac:dyDescent="0.25">
      <c r="A2" s="3" t="s">
        <v>0</v>
      </c>
    </row>
    <row r="3" spans="1:20" x14ac:dyDescent="0.25">
      <c r="A3" s="144" t="s">
        <v>109</v>
      </c>
      <c r="B3" s="144"/>
      <c r="C3" s="144"/>
      <c r="D3" s="144"/>
      <c r="E3" s="144"/>
      <c r="F3" s="144"/>
      <c r="G3" s="144"/>
      <c r="H3" s="144"/>
      <c r="I3" s="144"/>
      <c r="J3" s="144"/>
      <c r="K3" s="144"/>
      <c r="L3" s="144"/>
      <c r="M3" s="144"/>
      <c r="N3" s="144"/>
      <c r="O3" s="144"/>
      <c r="P3" s="144"/>
      <c r="Q3" s="144"/>
      <c r="R3" s="144"/>
      <c r="S3" s="144"/>
      <c r="T3" s="144"/>
    </row>
    <row r="4" spans="1:20" x14ac:dyDescent="0.25">
      <c r="A4" s="143" t="s">
        <v>353</v>
      </c>
      <c r="B4" s="143"/>
      <c r="C4" s="143"/>
      <c r="D4" s="143"/>
      <c r="E4" s="143"/>
      <c r="F4" s="143"/>
      <c r="G4" s="143"/>
      <c r="H4" s="143"/>
      <c r="I4" s="143"/>
      <c r="J4" s="143"/>
      <c r="K4" s="143"/>
      <c r="L4" s="143"/>
      <c r="M4" s="143"/>
      <c r="N4" s="143"/>
      <c r="O4" s="143"/>
      <c r="P4" s="143"/>
      <c r="Q4" s="143"/>
      <c r="R4" s="143"/>
      <c r="S4" s="143"/>
      <c r="T4" s="143"/>
    </row>
    <row r="5" spans="1:20" x14ac:dyDescent="0.25">
      <c r="A5" s="143" t="s">
        <v>354</v>
      </c>
      <c r="B5" s="143"/>
      <c r="C5" s="143"/>
      <c r="D5" s="143"/>
      <c r="E5" s="143"/>
      <c r="F5" s="143"/>
      <c r="G5" s="143"/>
      <c r="H5" s="143"/>
      <c r="I5" s="143"/>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186"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309"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14986</v>
      </c>
      <c r="I10" s="237"/>
      <c r="J10" s="238">
        <v>79.5398</v>
      </c>
      <c r="K10" s="312"/>
      <c r="L10" s="312"/>
      <c r="M10" s="312"/>
      <c r="N10" s="236">
        <v>196.34780000000001</v>
      </c>
      <c r="O10" s="236">
        <v>1191787.0921999998</v>
      </c>
      <c r="P10" s="243">
        <v>223460.08</v>
      </c>
      <c r="Q10" s="243">
        <v>178768.06</v>
      </c>
      <c r="R10" s="244">
        <v>0.15</v>
      </c>
      <c r="S10" s="243">
        <v>44692.02</v>
      </c>
      <c r="T10" s="286">
        <v>3.7499999999999999E-2</v>
      </c>
    </row>
    <row r="11" spans="1:20" x14ac:dyDescent="0.25">
      <c r="A11" s="26" t="s">
        <v>28</v>
      </c>
      <c r="B11" s="27" t="s">
        <v>14</v>
      </c>
      <c r="C11" s="62" t="s">
        <v>29</v>
      </c>
      <c r="D11" s="28" t="s">
        <v>21</v>
      </c>
      <c r="E11" s="62" t="s">
        <v>98</v>
      </c>
      <c r="F11" s="260" t="s">
        <v>56</v>
      </c>
      <c r="G11" s="312"/>
      <c r="H11" s="236">
        <v>91228.67</v>
      </c>
      <c r="I11" s="237"/>
      <c r="J11" s="238">
        <v>3.8502999999999998</v>
      </c>
      <c r="K11" s="312"/>
      <c r="L11" s="312"/>
      <c r="M11" s="312"/>
      <c r="N11" s="236">
        <v>552.22820000000002</v>
      </c>
      <c r="O11" s="236">
        <v>350705.52179999999</v>
      </c>
      <c r="P11" s="243">
        <v>65757.289999999994</v>
      </c>
      <c r="Q11" s="243">
        <v>52605.83</v>
      </c>
      <c r="R11" s="244">
        <v>0.15</v>
      </c>
      <c r="S11" s="243">
        <v>13151.46</v>
      </c>
      <c r="T11" s="286">
        <v>3.7499999999999999E-2</v>
      </c>
    </row>
    <row r="12" spans="1:20" x14ac:dyDescent="0.25">
      <c r="A12" s="26" t="s">
        <v>28</v>
      </c>
      <c r="B12" s="27" t="s">
        <v>341</v>
      </c>
      <c r="C12" s="62" t="s">
        <v>29</v>
      </c>
      <c r="D12" s="28" t="s">
        <v>21</v>
      </c>
      <c r="E12" s="62" t="s">
        <v>98</v>
      </c>
      <c r="F12" s="260" t="s">
        <v>56</v>
      </c>
      <c r="G12" s="236"/>
      <c r="H12" s="236"/>
      <c r="I12" s="238"/>
      <c r="J12" s="238"/>
      <c r="K12" s="312"/>
      <c r="L12" s="312"/>
      <c r="M12" s="312"/>
      <c r="N12" s="312"/>
      <c r="O12" s="245"/>
      <c r="P12" s="243"/>
      <c r="Q12" s="243"/>
      <c r="R12" s="244"/>
      <c r="S12" s="243"/>
      <c r="T12" s="286"/>
    </row>
    <row r="13" spans="1:20" x14ac:dyDescent="0.25">
      <c r="A13" s="26" t="s">
        <v>28</v>
      </c>
      <c r="B13" s="27" t="s">
        <v>3</v>
      </c>
      <c r="C13" s="62" t="s">
        <v>31</v>
      </c>
      <c r="D13" s="28" t="s">
        <v>30</v>
      </c>
      <c r="E13" s="62" t="s">
        <v>101</v>
      </c>
      <c r="F13" s="260" t="s">
        <v>37</v>
      </c>
      <c r="G13" s="236">
        <v>5296</v>
      </c>
      <c r="H13" s="236">
        <v>4994</v>
      </c>
      <c r="I13" s="238">
        <v>81.300799999999995</v>
      </c>
      <c r="J13" s="238">
        <v>76.609399999999994</v>
      </c>
      <c r="K13" s="312"/>
      <c r="L13" s="312"/>
      <c r="M13" s="312"/>
      <c r="N13" s="312">
        <v>509.27449999999999</v>
      </c>
      <c r="O13" s="236">
        <v>812647.10549999995</v>
      </c>
      <c r="P13" s="243">
        <v>152371.32999999999</v>
      </c>
      <c r="Q13" s="243">
        <v>121897.07</v>
      </c>
      <c r="R13" s="244">
        <v>0.15</v>
      </c>
      <c r="S13" s="243">
        <v>30474.27</v>
      </c>
      <c r="T13" s="286">
        <v>3.7499999999999999E-2</v>
      </c>
    </row>
    <row r="14" spans="1:20" x14ac:dyDescent="0.25">
      <c r="A14" s="267" t="s">
        <v>28</v>
      </c>
      <c r="B14" s="271" t="s">
        <v>176</v>
      </c>
      <c r="C14" s="260" t="s">
        <v>29</v>
      </c>
      <c r="D14" s="268" t="s">
        <v>21</v>
      </c>
      <c r="E14" s="260" t="s">
        <v>98</v>
      </c>
      <c r="F14" s="260" t="s">
        <v>56</v>
      </c>
      <c r="G14" s="236">
        <v>3323.43</v>
      </c>
      <c r="H14" s="236">
        <v>6150.93</v>
      </c>
      <c r="I14" s="238">
        <v>2.6775000000000002</v>
      </c>
      <c r="J14" s="238">
        <v>2.6775000000000002</v>
      </c>
      <c r="K14" s="312"/>
      <c r="L14" s="312"/>
      <c r="M14" s="312"/>
      <c r="N14" s="236">
        <v>543.02260000000001</v>
      </c>
      <c r="O14" s="236">
        <v>24824.577399999998</v>
      </c>
      <c r="P14" s="243">
        <v>4654.6099999999997</v>
      </c>
      <c r="Q14" s="243">
        <v>3723.69</v>
      </c>
      <c r="R14" s="244">
        <v>0.15</v>
      </c>
      <c r="S14" s="243">
        <v>930.91999999999962</v>
      </c>
      <c r="T14" s="286">
        <v>3.7499999999999999E-2</v>
      </c>
    </row>
    <row r="15" spans="1:20" x14ac:dyDescent="0.25">
      <c r="A15" s="26" t="s">
        <v>28</v>
      </c>
      <c r="B15" s="27" t="s">
        <v>4</v>
      </c>
      <c r="C15" s="62" t="s">
        <v>31</v>
      </c>
      <c r="D15" s="28" t="s">
        <v>30</v>
      </c>
      <c r="E15" s="62" t="s">
        <v>101</v>
      </c>
      <c r="F15" s="260" t="s">
        <v>37</v>
      </c>
      <c r="G15" s="236">
        <v>7521</v>
      </c>
      <c r="H15" s="236">
        <v>6995</v>
      </c>
      <c r="I15" s="238">
        <v>81.560500000000005</v>
      </c>
      <c r="J15" s="238">
        <v>77.7029</v>
      </c>
      <c r="K15" s="312"/>
      <c r="L15" s="312"/>
      <c r="M15" s="312"/>
      <c r="N15" s="312">
        <v>362.01429999999999</v>
      </c>
      <c r="O15" s="236">
        <v>1156586.2957000001</v>
      </c>
      <c r="P15" s="243">
        <v>216859.93</v>
      </c>
      <c r="Q15" s="243">
        <v>173487.94</v>
      </c>
      <c r="R15" s="244">
        <v>0.15</v>
      </c>
      <c r="S15" s="243">
        <v>43371.99</v>
      </c>
      <c r="T15" s="286">
        <v>3.7499999999999999E-2</v>
      </c>
    </row>
    <row r="16" spans="1:20" x14ac:dyDescent="0.25">
      <c r="A16" s="26" t="s">
        <v>28</v>
      </c>
      <c r="B16" s="27" t="s">
        <v>5</v>
      </c>
      <c r="C16" s="62" t="s">
        <v>31</v>
      </c>
      <c r="D16" s="28" t="s">
        <v>30</v>
      </c>
      <c r="E16" s="62" t="s">
        <v>101</v>
      </c>
      <c r="F16" s="260" t="s">
        <v>37</v>
      </c>
      <c r="G16" s="236">
        <v>34942</v>
      </c>
      <c r="H16" s="236">
        <v>34554</v>
      </c>
      <c r="I16" s="238">
        <v>81.560500000000005</v>
      </c>
      <c r="J16" s="238">
        <v>77.7029</v>
      </c>
      <c r="K16" s="312"/>
      <c r="L16" s="312"/>
      <c r="M16" s="312"/>
      <c r="N16" s="236">
        <v>935.71820000000002</v>
      </c>
      <c r="O16" s="236">
        <v>5533897.2818</v>
      </c>
      <c r="P16" s="243">
        <v>1037605.74</v>
      </c>
      <c r="Q16" s="243">
        <v>830084.59</v>
      </c>
      <c r="R16" s="244">
        <v>0.15</v>
      </c>
      <c r="S16" s="243">
        <v>207521.15</v>
      </c>
      <c r="T16" s="286">
        <v>3.7499999999999999E-2</v>
      </c>
    </row>
    <row r="17" spans="1:20" x14ac:dyDescent="0.25">
      <c r="A17" s="26" t="s">
        <v>28</v>
      </c>
      <c r="B17" s="27" t="s">
        <v>331</v>
      </c>
      <c r="C17" s="62" t="s">
        <v>31</v>
      </c>
      <c r="D17" s="28" t="s">
        <v>30</v>
      </c>
      <c r="E17" s="62" t="s">
        <v>101</v>
      </c>
      <c r="F17" s="260" t="s">
        <v>37</v>
      </c>
      <c r="G17" s="236">
        <v>8288.32</v>
      </c>
      <c r="H17" s="236">
        <v>5264.28</v>
      </c>
      <c r="I17" s="238">
        <v>6.9640000000000004</v>
      </c>
      <c r="J17" s="238">
        <v>6.9640000000000004</v>
      </c>
      <c r="K17" s="312"/>
      <c r="L17" s="312"/>
      <c r="M17" s="312"/>
      <c r="N17" s="236"/>
      <c r="O17" s="236">
        <v>94380.31</v>
      </c>
      <c r="P17" s="243">
        <v>17696.310000000001</v>
      </c>
      <c r="Q17" s="243">
        <v>14157.05</v>
      </c>
      <c r="R17" s="244">
        <v>0.15</v>
      </c>
      <c r="S17" s="243">
        <v>3539.26</v>
      </c>
      <c r="T17" s="286">
        <v>3.7499999999999999E-2</v>
      </c>
    </row>
    <row r="18" spans="1:20" x14ac:dyDescent="0.25">
      <c r="A18" s="26" t="s">
        <v>28</v>
      </c>
      <c r="B18" s="27" t="s">
        <v>17</v>
      </c>
      <c r="C18" s="62" t="s">
        <v>29</v>
      </c>
      <c r="D18" s="28" t="s">
        <v>21</v>
      </c>
      <c r="E18" s="62" t="s">
        <v>98</v>
      </c>
      <c r="F18" s="260" t="s">
        <v>37</v>
      </c>
      <c r="G18" s="312"/>
      <c r="H18" s="236">
        <v>2766</v>
      </c>
      <c r="I18" s="237"/>
      <c r="J18" s="238">
        <v>79.5398</v>
      </c>
      <c r="K18" s="312"/>
      <c r="L18" s="312"/>
      <c r="M18" s="312"/>
      <c r="N18" s="236">
        <v>429.51</v>
      </c>
      <c r="O18" s="245">
        <v>219577.58</v>
      </c>
      <c r="P18" s="243">
        <v>41170.800000000003</v>
      </c>
      <c r="Q18" s="243">
        <v>32936.639999999999</v>
      </c>
      <c r="R18" s="244">
        <v>0.15</v>
      </c>
      <c r="S18" s="243">
        <v>8234.16</v>
      </c>
      <c r="T18" s="286">
        <v>3.7499999999999999E-2</v>
      </c>
    </row>
    <row r="19" spans="1:20" x14ac:dyDescent="0.25">
      <c r="A19" s="26" t="s">
        <v>28</v>
      </c>
      <c r="B19" s="27" t="s">
        <v>6</v>
      </c>
      <c r="C19" s="62" t="s">
        <v>31</v>
      </c>
      <c r="D19" s="28" t="s">
        <v>30</v>
      </c>
      <c r="E19" s="62" t="s">
        <v>101</v>
      </c>
      <c r="F19" s="260" t="s">
        <v>37</v>
      </c>
      <c r="G19" s="236">
        <v>55886</v>
      </c>
      <c r="H19" s="236">
        <v>64780</v>
      </c>
      <c r="I19" s="363">
        <v>81.010499999999993</v>
      </c>
      <c r="J19" s="237">
        <v>77.7029</v>
      </c>
      <c r="K19" s="312"/>
      <c r="L19" s="312"/>
      <c r="M19" s="312"/>
      <c r="N19" s="236">
        <v>2607.7399999999998</v>
      </c>
      <c r="O19" s="245">
        <v>9558338.9199999999</v>
      </c>
      <c r="P19" s="243">
        <v>1792188.55</v>
      </c>
      <c r="Q19" s="243">
        <v>1433750.84</v>
      </c>
      <c r="R19" s="244">
        <v>0.15</v>
      </c>
      <c r="S19" s="243">
        <v>358437.71</v>
      </c>
      <c r="T19" s="286">
        <v>3.7499999999999999E-2</v>
      </c>
    </row>
    <row r="20" spans="1:20" x14ac:dyDescent="0.25">
      <c r="A20" s="26" t="s">
        <v>28</v>
      </c>
      <c r="B20" s="29" t="s">
        <v>158</v>
      </c>
      <c r="C20" s="62" t="s">
        <v>29</v>
      </c>
      <c r="D20" s="28" t="s">
        <v>21</v>
      </c>
      <c r="E20" s="62" t="s">
        <v>98</v>
      </c>
      <c r="F20" s="260" t="s">
        <v>37</v>
      </c>
      <c r="G20" s="312"/>
      <c r="H20" s="312"/>
      <c r="I20" s="237"/>
      <c r="J20" s="237"/>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83837.47</v>
      </c>
      <c r="H21" s="312">
        <v>85367.26</v>
      </c>
      <c r="I21" s="237">
        <v>2.3571</v>
      </c>
      <c r="J21" s="237">
        <v>2.3571</v>
      </c>
      <c r="K21" s="312"/>
      <c r="L21" s="312"/>
      <c r="M21" s="312"/>
      <c r="N21" s="312">
        <v>610.52</v>
      </c>
      <c r="O21" s="245">
        <v>398221.94999999995</v>
      </c>
      <c r="P21" s="243">
        <v>74666.62</v>
      </c>
      <c r="Q21" s="243">
        <v>59733.29</v>
      </c>
      <c r="R21" s="244">
        <v>0.15</v>
      </c>
      <c r="S21" s="243">
        <v>14933.32</v>
      </c>
      <c r="T21" s="286">
        <v>3.7499999999999999E-2</v>
      </c>
    </row>
    <row r="22" spans="1:20" x14ac:dyDescent="0.25">
      <c r="A22" s="26" t="s">
        <v>28</v>
      </c>
      <c r="B22" s="27" t="s">
        <v>18</v>
      </c>
      <c r="C22" s="62" t="s">
        <v>31</v>
      </c>
      <c r="D22" s="28" t="s">
        <v>30</v>
      </c>
      <c r="E22" s="62" t="s">
        <v>101</v>
      </c>
      <c r="F22" s="260" t="s">
        <v>37</v>
      </c>
      <c r="G22" s="312">
        <v>1285</v>
      </c>
      <c r="H22" s="312">
        <v>3503</v>
      </c>
      <c r="I22" s="237">
        <v>81.560500000000005</v>
      </c>
      <c r="J22" s="238">
        <v>77.7029</v>
      </c>
      <c r="K22" s="312"/>
      <c r="L22" s="312"/>
      <c r="M22" s="312"/>
      <c r="N22" s="236">
        <v>211.69</v>
      </c>
      <c r="O22" s="245">
        <v>376786.81</v>
      </c>
      <c r="P22" s="243">
        <v>70647.53</v>
      </c>
      <c r="Q22" s="243">
        <v>56518.02</v>
      </c>
      <c r="R22" s="244">
        <v>0.15</v>
      </c>
      <c r="S22" s="243">
        <v>14129.51</v>
      </c>
      <c r="T22" s="286">
        <v>3.7499999999999999E-2</v>
      </c>
    </row>
    <row r="23" spans="1:20" x14ac:dyDescent="0.25">
      <c r="A23" s="26" t="s">
        <v>28</v>
      </c>
      <c r="B23" s="29" t="s">
        <v>20</v>
      </c>
      <c r="C23" s="62" t="s">
        <v>31</v>
      </c>
      <c r="D23" s="28" t="s">
        <v>30</v>
      </c>
      <c r="E23" s="62" t="s">
        <v>101</v>
      </c>
      <c r="F23" s="260" t="s">
        <v>37</v>
      </c>
      <c r="G23" s="312">
        <v>189104</v>
      </c>
      <c r="H23" s="312">
        <v>187451</v>
      </c>
      <c r="I23" s="237">
        <v>81.560500000000005</v>
      </c>
      <c r="J23" s="238">
        <v>77.7029</v>
      </c>
      <c r="K23" s="312"/>
      <c r="L23" s="312"/>
      <c r="M23" s="312"/>
      <c r="N23" s="236">
        <v>3264.28</v>
      </c>
      <c r="O23" s="245">
        <v>29985638.82</v>
      </c>
      <c r="P23" s="243">
        <v>5622307.2800000003</v>
      </c>
      <c r="Q23" s="243">
        <v>4497845.82</v>
      </c>
      <c r="R23" s="244">
        <v>0.15</v>
      </c>
      <c r="S23" s="243">
        <v>1124461.46</v>
      </c>
      <c r="T23" s="286">
        <v>3.7499999999999999E-2</v>
      </c>
    </row>
    <row r="24" spans="1:20" x14ac:dyDescent="0.25">
      <c r="A24" s="26" t="s">
        <v>28</v>
      </c>
      <c r="B24" s="27" t="s">
        <v>8</v>
      </c>
      <c r="C24" s="62" t="s">
        <v>31</v>
      </c>
      <c r="D24" s="28" t="s">
        <v>21</v>
      </c>
      <c r="E24" s="62" t="s">
        <v>101</v>
      </c>
      <c r="F24" s="260" t="s">
        <v>56</v>
      </c>
      <c r="G24" s="312">
        <v>246400.88</v>
      </c>
      <c r="H24" s="236">
        <v>248535.41</v>
      </c>
      <c r="I24" s="363">
        <v>1.9802</v>
      </c>
      <c r="J24" s="238">
        <v>1.9802</v>
      </c>
      <c r="K24" s="312"/>
      <c r="L24" s="312"/>
      <c r="M24" s="312"/>
      <c r="N24" s="236">
        <v>644.26</v>
      </c>
      <c r="O24" s="245">
        <v>979428.58000000007</v>
      </c>
      <c r="P24" s="243">
        <v>183642.86</v>
      </c>
      <c r="Q24" s="243">
        <v>146914.29</v>
      </c>
      <c r="R24" s="244">
        <v>0.15</v>
      </c>
      <c r="S24" s="243">
        <v>36728.57</v>
      </c>
      <c r="T24" s="286">
        <v>3.7499999999999999E-2</v>
      </c>
    </row>
    <row r="25" spans="1:20" x14ac:dyDescent="0.25">
      <c r="A25" s="26" t="s">
        <v>28</v>
      </c>
      <c r="B25" s="29" t="s">
        <v>57</v>
      </c>
      <c r="C25" s="62" t="s">
        <v>31</v>
      </c>
      <c r="D25" s="28" t="s">
        <v>21</v>
      </c>
      <c r="E25" s="62" t="s">
        <v>101</v>
      </c>
      <c r="F25" s="260" t="s">
        <v>37</v>
      </c>
      <c r="G25" s="312"/>
      <c r="H25" s="312"/>
      <c r="I25" s="237"/>
      <c r="J25" s="237"/>
      <c r="K25" s="312"/>
      <c r="L25" s="312"/>
      <c r="M25" s="312"/>
      <c r="N25" s="312"/>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342</v>
      </c>
      <c r="H26" s="312">
        <v>509</v>
      </c>
      <c r="I26" s="237">
        <v>80.751800000000003</v>
      </c>
      <c r="J26" s="238">
        <v>76.659099999999995</v>
      </c>
      <c r="K26" s="312"/>
      <c r="L26" s="312"/>
      <c r="M26" s="312"/>
      <c r="N26" s="312">
        <v>230.1</v>
      </c>
      <c r="O26" s="245">
        <v>66406.5</v>
      </c>
      <c r="P26" s="243">
        <v>12451.22</v>
      </c>
      <c r="Q26" s="243">
        <v>9960.98</v>
      </c>
      <c r="R26" s="244">
        <v>0.15</v>
      </c>
      <c r="S26" s="243">
        <v>2490.2399999999998</v>
      </c>
      <c r="T26" s="286">
        <v>3.7499999999999999E-2</v>
      </c>
    </row>
    <row r="27" spans="1:20" x14ac:dyDescent="0.25">
      <c r="A27" s="26" t="s">
        <v>28</v>
      </c>
      <c r="B27" s="29" t="s">
        <v>168</v>
      </c>
      <c r="C27" s="62" t="s">
        <v>31</v>
      </c>
      <c r="D27" s="28" t="s">
        <v>30</v>
      </c>
      <c r="E27" s="62" t="s">
        <v>101</v>
      </c>
      <c r="F27" s="260" t="s">
        <v>37</v>
      </c>
      <c r="G27" s="236">
        <v>21743</v>
      </c>
      <c r="H27" s="236">
        <v>30861</v>
      </c>
      <c r="I27" s="349">
        <v>79.530500000000004</v>
      </c>
      <c r="J27" s="238">
        <v>75.672899999999998</v>
      </c>
      <c r="K27" s="312"/>
      <c r="L27" s="312"/>
      <c r="M27" s="312"/>
      <c r="N27" s="236">
        <v>2193.5700000000002</v>
      </c>
      <c r="O27" s="245">
        <v>4062379.4600000004</v>
      </c>
      <c r="P27" s="243">
        <v>761696.15</v>
      </c>
      <c r="Q27" s="243">
        <v>609356.92000000004</v>
      </c>
      <c r="R27" s="244">
        <v>0.15</v>
      </c>
      <c r="S27" s="243">
        <v>152339.23000000001</v>
      </c>
      <c r="T27" s="286">
        <v>3.7499999999999999E-2</v>
      </c>
    </row>
    <row r="28" spans="1:20" x14ac:dyDescent="0.25">
      <c r="A28" s="26" t="s">
        <v>28</v>
      </c>
      <c r="B28" s="29" t="s">
        <v>191</v>
      </c>
      <c r="C28" s="62" t="s">
        <v>31</v>
      </c>
      <c r="D28" s="28" t="s">
        <v>30</v>
      </c>
      <c r="E28" s="62" t="s">
        <v>101</v>
      </c>
      <c r="F28" s="260" t="s">
        <v>37</v>
      </c>
      <c r="G28" s="236"/>
      <c r="H28" s="312"/>
      <c r="I28" s="237"/>
      <c r="J28" s="237"/>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55347.09</v>
      </c>
      <c r="H29" s="312">
        <v>56498.18</v>
      </c>
      <c r="I29" s="237">
        <v>1.5</v>
      </c>
      <c r="J29" s="237">
        <v>1.5</v>
      </c>
      <c r="K29" s="312"/>
      <c r="L29" s="312"/>
      <c r="M29" s="312"/>
      <c r="N29" s="236">
        <v>911.17560000000003</v>
      </c>
      <c r="O29" s="245">
        <v>166856.73440000002</v>
      </c>
      <c r="P29" s="243">
        <v>31285.64</v>
      </c>
      <c r="Q29" s="243">
        <v>25028.51</v>
      </c>
      <c r="R29" s="244">
        <v>0.15</v>
      </c>
      <c r="S29" s="243">
        <v>6257.13</v>
      </c>
      <c r="T29" s="286">
        <v>3.7499999999999999E-2</v>
      </c>
    </row>
    <row r="30" spans="1:20" s="395" customFormat="1" x14ac:dyDescent="0.25">
      <c r="A30" s="409" t="s">
        <v>28</v>
      </c>
      <c r="B30" s="216" t="s">
        <v>319</v>
      </c>
      <c r="C30" s="62" t="s">
        <v>31</v>
      </c>
      <c r="D30" s="28" t="s">
        <v>30</v>
      </c>
      <c r="E30" s="62" t="s">
        <v>101</v>
      </c>
      <c r="F30" s="260" t="s">
        <v>56</v>
      </c>
      <c r="G30" s="236">
        <v>89404.88</v>
      </c>
      <c r="H30" s="312">
        <v>98038.14</v>
      </c>
      <c r="I30" s="237">
        <v>3.2648999999999999</v>
      </c>
      <c r="J30" s="237">
        <v>3.2698999999999998</v>
      </c>
      <c r="K30" s="312"/>
      <c r="L30" s="312"/>
      <c r="M30" s="312"/>
      <c r="N30" s="236"/>
      <c r="O30" s="245">
        <v>612472.89999999991</v>
      </c>
      <c r="P30" s="243">
        <v>114838.67</v>
      </c>
      <c r="Q30" s="281">
        <v>91870.94</v>
      </c>
      <c r="R30" s="244">
        <v>0.15</v>
      </c>
      <c r="S30" s="243">
        <v>22967.73</v>
      </c>
      <c r="T30" s="286">
        <v>3.7499999999999999E-2</v>
      </c>
    </row>
    <row r="31" spans="1:20" s="395" customFormat="1" x14ac:dyDescent="0.25">
      <c r="A31" s="409" t="s">
        <v>28</v>
      </c>
      <c r="B31" s="216" t="s">
        <v>322</v>
      </c>
      <c r="C31" s="62" t="s">
        <v>31</v>
      </c>
      <c r="D31" s="28" t="s">
        <v>30</v>
      </c>
      <c r="E31" s="62" t="s">
        <v>101</v>
      </c>
      <c r="F31" s="260" t="s">
        <v>56</v>
      </c>
      <c r="G31" s="236"/>
      <c r="H31" s="312"/>
      <c r="I31" s="237"/>
      <c r="J31" s="237"/>
      <c r="K31" s="312"/>
      <c r="L31" s="312"/>
      <c r="M31" s="312"/>
      <c r="N31" s="236"/>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v>101.76</v>
      </c>
      <c r="H32" s="312">
        <v>216.28</v>
      </c>
      <c r="I32" s="237">
        <v>2.2999999999999998</v>
      </c>
      <c r="J32" s="237">
        <v>2.2999999999999998</v>
      </c>
      <c r="K32" s="312"/>
      <c r="L32" s="312"/>
      <c r="M32" s="312"/>
      <c r="N32" s="236"/>
      <c r="O32" s="245">
        <v>731.49</v>
      </c>
      <c r="P32" s="243">
        <v>137.15</v>
      </c>
      <c r="Q32" s="243">
        <v>109.72</v>
      </c>
      <c r="R32" s="244">
        <v>0.15</v>
      </c>
      <c r="S32" s="243">
        <v>27.43</v>
      </c>
      <c r="T32" s="286">
        <v>3.7499999999999999E-2</v>
      </c>
    </row>
    <row r="33" spans="1:20" x14ac:dyDescent="0.25">
      <c r="A33" s="26" t="s">
        <v>28</v>
      </c>
      <c r="B33" s="29" t="s">
        <v>336</v>
      </c>
      <c r="C33" s="62" t="s">
        <v>31</v>
      </c>
      <c r="D33" s="28" t="s">
        <v>30</v>
      </c>
      <c r="E33" s="62" t="s">
        <v>101</v>
      </c>
      <c r="F33" s="260" t="s">
        <v>56</v>
      </c>
      <c r="G33" s="236">
        <v>19753.53</v>
      </c>
      <c r="H33" s="312">
        <v>27957.16</v>
      </c>
      <c r="I33" s="237">
        <v>3.14</v>
      </c>
      <c r="J33" s="237">
        <v>3.14</v>
      </c>
      <c r="K33" s="312"/>
      <c r="L33" s="312"/>
      <c r="M33" s="312"/>
      <c r="N33" s="236"/>
      <c r="O33" s="245">
        <v>149811.56</v>
      </c>
      <c r="P33" s="243">
        <v>28089.67</v>
      </c>
      <c r="Q33" s="243">
        <v>22471.73</v>
      </c>
      <c r="R33" s="244">
        <v>0.15</v>
      </c>
      <c r="S33" s="243">
        <v>5617.93</v>
      </c>
      <c r="T33" s="286">
        <v>3.7499999999999999E-2</v>
      </c>
    </row>
    <row r="34" spans="1:20" x14ac:dyDescent="0.25">
      <c r="A34" s="26" t="s">
        <v>28</v>
      </c>
      <c r="B34" s="27" t="s">
        <v>15</v>
      </c>
      <c r="C34" s="62" t="s">
        <v>29</v>
      </c>
      <c r="D34" s="28" t="s">
        <v>21</v>
      </c>
      <c r="E34" s="62" t="s">
        <v>98</v>
      </c>
      <c r="F34" s="260" t="s">
        <v>37</v>
      </c>
      <c r="G34" s="312"/>
      <c r="H34" s="236">
        <v>172086</v>
      </c>
      <c r="I34" s="237"/>
      <c r="J34" s="238">
        <v>80.849500000000006</v>
      </c>
      <c r="K34" s="312"/>
      <c r="L34" s="312"/>
      <c r="M34" s="312"/>
      <c r="N34" s="236">
        <v>705.62220000000002</v>
      </c>
      <c r="O34" s="245">
        <v>13912361.437800001</v>
      </c>
      <c r="P34" s="243">
        <v>2608567.77</v>
      </c>
      <c r="Q34" s="243">
        <v>2086854.22</v>
      </c>
      <c r="R34" s="244">
        <v>0.15</v>
      </c>
      <c r="S34" s="243">
        <v>521713.55</v>
      </c>
      <c r="T34" s="286">
        <v>3.7499999999999999E-2</v>
      </c>
    </row>
    <row r="35" spans="1:20" x14ac:dyDescent="0.25">
      <c r="A35" s="26" t="s">
        <v>28</v>
      </c>
      <c r="B35" s="27" t="s">
        <v>16</v>
      </c>
      <c r="C35" s="62" t="s">
        <v>29</v>
      </c>
      <c r="D35" s="28" t="s">
        <v>21</v>
      </c>
      <c r="E35" s="62" t="s">
        <v>98</v>
      </c>
      <c r="F35" s="260" t="s">
        <v>56</v>
      </c>
      <c r="G35" s="312"/>
      <c r="H35" s="236">
        <v>424106.15</v>
      </c>
      <c r="I35" s="237"/>
      <c r="J35" s="238">
        <v>7.3864999999999998</v>
      </c>
      <c r="K35" s="312"/>
      <c r="L35" s="312"/>
      <c r="M35" s="312"/>
      <c r="N35" s="236">
        <v>619.72209999999995</v>
      </c>
      <c r="O35" s="245">
        <v>3132040.3579000002</v>
      </c>
      <c r="P35" s="243">
        <v>587257.56999999995</v>
      </c>
      <c r="Q35" s="243">
        <v>469806.05</v>
      </c>
      <c r="R35" s="244">
        <v>0.15</v>
      </c>
      <c r="S35" s="243">
        <v>117451.51</v>
      </c>
      <c r="T35" s="286">
        <v>3.7499999999999999E-2</v>
      </c>
    </row>
    <row r="36" spans="1:20" x14ac:dyDescent="0.25">
      <c r="A36" s="26" t="s">
        <v>28</v>
      </c>
      <c r="B36" s="27" t="s">
        <v>173</v>
      </c>
      <c r="C36" s="62" t="s">
        <v>31</v>
      </c>
      <c r="D36" s="28" t="s">
        <v>30</v>
      </c>
      <c r="E36" s="62" t="s">
        <v>101</v>
      </c>
      <c r="F36" s="260" t="s">
        <v>37</v>
      </c>
      <c r="G36" s="312">
        <v>147</v>
      </c>
      <c r="H36" s="236">
        <v>141</v>
      </c>
      <c r="I36" s="238">
        <v>81.560500000000005</v>
      </c>
      <c r="J36" s="238">
        <v>77.7029</v>
      </c>
      <c r="K36" s="312"/>
      <c r="L36" s="312"/>
      <c r="M36" s="312"/>
      <c r="N36" s="236">
        <v>134.99019999999999</v>
      </c>
      <c r="O36" s="245">
        <v>22810.5098</v>
      </c>
      <c r="P36" s="243">
        <v>4276.97</v>
      </c>
      <c r="Q36" s="243">
        <v>855.39</v>
      </c>
      <c r="R36" s="286">
        <v>3.7499999999999999E-2</v>
      </c>
      <c r="S36" s="243">
        <v>3421.58</v>
      </c>
      <c r="T36" s="244">
        <v>0.15</v>
      </c>
    </row>
    <row r="37" spans="1:20" x14ac:dyDescent="0.25">
      <c r="A37" s="26" t="s">
        <v>28</v>
      </c>
      <c r="B37" s="216" t="s">
        <v>169</v>
      </c>
      <c r="C37" s="62" t="s">
        <v>31</v>
      </c>
      <c r="D37" s="28" t="s">
        <v>30</v>
      </c>
      <c r="E37" s="62" t="s">
        <v>101</v>
      </c>
      <c r="F37" s="260" t="s">
        <v>37</v>
      </c>
      <c r="G37" s="236"/>
      <c r="H37" s="236"/>
      <c r="I37" s="238"/>
      <c r="J37" s="238"/>
      <c r="K37" s="236"/>
      <c r="L37" s="312"/>
      <c r="M37" s="312"/>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20901</v>
      </c>
      <c r="I39" s="238"/>
      <c r="J39" s="480">
        <v>79.145499999999998</v>
      </c>
      <c r="K39" s="236"/>
      <c r="L39" s="312"/>
      <c r="M39" s="312"/>
      <c r="N39" s="236">
        <v>674.94590000000005</v>
      </c>
      <c r="O39" s="245">
        <v>1653545.1541000002</v>
      </c>
      <c r="P39" s="243">
        <v>310039.71999999997</v>
      </c>
      <c r="Q39" s="243">
        <v>248031.77</v>
      </c>
      <c r="R39" s="247">
        <v>0.15</v>
      </c>
      <c r="S39" s="243">
        <v>62007.94</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11164.550000000017</v>
      </c>
      <c r="P41" s="245">
        <v>2093.360000000037</v>
      </c>
      <c r="Q41" s="245">
        <v>1674.669999999991</v>
      </c>
      <c r="R41" s="275"/>
      <c r="S41" s="245">
        <v>418.68000000000757</v>
      </c>
      <c r="T41" s="244"/>
    </row>
    <row r="42" spans="1:20" x14ac:dyDescent="0.25">
      <c r="A42" s="34"/>
      <c r="B42" s="165" t="s">
        <v>108</v>
      </c>
      <c r="C42" s="35" t="s">
        <v>343</v>
      </c>
      <c r="D42" s="43"/>
      <c r="E42" s="44"/>
      <c r="F42" s="270"/>
      <c r="G42" s="239"/>
      <c r="H42" s="239"/>
      <c r="I42" s="240"/>
      <c r="J42" s="240"/>
      <c r="K42" s="239"/>
      <c r="L42" s="239"/>
      <c r="M42" s="239"/>
      <c r="N42" s="239"/>
      <c r="O42" s="249">
        <v>74473401.498399988</v>
      </c>
      <c r="P42" s="249">
        <v>13963762.820000002</v>
      </c>
      <c r="Q42" s="249">
        <v>11168444.030000001</v>
      </c>
      <c r="R42" s="252"/>
      <c r="S42" s="249">
        <v>2795318.7499999995</v>
      </c>
      <c r="T42" s="252"/>
    </row>
    <row r="43" spans="1:20" x14ac:dyDescent="0.25">
      <c r="A43" s="136"/>
      <c r="B43" s="137"/>
      <c r="C43" s="35" t="s">
        <v>344</v>
      </c>
      <c r="D43" s="148"/>
      <c r="E43" s="148"/>
      <c r="F43" s="149"/>
      <c r="G43" s="299"/>
      <c r="H43" s="299"/>
      <c r="I43" s="221"/>
      <c r="J43" s="221"/>
      <c r="K43" s="299"/>
      <c r="L43" s="299"/>
      <c r="M43" s="299"/>
      <c r="N43" s="299"/>
      <c r="O43" s="228"/>
      <c r="P43" s="229">
        <v>56455493.079999998</v>
      </c>
      <c r="Q43" s="495">
        <v>45154019.210000001</v>
      </c>
      <c r="R43" s="151"/>
      <c r="S43" s="494">
        <v>11301473.710000001</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40"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40" t="s">
        <v>37</v>
      </c>
      <c r="G46" s="236">
        <v>26574</v>
      </c>
      <c r="H46" s="236">
        <v>25314</v>
      </c>
      <c r="I46" s="238">
        <v>71.580500000000001</v>
      </c>
      <c r="J46" s="238">
        <v>66.876999999999995</v>
      </c>
      <c r="K46" s="312"/>
      <c r="L46" s="312"/>
      <c r="M46" s="312"/>
      <c r="N46" s="236">
        <v>2718.1849000000002</v>
      </c>
      <c r="O46" s="245">
        <v>3592386.4050999996</v>
      </c>
      <c r="P46" s="243">
        <v>538857.96</v>
      </c>
      <c r="Q46" s="243">
        <v>538857.96</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3592386.4050999996</v>
      </c>
      <c r="P48" s="249">
        <v>538857.96</v>
      </c>
      <c r="Q48" s="249">
        <v>538857.96</v>
      </c>
      <c r="R48" s="252"/>
      <c r="S48" s="250"/>
      <c r="T48" s="252"/>
    </row>
    <row r="49" spans="1:20" x14ac:dyDescent="0.25">
      <c r="A49" s="136"/>
      <c r="B49" s="137"/>
      <c r="C49" s="35" t="s">
        <v>346</v>
      </c>
      <c r="D49" s="148"/>
      <c r="E49" s="148"/>
      <c r="F49" s="149"/>
      <c r="G49" s="299"/>
      <c r="H49" s="299"/>
      <c r="I49" s="221"/>
      <c r="J49" s="221"/>
      <c r="K49" s="299"/>
      <c r="L49" s="299"/>
      <c r="M49" s="299"/>
      <c r="N49" s="299"/>
      <c r="O49" s="228"/>
      <c r="P49" s="229">
        <v>2178602.73</v>
      </c>
      <c r="Q49" s="495">
        <v>2178602.73</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134" t="s">
        <v>101</v>
      </c>
      <c r="F51" s="261"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1"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1" t="s">
        <v>37</v>
      </c>
      <c r="G53" s="312"/>
      <c r="H53" s="236"/>
      <c r="I53" s="238"/>
      <c r="J53" s="312"/>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1"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1"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18850.77</v>
      </c>
      <c r="H56" s="236">
        <v>33300.589999999997</v>
      </c>
      <c r="I56" s="238">
        <v>3.6596000000000002</v>
      </c>
      <c r="J56" s="238">
        <v>3.6598999999999999</v>
      </c>
      <c r="K56" s="312"/>
      <c r="L56" s="312"/>
      <c r="M56" s="312"/>
      <c r="N56" s="236">
        <v>340.53859999999997</v>
      </c>
      <c r="O56" s="245">
        <v>190522.57139999999</v>
      </c>
      <c r="P56" s="243">
        <v>35722.980000000003</v>
      </c>
      <c r="Q56" s="243">
        <v>7144.6</v>
      </c>
      <c r="R56" s="286">
        <v>3.7499999999999999E-2</v>
      </c>
      <c r="S56" s="243">
        <v>28578.39</v>
      </c>
      <c r="T56" s="244">
        <v>0.15</v>
      </c>
    </row>
    <row r="57" spans="1:20" x14ac:dyDescent="0.25">
      <c r="A57" s="26" t="s">
        <v>28</v>
      </c>
      <c r="B57" s="29" t="s">
        <v>75</v>
      </c>
      <c r="C57" s="62" t="s">
        <v>31</v>
      </c>
      <c r="D57" s="62" t="s">
        <v>30</v>
      </c>
      <c r="E57" s="62" t="s">
        <v>103</v>
      </c>
      <c r="F57" s="261" t="s">
        <v>37</v>
      </c>
      <c r="G57" s="236"/>
      <c r="H57" s="236"/>
      <c r="I57" s="238"/>
      <c r="J57" s="238"/>
      <c r="K57" s="312"/>
      <c r="L57" s="312"/>
      <c r="M57" s="312"/>
      <c r="N57" s="312">
        <v>1543.1677</v>
      </c>
      <c r="O57" s="245">
        <v>-1543.1677</v>
      </c>
      <c r="P57" s="243">
        <v>-289.33999999999997</v>
      </c>
      <c r="Q57" s="243">
        <v>-57.87</v>
      </c>
      <c r="R57" s="286">
        <v>3.7499999999999999E-2</v>
      </c>
      <c r="S57" s="243">
        <v>-231.48</v>
      </c>
      <c r="T57" s="244">
        <v>0.15</v>
      </c>
    </row>
    <row r="58" spans="1:20" x14ac:dyDescent="0.25">
      <c r="A58" s="26" t="s">
        <v>28</v>
      </c>
      <c r="B58" s="29" t="s">
        <v>32</v>
      </c>
      <c r="C58" s="62" t="s">
        <v>31</v>
      </c>
      <c r="D58" s="62" t="s">
        <v>30</v>
      </c>
      <c r="E58" s="62" t="s">
        <v>101</v>
      </c>
      <c r="F58" s="261"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1"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1" t="s">
        <v>37</v>
      </c>
      <c r="G60" s="236">
        <v>146894</v>
      </c>
      <c r="H60" s="236">
        <v>79335</v>
      </c>
      <c r="I60" s="238">
        <v>65.074399999999997</v>
      </c>
      <c r="J60" s="238">
        <v>60.686300000000003</v>
      </c>
      <c r="K60" s="236"/>
      <c r="L60" s="312"/>
      <c r="M60" s="312"/>
      <c r="N60" s="236">
        <v>3638.5662000000002</v>
      </c>
      <c r="O60" s="245">
        <v>14369947.9538</v>
      </c>
      <c r="P60" s="243">
        <v>2694365.24</v>
      </c>
      <c r="Q60" s="243">
        <v>2155492.1900000004</v>
      </c>
      <c r="R60" s="244">
        <v>0.15</v>
      </c>
      <c r="S60" s="243">
        <v>538873.05000000005</v>
      </c>
      <c r="T60" s="286">
        <v>3.7499999999999999E-2</v>
      </c>
    </row>
    <row r="61" spans="1:20" x14ac:dyDescent="0.25">
      <c r="A61" s="26" t="s">
        <v>28</v>
      </c>
      <c r="B61" s="302">
        <v>67</v>
      </c>
      <c r="C61" s="62" t="s">
        <v>31</v>
      </c>
      <c r="D61" s="62" t="s">
        <v>30</v>
      </c>
      <c r="E61" s="62" t="s">
        <v>101</v>
      </c>
      <c r="F61" s="261" t="s">
        <v>37</v>
      </c>
      <c r="G61" s="236">
        <v>9751</v>
      </c>
      <c r="H61" s="236">
        <v>9927</v>
      </c>
      <c r="I61" s="238">
        <v>45.025700000000001</v>
      </c>
      <c r="J61" s="238">
        <v>40.5854</v>
      </c>
      <c r="K61" s="236"/>
      <c r="L61" s="312"/>
      <c r="M61" s="312"/>
      <c r="N61" s="236">
        <v>2518.7703000000001</v>
      </c>
      <c r="O61" s="245">
        <v>839418.09970000002</v>
      </c>
      <c r="P61" s="243">
        <v>157390.89000000001</v>
      </c>
      <c r="Q61" s="243">
        <v>125912.71000000002</v>
      </c>
      <c r="R61" s="244">
        <v>0.15</v>
      </c>
      <c r="S61" s="243">
        <v>31478.18</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5"/>
      <c r="K63" s="264"/>
      <c r="L63" s="264"/>
      <c r="M63" s="264"/>
      <c r="N63" s="249"/>
      <c r="O63" s="249">
        <v>15398345.4572</v>
      </c>
      <c r="P63" s="249">
        <v>2887189.7700000005</v>
      </c>
      <c r="Q63" s="249">
        <v>2288491.6300000004</v>
      </c>
      <c r="R63" s="266"/>
      <c r="S63" s="249">
        <v>598698.14000000013</v>
      </c>
      <c r="T63" s="252"/>
    </row>
    <row r="64" spans="1:20" x14ac:dyDescent="0.25">
      <c r="A64" s="157"/>
      <c r="B64" s="158"/>
      <c r="C64" s="35" t="s">
        <v>348</v>
      </c>
      <c r="D64" s="114"/>
      <c r="E64" s="114"/>
      <c r="F64" s="157"/>
      <c r="G64" s="227"/>
      <c r="H64" s="227"/>
      <c r="I64" s="224"/>
      <c r="J64" s="224"/>
      <c r="K64" s="227"/>
      <c r="L64" s="227"/>
      <c r="M64" s="227"/>
      <c r="N64" s="227"/>
      <c r="O64" s="230"/>
      <c r="P64" s="231">
        <v>11672908.24</v>
      </c>
      <c r="Q64" s="494">
        <v>9252371.6600000001</v>
      </c>
      <c r="R64" s="172"/>
      <c r="S64" s="494">
        <v>2420536.58</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1" t="s">
        <v>37</v>
      </c>
      <c r="G66" s="312">
        <v>768766</v>
      </c>
      <c r="H66" s="312">
        <v>770754</v>
      </c>
      <c r="I66" s="237">
        <v>62.84</v>
      </c>
      <c r="J66" s="237">
        <v>54.868200000000002</v>
      </c>
      <c r="K66" s="312"/>
      <c r="L66" s="312"/>
      <c r="M66" s="312"/>
      <c r="N66" s="312"/>
      <c r="O66" s="245">
        <v>90599140.062800005</v>
      </c>
      <c r="P66" s="281">
        <v>33739119.759999998</v>
      </c>
      <c r="Q66" s="281">
        <v>16869559.879999999</v>
      </c>
      <c r="R66" s="244">
        <v>0.5</v>
      </c>
      <c r="S66" s="243"/>
      <c r="T66" s="286"/>
    </row>
    <row r="67" spans="1:20" x14ac:dyDescent="0.25">
      <c r="A67" s="26" t="s">
        <v>28</v>
      </c>
      <c r="B67" s="27" t="s">
        <v>162</v>
      </c>
      <c r="C67" s="62" t="s">
        <v>31</v>
      </c>
      <c r="D67" s="62" t="s">
        <v>30</v>
      </c>
      <c r="E67" s="62" t="s">
        <v>161</v>
      </c>
      <c r="F67" s="262" t="s">
        <v>56</v>
      </c>
      <c r="G67" s="312">
        <v>11825324.92</v>
      </c>
      <c r="H67" s="312">
        <v>11373550.9</v>
      </c>
      <c r="I67" s="237">
        <v>1.9359999999999999</v>
      </c>
      <c r="J67" s="237">
        <v>1.9359999999999999</v>
      </c>
      <c r="K67" s="312"/>
      <c r="L67" s="312"/>
      <c r="M67" s="312"/>
      <c r="N67" s="312"/>
      <c r="O67" s="245">
        <v>44913023.587520003</v>
      </c>
      <c r="P67" s="281">
        <v>16725609.98</v>
      </c>
      <c r="Q67" s="281">
        <v>8362804.9900000002</v>
      </c>
      <c r="R67" s="244">
        <v>0.5</v>
      </c>
      <c r="S67" s="243"/>
      <c r="T67" s="244"/>
    </row>
    <row r="68" spans="1:20" x14ac:dyDescent="0.25">
      <c r="A68" s="26" t="s">
        <v>28</v>
      </c>
      <c r="B68" s="27" t="s">
        <v>181</v>
      </c>
      <c r="C68" s="62" t="s">
        <v>31</v>
      </c>
      <c r="D68" s="62" t="s">
        <v>30</v>
      </c>
      <c r="E68" s="62" t="s">
        <v>161</v>
      </c>
      <c r="F68" s="262" t="s">
        <v>56</v>
      </c>
      <c r="G68" s="312">
        <v>28866.81</v>
      </c>
      <c r="H68" s="312">
        <v>26234.42</v>
      </c>
      <c r="I68" s="237">
        <v>2.6473</v>
      </c>
      <c r="J68" s="237">
        <v>2.6473</v>
      </c>
      <c r="K68" s="312"/>
      <c r="L68" s="312"/>
      <c r="M68" s="312"/>
      <c r="N68" s="312"/>
      <c r="O68" s="245">
        <v>145869.486179</v>
      </c>
      <c r="P68" s="281">
        <v>54321.8</v>
      </c>
      <c r="Q68" s="281">
        <v>27160.9</v>
      </c>
      <c r="R68" s="244">
        <v>0.5</v>
      </c>
      <c r="S68" s="243"/>
      <c r="T68" s="244"/>
    </row>
    <row r="69" spans="1:20" ht="12" customHeight="1" x14ac:dyDescent="0.25">
      <c r="A69" s="26" t="s">
        <v>28</v>
      </c>
      <c r="B69" s="27" t="s">
        <v>182</v>
      </c>
      <c r="C69" s="62" t="s">
        <v>31</v>
      </c>
      <c r="D69" s="62" t="s">
        <v>30</v>
      </c>
      <c r="E69" s="62" t="s">
        <v>161</v>
      </c>
      <c r="F69" s="262" t="s">
        <v>56</v>
      </c>
      <c r="G69" s="312">
        <v>872029.62</v>
      </c>
      <c r="H69" s="312">
        <v>903225.96</v>
      </c>
      <c r="I69" s="237">
        <v>12.191000000000001</v>
      </c>
      <c r="J69" s="237">
        <v>15.891999999999999</v>
      </c>
      <c r="K69" s="312"/>
      <c r="L69" s="312"/>
      <c r="M69" s="312"/>
      <c r="N69" s="312"/>
      <c r="O69" s="245">
        <v>24984980.053740002</v>
      </c>
      <c r="P69" s="281">
        <v>9494292.4199999999</v>
      </c>
      <c r="Q69" s="281">
        <v>4747146.21</v>
      </c>
      <c r="R69" s="314">
        <v>0.5</v>
      </c>
      <c r="S69" s="243"/>
      <c r="T69" s="244"/>
    </row>
    <row r="70" spans="1:20" x14ac:dyDescent="0.25">
      <c r="A70" s="26" t="s">
        <v>28</v>
      </c>
      <c r="B70" s="29" t="s">
        <v>171</v>
      </c>
      <c r="C70" s="62" t="s">
        <v>31</v>
      </c>
      <c r="D70" s="62" t="s">
        <v>30</v>
      </c>
      <c r="E70" s="62" t="s">
        <v>161</v>
      </c>
      <c r="F70" s="261" t="s">
        <v>37</v>
      </c>
      <c r="G70" s="312">
        <v>284541</v>
      </c>
      <c r="H70" s="312">
        <v>299006</v>
      </c>
      <c r="I70" s="237">
        <v>62.83</v>
      </c>
      <c r="J70" s="237">
        <v>54.8414</v>
      </c>
      <c r="K70" s="312"/>
      <c r="L70" s="312"/>
      <c r="M70" s="312"/>
      <c r="N70" s="312"/>
      <c r="O70" s="245">
        <v>34275618.678400002</v>
      </c>
      <c r="P70" s="281">
        <v>13710247.469999999</v>
      </c>
      <c r="Q70" s="281">
        <v>6855123.7400000002</v>
      </c>
      <c r="R70" s="244">
        <v>0.5</v>
      </c>
      <c r="S70" s="243"/>
      <c r="T70" s="244"/>
    </row>
    <row r="71" spans="1:20" x14ac:dyDescent="0.25">
      <c r="A71" s="26" t="s">
        <v>28</v>
      </c>
      <c r="B71" s="29" t="s">
        <v>172</v>
      </c>
      <c r="C71" s="62" t="s">
        <v>31</v>
      </c>
      <c r="D71" s="62" t="s">
        <v>30</v>
      </c>
      <c r="E71" s="62" t="s">
        <v>161</v>
      </c>
      <c r="F71" s="261" t="s">
        <v>56</v>
      </c>
      <c r="G71" s="312">
        <v>5585275.0099999998</v>
      </c>
      <c r="H71" s="312">
        <v>6826578.1500000004</v>
      </c>
      <c r="I71" s="237">
        <v>12.191000000000001</v>
      </c>
      <c r="J71" s="237">
        <v>15.891999999999999</v>
      </c>
      <c r="K71" s="312"/>
      <c r="L71" s="312"/>
      <c r="M71" s="312"/>
      <c r="N71" s="312"/>
      <c r="O71" s="245">
        <v>176578067.60671002</v>
      </c>
      <c r="P71" s="281">
        <v>67099665.689999998</v>
      </c>
      <c r="Q71" s="281">
        <v>33549832.850000001</v>
      </c>
      <c r="R71" s="244">
        <v>0.5</v>
      </c>
      <c r="S71" s="243"/>
      <c r="T71" s="244"/>
    </row>
    <row r="72" spans="1:20" x14ac:dyDescent="0.25">
      <c r="A72" s="26" t="s">
        <v>28</v>
      </c>
      <c r="B72" s="32" t="s">
        <v>177</v>
      </c>
      <c r="C72" s="62" t="s">
        <v>31</v>
      </c>
      <c r="D72" s="62" t="s">
        <v>30</v>
      </c>
      <c r="E72" s="62" t="s">
        <v>161</v>
      </c>
      <c r="F72" s="261" t="s">
        <v>56</v>
      </c>
      <c r="G72" s="312">
        <v>237670.23</v>
      </c>
      <c r="H72" s="312">
        <v>261811.33</v>
      </c>
      <c r="I72" s="237">
        <v>2.0186000000000002</v>
      </c>
      <c r="J72" s="237">
        <v>2.0186000000000002</v>
      </c>
      <c r="K72" s="236"/>
      <c r="L72" s="312"/>
      <c r="M72" s="312"/>
      <c r="N72" s="236"/>
      <c r="O72" s="245">
        <v>1008253.4770160001</v>
      </c>
      <c r="P72" s="281">
        <v>375473.59</v>
      </c>
      <c r="Q72" s="281">
        <v>187736.8</v>
      </c>
      <c r="R72" s="244">
        <v>0.5</v>
      </c>
      <c r="S72" s="243"/>
      <c r="T72" s="286"/>
    </row>
    <row r="73" spans="1:20" x14ac:dyDescent="0.25">
      <c r="A73" s="26" t="s">
        <v>28</v>
      </c>
      <c r="B73" s="32" t="s">
        <v>179</v>
      </c>
      <c r="C73" s="62" t="s">
        <v>31</v>
      </c>
      <c r="D73" s="62" t="s">
        <v>30</v>
      </c>
      <c r="E73" s="62" t="s">
        <v>161</v>
      </c>
      <c r="F73" s="261" t="s">
        <v>37</v>
      </c>
      <c r="G73" s="312">
        <v>206499</v>
      </c>
      <c r="H73" s="312">
        <v>180143</v>
      </c>
      <c r="I73" s="237">
        <v>56.7988</v>
      </c>
      <c r="J73" s="237">
        <v>48.863700000000001</v>
      </c>
      <c r="K73" s="236"/>
      <c r="L73" s="312"/>
      <c r="M73" s="312"/>
      <c r="N73" s="236"/>
      <c r="O73" s="245">
        <v>20531348.910300002</v>
      </c>
      <c r="P73" s="281">
        <v>1286133.4359809998</v>
      </c>
      <c r="Q73" s="281">
        <v>643066.72</v>
      </c>
      <c r="R73" s="244">
        <v>0.5</v>
      </c>
      <c r="S73" s="243"/>
      <c r="T73" s="286"/>
    </row>
    <row r="74" spans="1:20" x14ac:dyDescent="0.25">
      <c r="A74" s="26" t="s">
        <v>28</v>
      </c>
      <c r="B74" s="302" t="s">
        <v>180</v>
      </c>
      <c r="C74" s="62" t="s">
        <v>31</v>
      </c>
      <c r="D74" s="62" t="s">
        <v>30</v>
      </c>
      <c r="E74" s="62" t="s">
        <v>161</v>
      </c>
      <c r="F74" s="261" t="s">
        <v>56</v>
      </c>
      <c r="G74" s="312">
        <v>3319975.87</v>
      </c>
      <c r="H74" s="312">
        <v>2903588.26</v>
      </c>
      <c r="I74" s="237">
        <v>11.166</v>
      </c>
      <c r="J74" s="237">
        <v>11.166</v>
      </c>
      <c r="K74" s="472"/>
      <c r="L74" s="312"/>
      <c r="M74" s="312"/>
      <c r="N74" s="236"/>
      <c r="O74" s="245">
        <v>69492317.075580001</v>
      </c>
      <c r="P74" s="281">
        <v>6733402.6965980008</v>
      </c>
      <c r="Q74" s="281">
        <v>3366701.35</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-7226518.1851508021</v>
      </c>
      <c r="P75" s="213">
        <v>-1350747.3735799987</v>
      </c>
      <c r="Q75" s="213">
        <v>-675373.68999999657</v>
      </c>
      <c r="R75" s="160"/>
      <c r="S75" s="201"/>
      <c r="T75" s="160"/>
    </row>
    <row r="76" spans="1:20" x14ac:dyDescent="0.25">
      <c r="A76" s="34"/>
      <c r="B76" s="165" t="s">
        <v>108</v>
      </c>
      <c r="C76" s="35" t="s">
        <v>349</v>
      </c>
      <c r="D76" s="22"/>
      <c r="E76" s="22"/>
      <c r="F76" s="297"/>
      <c r="G76" s="282">
        <v>5822945.2400000002</v>
      </c>
      <c r="H76" s="282">
        <v>7088389.4800000004</v>
      </c>
      <c r="I76" s="356"/>
      <c r="J76" s="282"/>
      <c r="K76" s="294"/>
      <c r="L76" s="287"/>
      <c r="M76" s="353"/>
      <c r="N76" s="219"/>
      <c r="O76" s="219">
        <v>455302100.7530942</v>
      </c>
      <c r="P76" s="219">
        <v>147867519.468999</v>
      </c>
      <c r="Q76" s="219">
        <v>73933759.749999985</v>
      </c>
      <c r="R76" s="199"/>
      <c r="S76" s="207"/>
      <c r="T76" s="160"/>
    </row>
    <row r="77" spans="1:20" x14ac:dyDescent="0.25">
      <c r="A77" s="157"/>
      <c r="B77" s="158"/>
      <c r="C77" s="35" t="s">
        <v>350</v>
      </c>
      <c r="D77" s="114"/>
      <c r="E77" s="114"/>
      <c r="F77" s="297"/>
      <c r="G77" s="283">
        <v>11.77580175443793</v>
      </c>
      <c r="H77" s="283">
        <v>15.37958271312964</v>
      </c>
      <c r="I77" s="357"/>
      <c r="J77" s="282"/>
      <c r="K77" s="295"/>
      <c r="L77" s="288"/>
      <c r="M77" s="478"/>
      <c r="N77" s="479"/>
      <c r="O77" s="479"/>
      <c r="P77" s="209"/>
      <c r="Q77" s="627">
        <v>298914190.66924995</v>
      </c>
      <c r="R77" s="198"/>
      <c r="S77" s="207"/>
      <c r="T77" s="160"/>
    </row>
    <row r="78" spans="1:20" x14ac:dyDescent="0.25">
      <c r="A78" s="10" t="s">
        <v>55</v>
      </c>
      <c r="B78" s="308"/>
      <c r="C78" s="308"/>
      <c r="D78" s="308"/>
      <c r="E78" s="308"/>
      <c r="F78" s="298"/>
      <c r="G78" s="284">
        <v>68569848.773187995</v>
      </c>
      <c r="H78" s="284">
        <v>109016472.31053801</v>
      </c>
      <c r="I78" s="282">
        <v>177586321.08372599</v>
      </c>
      <c r="J78" s="282">
        <v>177586321.08372602</v>
      </c>
      <c r="K78" s="358">
        <v>0</v>
      </c>
      <c r="L78" s="359"/>
      <c r="M78" s="311">
        <v>0</v>
      </c>
      <c r="N78" s="311">
        <v>27095.959299999999</v>
      </c>
      <c r="O78" s="311">
        <v>548766234.11379421</v>
      </c>
      <c r="P78" s="311">
        <v>91323570.259999976</v>
      </c>
      <c r="Q78" s="211">
        <v>369221194.55924994</v>
      </c>
      <c r="R78" s="60"/>
      <c r="S78" s="211"/>
      <c r="T78" s="60"/>
    </row>
    <row r="79" spans="1:20" x14ac:dyDescent="0.25">
      <c r="A79" s="6"/>
      <c r="B79" s="6"/>
      <c r="C79" s="6"/>
      <c r="D79" s="6"/>
      <c r="E79" s="6"/>
      <c r="F79" s="6"/>
      <c r="G79" s="6"/>
      <c r="H79" s="6"/>
      <c r="I79" s="6"/>
      <c r="J79" s="6"/>
      <c r="K79" s="6"/>
      <c r="L79" s="6"/>
      <c r="M79" s="6"/>
      <c r="N79" s="6"/>
      <c r="O79" s="280"/>
      <c r="P79" s="6"/>
      <c r="Q79" s="6"/>
      <c r="R79" s="6"/>
      <c r="S79" s="285"/>
      <c r="T79" s="6"/>
    </row>
    <row r="80" spans="1:20" x14ac:dyDescent="0.25">
      <c r="A80" s="99" t="s">
        <v>93</v>
      </c>
      <c r="B80" s="7" t="s">
        <v>76</v>
      </c>
      <c r="C80" s="7"/>
      <c r="D80" s="6"/>
      <c r="E80" s="6"/>
      <c r="F80" s="6"/>
      <c r="H80" s="99" t="s">
        <v>77</v>
      </c>
      <c r="J80" s="72"/>
      <c r="K80" s="72"/>
      <c r="L80" s="6"/>
      <c r="M80" s="6"/>
      <c r="N80" s="220"/>
      <c r="O80" s="622"/>
      <c r="P80" s="667"/>
      <c r="Q80" s="649"/>
      <c r="R80" s="6"/>
      <c r="S80" s="285"/>
      <c r="T80" s="6"/>
    </row>
    <row r="81" spans="1:20" x14ac:dyDescent="0.25">
      <c r="A81" s="6"/>
      <c r="B81" s="126" t="s">
        <v>78</v>
      </c>
      <c r="C81" s="127" t="s">
        <v>79</v>
      </c>
      <c r="D81" s="128"/>
      <c r="E81" s="129" t="s">
        <v>35</v>
      </c>
      <c r="F81" s="129" t="s">
        <v>80</v>
      </c>
      <c r="H81" s="100" t="s">
        <v>35</v>
      </c>
      <c r="I81" s="308"/>
      <c r="J81" s="308"/>
      <c r="K81" s="308"/>
      <c r="L81" s="101"/>
      <c r="M81" s="6"/>
      <c r="N81" s="451"/>
      <c r="O81" s="390"/>
      <c r="P81" s="74"/>
      <c r="Q81" s="649"/>
      <c r="R81" s="6"/>
      <c r="S81" s="6"/>
      <c r="T81" s="6"/>
    </row>
    <row r="82" spans="1:20" x14ac:dyDescent="0.25">
      <c r="A82" s="7"/>
      <c r="B82" s="102" t="s">
        <v>81</v>
      </c>
      <c r="C82" s="103" t="s">
        <v>82</v>
      </c>
      <c r="D82" s="104"/>
      <c r="E82" s="105"/>
      <c r="F82" s="105"/>
      <c r="G82" s="312"/>
      <c r="H82" s="106" t="s">
        <v>352</v>
      </c>
      <c r="I82" s="6"/>
      <c r="J82" s="6"/>
      <c r="K82" s="6"/>
      <c r="L82" s="107"/>
      <c r="M82" s="393">
        <v>6.2200000337121024E-2</v>
      </c>
      <c r="N82" s="393">
        <v>6.4199999463479832E-2</v>
      </c>
      <c r="O82" s="402"/>
      <c r="P82" s="220"/>
      <c r="Q82" s="473"/>
      <c r="R82" s="6"/>
      <c r="S82" s="6"/>
      <c r="T82" s="6"/>
    </row>
    <row r="83" spans="1:20" x14ac:dyDescent="0.25">
      <c r="A83" s="6"/>
      <c r="B83" s="108" t="s">
        <v>83</v>
      </c>
      <c r="C83" s="109" t="s">
        <v>84</v>
      </c>
      <c r="D83" s="110"/>
      <c r="E83" s="111"/>
      <c r="F83" s="112"/>
      <c r="H83" s="113">
        <v>0</v>
      </c>
      <c r="I83" s="114"/>
      <c r="J83" s="114"/>
      <c r="K83" s="114"/>
      <c r="L83" s="115"/>
      <c r="M83" s="393">
        <v>9.4199999857272176E-2</v>
      </c>
      <c r="N83" s="393">
        <v>9.8900000237297003E-2</v>
      </c>
      <c r="O83" s="405"/>
      <c r="P83" s="220"/>
      <c r="Q83" s="6"/>
      <c r="R83" s="6"/>
      <c r="S83" s="6"/>
      <c r="T83" s="6"/>
    </row>
    <row r="84" spans="1:20" x14ac:dyDescent="0.25">
      <c r="A84" s="6"/>
      <c r="B84" s="108" t="s">
        <v>85</v>
      </c>
      <c r="C84" s="109" t="s">
        <v>86</v>
      </c>
      <c r="D84" s="110"/>
      <c r="E84" s="111"/>
      <c r="F84" s="111"/>
      <c r="G84" s="6"/>
      <c r="I84" s="116"/>
      <c r="J84" s="6"/>
      <c r="K84" s="6"/>
      <c r="L84" s="6"/>
      <c r="M84" s="393">
        <v>0.39999999969547706</v>
      </c>
      <c r="N84" s="393">
        <v>0.39999999979093542</v>
      </c>
      <c r="O84" s="403"/>
      <c r="P84" s="6"/>
      <c r="Q84" s="6"/>
      <c r="R84" s="6"/>
      <c r="S84" s="6"/>
      <c r="T84" s="6"/>
    </row>
    <row r="85" spans="1:20" x14ac:dyDescent="0.25">
      <c r="A85" s="6"/>
      <c r="B85" s="108" t="s">
        <v>87</v>
      </c>
      <c r="C85" s="109" t="s">
        <v>88</v>
      </c>
      <c r="D85" s="110"/>
      <c r="E85" s="117"/>
      <c r="F85" s="117"/>
      <c r="G85" s="6"/>
      <c r="H85" s="100" t="s">
        <v>80</v>
      </c>
      <c r="I85" s="118"/>
      <c r="J85" s="308"/>
      <c r="K85" s="308"/>
      <c r="L85" s="101"/>
      <c r="M85" s="393">
        <v>0.38000000287019686</v>
      </c>
      <c r="N85" s="393"/>
      <c r="O85" s="403"/>
      <c r="P85" s="6"/>
      <c r="Q85" s="6"/>
      <c r="R85" s="6"/>
      <c r="S85" s="6"/>
      <c r="T85" s="6"/>
    </row>
    <row r="86" spans="1:20" x14ac:dyDescent="0.25">
      <c r="A86" s="6"/>
      <c r="B86" s="108" t="s">
        <v>89</v>
      </c>
      <c r="C86" s="109" t="s">
        <v>90</v>
      </c>
      <c r="D86" s="110"/>
      <c r="E86" s="119"/>
      <c r="F86" s="119"/>
      <c r="G86" s="6"/>
      <c r="H86" s="106" t="s">
        <v>352</v>
      </c>
      <c r="I86" s="116"/>
      <c r="J86" s="6"/>
      <c r="K86" s="6"/>
      <c r="L86" s="107"/>
      <c r="M86" s="7"/>
      <c r="N86" s="473"/>
      <c r="O86" s="403"/>
      <c r="P86" s="6"/>
      <c r="Q86" s="6"/>
      <c r="R86" s="6"/>
      <c r="S86" s="6"/>
      <c r="T86" s="6"/>
    </row>
    <row r="87" spans="1:20" x14ac:dyDescent="0.25">
      <c r="A87" s="6"/>
      <c r="B87" s="120" t="s">
        <v>91</v>
      </c>
      <c r="C87" s="121" t="s">
        <v>92</v>
      </c>
      <c r="D87" s="122"/>
      <c r="E87" s="123">
        <v>0</v>
      </c>
      <c r="F87" s="123">
        <v>0</v>
      </c>
      <c r="G87" s="6"/>
      <c r="H87" s="113">
        <v>0</v>
      </c>
      <c r="I87" s="124"/>
      <c r="J87" s="114"/>
      <c r="K87" s="114"/>
      <c r="L87" s="115"/>
      <c r="M87" s="403"/>
      <c r="N87" s="403"/>
      <c r="O87" s="403"/>
      <c r="P87" s="6"/>
      <c r="Q87" s="6"/>
      <c r="R87" s="6"/>
      <c r="S87" s="6"/>
      <c r="T87" s="6"/>
    </row>
    <row r="88" spans="1:20" x14ac:dyDescent="0.25">
      <c r="A88" s="5"/>
      <c r="C88" s="4"/>
      <c r="D88" s="4"/>
      <c r="H88" s="190"/>
      <c r="M88" s="406"/>
      <c r="N88" s="406"/>
      <c r="O88" s="406"/>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7" fitToWidth="2"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A1:T88"/>
  <sheetViews>
    <sheetView tabSelected="1" view="pageBreakPreview" zoomScale="95" zoomScaleNormal="95" zoomScaleSheetLayoutView="95" workbookViewId="0">
      <selection activeCell="F28" sqref="F28"/>
    </sheetView>
  </sheetViews>
  <sheetFormatPr baseColWidth="10" defaultColWidth="8.90625" defaultRowHeight="13.2" x14ac:dyDescent="0.25"/>
  <cols>
    <col min="1" max="1" width="3" style="307" customWidth="1"/>
    <col min="2" max="2" width="12.81640625" style="307" customWidth="1"/>
    <col min="3" max="4" width="7.1796875" style="307" customWidth="1"/>
    <col min="5" max="5" width="8.36328125" style="307" customWidth="1"/>
    <col min="6" max="6" width="9.81640625" style="307" customWidth="1"/>
    <col min="7" max="7" width="12.7265625" style="307" customWidth="1"/>
    <col min="8" max="8" width="10.453125" style="307" customWidth="1"/>
    <col min="9" max="9" width="10.453125" style="4" customWidth="1"/>
    <col min="10" max="10" width="9.1796875" style="307" bestFit="1" customWidth="1"/>
    <col min="11" max="11" width="9.453125" style="307" bestFit="1" customWidth="1"/>
    <col min="12" max="12" width="11.26953125" style="307" bestFit="1" customWidth="1"/>
    <col min="13" max="13" width="6.90625" style="307" bestFit="1" customWidth="1"/>
    <col min="14" max="14" width="10.453125" style="307" customWidth="1"/>
    <col min="15" max="15" width="13.453125" style="307" customWidth="1"/>
    <col min="16" max="16" width="13.81640625" style="307" customWidth="1"/>
    <col min="17" max="17" width="11.54296875" style="307" customWidth="1"/>
    <col min="18" max="18" width="5.6328125" style="307" customWidth="1"/>
    <col min="19" max="19" width="11.54296875" style="307" customWidth="1"/>
    <col min="20" max="20" width="5.6328125" style="307" customWidth="1"/>
    <col min="21" max="16384" width="8.90625" style="307"/>
  </cols>
  <sheetData>
    <row r="1" spans="1:20" x14ac:dyDescent="0.25">
      <c r="A1" s="4" t="s">
        <v>51</v>
      </c>
      <c r="C1" s="3"/>
      <c r="D1" s="3"/>
      <c r="E1" s="9">
        <v>44531</v>
      </c>
      <c r="F1" s="300">
        <v>3.8559999999999999</v>
      </c>
    </row>
    <row r="2" spans="1:20" x14ac:dyDescent="0.25">
      <c r="A2" s="3" t="s">
        <v>0</v>
      </c>
    </row>
    <row r="3" spans="1:20" x14ac:dyDescent="0.25">
      <c r="A3" s="144" t="s">
        <v>109</v>
      </c>
      <c r="B3" s="144"/>
      <c r="C3" s="144"/>
      <c r="D3" s="144"/>
      <c r="E3" s="144"/>
      <c r="F3" s="144"/>
      <c r="G3" s="144"/>
      <c r="H3" s="144"/>
      <c r="I3" s="681"/>
      <c r="J3" s="144"/>
      <c r="K3" s="144"/>
      <c r="L3" s="144"/>
      <c r="M3" s="144"/>
      <c r="N3" s="144"/>
      <c r="O3" s="144"/>
      <c r="P3" s="144"/>
      <c r="Q3" s="144"/>
      <c r="R3" s="144"/>
      <c r="S3" s="144"/>
      <c r="T3" s="144"/>
    </row>
    <row r="4" spans="1:20" x14ac:dyDescent="0.25">
      <c r="A4" s="143" t="s">
        <v>342</v>
      </c>
      <c r="B4" s="143"/>
      <c r="C4" s="143"/>
      <c r="D4" s="143"/>
      <c r="E4" s="143"/>
      <c r="F4" s="143"/>
      <c r="G4" s="143"/>
      <c r="H4" s="143"/>
      <c r="I4" s="682"/>
      <c r="J4" s="143"/>
      <c r="K4" s="143"/>
      <c r="L4" s="143"/>
      <c r="M4" s="143"/>
      <c r="N4" s="143"/>
      <c r="O4" s="143"/>
      <c r="P4" s="143"/>
      <c r="Q4" s="143"/>
      <c r="R4" s="143"/>
      <c r="S4" s="143"/>
      <c r="T4" s="143"/>
    </row>
    <row r="5" spans="1:20" x14ac:dyDescent="0.25">
      <c r="A5" s="143" t="s">
        <v>389</v>
      </c>
      <c r="B5" s="143"/>
      <c r="C5" s="143"/>
      <c r="D5" s="143"/>
      <c r="E5" s="143"/>
      <c r="F5" s="143"/>
      <c r="G5" s="143"/>
      <c r="H5" s="143"/>
      <c r="I5" s="682"/>
      <c r="J5" s="143"/>
      <c r="K5" s="143"/>
      <c r="L5" s="143"/>
      <c r="M5" s="143"/>
      <c r="N5" s="143"/>
      <c r="O5" s="143"/>
      <c r="P5" s="143"/>
      <c r="Q5" s="143"/>
      <c r="R5" s="143"/>
      <c r="S5" s="143"/>
      <c r="T5" s="143"/>
    </row>
    <row r="6" spans="1:20" x14ac:dyDescent="0.25">
      <c r="H6" s="2"/>
      <c r="P6" s="296"/>
    </row>
    <row r="7" spans="1:20" ht="21.75" customHeight="1" x14ac:dyDescent="0.25">
      <c r="A7" s="184" t="s">
        <v>25</v>
      </c>
      <c r="B7" s="185"/>
      <c r="C7" s="668" t="s">
        <v>33</v>
      </c>
      <c r="D7" s="69" t="s">
        <v>58</v>
      </c>
      <c r="E7" s="70"/>
      <c r="F7" s="186" t="s">
        <v>106</v>
      </c>
      <c r="G7" s="187"/>
      <c r="H7" s="310"/>
      <c r="I7" s="683" t="s">
        <v>38</v>
      </c>
      <c r="J7" s="310"/>
      <c r="K7" s="186" t="s">
        <v>41</v>
      </c>
      <c r="L7" s="187"/>
      <c r="M7" s="187"/>
      <c r="N7" s="310"/>
      <c r="O7" s="668" t="s">
        <v>96</v>
      </c>
      <c r="P7" s="186" t="s">
        <v>50</v>
      </c>
      <c r="Q7" s="187"/>
      <c r="R7" s="187"/>
      <c r="S7" s="187"/>
      <c r="T7" s="310"/>
    </row>
    <row r="8" spans="1:20" ht="14.25" customHeight="1" x14ac:dyDescent="0.25">
      <c r="A8" s="12" t="s">
        <v>26</v>
      </c>
      <c r="B8" s="13"/>
      <c r="C8" s="669"/>
      <c r="D8" s="319" t="s">
        <v>19</v>
      </c>
      <c r="E8" s="318" t="s">
        <v>59</v>
      </c>
      <c r="F8" s="319" t="s">
        <v>27</v>
      </c>
      <c r="G8" s="320" t="s">
        <v>35</v>
      </c>
      <c r="H8" s="309" t="s">
        <v>36</v>
      </c>
      <c r="I8" s="684" t="s">
        <v>35</v>
      </c>
      <c r="J8" s="320" t="s">
        <v>36</v>
      </c>
      <c r="K8" s="320" t="s">
        <v>39</v>
      </c>
      <c r="L8" s="320" t="s">
        <v>40</v>
      </c>
      <c r="M8" s="320" t="s">
        <v>42</v>
      </c>
      <c r="N8" s="320" t="s">
        <v>2</v>
      </c>
      <c r="O8" s="669"/>
      <c r="P8" s="42" t="s">
        <v>1</v>
      </c>
      <c r="Q8" s="186" t="s">
        <v>45</v>
      </c>
      <c r="R8" s="310"/>
      <c r="S8" s="186" t="s">
        <v>46</v>
      </c>
      <c r="T8" s="310"/>
    </row>
    <row r="9" spans="1:20" x14ac:dyDescent="0.25">
      <c r="A9" s="313" t="s">
        <v>23</v>
      </c>
      <c r="B9" s="19"/>
      <c r="C9" s="64"/>
      <c r="D9" s="24"/>
      <c r="E9" s="24"/>
      <c r="F9" s="313"/>
      <c r="G9" s="205"/>
      <c r="H9" s="208"/>
      <c r="I9" s="204"/>
      <c r="J9" s="205"/>
      <c r="K9" s="205"/>
      <c r="L9" s="205"/>
      <c r="M9" s="205"/>
      <c r="N9" s="205"/>
      <c r="O9" s="212"/>
      <c r="P9" s="205"/>
      <c r="Q9" s="203" t="s">
        <v>43</v>
      </c>
      <c r="R9" s="182"/>
      <c r="S9" s="203" t="s">
        <v>44</v>
      </c>
      <c r="T9" s="182"/>
    </row>
    <row r="10" spans="1:20" x14ac:dyDescent="0.25">
      <c r="A10" s="26" t="s">
        <v>28</v>
      </c>
      <c r="B10" s="27" t="s">
        <v>13</v>
      </c>
      <c r="C10" s="62" t="s">
        <v>29</v>
      </c>
      <c r="D10" s="28" t="s">
        <v>21</v>
      </c>
      <c r="E10" s="62" t="s">
        <v>98</v>
      </c>
      <c r="F10" s="260" t="s">
        <v>37</v>
      </c>
      <c r="G10" s="312"/>
      <c r="H10" s="236">
        <v>13479</v>
      </c>
      <c r="I10" s="237"/>
      <c r="J10" s="238">
        <v>72.385000000000005</v>
      </c>
      <c r="K10" s="312"/>
      <c r="L10" s="312"/>
      <c r="M10" s="312"/>
      <c r="N10" s="236">
        <v>486.79340000000002</v>
      </c>
      <c r="O10" s="236">
        <v>975190.62660000008</v>
      </c>
      <c r="P10" s="243">
        <v>182848.24</v>
      </c>
      <c r="Q10" s="243">
        <v>146278.59</v>
      </c>
      <c r="R10" s="244">
        <v>0.15</v>
      </c>
      <c r="S10" s="243">
        <v>36569.65</v>
      </c>
      <c r="T10" s="286">
        <v>3.7499999999999999E-2</v>
      </c>
    </row>
    <row r="11" spans="1:20" x14ac:dyDescent="0.25">
      <c r="A11" s="26" t="s">
        <v>28</v>
      </c>
      <c r="B11" s="27" t="s">
        <v>14</v>
      </c>
      <c r="C11" s="62" t="s">
        <v>29</v>
      </c>
      <c r="D11" s="28" t="s">
        <v>21</v>
      </c>
      <c r="E11" s="62" t="s">
        <v>98</v>
      </c>
      <c r="F11" s="260" t="s">
        <v>56</v>
      </c>
      <c r="G11" s="312"/>
      <c r="H11" s="236">
        <v>79753.179999999993</v>
      </c>
      <c r="I11" s="237"/>
      <c r="J11" s="238">
        <v>3.7755999999999998</v>
      </c>
      <c r="K11" s="312"/>
      <c r="L11" s="312"/>
      <c r="M11" s="312"/>
      <c r="N11" s="236">
        <v>1363.0239999999999</v>
      </c>
      <c r="O11" s="236">
        <v>299753.08600000001</v>
      </c>
      <c r="P11" s="243">
        <v>56203.7</v>
      </c>
      <c r="Q11" s="243">
        <v>44962.96</v>
      </c>
      <c r="R11" s="244">
        <v>0.15</v>
      </c>
      <c r="S11" s="243">
        <v>11240.74</v>
      </c>
      <c r="T11" s="286">
        <v>3.7499999999999999E-2</v>
      </c>
    </row>
    <row r="12" spans="1:20" x14ac:dyDescent="0.25">
      <c r="A12" s="26"/>
      <c r="B12" s="27" t="s">
        <v>341</v>
      </c>
      <c r="C12" s="62" t="s">
        <v>31</v>
      </c>
      <c r="D12" s="28" t="s">
        <v>30</v>
      </c>
      <c r="E12" s="62" t="s">
        <v>101</v>
      </c>
      <c r="F12" s="260" t="s">
        <v>37</v>
      </c>
      <c r="G12" s="312"/>
      <c r="H12" s="236">
        <v>12672.548500000001</v>
      </c>
      <c r="I12" s="237"/>
      <c r="J12" s="238">
        <v>3</v>
      </c>
      <c r="K12" s="312"/>
      <c r="L12" s="312"/>
      <c r="M12" s="312"/>
      <c r="N12" s="236"/>
      <c r="O12" s="236">
        <v>38017.65</v>
      </c>
      <c r="P12" s="243">
        <v>7128.31</v>
      </c>
      <c r="Q12" s="243">
        <v>5702.65</v>
      </c>
      <c r="R12" s="244">
        <v>0.15</v>
      </c>
      <c r="S12" s="243">
        <v>1425.66</v>
      </c>
      <c r="T12" s="286">
        <v>3.7499999999999999E-2</v>
      </c>
    </row>
    <row r="13" spans="1:20" x14ac:dyDescent="0.25">
      <c r="A13" s="26" t="s">
        <v>28</v>
      </c>
      <c r="B13" s="27" t="s">
        <v>3</v>
      </c>
      <c r="C13" s="62" t="s">
        <v>31</v>
      </c>
      <c r="D13" s="28" t="s">
        <v>30</v>
      </c>
      <c r="E13" s="62" t="s">
        <v>101</v>
      </c>
      <c r="F13" s="260" t="s">
        <v>37</v>
      </c>
      <c r="G13" s="236">
        <v>4975</v>
      </c>
      <c r="H13" s="236">
        <v>6667</v>
      </c>
      <c r="I13" s="238">
        <v>71.466099999999997</v>
      </c>
      <c r="J13" s="238">
        <v>73.769800000000004</v>
      </c>
      <c r="K13" s="312"/>
      <c r="L13" s="312"/>
      <c r="M13" s="236"/>
      <c r="N13" s="236">
        <v>1251.7583999999999</v>
      </c>
      <c r="O13" s="236">
        <v>846115.35159999994</v>
      </c>
      <c r="P13" s="243">
        <v>158646.63</v>
      </c>
      <c r="Q13" s="243">
        <v>126917.3</v>
      </c>
      <c r="R13" s="244">
        <v>0.15</v>
      </c>
      <c r="S13" s="243">
        <v>31729.33</v>
      </c>
      <c r="T13" s="286">
        <v>3.7499999999999999E-2</v>
      </c>
    </row>
    <row r="14" spans="1:20" x14ac:dyDescent="0.25">
      <c r="A14" s="267" t="s">
        <v>28</v>
      </c>
      <c r="B14" s="271" t="s">
        <v>176</v>
      </c>
      <c r="C14" s="260" t="s">
        <v>29</v>
      </c>
      <c r="D14" s="268" t="s">
        <v>21</v>
      </c>
      <c r="E14" s="260" t="s">
        <v>98</v>
      </c>
      <c r="F14" s="260" t="s">
        <v>56</v>
      </c>
      <c r="G14" s="236">
        <v>3220.9272999999998</v>
      </c>
      <c r="H14" s="236">
        <v>12411.4318</v>
      </c>
      <c r="I14" s="238">
        <v>2.6775000000000002</v>
      </c>
      <c r="J14" s="238">
        <v>2.6775000000000002</v>
      </c>
      <c r="K14" s="312"/>
      <c r="L14" s="312"/>
      <c r="M14" s="236"/>
      <c r="N14" s="236">
        <v>1342.1611</v>
      </c>
      <c r="O14" s="236">
        <v>40513.478900000002</v>
      </c>
      <c r="P14" s="243">
        <v>7596.28</v>
      </c>
      <c r="Q14" s="243">
        <v>6077.02</v>
      </c>
      <c r="R14" s="244">
        <v>0.15</v>
      </c>
      <c r="S14" s="243">
        <v>1519.2599999999993</v>
      </c>
      <c r="T14" s="286">
        <v>3.7499999999999999E-2</v>
      </c>
    </row>
    <row r="15" spans="1:20" x14ac:dyDescent="0.25">
      <c r="A15" s="26" t="s">
        <v>28</v>
      </c>
      <c r="B15" s="27" t="s">
        <v>4</v>
      </c>
      <c r="C15" s="62" t="s">
        <v>31</v>
      </c>
      <c r="D15" s="28" t="s">
        <v>30</v>
      </c>
      <c r="E15" s="62" t="s">
        <v>101</v>
      </c>
      <c r="F15" s="260" t="s">
        <v>37</v>
      </c>
      <c r="G15" s="236">
        <v>6452</v>
      </c>
      <c r="H15" s="236">
        <v>6532</v>
      </c>
      <c r="I15" s="237">
        <v>71.669399999999996</v>
      </c>
      <c r="J15" s="238">
        <v>73.172200000000004</v>
      </c>
      <c r="K15" s="312"/>
      <c r="L15" s="312"/>
      <c r="M15" s="236"/>
      <c r="N15" s="236">
        <v>897.09349999999995</v>
      </c>
      <c r="O15" s="236">
        <v>939474.68650000007</v>
      </c>
      <c r="P15" s="243">
        <v>176151.5</v>
      </c>
      <c r="Q15" s="243">
        <v>140921.20000000001</v>
      </c>
      <c r="R15" s="244">
        <v>0.15</v>
      </c>
      <c r="S15" s="243">
        <v>35230.300000000003</v>
      </c>
      <c r="T15" s="286">
        <v>3.7499999999999999E-2</v>
      </c>
    </row>
    <row r="16" spans="1:20" x14ac:dyDescent="0.25">
      <c r="A16" s="26" t="s">
        <v>28</v>
      </c>
      <c r="B16" s="27" t="s">
        <v>5</v>
      </c>
      <c r="C16" s="62" t="s">
        <v>31</v>
      </c>
      <c r="D16" s="28" t="s">
        <v>30</v>
      </c>
      <c r="E16" s="62" t="s">
        <v>101</v>
      </c>
      <c r="F16" s="260" t="s">
        <v>37</v>
      </c>
      <c r="G16" s="236">
        <v>33173</v>
      </c>
      <c r="H16" s="236">
        <v>34782</v>
      </c>
      <c r="I16" s="237">
        <v>71.669399999999996</v>
      </c>
      <c r="J16" s="238">
        <v>73.172200000000004</v>
      </c>
      <c r="K16" s="312"/>
      <c r="L16" s="312"/>
      <c r="M16" s="236"/>
      <c r="N16" s="236">
        <v>2308.7968999999998</v>
      </c>
      <c r="O16" s="236">
        <v>4920255.6730999993</v>
      </c>
      <c r="P16" s="243">
        <v>922547.94</v>
      </c>
      <c r="Q16" s="243">
        <v>738038.35</v>
      </c>
      <c r="R16" s="244">
        <v>0.15</v>
      </c>
      <c r="S16" s="243">
        <v>184509.59</v>
      </c>
      <c r="T16" s="286">
        <v>3.7499999999999999E-2</v>
      </c>
    </row>
    <row r="17" spans="1:20" x14ac:dyDescent="0.25">
      <c r="A17" s="26" t="s">
        <v>28</v>
      </c>
      <c r="B17" s="27" t="s">
        <v>331</v>
      </c>
      <c r="C17" s="62" t="s">
        <v>31</v>
      </c>
      <c r="D17" s="28" t="s">
        <v>30</v>
      </c>
      <c r="E17" s="62" t="s">
        <v>101</v>
      </c>
      <c r="F17" s="260" t="s">
        <v>37</v>
      </c>
      <c r="G17" s="236">
        <v>15435.9822</v>
      </c>
      <c r="H17" s="236">
        <v>13178.2664</v>
      </c>
      <c r="I17" s="237">
        <v>7.8036000000000003</v>
      </c>
      <c r="J17" s="238">
        <v>7.8036000000000003</v>
      </c>
      <c r="K17" s="312"/>
      <c r="L17" s="312"/>
      <c r="M17" s="236"/>
      <c r="N17" s="236"/>
      <c r="O17" s="236">
        <v>223294.15</v>
      </c>
      <c r="P17" s="243">
        <v>41867.65</v>
      </c>
      <c r="Q17" s="243">
        <v>33494.120000000003</v>
      </c>
      <c r="R17" s="244">
        <v>0.15</v>
      </c>
      <c r="S17" s="243">
        <v>8373.5300000000007</v>
      </c>
      <c r="T17" s="286">
        <v>3.7499999999999999E-2</v>
      </c>
    </row>
    <row r="18" spans="1:20" x14ac:dyDescent="0.25">
      <c r="A18" s="26" t="s">
        <v>28</v>
      </c>
      <c r="B18" s="27" t="s">
        <v>17</v>
      </c>
      <c r="C18" s="62" t="s">
        <v>29</v>
      </c>
      <c r="D18" s="28" t="s">
        <v>21</v>
      </c>
      <c r="E18" s="62" t="s">
        <v>98</v>
      </c>
      <c r="F18" s="260" t="s">
        <v>37</v>
      </c>
      <c r="G18" s="312"/>
      <c r="H18" s="236">
        <v>2856</v>
      </c>
      <c r="I18" s="237"/>
      <c r="J18" s="238">
        <v>72.385000000000005</v>
      </c>
      <c r="K18" s="312"/>
      <c r="L18" s="312"/>
      <c r="M18" s="312"/>
      <c r="N18" s="236">
        <v>1057.0385000000001</v>
      </c>
      <c r="O18" s="245">
        <v>205674.5215</v>
      </c>
      <c r="P18" s="243">
        <v>38563.97</v>
      </c>
      <c r="Q18" s="243">
        <v>30851.18</v>
      </c>
      <c r="R18" s="244">
        <v>0.15</v>
      </c>
      <c r="S18" s="243">
        <v>7712.79</v>
      </c>
      <c r="T18" s="286">
        <v>3.7499999999999999E-2</v>
      </c>
    </row>
    <row r="19" spans="1:20" x14ac:dyDescent="0.25">
      <c r="A19" s="26" t="s">
        <v>28</v>
      </c>
      <c r="B19" s="27" t="s">
        <v>6</v>
      </c>
      <c r="C19" s="62" t="s">
        <v>31</v>
      </c>
      <c r="D19" s="28" t="s">
        <v>30</v>
      </c>
      <c r="E19" s="62" t="s">
        <v>101</v>
      </c>
      <c r="F19" s="260" t="s">
        <v>37</v>
      </c>
      <c r="G19" s="236">
        <v>54770</v>
      </c>
      <c r="H19" s="236">
        <v>69669</v>
      </c>
      <c r="I19" s="237">
        <v>71.119399999999999</v>
      </c>
      <c r="J19" s="238">
        <v>72.622200000000007</v>
      </c>
      <c r="K19" s="312"/>
      <c r="L19" s="312"/>
      <c r="M19" s="236"/>
      <c r="N19" s="236">
        <v>6439.5873000000001</v>
      </c>
      <c r="O19" s="245">
        <v>8948286.0026999991</v>
      </c>
      <c r="P19" s="243">
        <v>1677803.63</v>
      </c>
      <c r="Q19" s="243">
        <v>1342242.9</v>
      </c>
      <c r="R19" s="244">
        <v>0.15</v>
      </c>
      <c r="S19" s="243">
        <v>335560.73</v>
      </c>
      <c r="T19" s="286">
        <v>3.7499999999999999E-2</v>
      </c>
    </row>
    <row r="20" spans="1:20" x14ac:dyDescent="0.25">
      <c r="A20" s="26" t="s">
        <v>28</v>
      </c>
      <c r="B20" s="29" t="s">
        <v>158</v>
      </c>
      <c r="C20" s="62" t="s">
        <v>29</v>
      </c>
      <c r="D20" s="28" t="s">
        <v>21</v>
      </c>
      <c r="E20" s="62" t="s">
        <v>98</v>
      </c>
      <c r="F20" s="260" t="s">
        <v>37</v>
      </c>
      <c r="G20" s="312"/>
      <c r="H20" s="312"/>
      <c r="I20" s="237"/>
      <c r="J20" s="238"/>
      <c r="K20" s="312"/>
      <c r="L20" s="312"/>
      <c r="M20" s="312"/>
      <c r="N20" s="312"/>
      <c r="O20" s="245">
        <v>0</v>
      </c>
      <c r="P20" s="243">
        <v>0</v>
      </c>
      <c r="Q20" s="243">
        <v>0</v>
      </c>
      <c r="R20" s="244">
        <v>0.15</v>
      </c>
      <c r="S20" s="243">
        <v>0</v>
      </c>
      <c r="T20" s="286">
        <v>3.7499999999999999E-2</v>
      </c>
    </row>
    <row r="21" spans="1:20" x14ac:dyDescent="0.25">
      <c r="A21" s="26" t="s">
        <v>28</v>
      </c>
      <c r="B21" s="27" t="s">
        <v>7</v>
      </c>
      <c r="C21" s="62" t="s">
        <v>31</v>
      </c>
      <c r="D21" s="28" t="s">
        <v>30</v>
      </c>
      <c r="E21" s="62" t="s">
        <v>101</v>
      </c>
      <c r="F21" s="260" t="s">
        <v>56</v>
      </c>
      <c r="G21" s="312">
        <v>85643.44</v>
      </c>
      <c r="H21" s="236">
        <v>87843.08</v>
      </c>
      <c r="I21" s="238">
        <v>0.8</v>
      </c>
      <c r="J21" s="238">
        <v>0.8</v>
      </c>
      <c r="K21" s="312"/>
      <c r="L21" s="312"/>
      <c r="M21" s="312"/>
      <c r="N21" s="312">
        <v>1509.0619999999999</v>
      </c>
      <c r="O21" s="245">
        <v>137280.14800000002</v>
      </c>
      <c r="P21" s="243">
        <v>25740.03</v>
      </c>
      <c r="Q21" s="243">
        <v>20592.02</v>
      </c>
      <c r="R21" s="244">
        <v>0.15</v>
      </c>
      <c r="S21" s="243">
        <v>5148.01</v>
      </c>
      <c r="T21" s="286">
        <v>3.7499999999999999E-2</v>
      </c>
    </row>
    <row r="22" spans="1:20" x14ac:dyDescent="0.25">
      <c r="A22" s="26" t="s">
        <v>28</v>
      </c>
      <c r="B22" s="27" t="s">
        <v>18</v>
      </c>
      <c r="C22" s="62" t="s">
        <v>31</v>
      </c>
      <c r="D22" s="28" t="s">
        <v>30</v>
      </c>
      <c r="E22" s="62" t="s">
        <v>101</v>
      </c>
      <c r="F22" s="260" t="s">
        <v>37</v>
      </c>
      <c r="G22" s="312">
        <v>2117</v>
      </c>
      <c r="H22" s="312">
        <v>2699</v>
      </c>
      <c r="I22" s="238">
        <v>71.669399999999996</v>
      </c>
      <c r="J22" s="238">
        <v>73.172200000000004</v>
      </c>
      <c r="K22" s="312"/>
      <c r="L22" s="312"/>
      <c r="M22" s="236"/>
      <c r="N22" s="236">
        <v>521.56579999999997</v>
      </c>
      <c r="O22" s="245">
        <v>348694.32420000003</v>
      </c>
      <c r="P22" s="243">
        <v>65380.19</v>
      </c>
      <c r="Q22" s="243">
        <v>52304.15</v>
      </c>
      <c r="R22" s="244">
        <v>0.15</v>
      </c>
      <c r="S22" s="243">
        <v>13076.04</v>
      </c>
      <c r="T22" s="286">
        <v>3.7499999999999999E-2</v>
      </c>
    </row>
    <row r="23" spans="1:20" x14ac:dyDescent="0.25">
      <c r="A23" s="26" t="s">
        <v>28</v>
      </c>
      <c r="B23" s="29" t="s">
        <v>20</v>
      </c>
      <c r="C23" s="62" t="s">
        <v>31</v>
      </c>
      <c r="D23" s="28" t="s">
        <v>30</v>
      </c>
      <c r="E23" s="62" t="s">
        <v>101</v>
      </c>
      <c r="F23" s="260" t="s">
        <v>37</v>
      </c>
      <c r="G23" s="312">
        <v>185382</v>
      </c>
      <c r="H23" s="312">
        <v>196538</v>
      </c>
      <c r="I23" s="238">
        <v>71.669399999999996</v>
      </c>
      <c r="J23" s="238">
        <v>73.172200000000004</v>
      </c>
      <c r="K23" s="312"/>
      <c r="L23" s="312"/>
      <c r="M23" s="236"/>
      <c r="N23" s="236">
        <v>8059.9174999999996</v>
      </c>
      <c r="O23" s="245">
        <v>27659274.6325</v>
      </c>
      <c r="P23" s="243">
        <v>5186113.99</v>
      </c>
      <c r="Q23" s="243">
        <v>4148891.19</v>
      </c>
      <c r="R23" s="244">
        <v>0.15</v>
      </c>
      <c r="S23" s="243">
        <v>1037222.8</v>
      </c>
      <c r="T23" s="286">
        <v>3.7499999999999999E-2</v>
      </c>
    </row>
    <row r="24" spans="1:20" x14ac:dyDescent="0.25">
      <c r="A24" s="26" t="s">
        <v>28</v>
      </c>
      <c r="B24" s="27" t="s">
        <v>8</v>
      </c>
      <c r="C24" s="62" t="s">
        <v>31</v>
      </c>
      <c r="D24" s="28" t="s">
        <v>21</v>
      </c>
      <c r="E24" s="62" t="s">
        <v>101</v>
      </c>
      <c r="F24" s="260" t="s">
        <v>56</v>
      </c>
      <c r="G24" s="312">
        <v>250430.94</v>
      </c>
      <c r="H24" s="236">
        <v>273443.75</v>
      </c>
      <c r="I24" s="238">
        <v>1.9642999999999999</v>
      </c>
      <c r="J24" s="238">
        <v>1.9642999999999999</v>
      </c>
      <c r="K24" s="312"/>
      <c r="L24" s="312"/>
      <c r="M24" s="236"/>
      <c r="N24" s="236">
        <v>1592.5137999999999</v>
      </c>
      <c r="O24" s="245">
        <v>1027454.5462000001</v>
      </c>
      <c r="P24" s="243">
        <v>192647.73</v>
      </c>
      <c r="Q24" s="243">
        <v>154118.18</v>
      </c>
      <c r="R24" s="244">
        <v>0.15</v>
      </c>
      <c r="S24" s="243">
        <v>38529.550000000003</v>
      </c>
      <c r="T24" s="286">
        <v>3.7499999999999999E-2</v>
      </c>
    </row>
    <row r="25" spans="1:20" x14ac:dyDescent="0.25">
      <c r="A25" s="26" t="s">
        <v>28</v>
      </c>
      <c r="B25" s="29" t="s">
        <v>57</v>
      </c>
      <c r="C25" s="62" t="s">
        <v>31</v>
      </c>
      <c r="D25" s="28" t="s">
        <v>21</v>
      </c>
      <c r="E25" s="62" t="s">
        <v>101</v>
      </c>
      <c r="F25" s="260" t="s">
        <v>37</v>
      </c>
      <c r="G25" s="312"/>
      <c r="H25" s="312"/>
      <c r="I25" s="237"/>
      <c r="J25" s="238"/>
      <c r="K25" s="312"/>
      <c r="L25" s="312"/>
      <c r="M25" s="312"/>
      <c r="N25" s="236"/>
      <c r="O25" s="245">
        <v>0</v>
      </c>
      <c r="P25" s="243">
        <v>0</v>
      </c>
      <c r="Q25" s="243">
        <v>0</v>
      </c>
      <c r="R25" s="244">
        <v>0.15</v>
      </c>
      <c r="S25" s="243">
        <v>0</v>
      </c>
      <c r="T25" s="286">
        <v>3.7499999999999999E-2</v>
      </c>
    </row>
    <row r="26" spans="1:20" x14ac:dyDescent="0.25">
      <c r="A26" s="26" t="s">
        <v>28</v>
      </c>
      <c r="B26" s="27" t="s">
        <v>9</v>
      </c>
      <c r="C26" s="62" t="s">
        <v>31</v>
      </c>
      <c r="D26" s="28" t="s">
        <v>30</v>
      </c>
      <c r="E26" s="62" t="s">
        <v>101</v>
      </c>
      <c r="F26" s="260" t="s">
        <v>37</v>
      </c>
      <c r="G26" s="312">
        <v>429</v>
      </c>
      <c r="H26" s="312">
        <v>522</v>
      </c>
      <c r="I26" s="238">
        <v>71.866399999999999</v>
      </c>
      <c r="J26" s="238">
        <v>74.348600000000005</v>
      </c>
      <c r="K26" s="312"/>
      <c r="L26" s="312"/>
      <c r="M26" s="312"/>
      <c r="N26" s="236">
        <v>570.24509999999998</v>
      </c>
      <c r="O26" s="245">
        <v>69070.414900000003</v>
      </c>
      <c r="P26" s="243">
        <v>12950.7</v>
      </c>
      <c r="Q26" s="243">
        <v>10360.56</v>
      </c>
      <c r="R26" s="244">
        <v>0.15</v>
      </c>
      <c r="S26" s="243">
        <v>2590.14</v>
      </c>
      <c r="T26" s="286">
        <v>3.7499999999999999E-2</v>
      </c>
    </row>
    <row r="27" spans="1:20" x14ac:dyDescent="0.25">
      <c r="A27" s="26" t="s">
        <v>28</v>
      </c>
      <c r="B27" s="29" t="s">
        <v>168</v>
      </c>
      <c r="C27" s="62" t="s">
        <v>31</v>
      </c>
      <c r="D27" s="28" t="s">
        <v>30</v>
      </c>
      <c r="E27" s="62" t="s">
        <v>101</v>
      </c>
      <c r="F27" s="260" t="s">
        <v>37</v>
      </c>
      <c r="G27" s="236">
        <v>20251</v>
      </c>
      <c r="H27" s="236">
        <v>31504</v>
      </c>
      <c r="I27" s="238">
        <v>69.609399999999994</v>
      </c>
      <c r="J27" s="238">
        <v>71.112200000000001</v>
      </c>
      <c r="K27" s="312"/>
      <c r="L27" s="312"/>
      <c r="M27" s="236"/>
      <c r="N27" s="236">
        <v>5410.3702000000003</v>
      </c>
      <c r="O27" s="245">
        <v>3644568.3398000002</v>
      </c>
      <c r="P27" s="243">
        <v>683356.56</v>
      </c>
      <c r="Q27" s="243">
        <v>546685.25</v>
      </c>
      <c r="R27" s="244">
        <v>0.15</v>
      </c>
      <c r="S27" s="243">
        <v>136671.31</v>
      </c>
      <c r="T27" s="286">
        <v>3.7499999999999999E-2</v>
      </c>
    </row>
    <row r="28" spans="1:20" x14ac:dyDescent="0.25">
      <c r="A28" s="26" t="s">
        <v>28</v>
      </c>
      <c r="B28" s="29" t="s">
        <v>191</v>
      </c>
      <c r="C28" s="62" t="s">
        <v>31</v>
      </c>
      <c r="D28" s="28" t="s">
        <v>30</v>
      </c>
      <c r="E28" s="62" t="s">
        <v>101</v>
      </c>
      <c r="F28" s="260" t="s">
        <v>37</v>
      </c>
      <c r="G28" s="236"/>
      <c r="H28" s="312"/>
      <c r="I28" s="237"/>
      <c r="J28" s="238"/>
      <c r="K28" s="312"/>
      <c r="L28" s="312"/>
      <c r="M28" s="312"/>
      <c r="N28" s="236"/>
      <c r="O28" s="245">
        <v>0</v>
      </c>
      <c r="P28" s="243">
        <v>0</v>
      </c>
      <c r="Q28" s="243">
        <v>0</v>
      </c>
      <c r="R28" s="244">
        <v>0.15</v>
      </c>
      <c r="S28" s="243">
        <v>0</v>
      </c>
      <c r="T28" s="286">
        <v>3.7499999999999999E-2</v>
      </c>
    </row>
    <row r="29" spans="1:20" s="395" customFormat="1" x14ac:dyDescent="0.25">
      <c r="A29" s="409" t="s">
        <v>28</v>
      </c>
      <c r="B29" s="216" t="s">
        <v>318</v>
      </c>
      <c r="C29" s="62" t="s">
        <v>31</v>
      </c>
      <c r="D29" s="28" t="s">
        <v>30</v>
      </c>
      <c r="E29" s="62" t="s">
        <v>101</v>
      </c>
      <c r="F29" s="260" t="s">
        <v>56</v>
      </c>
      <c r="G29" s="236">
        <v>58023.566500000001</v>
      </c>
      <c r="H29" s="312">
        <v>60059.089200000002</v>
      </c>
      <c r="I29" s="237">
        <v>1.5</v>
      </c>
      <c r="J29" s="238">
        <v>1.5</v>
      </c>
      <c r="K29" s="312"/>
      <c r="L29" s="312"/>
      <c r="M29" s="236"/>
      <c r="N29" s="236">
        <v>2246.2080999999998</v>
      </c>
      <c r="O29" s="245">
        <v>174877.77190000002</v>
      </c>
      <c r="P29" s="243">
        <v>32789.58</v>
      </c>
      <c r="Q29" s="243">
        <v>26231.67</v>
      </c>
      <c r="R29" s="244">
        <v>0.15</v>
      </c>
      <c r="S29" s="243">
        <v>6557.92</v>
      </c>
      <c r="T29" s="286">
        <v>3.7499999999999999E-2</v>
      </c>
    </row>
    <row r="30" spans="1:20" s="395" customFormat="1" x14ac:dyDescent="0.25">
      <c r="A30" s="409" t="s">
        <v>28</v>
      </c>
      <c r="B30" s="216" t="s">
        <v>319</v>
      </c>
      <c r="C30" s="62" t="s">
        <v>31</v>
      </c>
      <c r="D30" s="28" t="s">
        <v>30</v>
      </c>
      <c r="E30" s="62" t="s">
        <v>101</v>
      </c>
      <c r="F30" s="260" t="s">
        <v>56</v>
      </c>
      <c r="G30" s="236">
        <v>104556.1795</v>
      </c>
      <c r="H30" s="312">
        <v>104658.63860000001</v>
      </c>
      <c r="I30" s="237">
        <v>3.2637999999999998</v>
      </c>
      <c r="J30" s="238">
        <v>3.3401999999999998</v>
      </c>
      <c r="K30" s="312"/>
      <c r="L30" s="312"/>
      <c r="M30" s="236"/>
      <c r="N30" s="236"/>
      <c r="O30" s="245">
        <v>690831.24</v>
      </c>
      <c r="P30" s="243">
        <v>129530.86</v>
      </c>
      <c r="Q30" s="243">
        <v>103624.69</v>
      </c>
      <c r="R30" s="244">
        <v>0.15</v>
      </c>
      <c r="S30" s="243">
        <v>25906.17</v>
      </c>
      <c r="T30" s="286">
        <v>3.7499999999999999E-2</v>
      </c>
    </row>
    <row r="31" spans="1:20" s="395" customFormat="1" x14ac:dyDescent="0.25">
      <c r="A31" s="409" t="s">
        <v>28</v>
      </c>
      <c r="B31" s="216" t="s">
        <v>322</v>
      </c>
      <c r="C31" s="62" t="s">
        <v>31</v>
      </c>
      <c r="D31" s="28" t="s">
        <v>30</v>
      </c>
      <c r="E31" s="62" t="s">
        <v>101</v>
      </c>
      <c r="F31" s="260" t="s">
        <v>56</v>
      </c>
      <c r="G31" s="236"/>
      <c r="H31" s="312"/>
      <c r="I31" s="237"/>
      <c r="J31" s="238"/>
      <c r="K31" s="312"/>
      <c r="L31" s="312"/>
      <c r="M31" s="312"/>
      <c r="N31" s="236"/>
      <c r="O31" s="245">
        <v>0</v>
      </c>
      <c r="P31" s="243">
        <v>0</v>
      </c>
      <c r="Q31" s="243">
        <v>0</v>
      </c>
      <c r="R31" s="244">
        <v>0.15</v>
      </c>
      <c r="S31" s="243">
        <v>0</v>
      </c>
      <c r="T31" s="286">
        <v>3.7499999999999999E-2</v>
      </c>
    </row>
    <row r="32" spans="1:20" x14ac:dyDescent="0.25">
      <c r="A32" s="26" t="s">
        <v>28</v>
      </c>
      <c r="B32" s="29" t="s">
        <v>330</v>
      </c>
      <c r="C32" s="62" t="s">
        <v>31</v>
      </c>
      <c r="D32" s="28" t="s">
        <v>30</v>
      </c>
      <c r="E32" s="62" t="s">
        <v>101</v>
      </c>
      <c r="F32" s="260" t="s">
        <v>56</v>
      </c>
      <c r="G32" s="236">
        <v>329.6</v>
      </c>
      <c r="H32" s="312">
        <v>497.51</v>
      </c>
      <c r="I32" s="237">
        <v>2.2999999999999998</v>
      </c>
      <c r="J32" s="238">
        <v>2.2999999999999998</v>
      </c>
      <c r="K32" s="312"/>
      <c r="L32" s="312"/>
      <c r="M32" s="236"/>
      <c r="N32" s="236"/>
      <c r="O32" s="245">
        <v>1902.35</v>
      </c>
      <c r="P32" s="243">
        <v>356.69</v>
      </c>
      <c r="Q32" s="243">
        <v>285.35000000000002</v>
      </c>
      <c r="R32" s="244">
        <v>0.15</v>
      </c>
      <c r="S32" s="243">
        <v>71.34</v>
      </c>
      <c r="T32" s="286">
        <v>3.7499999999999999E-2</v>
      </c>
    </row>
    <row r="33" spans="1:20" x14ac:dyDescent="0.25">
      <c r="A33" s="26" t="s">
        <v>28</v>
      </c>
      <c r="B33" s="29" t="s">
        <v>336</v>
      </c>
      <c r="C33" s="62" t="s">
        <v>31</v>
      </c>
      <c r="D33" s="28" t="s">
        <v>30</v>
      </c>
      <c r="E33" s="62" t="s">
        <v>101</v>
      </c>
      <c r="F33" s="260" t="s">
        <v>56</v>
      </c>
      <c r="G33" s="236">
        <v>24788.35</v>
      </c>
      <c r="H33" s="312">
        <v>22108.25</v>
      </c>
      <c r="I33" s="237">
        <v>3.14</v>
      </c>
      <c r="J33" s="237">
        <v>3.14</v>
      </c>
      <c r="K33" s="312"/>
      <c r="L33" s="312"/>
      <c r="M33" s="312"/>
      <c r="N33" s="236"/>
      <c r="O33" s="245">
        <v>147255.33000000002</v>
      </c>
      <c r="P33" s="243">
        <v>27610.37</v>
      </c>
      <c r="Q33" s="243">
        <v>22088.3</v>
      </c>
      <c r="R33" s="244">
        <v>0.15</v>
      </c>
      <c r="S33" s="243">
        <v>5522.07</v>
      </c>
      <c r="T33" s="286">
        <v>3.7499999999999999E-2</v>
      </c>
    </row>
    <row r="34" spans="1:20" x14ac:dyDescent="0.25">
      <c r="A34" s="26" t="s">
        <v>28</v>
      </c>
      <c r="B34" s="27" t="s">
        <v>15</v>
      </c>
      <c r="C34" s="62" t="s">
        <v>29</v>
      </c>
      <c r="D34" s="28" t="s">
        <v>21</v>
      </c>
      <c r="E34" s="62" t="s">
        <v>98</v>
      </c>
      <c r="F34" s="260" t="s">
        <v>37</v>
      </c>
      <c r="G34" s="312"/>
      <c r="H34" s="236">
        <v>179224</v>
      </c>
      <c r="I34" s="237"/>
      <c r="J34" s="237">
        <v>74.803899999999999</v>
      </c>
      <c r="K34" s="312"/>
      <c r="L34" s="312"/>
      <c r="M34" s="312"/>
      <c r="N34" s="236">
        <v>1738.5492999999999</v>
      </c>
      <c r="O34" s="245">
        <v>13404915.6207</v>
      </c>
      <c r="P34" s="243">
        <v>2513421.6800000002</v>
      </c>
      <c r="Q34" s="243">
        <v>2010737.34</v>
      </c>
      <c r="R34" s="244">
        <v>0.15</v>
      </c>
      <c r="S34" s="243">
        <v>502684.34</v>
      </c>
      <c r="T34" s="286">
        <v>3.7499999999999999E-2</v>
      </c>
    </row>
    <row r="35" spans="1:20" x14ac:dyDescent="0.25">
      <c r="A35" s="26" t="s">
        <v>28</v>
      </c>
      <c r="B35" s="27" t="s">
        <v>16</v>
      </c>
      <c r="C35" s="62" t="s">
        <v>29</v>
      </c>
      <c r="D35" s="28" t="s">
        <v>21</v>
      </c>
      <c r="E35" s="62" t="s">
        <v>98</v>
      </c>
      <c r="F35" s="260" t="s">
        <v>56</v>
      </c>
      <c r="G35" s="312"/>
      <c r="H35" s="236">
        <v>426923.61</v>
      </c>
      <c r="I35" s="237"/>
      <c r="J35" s="238">
        <v>6.9291999999999998</v>
      </c>
      <c r="K35" s="312"/>
      <c r="L35" s="312"/>
      <c r="M35" s="312"/>
      <c r="N35" s="236">
        <v>1536.8784000000001</v>
      </c>
      <c r="O35" s="245">
        <v>2956702.2016000003</v>
      </c>
      <c r="P35" s="243">
        <v>554381.66</v>
      </c>
      <c r="Q35" s="243">
        <v>443505.33</v>
      </c>
      <c r="R35" s="244">
        <v>0.15</v>
      </c>
      <c r="S35" s="243">
        <v>110876.33</v>
      </c>
      <c r="T35" s="286">
        <v>3.7499999999999999E-2</v>
      </c>
    </row>
    <row r="36" spans="1:20" x14ac:dyDescent="0.25">
      <c r="A36" s="26" t="s">
        <v>28</v>
      </c>
      <c r="B36" s="27" t="s">
        <v>173</v>
      </c>
      <c r="C36" s="62" t="s">
        <v>31</v>
      </c>
      <c r="D36" s="28" t="s">
        <v>30</v>
      </c>
      <c r="E36" s="62" t="s">
        <v>101</v>
      </c>
      <c r="F36" s="260" t="s">
        <v>37</v>
      </c>
      <c r="G36" s="312">
        <v>141</v>
      </c>
      <c r="H36" s="236">
        <v>143</v>
      </c>
      <c r="I36" s="238">
        <v>71.669399999999996</v>
      </c>
      <c r="J36" s="238">
        <v>73.172200000000004</v>
      </c>
      <c r="K36" s="312"/>
      <c r="L36" s="312"/>
      <c r="M36" s="236"/>
      <c r="N36" s="236">
        <v>333.80189999999999</v>
      </c>
      <c r="O36" s="245">
        <v>20235.208100000003</v>
      </c>
      <c r="P36" s="243">
        <v>3794.1</v>
      </c>
      <c r="Q36" s="243">
        <v>758.82</v>
      </c>
      <c r="R36" s="286">
        <v>3.7499999999999999E-2</v>
      </c>
      <c r="S36" s="243">
        <v>3035.28</v>
      </c>
      <c r="T36" s="244">
        <v>0.15</v>
      </c>
    </row>
    <row r="37" spans="1:20" x14ac:dyDescent="0.25">
      <c r="A37" s="26" t="s">
        <v>28</v>
      </c>
      <c r="B37" s="216" t="s">
        <v>169</v>
      </c>
      <c r="C37" s="62" t="s">
        <v>31</v>
      </c>
      <c r="D37" s="28" t="s">
        <v>30</v>
      </c>
      <c r="E37" s="62" t="s">
        <v>101</v>
      </c>
      <c r="F37" s="260" t="s">
        <v>37</v>
      </c>
      <c r="G37" s="236"/>
      <c r="H37" s="236"/>
      <c r="I37" s="238"/>
      <c r="J37" s="238"/>
      <c r="K37" s="312"/>
      <c r="L37" s="312"/>
      <c r="M37" s="236"/>
      <c r="N37" s="236"/>
      <c r="O37" s="245">
        <v>0</v>
      </c>
      <c r="P37" s="243">
        <v>0</v>
      </c>
      <c r="Q37" s="243">
        <v>0</v>
      </c>
      <c r="R37" s="286">
        <v>3.7499999999999999E-2</v>
      </c>
      <c r="S37" s="243">
        <v>0</v>
      </c>
      <c r="T37" s="244">
        <v>0.15</v>
      </c>
    </row>
    <row r="38" spans="1:20" x14ac:dyDescent="0.25">
      <c r="A38" s="26" t="s">
        <v>28</v>
      </c>
      <c r="B38" s="216" t="s">
        <v>170</v>
      </c>
      <c r="C38" s="62" t="s">
        <v>31</v>
      </c>
      <c r="D38" s="28" t="s">
        <v>30</v>
      </c>
      <c r="E38" s="62" t="s">
        <v>101</v>
      </c>
      <c r="F38" s="260" t="s">
        <v>56</v>
      </c>
      <c r="G38" s="236"/>
      <c r="H38" s="236"/>
      <c r="I38" s="238"/>
      <c r="J38" s="238"/>
      <c r="K38" s="236"/>
      <c r="L38" s="312"/>
      <c r="M38" s="312"/>
      <c r="N38" s="236"/>
      <c r="O38" s="245">
        <v>0</v>
      </c>
      <c r="P38" s="243">
        <v>0</v>
      </c>
      <c r="Q38" s="243">
        <v>0</v>
      </c>
      <c r="R38" s="286">
        <v>3.7499999999999999E-2</v>
      </c>
      <c r="S38" s="243">
        <v>0</v>
      </c>
      <c r="T38" s="244">
        <v>0.15</v>
      </c>
    </row>
    <row r="39" spans="1:20" x14ac:dyDescent="0.25">
      <c r="A39" s="30" t="s">
        <v>28</v>
      </c>
      <c r="B39" s="271" t="s">
        <v>174</v>
      </c>
      <c r="C39" s="260" t="s">
        <v>29</v>
      </c>
      <c r="D39" s="268" t="s">
        <v>21</v>
      </c>
      <c r="E39" s="260" t="s">
        <v>98</v>
      </c>
      <c r="F39" s="260" t="s">
        <v>37</v>
      </c>
      <c r="G39" s="236"/>
      <c r="H39" s="236">
        <v>20945</v>
      </c>
      <c r="I39" s="238"/>
      <c r="J39" s="238">
        <v>72.532799999999995</v>
      </c>
      <c r="K39" s="236"/>
      <c r="L39" s="312"/>
      <c r="M39" s="312"/>
      <c r="N39" s="236">
        <v>1669.0094999999999</v>
      </c>
      <c r="O39" s="245">
        <v>1517530.4905000001</v>
      </c>
      <c r="P39" s="243">
        <v>284536.96999999997</v>
      </c>
      <c r="Q39" s="243">
        <v>227629.57</v>
      </c>
      <c r="R39" s="247">
        <v>0.15</v>
      </c>
      <c r="S39" s="243">
        <v>56907.39</v>
      </c>
      <c r="T39" s="286">
        <v>3.7499999999999999E-2</v>
      </c>
    </row>
    <row r="40" spans="1:20" x14ac:dyDescent="0.25">
      <c r="A40" s="30" t="s">
        <v>28</v>
      </c>
      <c r="B40" s="216" t="s">
        <v>178</v>
      </c>
      <c r="C40" s="62" t="s">
        <v>31</v>
      </c>
      <c r="D40" s="28" t="s">
        <v>30</v>
      </c>
      <c r="E40" s="62" t="s">
        <v>101</v>
      </c>
      <c r="F40" s="260" t="s">
        <v>56</v>
      </c>
      <c r="G40" s="236"/>
      <c r="H40" s="236"/>
      <c r="I40" s="238"/>
      <c r="J40" s="238"/>
      <c r="K40" s="236"/>
      <c r="L40" s="312"/>
      <c r="M40" s="312"/>
      <c r="N40" s="236"/>
      <c r="O40" s="245">
        <v>0</v>
      </c>
      <c r="P40" s="243">
        <v>0</v>
      </c>
      <c r="Q40" s="243">
        <v>0</v>
      </c>
      <c r="R40" s="275">
        <v>0.15</v>
      </c>
      <c r="S40" s="243">
        <v>0</v>
      </c>
      <c r="T40" s="286">
        <v>3.7499999999999999E-2</v>
      </c>
    </row>
    <row r="41" spans="1:20" x14ac:dyDescent="0.25">
      <c r="A41" s="30" t="s">
        <v>28</v>
      </c>
      <c r="B41" s="33" t="s">
        <v>52</v>
      </c>
      <c r="C41" s="61"/>
      <c r="D41" s="61"/>
      <c r="E41" s="31"/>
      <c r="F41" s="269"/>
      <c r="G41" s="312"/>
      <c r="H41" s="312"/>
      <c r="I41" s="237"/>
      <c r="J41" s="237"/>
      <c r="K41" s="312"/>
      <c r="L41" s="312"/>
      <c r="M41" s="312"/>
      <c r="N41" s="312"/>
      <c r="O41" s="245">
        <v>366210.99000000372</v>
      </c>
      <c r="P41" s="245">
        <v>68664.59000000036</v>
      </c>
      <c r="Q41" s="245">
        <v>54931.6700000001</v>
      </c>
      <c r="R41" s="275"/>
      <c r="S41" s="245">
        <v>13732.960000000036</v>
      </c>
      <c r="T41" s="244"/>
    </row>
    <row r="42" spans="1:20" x14ac:dyDescent="0.25">
      <c r="A42" s="34"/>
      <c r="B42" s="165" t="s">
        <v>108</v>
      </c>
      <c r="C42" s="35" t="s">
        <v>343</v>
      </c>
      <c r="D42" s="43"/>
      <c r="E42" s="44"/>
      <c r="F42" s="270"/>
      <c r="G42" s="239"/>
      <c r="H42" s="239"/>
      <c r="I42" s="240"/>
      <c r="J42" s="240"/>
      <c r="K42" s="239"/>
      <c r="L42" s="239"/>
      <c r="M42" s="239"/>
      <c r="N42" s="239"/>
      <c r="O42" s="249">
        <v>69603378.835300013</v>
      </c>
      <c r="P42" s="250">
        <v>13050633.549999997</v>
      </c>
      <c r="Q42" s="251">
        <v>10438230.359999999</v>
      </c>
      <c r="R42" s="252"/>
      <c r="S42" s="253">
        <v>2612403.23</v>
      </c>
      <c r="T42" s="252"/>
    </row>
    <row r="43" spans="1:20" x14ac:dyDescent="0.25">
      <c r="A43" s="136"/>
      <c r="B43" s="137"/>
      <c r="C43" s="35" t="s">
        <v>344</v>
      </c>
      <c r="D43" s="148"/>
      <c r="E43" s="148"/>
      <c r="F43" s="149"/>
      <c r="G43" s="299"/>
      <c r="H43" s="299"/>
      <c r="I43" s="221"/>
      <c r="J43" s="221"/>
      <c r="K43" s="299"/>
      <c r="L43" s="299"/>
      <c r="M43" s="299"/>
      <c r="N43" s="299"/>
      <c r="O43" s="228"/>
      <c r="P43" s="229">
        <v>50323242.969999999</v>
      </c>
      <c r="Q43" s="495">
        <v>40249816.270000003</v>
      </c>
      <c r="R43" s="151"/>
      <c r="S43" s="494">
        <v>10073426.85</v>
      </c>
      <c r="T43" s="172"/>
    </row>
    <row r="44" spans="1:20" x14ac:dyDescent="0.25">
      <c r="A44" s="313" t="s">
        <v>22</v>
      </c>
      <c r="B44" s="19"/>
      <c r="C44" s="63"/>
      <c r="D44" s="63"/>
      <c r="E44" s="20"/>
      <c r="F44" s="39"/>
      <c r="G44" s="241"/>
      <c r="H44" s="241"/>
      <c r="I44" s="242"/>
      <c r="J44" s="242"/>
      <c r="K44" s="241"/>
      <c r="L44" s="241"/>
      <c r="M44" s="241"/>
      <c r="N44" s="241"/>
      <c r="O44" s="254"/>
      <c r="P44" s="255"/>
      <c r="Q44" s="256" t="s">
        <v>49</v>
      </c>
      <c r="R44" s="234"/>
      <c r="S44" s="316"/>
      <c r="T44" s="317"/>
    </row>
    <row r="45" spans="1:20" x14ac:dyDescent="0.25">
      <c r="A45" s="30" t="s">
        <v>28</v>
      </c>
      <c r="B45" s="27" t="s">
        <v>11</v>
      </c>
      <c r="C45" s="62" t="s">
        <v>31</v>
      </c>
      <c r="D45" s="28" t="s">
        <v>30</v>
      </c>
      <c r="E45" s="62" t="s">
        <v>101</v>
      </c>
      <c r="F45" s="38" t="s">
        <v>37</v>
      </c>
      <c r="G45" s="236"/>
      <c r="H45" s="236"/>
      <c r="I45" s="238"/>
      <c r="J45" s="238"/>
      <c r="K45" s="312"/>
      <c r="L45" s="312"/>
      <c r="M45" s="312"/>
      <c r="N45" s="236"/>
      <c r="O45" s="245">
        <v>0</v>
      </c>
      <c r="P45" s="243">
        <v>0</v>
      </c>
      <c r="Q45" s="243">
        <v>0</v>
      </c>
      <c r="R45" s="244">
        <v>0.15</v>
      </c>
      <c r="S45" s="248"/>
      <c r="T45" s="247"/>
    </row>
    <row r="46" spans="1:20" x14ac:dyDescent="0.25">
      <c r="A46" s="30" t="s">
        <v>28</v>
      </c>
      <c r="B46" s="315">
        <v>131</v>
      </c>
      <c r="C46" s="62" t="s">
        <v>31</v>
      </c>
      <c r="D46" s="28" t="s">
        <v>30</v>
      </c>
      <c r="E46" s="62" t="s">
        <v>101</v>
      </c>
      <c r="F46" s="38" t="s">
        <v>37</v>
      </c>
      <c r="G46" s="236">
        <v>22991</v>
      </c>
      <c r="H46" s="236">
        <v>24079</v>
      </c>
      <c r="I46" s="238">
        <v>61.682400000000001</v>
      </c>
      <c r="J46" s="238">
        <v>64.163799999999995</v>
      </c>
      <c r="K46" s="312"/>
      <c r="L46" s="312"/>
      <c r="M46" s="312"/>
      <c r="N46" s="236">
        <v>6717.7588999999998</v>
      </c>
      <c r="O46" s="245">
        <v>2956422.4411000004</v>
      </c>
      <c r="P46" s="243">
        <v>443463.37</v>
      </c>
      <c r="Q46" s="243">
        <v>443463.37</v>
      </c>
      <c r="R46" s="244">
        <v>0.15</v>
      </c>
      <c r="S46" s="248"/>
      <c r="T46" s="247"/>
    </row>
    <row r="47" spans="1:20" x14ac:dyDescent="0.25">
      <c r="A47" s="30" t="s">
        <v>28</v>
      </c>
      <c r="B47" s="33" t="s">
        <v>53</v>
      </c>
      <c r="C47" s="61"/>
      <c r="D47" s="61"/>
      <c r="E47" s="8"/>
      <c r="F47" s="235"/>
      <c r="G47" s="312"/>
      <c r="H47" s="312"/>
      <c r="I47" s="237"/>
      <c r="J47" s="237"/>
      <c r="K47" s="312"/>
      <c r="L47" s="312"/>
      <c r="M47" s="312"/>
      <c r="N47" s="312"/>
      <c r="O47" s="312"/>
      <c r="P47" s="312"/>
      <c r="Q47" s="312"/>
      <c r="R47" s="247"/>
      <c r="S47" s="312"/>
      <c r="T47" s="247"/>
    </row>
    <row r="48" spans="1:20" x14ac:dyDescent="0.25">
      <c r="A48" s="34"/>
      <c r="B48" s="165" t="s">
        <v>108</v>
      </c>
      <c r="C48" s="35" t="s">
        <v>345</v>
      </c>
      <c r="D48" s="43"/>
      <c r="E48" s="44"/>
      <c r="F48" s="43"/>
      <c r="G48" s="239"/>
      <c r="H48" s="239"/>
      <c r="I48" s="240"/>
      <c r="J48" s="240"/>
      <c r="K48" s="239"/>
      <c r="L48" s="239"/>
      <c r="M48" s="239"/>
      <c r="N48" s="239"/>
      <c r="O48" s="249">
        <v>2956422.4411000004</v>
      </c>
      <c r="P48" s="250">
        <v>443463.37</v>
      </c>
      <c r="Q48" s="250">
        <v>443463.37</v>
      </c>
      <c r="R48" s="252"/>
      <c r="S48" s="250">
        <v>0</v>
      </c>
      <c r="T48" s="252"/>
    </row>
    <row r="49" spans="1:20" x14ac:dyDescent="0.25">
      <c r="A49" s="136"/>
      <c r="B49" s="137"/>
      <c r="C49" s="35" t="s">
        <v>346</v>
      </c>
      <c r="D49" s="148"/>
      <c r="E49" s="148"/>
      <c r="F49" s="149"/>
      <c r="G49" s="299"/>
      <c r="H49" s="299"/>
      <c r="I49" s="221"/>
      <c r="J49" s="221"/>
      <c r="K49" s="299"/>
      <c r="L49" s="299"/>
      <c r="M49" s="299"/>
      <c r="N49" s="299"/>
      <c r="O49" s="228"/>
      <c r="P49" s="229">
        <v>1709994.75</v>
      </c>
      <c r="Q49" s="495">
        <v>1709994.75</v>
      </c>
      <c r="R49" s="151"/>
      <c r="S49" s="229">
        <v>0</v>
      </c>
      <c r="T49" s="151"/>
    </row>
    <row r="50" spans="1:20" x14ac:dyDescent="0.25">
      <c r="A50" s="313" t="s">
        <v>24</v>
      </c>
      <c r="B50" s="19"/>
      <c r="C50" s="63"/>
      <c r="D50" s="63"/>
      <c r="E50" s="20"/>
      <c r="F50" s="258"/>
      <c r="G50" s="241"/>
      <c r="H50" s="241"/>
      <c r="I50" s="242"/>
      <c r="J50" s="242"/>
      <c r="K50" s="241"/>
      <c r="L50" s="241"/>
      <c r="M50" s="241"/>
      <c r="N50" s="241"/>
      <c r="O50" s="254"/>
      <c r="P50" s="255"/>
      <c r="Q50" s="256" t="s">
        <v>47</v>
      </c>
      <c r="R50" s="234"/>
      <c r="S50" s="259" t="s">
        <v>48</v>
      </c>
      <c r="T50" s="234"/>
    </row>
    <row r="51" spans="1:20" x14ac:dyDescent="0.25">
      <c r="A51" s="26" t="s">
        <v>28</v>
      </c>
      <c r="B51" s="29" t="s">
        <v>167</v>
      </c>
      <c r="C51" s="62" t="s">
        <v>31</v>
      </c>
      <c r="D51" s="62" t="s">
        <v>21</v>
      </c>
      <c r="E51" s="62" t="s">
        <v>101</v>
      </c>
      <c r="F51" s="262" t="s">
        <v>37</v>
      </c>
      <c r="G51" s="236"/>
      <c r="H51" s="236"/>
      <c r="I51" s="238"/>
      <c r="J51" s="238"/>
      <c r="K51" s="236"/>
      <c r="L51" s="312"/>
      <c r="M51" s="312"/>
      <c r="N51" s="236"/>
      <c r="O51" s="245">
        <v>0</v>
      </c>
      <c r="P51" s="243">
        <v>0</v>
      </c>
      <c r="Q51" s="243">
        <v>0</v>
      </c>
      <c r="R51" s="244">
        <v>0.15</v>
      </c>
      <c r="S51" s="243">
        <v>0</v>
      </c>
      <c r="T51" s="286">
        <v>3.7499999999999999E-2</v>
      </c>
    </row>
    <row r="52" spans="1:20" x14ac:dyDescent="0.25">
      <c r="A52" s="26" t="s">
        <v>28</v>
      </c>
      <c r="B52" s="272">
        <v>192</v>
      </c>
      <c r="C52" s="62" t="s">
        <v>29</v>
      </c>
      <c r="D52" s="62" t="s">
        <v>21</v>
      </c>
      <c r="E52" s="62" t="s">
        <v>98</v>
      </c>
      <c r="F52" s="262" t="s">
        <v>37</v>
      </c>
      <c r="G52" s="236"/>
      <c r="H52" s="236"/>
      <c r="I52" s="238"/>
      <c r="J52" s="238"/>
      <c r="K52" s="236"/>
      <c r="L52" s="312"/>
      <c r="M52" s="312"/>
      <c r="N52" s="312"/>
      <c r="O52" s="245">
        <v>0</v>
      </c>
      <c r="P52" s="243">
        <v>0</v>
      </c>
      <c r="Q52" s="243">
        <v>0</v>
      </c>
      <c r="R52" s="244">
        <v>0.15</v>
      </c>
      <c r="S52" s="243">
        <v>0</v>
      </c>
      <c r="T52" s="286">
        <v>3.7499999999999999E-2</v>
      </c>
    </row>
    <row r="53" spans="1:20" x14ac:dyDescent="0.25">
      <c r="A53" s="26" t="s">
        <v>28</v>
      </c>
      <c r="B53" s="32">
        <v>8</v>
      </c>
      <c r="C53" s="62" t="s">
        <v>31</v>
      </c>
      <c r="D53" s="62" t="s">
        <v>30</v>
      </c>
      <c r="E53" s="62" t="s">
        <v>101</v>
      </c>
      <c r="F53" s="262" t="s">
        <v>37</v>
      </c>
      <c r="G53" s="312"/>
      <c r="H53" s="236"/>
      <c r="I53" s="237"/>
      <c r="J53" s="238"/>
      <c r="K53" s="312"/>
      <c r="L53" s="312"/>
      <c r="M53" s="312"/>
      <c r="N53" s="312"/>
      <c r="O53" s="245">
        <v>0</v>
      </c>
      <c r="P53" s="243">
        <v>0</v>
      </c>
      <c r="Q53" s="243">
        <v>0</v>
      </c>
      <c r="R53" s="244">
        <v>0.15</v>
      </c>
      <c r="S53" s="243">
        <v>0</v>
      </c>
      <c r="T53" s="286">
        <v>3.7499999999999999E-2</v>
      </c>
    </row>
    <row r="54" spans="1:20" x14ac:dyDescent="0.25">
      <c r="A54" s="26" t="s">
        <v>28</v>
      </c>
      <c r="B54" s="32" t="s">
        <v>329</v>
      </c>
      <c r="C54" s="62" t="s">
        <v>31</v>
      </c>
      <c r="D54" s="62" t="s">
        <v>30</v>
      </c>
      <c r="E54" s="62" t="s">
        <v>101</v>
      </c>
      <c r="F54" s="262" t="s">
        <v>37</v>
      </c>
      <c r="G54" s="312"/>
      <c r="H54" s="236"/>
      <c r="I54" s="237"/>
      <c r="J54" s="238"/>
      <c r="K54" s="312"/>
      <c r="L54" s="312"/>
      <c r="M54" s="312"/>
      <c r="N54" s="312"/>
      <c r="O54" s="245">
        <v>0</v>
      </c>
      <c r="P54" s="243">
        <v>0</v>
      </c>
      <c r="Q54" s="243">
        <v>0</v>
      </c>
      <c r="R54" s="244">
        <v>0.15</v>
      </c>
      <c r="S54" s="243">
        <v>0</v>
      </c>
      <c r="T54" s="286">
        <v>3.7499999999999999E-2</v>
      </c>
    </row>
    <row r="55" spans="1:20" x14ac:dyDescent="0.25">
      <c r="A55" s="26" t="s">
        <v>28</v>
      </c>
      <c r="B55" s="27" t="s">
        <v>10</v>
      </c>
      <c r="C55" s="62" t="s">
        <v>31</v>
      </c>
      <c r="D55" s="62" t="s">
        <v>30</v>
      </c>
      <c r="E55" s="62" t="s">
        <v>101</v>
      </c>
      <c r="F55" s="262" t="s">
        <v>37</v>
      </c>
      <c r="G55" s="236"/>
      <c r="H55" s="236"/>
      <c r="I55" s="238"/>
      <c r="J55" s="238"/>
      <c r="K55" s="312"/>
      <c r="L55" s="312"/>
      <c r="M55" s="312"/>
      <c r="N55" s="236"/>
      <c r="O55" s="245">
        <v>0</v>
      </c>
      <c r="P55" s="243">
        <v>0</v>
      </c>
      <c r="Q55" s="243">
        <v>0</v>
      </c>
      <c r="R55" s="244">
        <v>0.15</v>
      </c>
      <c r="S55" s="243">
        <v>0</v>
      </c>
      <c r="T55" s="286">
        <v>3.7499999999999999E-2</v>
      </c>
    </row>
    <row r="56" spans="1:20" x14ac:dyDescent="0.25">
      <c r="A56" s="26" t="s">
        <v>28</v>
      </c>
      <c r="B56" s="27" t="s">
        <v>12</v>
      </c>
      <c r="C56" s="62" t="s">
        <v>31</v>
      </c>
      <c r="D56" s="62" t="s">
        <v>30</v>
      </c>
      <c r="E56" s="62" t="s">
        <v>101</v>
      </c>
      <c r="F56" s="262" t="s">
        <v>56</v>
      </c>
      <c r="G56" s="236">
        <v>17144.565699999999</v>
      </c>
      <c r="H56" s="236">
        <v>75.87</v>
      </c>
      <c r="I56" s="238">
        <v>3.66</v>
      </c>
      <c r="J56" s="238">
        <v>3.6598999999999999</v>
      </c>
      <c r="K56" s="312"/>
      <c r="L56" s="312"/>
      <c r="M56" s="312"/>
      <c r="N56" s="312">
        <v>841.45320000000004</v>
      </c>
      <c r="O56" s="245">
        <v>62185.336799999997</v>
      </c>
      <c r="P56" s="243">
        <v>11659.75</v>
      </c>
      <c r="Q56" s="243">
        <v>2331.9499999999998</v>
      </c>
      <c r="R56" s="286">
        <v>3.7499999999999999E-2</v>
      </c>
      <c r="S56" s="243">
        <v>9327.7999999999993</v>
      </c>
      <c r="T56" s="244">
        <v>0.15</v>
      </c>
    </row>
    <row r="57" spans="1:20" x14ac:dyDescent="0.25">
      <c r="A57" s="26" t="s">
        <v>28</v>
      </c>
      <c r="B57" s="29" t="s">
        <v>75</v>
      </c>
      <c r="C57" s="62" t="s">
        <v>31</v>
      </c>
      <c r="D57" s="62" t="s">
        <v>30</v>
      </c>
      <c r="E57" s="62" t="s">
        <v>103</v>
      </c>
      <c r="F57" s="262" t="s">
        <v>37</v>
      </c>
      <c r="G57" s="236">
        <v>1216</v>
      </c>
      <c r="H57" s="236">
        <v>1304</v>
      </c>
      <c r="I57" s="238">
        <v>49.608800000000002</v>
      </c>
      <c r="J57" s="238">
        <v>45.405500000000004</v>
      </c>
      <c r="K57" s="312"/>
      <c r="L57" s="312"/>
      <c r="M57" s="312"/>
      <c r="N57" s="312">
        <v>3810.9029999999998</v>
      </c>
      <c r="O57" s="245">
        <v>115722.167</v>
      </c>
      <c r="P57" s="243">
        <v>21697.91</v>
      </c>
      <c r="Q57" s="243">
        <v>4339.58</v>
      </c>
      <c r="R57" s="286">
        <v>3.7499999999999999E-2</v>
      </c>
      <c r="S57" s="243">
        <v>17358.330000000002</v>
      </c>
      <c r="T57" s="244">
        <v>0.15</v>
      </c>
    </row>
    <row r="58" spans="1:20" x14ac:dyDescent="0.25">
      <c r="A58" s="26" t="s">
        <v>28</v>
      </c>
      <c r="B58" s="29" t="s">
        <v>32</v>
      </c>
      <c r="C58" s="62" t="s">
        <v>31</v>
      </c>
      <c r="D58" s="62" t="s">
        <v>30</v>
      </c>
      <c r="E58" s="62" t="s">
        <v>101</v>
      </c>
      <c r="F58" s="262" t="s">
        <v>37</v>
      </c>
      <c r="G58" s="312"/>
      <c r="H58" s="312"/>
      <c r="I58" s="238"/>
      <c r="J58" s="238"/>
      <c r="K58" s="312"/>
      <c r="L58" s="312"/>
      <c r="M58" s="312"/>
      <c r="N58" s="312"/>
      <c r="O58" s="245">
        <v>0</v>
      </c>
      <c r="P58" s="243">
        <v>0</v>
      </c>
      <c r="Q58" s="243">
        <v>0</v>
      </c>
      <c r="R58" s="286">
        <v>3.7499999999999999E-2</v>
      </c>
      <c r="S58" s="243">
        <v>0</v>
      </c>
      <c r="T58" s="244">
        <v>0.15</v>
      </c>
    </row>
    <row r="59" spans="1:20" x14ac:dyDescent="0.25">
      <c r="A59" s="26" t="s">
        <v>28</v>
      </c>
      <c r="B59" s="32">
        <v>102</v>
      </c>
      <c r="C59" s="62" t="s">
        <v>31</v>
      </c>
      <c r="D59" s="62" t="s">
        <v>30</v>
      </c>
      <c r="E59" s="62" t="s">
        <v>101</v>
      </c>
      <c r="F59" s="262" t="s">
        <v>37</v>
      </c>
      <c r="G59" s="236"/>
      <c r="H59" s="236"/>
      <c r="I59" s="238"/>
      <c r="J59" s="238"/>
      <c r="K59" s="236"/>
      <c r="L59" s="312"/>
      <c r="M59" s="312"/>
      <c r="N59" s="236"/>
      <c r="O59" s="245">
        <v>0</v>
      </c>
      <c r="P59" s="243">
        <v>0</v>
      </c>
      <c r="Q59" s="243">
        <v>0</v>
      </c>
      <c r="R59" s="244">
        <v>0.15</v>
      </c>
      <c r="S59" s="243">
        <v>0</v>
      </c>
      <c r="T59" s="286">
        <v>3.7499999999999999E-2</v>
      </c>
    </row>
    <row r="60" spans="1:20" x14ac:dyDescent="0.25">
      <c r="A60" s="26" t="s">
        <v>28</v>
      </c>
      <c r="B60" s="32">
        <v>95</v>
      </c>
      <c r="C60" s="62" t="s">
        <v>31</v>
      </c>
      <c r="D60" s="62" t="s">
        <v>30</v>
      </c>
      <c r="E60" s="62" t="s">
        <v>101</v>
      </c>
      <c r="F60" s="262" t="s">
        <v>37</v>
      </c>
      <c r="G60" s="236">
        <v>200450</v>
      </c>
      <c r="H60" s="236">
        <v>96861</v>
      </c>
      <c r="I60" s="238">
        <v>56.351199999999999</v>
      </c>
      <c r="J60" s="238">
        <v>59.579000000000001</v>
      </c>
      <c r="K60" s="236"/>
      <c r="L60" s="312"/>
      <c r="M60" s="312"/>
      <c r="N60" s="236">
        <v>8984.8299000000006</v>
      </c>
      <c r="O60" s="245">
        <v>17057494.730099998</v>
      </c>
      <c r="P60" s="243">
        <v>3198280.26</v>
      </c>
      <c r="Q60" s="243">
        <v>2558624.21</v>
      </c>
      <c r="R60" s="244">
        <v>0.15</v>
      </c>
      <c r="S60" s="243">
        <v>639656.05000000005</v>
      </c>
      <c r="T60" s="286">
        <v>3.7499999999999999E-2</v>
      </c>
    </row>
    <row r="61" spans="1:20" x14ac:dyDescent="0.25">
      <c r="A61" s="26" t="s">
        <v>28</v>
      </c>
      <c r="B61" s="302">
        <v>67</v>
      </c>
      <c r="C61" s="62" t="s">
        <v>31</v>
      </c>
      <c r="D61" s="62" t="s">
        <v>30</v>
      </c>
      <c r="E61" s="62" t="s">
        <v>101</v>
      </c>
      <c r="F61" s="262" t="s">
        <v>37</v>
      </c>
      <c r="G61" s="236"/>
      <c r="H61" s="236"/>
      <c r="I61" s="238"/>
      <c r="J61" s="238"/>
      <c r="K61" s="236"/>
      <c r="L61" s="312"/>
      <c r="M61" s="312"/>
      <c r="N61" s="236"/>
      <c r="O61" s="245">
        <v>0</v>
      </c>
      <c r="P61" s="243">
        <v>0</v>
      </c>
      <c r="Q61" s="243">
        <v>0</v>
      </c>
      <c r="R61" s="244">
        <v>0.15</v>
      </c>
      <c r="S61" s="243">
        <v>0</v>
      </c>
      <c r="T61" s="286">
        <v>3.7499999999999999E-2</v>
      </c>
    </row>
    <row r="62" spans="1:20" x14ac:dyDescent="0.25">
      <c r="A62" s="21" t="s">
        <v>28</v>
      </c>
      <c r="B62" s="33" t="s">
        <v>54</v>
      </c>
      <c r="C62" s="61"/>
      <c r="D62" s="31"/>
      <c r="E62" s="31"/>
      <c r="F62" s="263"/>
      <c r="G62" s="312"/>
      <c r="H62" s="312"/>
      <c r="I62" s="237"/>
      <c r="J62" s="237"/>
      <c r="K62" s="312"/>
      <c r="L62" s="312"/>
      <c r="M62" s="312"/>
      <c r="N62" s="312"/>
      <c r="O62" s="312"/>
      <c r="P62" s="312"/>
      <c r="Q62" s="312"/>
      <c r="R62" s="312"/>
      <c r="S62" s="312"/>
      <c r="T62" s="244"/>
    </row>
    <row r="63" spans="1:20" x14ac:dyDescent="0.25">
      <c r="A63" s="34"/>
      <c r="B63" s="165" t="s">
        <v>108</v>
      </c>
      <c r="C63" s="35" t="s">
        <v>347</v>
      </c>
      <c r="D63" s="22"/>
      <c r="E63" s="22"/>
      <c r="F63" s="279"/>
      <c r="G63" s="277"/>
      <c r="H63" s="277"/>
      <c r="I63" s="278"/>
      <c r="J63" s="264"/>
      <c r="K63" s="264"/>
      <c r="L63" s="264"/>
      <c r="M63" s="264"/>
      <c r="N63" s="249"/>
      <c r="O63" s="249">
        <v>17235402.233899999</v>
      </c>
      <c r="P63" s="250">
        <v>3231637.92</v>
      </c>
      <c r="Q63" s="250">
        <v>2565295.7399999998</v>
      </c>
      <c r="R63" s="266"/>
      <c r="S63" s="250">
        <v>666342.18000000005</v>
      </c>
      <c r="T63" s="252"/>
    </row>
    <row r="64" spans="1:20" x14ac:dyDescent="0.25">
      <c r="A64" s="157"/>
      <c r="B64" s="158"/>
      <c r="C64" s="35" t="s">
        <v>348</v>
      </c>
      <c r="D64" s="114"/>
      <c r="E64" s="114"/>
      <c r="F64" s="157"/>
      <c r="G64" s="227"/>
      <c r="H64" s="227"/>
      <c r="I64" s="623"/>
      <c r="J64" s="224"/>
      <c r="K64" s="227"/>
      <c r="L64" s="227"/>
      <c r="M64" s="227"/>
      <c r="N64" s="227"/>
      <c r="O64" s="230"/>
      <c r="P64" s="231">
        <v>12461195.82</v>
      </c>
      <c r="Q64" s="494">
        <v>9891780.3699999992</v>
      </c>
      <c r="R64" s="172"/>
      <c r="S64" s="494">
        <v>2569415.4500000002</v>
      </c>
      <c r="T64" s="160"/>
    </row>
    <row r="65" spans="1:20" x14ac:dyDescent="0.25">
      <c r="A65" s="313" t="s">
        <v>164</v>
      </c>
      <c r="B65" s="19"/>
      <c r="C65" s="19"/>
      <c r="D65" s="19"/>
      <c r="E65" s="24"/>
      <c r="F65" s="313"/>
      <c r="G65" s="225"/>
      <c r="H65" s="226"/>
      <c r="I65" s="222"/>
      <c r="J65" s="223"/>
      <c r="K65" s="225"/>
      <c r="L65" s="225"/>
      <c r="M65" s="225"/>
      <c r="N65" s="225"/>
      <c r="O65" s="225"/>
      <c r="P65" s="233" t="s">
        <v>166</v>
      </c>
      <c r="Q65" s="233" t="s">
        <v>164</v>
      </c>
      <c r="R65" s="182"/>
      <c r="S65" s="232"/>
      <c r="T65" s="193"/>
    </row>
    <row r="66" spans="1:20" x14ac:dyDescent="0.25">
      <c r="A66" s="26" t="s">
        <v>28</v>
      </c>
      <c r="B66" s="27" t="s">
        <v>163</v>
      </c>
      <c r="C66" s="62" t="s">
        <v>31</v>
      </c>
      <c r="D66" s="62" t="s">
        <v>30</v>
      </c>
      <c r="E66" s="62" t="s">
        <v>161</v>
      </c>
      <c r="F66" s="262" t="s">
        <v>37</v>
      </c>
      <c r="G66" s="312">
        <v>804674</v>
      </c>
      <c r="H66" s="312">
        <v>803393</v>
      </c>
      <c r="I66" s="237">
        <v>50.294600000000003</v>
      </c>
      <c r="J66" s="237">
        <v>53.324199999999998</v>
      </c>
      <c r="K66" s="312"/>
      <c r="L66" s="312"/>
      <c r="M66" s="312"/>
      <c r="N66" s="312"/>
      <c r="O66" s="245">
        <v>83311045.971000001</v>
      </c>
      <c r="P66" s="281">
        <v>31025033.52</v>
      </c>
      <c r="Q66" s="626">
        <v>15512516.76</v>
      </c>
      <c r="R66" s="244">
        <v>0.5</v>
      </c>
      <c r="S66" s="243"/>
      <c r="T66" s="286"/>
    </row>
    <row r="67" spans="1:20" x14ac:dyDescent="0.25">
      <c r="A67" s="26" t="s">
        <v>28</v>
      </c>
      <c r="B67" s="27" t="s">
        <v>162</v>
      </c>
      <c r="C67" s="62" t="s">
        <v>31</v>
      </c>
      <c r="D67" s="62" t="s">
        <v>30</v>
      </c>
      <c r="E67" s="62" t="s">
        <v>161</v>
      </c>
      <c r="F67" s="262" t="s">
        <v>56</v>
      </c>
      <c r="G67" s="312">
        <v>10291275.946900001</v>
      </c>
      <c r="H67" s="312">
        <v>10934489.8344</v>
      </c>
      <c r="I67" s="237">
        <v>1.9683999999999999</v>
      </c>
      <c r="J67" s="237">
        <v>1.9683999999999999</v>
      </c>
      <c r="K67" s="312"/>
      <c r="L67" s="312"/>
      <c r="M67" s="312"/>
      <c r="N67" s="312"/>
      <c r="O67" s="245">
        <v>41780797.363910921</v>
      </c>
      <c r="P67" s="281">
        <v>15559168.939999999</v>
      </c>
      <c r="Q67" s="626">
        <v>7779584.4699999997</v>
      </c>
      <c r="R67" s="244">
        <v>0.5</v>
      </c>
      <c r="S67" s="243"/>
      <c r="T67" s="244"/>
    </row>
    <row r="68" spans="1:20" x14ac:dyDescent="0.25">
      <c r="A68" s="26" t="s">
        <v>28</v>
      </c>
      <c r="B68" s="27" t="s">
        <v>181</v>
      </c>
      <c r="C68" s="62" t="s">
        <v>31</v>
      </c>
      <c r="D68" s="62" t="s">
        <v>30</v>
      </c>
      <c r="E68" s="62" t="s">
        <v>161</v>
      </c>
      <c r="F68" s="262" t="s">
        <v>56</v>
      </c>
      <c r="G68" s="312">
        <v>30773.831699999999</v>
      </c>
      <c r="H68" s="312">
        <v>27979.385399999999</v>
      </c>
      <c r="I68" s="237">
        <v>2.6827000000000001</v>
      </c>
      <c r="J68" s="237">
        <v>2.6827000000000001</v>
      </c>
      <c r="K68" s="312"/>
      <c r="L68" s="312"/>
      <c r="M68" s="312"/>
      <c r="N68" s="312"/>
      <c r="O68" s="245">
        <v>157617.25551416998</v>
      </c>
      <c r="P68" s="281">
        <v>58696.67</v>
      </c>
      <c r="Q68" s="626">
        <v>29348.34</v>
      </c>
      <c r="R68" s="244">
        <v>0.5</v>
      </c>
      <c r="S68" s="243"/>
      <c r="T68" s="244"/>
    </row>
    <row r="69" spans="1:20" ht="12" customHeight="1" x14ac:dyDescent="0.25">
      <c r="A69" s="26" t="s">
        <v>28</v>
      </c>
      <c r="B69" s="27" t="s">
        <v>182</v>
      </c>
      <c r="C69" s="62" t="s">
        <v>31</v>
      </c>
      <c r="D69" s="62" t="s">
        <v>30</v>
      </c>
      <c r="E69" s="62" t="s">
        <v>161</v>
      </c>
      <c r="F69" s="262" t="s">
        <v>56</v>
      </c>
      <c r="G69" s="312">
        <v>963954.48640000005</v>
      </c>
      <c r="H69" s="312">
        <v>1006999.5788</v>
      </c>
      <c r="I69" s="237">
        <v>14.114000000000001</v>
      </c>
      <c r="J69" s="237">
        <v>15.342000000000001</v>
      </c>
      <c r="K69" s="312"/>
      <c r="L69" s="312"/>
      <c r="M69" s="312"/>
      <c r="N69" s="312"/>
      <c r="O69" s="245">
        <v>29054641.158999205</v>
      </c>
      <c r="P69" s="281">
        <v>11040763.640000001</v>
      </c>
      <c r="Q69" s="626">
        <v>5520381.8200000003</v>
      </c>
      <c r="R69" s="314">
        <v>0.5</v>
      </c>
      <c r="S69" s="243"/>
      <c r="T69" s="244"/>
    </row>
    <row r="70" spans="1:20" x14ac:dyDescent="0.25">
      <c r="A70" s="26" t="s">
        <v>28</v>
      </c>
      <c r="B70" s="29" t="s">
        <v>171</v>
      </c>
      <c r="C70" s="62" t="s">
        <v>31</v>
      </c>
      <c r="D70" s="62" t="s">
        <v>30</v>
      </c>
      <c r="E70" s="62" t="s">
        <v>161</v>
      </c>
      <c r="F70" s="262" t="s">
        <v>37</v>
      </c>
      <c r="G70" s="312">
        <v>264920</v>
      </c>
      <c r="H70" s="312">
        <v>299730</v>
      </c>
      <c r="I70" s="237">
        <v>50.270899999999997</v>
      </c>
      <c r="J70" s="237">
        <v>53.311100000000003</v>
      </c>
      <c r="K70" s="312"/>
      <c r="L70" s="312"/>
      <c r="M70" s="312"/>
      <c r="N70" s="312"/>
      <c r="O70" s="245">
        <v>29296702.831</v>
      </c>
      <c r="P70" s="281">
        <v>11718681.130000001</v>
      </c>
      <c r="Q70" s="626">
        <v>5859340.5700000003</v>
      </c>
      <c r="R70" s="244">
        <v>0.5</v>
      </c>
      <c r="S70" s="243"/>
      <c r="T70" s="244"/>
    </row>
    <row r="71" spans="1:20" x14ac:dyDescent="0.25">
      <c r="A71" s="26" t="s">
        <v>28</v>
      </c>
      <c r="B71" s="29" t="s">
        <v>172</v>
      </c>
      <c r="C71" s="62" t="s">
        <v>31</v>
      </c>
      <c r="D71" s="62" t="s">
        <v>30</v>
      </c>
      <c r="E71" s="62" t="s">
        <v>161</v>
      </c>
      <c r="F71" s="262" t="s">
        <v>56</v>
      </c>
      <c r="G71" s="312">
        <v>6092315.9963999996</v>
      </c>
      <c r="H71" s="312">
        <v>7198265.4725000001</v>
      </c>
      <c r="I71" s="237">
        <v>14.114000000000001</v>
      </c>
      <c r="J71" s="237">
        <v>15.342000000000001</v>
      </c>
      <c r="K71" s="312"/>
      <c r="L71" s="312"/>
      <c r="M71" s="312"/>
      <c r="N71" s="312"/>
      <c r="O71" s="245">
        <v>196422736.85228461</v>
      </c>
      <c r="P71" s="281">
        <v>74640640</v>
      </c>
      <c r="Q71" s="626">
        <v>37320320</v>
      </c>
      <c r="R71" s="244">
        <v>0.5</v>
      </c>
      <c r="S71" s="243"/>
      <c r="T71" s="244"/>
    </row>
    <row r="72" spans="1:20" x14ac:dyDescent="0.25">
      <c r="A72" s="26" t="s">
        <v>28</v>
      </c>
      <c r="B72" s="32" t="s">
        <v>177</v>
      </c>
      <c r="C72" s="62" t="s">
        <v>31</v>
      </c>
      <c r="D72" s="62" t="s">
        <v>30</v>
      </c>
      <c r="E72" s="62" t="s">
        <v>161</v>
      </c>
      <c r="F72" s="262" t="s">
        <v>56</v>
      </c>
      <c r="G72" s="312">
        <v>256896.48259999999</v>
      </c>
      <c r="H72" s="312">
        <v>277551.50839999999</v>
      </c>
      <c r="I72" s="237">
        <v>2.0249999999999999</v>
      </c>
      <c r="J72" s="237">
        <v>2.0249999999999999</v>
      </c>
      <c r="K72" s="236"/>
      <c r="L72" s="312"/>
      <c r="M72" s="312"/>
      <c r="N72" s="236"/>
      <c r="O72" s="245">
        <v>1082257.1817749999</v>
      </c>
      <c r="P72" s="281">
        <v>403032.57</v>
      </c>
      <c r="Q72" s="626">
        <v>201516.29</v>
      </c>
      <c r="R72" s="244">
        <v>0.5</v>
      </c>
      <c r="S72" s="243"/>
      <c r="T72" s="286"/>
    </row>
    <row r="73" spans="1:20" x14ac:dyDescent="0.25">
      <c r="A73" s="26" t="s">
        <v>28</v>
      </c>
      <c r="B73" s="32" t="s">
        <v>179</v>
      </c>
      <c r="C73" s="62" t="s">
        <v>31</v>
      </c>
      <c r="D73" s="62" t="s">
        <v>30</v>
      </c>
      <c r="E73" s="62" t="s">
        <v>161</v>
      </c>
      <c r="F73" s="262" t="s">
        <v>37</v>
      </c>
      <c r="G73" s="312">
        <v>219591</v>
      </c>
      <c r="H73" s="312">
        <v>191511</v>
      </c>
      <c r="I73" s="237">
        <v>44.182899999999997</v>
      </c>
      <c r="J73" s="237">
        <v>47.202300000000001</v>
      </c>
      <c r="K73" s="236"/>
      <c r="L73" s="312"/>
      <c r="M73" s="312"/>
      <c r="N73" s="236"/>
      <c r="O73" s="245">
        <v>18741926.869199999</v>
      </c>
      <c r="P73" s="281">
        <v>1184006.641268</v>
      </c>
      <c r="Q73" s="626">
        <v>592003.31999999995</v>
      </c>
      <c r="R73" s="244">
        <v>0.5</v>
      </c>
      <c r="S73" s="243"/>
      <c r="T73" s="286"/>
    </row>
    <row r="74" spans="1:20" x14ac:dyDescent="0.25">
      <c r="A74" s="26" t="s">
        <v>28</v>
      </c>
      <c r="B74" s="302" t="s">
        <v>180</v>
      </c>
      <c r="C74" s="62" t="s">
        <v>31</v>
      </c>
      <c r="D74" s="62" t="s">
        <v>30</v>
      </c>
      <c r="E74" s="62" t="s">
        <v>161</v>
      </c>
      <c r="F74" s="262" t="s">
        <v>56</v>
      </c>
      <c r="G74" s="312">
        <v>3474993.8720999998</v>
      </c>
      <c r="H74" s="312">
        <v>3035718.9128</v>
      </c>
      <c r="I74" s="237">
        <v>14.097</v>
      </c>
      <c r="J74" s="237">
        <v>14.097</v>
      </c>
      <c r="K74" s="472"/>
      <c r="L74" s="312"/>
      <c r="M74" s="312"/>
      <c r="N74" s="236"/>
      <c r="O74" s="245">
        <v>91781518.128735304</v>
      </c>
      <c r="P74" s="281">
        <v>8987655.240611</v>
      </c>
      <c r="Q74" s="626">
        <v>4493827.62</v>
      </c>
      <c r="R74" s="244">
        <v>0.5</v>
      </c>
      <c r="S74" s="243"/>
      <c r="T74" s="286"/>
    </row>
    <row r="75" spans="1:20" x14ac:dyDescent="0.25">
      <c r="A75" s="194" t="s">
        <v>28</v>
      </c>
      <c r="B75" s="195" t="s">
        <v>165</v>
      </c>
      <c r="C75" s="196"/>
      <c r="D75" s="196"/>
      <c r="E75" s="197"/>
      <c r="F75" s="38"/>
      <c r="G75" s="290"/>
      <c r="H75" s="291"/>
      <c r="I75" s="291"/>
      <c r="J75" s="292"/>
      <c r="K75" s="292"/>
      <c r="L75" s="292"/>
      <c r="M75" s="200"/>
      <c r="N75" s="200"/>
      <c r="O75" s="213">
        <v>18889531.581286009</v>
      </c>
      <c r="P75" s="213">
        <v>2018570.8984479969</v>
      </c>
      <c r="Q75" s="213">
        <v>1009285.4599999954</v>
      </c>
      <c r="R75" s="160"/>
      <c r="S75" s="201"/>
      <c r="T75" s="160"/>
    </row>
    <row r="76" spans="1:20" x14ac:dyDescent="0.25">
      <c r="A76" s="34"/>
      <c r="B76" s="165" t="s">
        <v>108</v>
      </c>
      <c r="C76" s="35" t="s">
        <v>349</v>
      </c>
      <c r="D76" s="22"/>
      <c r="E76" s="22"/>
      <c r="F76" s="297"/>
      <c r="G76" s="282">
        <v>6349212.4789999994</v>
      </c>
      <c r="H76" s="282">
        <v>7475816.9808999998</v>
      </c>
      <c r="I76" s="356"/>
      <c r="J76" s="282"/>
      <c r="K76" s="294"/>
      <c r="L76" s="287"/>
      <c r="M76" s="353"/>
      <c r="N76" s="219"/>
      <c r="O76" s="219">
        <v>510518775.1937052</v>
      </c>
      <c r="P76" s="219">
        <v>156636249.25032696</v>
      </c>
      <c r="Q76" s="219">
        <v>78318124.650000006</v>
      </c>
      <c r="R76" s="199"/>
      <c r="S76" s="207"/>
      <c r="T76" s="160"/>
    </row>
    <row r="77" spans="1:20" x14ac:dyDescent="0.25">
      <c r="A77" s="157"/>
      <c r="B77" s="158"/>
      <c r="C77" s="35" t="s">
        <v>350</v>
      </c>
      <c r="D77" s="114"/>
      <c r="E77" s="114"/>
      <c r="F77" s="297"/>
      <c r="G77" s="283">
        <v>13.624865073672801</v>
      </c>
      <c r="H77" s="283">
        <v>14.847585349827837</v>
      </c>
      <c r="I77" s="357"/>
      <c r="J77" s="282"/>
      <c r="K77" s="295"/>
      <c r="L77" s="288"/>
      <c r="M77" s="478"/>
      <c r="N77" s="479"/>
      <c r="O77" s="479"/>
      <c r="P77" s="209"/>
      <c r="Q77" s="624">
        <v>301994688.65040004</v>
      </c>
      <c r="R77" s="198"/>
      <c r="S77" s="207"/>
      <c r="T77" s="160"/>
    </row>
    <row r="78" spans="1:20" x14ac:dyDescent="0.25">
      <c r="A78" s="10" t="s">
        <v>55</v>
      </c>
      <c r="B78" s="308"/>
      <c r="C78" s="308"/>
      <c r="D78" s="308"/>
      <c r="E78" s="308"/>
      <c r="F78" s="298"/>
      <c r="G78" s="284">
        <v>86507163.350454599</v>
      </c>
      <c r="H78" s="284">
        <v>110997830.683605</v>
      </c>
      <c r="I78" s="282">
        <v>197504994.03405958</v>
      </c>
      <c r="J78" s="282">
        <v>197504994.03405961</v>
      </c>
      <c r="K78" s="358">
        <v>0</v>
      </c>
      <c r="L78" s="359"/>
      <c r="M78" s="311">
        <v>0</v>
      </c>
      <c r="N78" s="311">
        <v>60689.319699999993</v>
      </c>
      <c r="O78" s="311">
        <v>600313978.70400524</v>
      </c>
      <c r="P78" s="311">
        <v>95043859.49000001</v>
      </c>
      <c r="Q78" s="211">
        <v>366489122.34040004</v>
      </c>
      <c r="R78" s="60"/>
      <c r="S78" s="211"/>
      <c r="T78" s="60"/>
    </row>
    <row r="79" spans="1:20" x14ac:dyDescent="0.25">
      <c r="A79" s="6"/>
      <c r="B79" s="6"/>
      <c r="C79" s="6"/>
      <c r="D79" s="6"/>
      <c r="E79" s="6"/>
      <c r="F79" s="6"/>
      <c r="G79" s="6"/>
      <c r="H79" s="6"/>
      <c r="I79" s="7"/>
      <c r="J79" s="6"/>
      <c r="K79" s="6"/>
      <c r="L79" s="6"/>
      <c r="M79" s="6"/>
      <c r="N79" s="6"/>
      <c r="O79" s="280"/>
      <c r="P79" s="6"/>
      <c r="Q79" s="625"/>
      <c r="R79" s="6"/>
      <c r="S79" s="285"/>
      <c r="T79" s="6"/>
    </row>
    <row r="80" spans="1:20" x14ac:dyDescent="0.25">
      <c r="A80" s="99" t="s">
        <v>93</v>
      </c>
      <c r="B80" s="7" t="s">
        <v>76</v>
      </c>
      <c r="C80" s="7"/>
      <c r="D80" s="6"/>
      <c r="E80" s="6"/>
      <c r="F80" s="6"/>
      <c r="H80" s="99" t="s">
        <v>77</v>
      </c>
      <c r="J80" s="72"/>
      <c r="K80" s="72"/>
      <c r="L80" s="6"/>
      <c r="M80" s="6"/>
      <c r="N80" s="220"/>
      <c r="O80" s="635"/>
      <c r="P80" s="405"/>
      <c r="Q80" s="405"/>
      <c r="R80" s="408"/>
      <c r="S80" s="285"/>
      <c r="T80" s="6"/>
    </row>
    <row r="81" spans="1:20" x14ac:dyDescent="0.25">
      <c r="A81" s="6"/>
      <c r="B81" s="126" t="s">
        <v>78</v>
      </c>
      <c r="C81" s="127" t="s">
        <v>79</v>
      </c>
      <c r="D81" s="128"/>
      <c r="E81" s="129" t="s">
        <v>35</v>
      </c>
      <c r="F81" s="129" t="s">
        <v>80</v>
      </c>
      <c r="H81" s="100" t="s">
        <v>35</v>
      </c>
      <c r="I81" s="685"/>
      <c r="J81" s="308"/>
      <c r="K81" s="308"/>
      <c r="L81" s="101"/>
      <c r="M81" s="6"/>
      <c r="N81" s="451"/>
      <c r="O81" s="635"/>
      <c r="P81" s="405"/>
      <c r="Q81" s="405"/>
      <c r="R81" s="408"/>
      <c r="S81" s="285"/>
      <c r="T81" s="6"/>
    </row>
    <row r="82" spans="1:20" x14ac:dyDescent="0.25">
      <c r="A82" s="7"/>
      <c r="B82" s="102" t="s">
        <v>81</v>
      </c>
      <c r="C82" s="103" t="s">
        <v>82</v>
      </c>
      <c r="D82" s="104"/>
      <c r="E82" s="105">
        <v>72.292400000000001</v>
      </c>
      <c r="F82" s="105">
        <v>74.283199999999994</v>
      </c>
      <c r="H82" s="106" t="s">
        <v>351</v>
      </c>
      <c r="I82" s="7"/>
      <c r="J82" s="6"/>
      <c r="K82" s="6"/>
      <c r="L82" s="107"/>
      <c r="M82" s="393">
        <v>6.2200000337121024E-2</v>
      </c>
      <c r="N82" s="393">
        <v>6.4199999463479832E-2</v>
      </c>
      <c r="O82" s="402"/>
      <c r="P82" s="405"/>
      <c r="Q82" s="405"/>
      <c r="R82" s="405"/>
      <c r="S82" s="620"/>
      <c r="T82" s="6"/>
    </row>
    <row r="83" spans="1:20" x14ac:dyDescent="0.25">
      <c r="A83" s="6"/>
      <c r="B83" s="108" t="s">
        <v>83</v>
      </c>
      <c r="C83" s="109" t="s">
        <v>84</v>
      </c>
      <c r="D83" s="110"/>
      <c r="E83" s="111">
        <v>36.603099999999998</v>
      </c>
      <c r="F83" s="112">
        <v>36.603099999999998</v>
      </c>
      <c r="H83" s="113">
        <v>49.608746891775994</v>
      </c>
      <c r="I83" s="338"/>
      <c r="J83" s="114"/>
      <c r="K83" s="114"/>
      <c r="L83" s="115"/>
      <c r="M83" s="393">
        <v>9.4199999857272176E-2</v>
      </c>
      <c r="N83" s="393">
        <v>9.8900000237297003E-2</v>
      </c>
      <c r="O83" s="405"/>
      <c r="P83" s="405"/>
      <c r="Q83" s="405"/>
      <c r="R83" s="405"/>
      <c r="S83" s="285"/>
      <c r="T83" s="6"/>
    </row>
    <row r="84" spans="1:20" x14ac:dyDescent="0.25">
      <c r="A84" s="6"/>
      <c r="B84" s="108" t="s">
        <v>85</v>
      </c>
      <c r="C84" s="109" t="s">
        <v>86</v>
      </c>
      <c r="D84" s="110"/>
      <c r="E84" s="111">
        <v>21.263000000000002</v>
      </c>
      <c r="F84" s="111">
        <v>21.263000000000002</v>
      </c>
      <c r="G84" s="6"/>
      <c r="I84" s="686"/>
      <c r="J84" s="6"/>
      <c r="K84" s="6"/>
      <c r="L84" s="6"/>
      <c r="M84" s="393">
        <v>0.39999999969547706</v>
      </c>
      <c r="N84" s="393">
        <v>0.39999999979093542</v>
      </c>
      <c r="O84" s="403"/>
      <c r="P84" s="405"/>
      <c r="Q84" s="405"/>
      <c r="R84" s="405"/>
      <c r="S84" s="285"/>
      <c r="T84" s="6"/>
    </row>
    <row r="85" spans="1:20" x14ac:dyDescent="0.25">
      <c r="A85" s="6"/>
      <c r="B85" s="108" t="s">
        <v>87</v>
      </c>
      <c r="C85" s="109" t="s">
        <v>88</v>
      </c>
      <c r="D85" s="110"/>
      <c r="E85" s="117">
        <v>0.66879999999999995</v>
      </c>
      <c r="F85" s="117">
        <v>0.56779999999999997</v>
      </c>
      <c r="G85" s="6"/>
      <c r="H85" s="100" t="s">
        <v>80</v>
      </c>
      <c r="I85" s="687"/>
      <c r="J85" s="308"/>
      <c r="K85" s="308"/>
      <c r="L85" s="101"/>
      <c r="M85" s="393">
        <v>0.38000000287019686</v>
      </c>
      <c r="N85" s="393"/>
      <c r="O85" s="403"/>
      <c r="P85" s="405"/>
      <c r="Q85" s="405"/>
      <c r="R85" s="405"/>
      <c r="S85" s="6"/>
      <c r="T85" s="6"/>
    </row>
    <row r="86" spans="1:20" x14ac:dyDescent="0.25">
      <c r="A86" s="6"/>
      <c r="B86" s="108" t="s">
        <v>89</v>
      </c>
      <c r="C86" s="109" t="s">
        <v>90</v>
      </c>
      <c r="D86" s="110"/>
      <c r="E86" s="119"/>
      <c r="F86" s="119"/>
      <c r="G86" s="6"/>
      <c r="H86" s="106" t="s">
        <v>390</v>
      </c>
      <c r="I86" s="686"/>
      <c r="J86" s="6"/>
      <c r="K86" s="6"/>
      <c r="L86" s="107"/>
      <c r="M86" s="7"/>
      <c r="N86" s="473"/>
      <c r="O86" s="403"/>
      <c r="P86" s="405"/>
      <c r="Q86" s="405"/>
      <c r="R86" s="405"/>
      <c r="S86" s="6"/>
      <c r="T86" s="6"/>
    </row>
    <row r="87" spans="1:20" x14ac:dyDescent="0.25">
      <c r="A87" s="6"/>
      <c r="B87" s="120" t="s">
        <v>91</v>
      </c>
      <c r="C87" s="121" t="s">
        <v>92</v>
      </c>
      <c r="D87" s="122"/>
      <c r="E87" s="123"/>
      <c r="F87" s="123"/>
      <c r="G87" s="6"/>
      <c r="H87" s="113">
        <v>45.405504825408002</v>
      </c>
      <c r="I87" s="688"/>
      <c r="J87" s="114"/>
      <c r="K87" s="114"/>
      <c r="L87" s="115"/>
      <c r="M87" s="403"/>
      <c r="N87" s="403"/>
      <c r="O87" s="403"/>
      <c r="P87" s="6"/>
      <c r="Q87" s="6"/>
      <c r="R87" s="6"/>
      <c r="S87" s="6"/>
      <c r="T87" s="6"/>
    </row>
    <row r="88" spans="1:20" x14ac:dyDescent="0.25">
      <c r="A88" s="5"/>
      <c r="C88" s="4"/>
      <c r="D88" s="4"/>
      <c r="H88" s="190"/>
      <c r="M88" s="406"/>
      <c r="N88" s="406"/>
      <c r="O88" s="406"/>
    </row>
  </sheetData>
  <mergeCells count="2">
    <mergeCell ref="C7:C8"/>
    <mergeCell ref="O7:O8"/>
  </mergeCells>
  <phoneticPr fontId="0" type="noConversion"/>
  <printOptions horizontalCentered="1" verticalCentered="1"/>
  <pageMargins left="0.25" right="0.25" top="0.5" bottom="0.5" header="0" footer="0"/>
  <pageSetup scale="49"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A1:AJ103"/>
  <sheetViews>
    <sheetView view="pageBreakPreview" topLeftCell="A61" zoomScaleNormal="100" zoomScaleSheetLayoutView="100" workbookViewId="0">
      <pane xSplit="2" topLeftCell="J1" activePane="topRight" state="frozen"/>
      <selection pane="topRight" activeCell="AM31" sqref="AM31"/>
    </sheetView>
  </sheetViews>
  <sheetFormatPr baseColWidth="10" defaultColWidth="11.54296875" defaultRowHeight="15.6" x14ac:dyDescent="0.3"/>
  <cols>
    <col min="1" max="1" width="3" customWidth="1"/>
    <col min="2" max="2" width="14.453125" customWidth="1"/>
    <col min="3" max="4" width="7.1796875" customWidth="1"/>
    <col min="5" max="5" width="7.453125" customWidth="1"/>
    <col min="6" max="6" width="7.90625" customWidth="1"/>
    <col min="7" max="8" width="8.90625" customWidth="1"/>
    <col min="9" max="9" width="9.1796875" customWidth="1"/>
    <col min="10" max="10" width="9.08984375" customWidth="1"/>
    <col min="11" max="14" width="9.81640625" customWidth="1"/>
    <col min="15" max="15" width="10.81640625" customWidth="1"/>
    <col min="16" max="16" width="12.54296875" customWidth="1"/>
    <col min="17" max="17" width="14.81640625" customWidth="1"/>
    <col min="18" max="18" width="4" customWidth="1"/>
    <col min="19" max="19" width="12.54296875" customWidth="1"/>
    <col min="20" max="20" width="11.453125" customWidth="1"/>
    <col min="21" max="21" width="8.90625" hidden="1" customWidth="1"/>
    <col min="22" max="22" width="10.08984375" hidden="1" customWidth="1"/>
    <col min="23" max="33" width="8.90625" hidden="1" customWidth="1"/>
    <col min="34" max="34" width="10.08984375" hidden="1" customWidth="1"/>
    <col min="35" max="36" width="0" hidden="1" customWidth="1"/>
  </cols>
  <sheetData>
    <row r="1" spans="1:34" x14ac:dyDescent="0.3">
      <c r="A1" s="4" t="s">
        <v>51</v>
      </c>
      <c r="B1" s="1"/>
      <c r="C1" s="3"/>
      <c r="D1" s="3"/>
      <c r="E1" s="9">
        <v>44531</v>
      </c>
      <c r="F1" s="3"/>
      <c r="G1" s="1"/>
      <c r="H1" s="1"/>
      <c r="I1" s="1"/>
      <c r="J1" s="1"/>
      <c r="K1" s="1"/>
      <c r="L1" s="1"/>
      <c r="M1" s="1"/>
      <c r="N1" s="1"/>
      <c r="O1" s="1"/>
      <c r="P1" s="74"/>
      <c r="Q1" s="1"/>
      <c r="R1" s="1"/>
      <c r="S1" s="1"/>
      <c r="T1" s="1"/>
      <c r="U1" s="75" t="s">
        <v>94</v>
      </c>
      <c r="V1" s="75"/>
      <c r="W1" s="76">
        <v>365</v>
      </c>
      <c r="X1" s="1"/>
      <c r="Y1" s="1"/>
      <c r="Z1" s="1"/>
      <c r="AA1" s="1"/>
      <c r="AB1" s="1"/>
      <c r="AC1" s="1"/>
      <c r="AD1" s="1"/>
      <c r="AE1" s="1"/>
      <c r="AF1" s="1"/>
      <c r="AG1" s="1"/>
    </row>
    <row r="2" spans="1:34" x14ac:dyDescent="0.3">
      <c r="A2" s="3" t="s">
        <v>0</v>
      </c>
      <c r="B2" s="1"/>
      <c r="C2" s="1"/>
      <c r="D2" s="1"/>
      <c r="E2" s="1"/>
      <c r="F2" s="1"/>
      <c r="G2" s="1"/>
      <c r="H2" s="1"/>
      <c r="I2" s="1"/>
      <c r="J2" s="1"/>
      <c r="K2" s="1"/>
      <c r="L2" s="1"/>
      <c r="M2" s="1"/>
      <c r="N2" s="1"/>
      <c r="O2" s="1"/>
      <c r="P2" s="74"/>
      <c r="Q2" s="1"/>
      <c r="R2" s="1"/>
      <c r="S2" s="1"/>
      <c r="T2" s="1"/>
      <c r="U2" s="1"/>
      <c r="V2" s="1"/>
      <c r="W2" s="1"/>
      <c r="X2" s="1"/>
      <c r="Y2" s="1"/>
      <c r="Z2" s="1"/>
      <c r="AA2" s="1"/>
      <c r="AB2" s="1"/>
      <c r="AC2" s="1"/>
      <c r="AD2" s="1"/>
      <c r="AE2" s="1"/>
      <c r="AF2" s="1"/>
      <c r="AG2" s="1"/>
    </row>
    <row r="3" spans="1:34" x14ac:dyDescent="0.3">
      <c r="A3" s="144" t="s">
        <v>109</v>
      </c>
      <c r="B3" s="144"/>
      <c r="C3" s="144"/>
      <c r="D3" s="144"/>
      <c r="E3" s="144"/>
      <c r="F3" s="144"/>
      <c r="G3" s="144"/>
      <c r="H3" s="144"/>
      <c r="I3" s="144"/>
      <c r="J3" s="144"/>
      <c r="K3" s="144"/>
      <c r="L3" s="144"/>
      <c r="M3" s="144"/>
      <c r="N3" s="144"/>
      <c r="O3" s="144"/>
      <c r="P3" s="144"/>
      <c r="Q3" s="144"/>
      <c r="R3" s="144"/>
      <c r="S3" s="144"/>
      <c r="T3" s="144"/>
      <c r="U3" s="1"/>
      <c r="V3" s="144"/>
      <c r="W3" s="144"/>
      <c r="X3" s="144"/>
      <c r="Y3" s="144"/>
      <c r="Z3" s="144"/>
      <c r="AA3" s="144"/>
      <c r="AB3" s="144"/>
      <c r="AC3" s="144"/>
      <c r="AD3" s="144"/>
      <c r="AE3" s="144"/>
      <c r="AF3" s="144"/>
      <c r="AG3" s="1"/>
    </row>
    <row r="4" spans="1:34" x14ac:dyDescent="0.3">
      <c r="A4" s="143" t="str">
        <f>"Correspondiente acumulado al año "&amp;TEXT(E1,"YYYY")</f>
        <v>Correspondiente acumulado al año 2021</v>
      </c>
      <c r="B4" s="143"/>
      <c r="C4" s="143"/>
      <c r="D4" s="143"/>
      <c r="E4" s="143"/>
      <c r="F4" s="143"/>
      <c r="G4" s="143"/>
      <c r="H4" s="143"/>
      <c r="I4" s="143"/>
      <c r="J4" s="143"/>
      <c r="K4" s="143"/>
      <c r="L4" s="143"/>
      <c r="M4" s="143"/>
      <c r="N4" s="143"/>
      <c r="O4" s="143"/>
      <c r="P4" s="143"/>
      <c r="Q4" s="143"/>
      <c r="R4" s="143"/>
      <c r="S4" s="143"/>
      <c r="T4" s="143"/>
      <c r="U4" s="1"/>
      <c r="V4" s="143"/>
      <c r="W4" s="143"/>
      <c r="X4" s="143"/>
      <c r="Y4" s="143"/>
      <c r="Z4" s="143"/>
      <c r="AA4" s="143"/>
      <c r="AB4" s="143"/>
      <c r="AC4" s="143"/>
      <c r="AD4" s="143"/>
      <c r="AE4" s="143"/>
      <c r="AF4" s="143"/>
      <c r="AG4" s="1"/>
    </row>
    <row r="5" spans="1:34" x14ac:dyDescent="0.3">
      <c r="A5" s="143"/>
      <c r="B5" s="143"/>
      <c r="C5" s="143"/>
      <c r="D5" s="143"/>
      <c r="E5" s="143"/>
      <c r="F5" s="143"/>
      <c r="G5" s="143"/>
      <c r="H5" s="143"/>
      <c r="I5" s="143"/>
      <c r="J5" s="143"/>
      <c r="K5" s="143"/>
      <c r="L5" s="143"/>
      <c r="M5" s="143"/>
      <c r="N5" s="143"/>
      <c r="O5" s="633"/>
      <c r="P5" s="143"/>
      <c r="Q5" s="143"/>
      <c r="R5" s="143"/>
      <c r="S5" s="143"/>
      <c r="T5" s="143"/>
      <c r="U5" s="1"/>
      <c r="V5" s="143"/>
      <c r="W5" s="143"/>
      <c r="X5" s="143"/>
      <c r="Y5" s="143"/>
      <c r="Z5" s="143"/>
      <c r="AA5" s="143"/>
      <c r="AB5" s="143"/>
      <c r="AC5" s="143"/>
      <c r="AD5" s="143"/>
      <c r="AE5" s="143"/>
      <c r="AF5" s="143"/>
      <c r="AG5" s="1"/>
    </row>
    <row r="6" spans="1:34" x14ac:dyDescent="0.3">
      <c r="A6" s="1"/>
      <c r="B6" s="1"/>
      <c r="C6" s="1"/>
      <c r="D6" s="1"/>
      <c r="E6" s="1"/>
      <c r="F6" s="1"/>
      <c r="G6" s="1"/>
      <c r="H6" s="2"/>
      <c r="I6" s="1"/>
      <c r="J6" s="1"/>
      <c r="K6" s="1"/>
      <c r="L6" s="1"/>
      <c r="M6" s="1"/>
      <c r="N6" s="1"/>
      <c r="O6" s="1"/>
      <c r="P6" s="1"/>
      <c r="Q6" s="1"/>
      <c r="R6" s="1"/>
      <c r="S6" s="1"/>
      <c r="T6" s="1"/>
      <c r="U6" s="1"/>
      <c r="V6" s="1"/>
      <c r="W6" s="1"/>
      <c r="X6" s="1"/>
      <c r="Y6" s="1"/>
      <c r="Z6" s="1"/>
      <c r="AA6" s="1"/>
      <c r="AB6" s="1"/>
      <c r="AC6" s="1"/>
      <c r="AD6" s="1"/>
      <c r="AE6" s="1"/>
      <c r="AF6" s="1"/>
      <c r="AG6" s="1"/>
    </row>
    <row r="7" spans="1:34" ht="21.75" customHeight="1" x14ac:dyDescent="0.3">
      <c r="A7" s="69" t="s">
        <v>25</v>
      </c>
      <c r="B7" s="70"/>
      <c r="C7" s="668" t="s">
        <v>33</v>
      </c>
      <c r="D7" s="69" t="s">
        <v>58</v>
      </c>
      <c r="E7" s="70"/>
      <c r="F7" s="186" t="s">
        <v>106</v>
      </c>
      <c r="G7" s="187"/>
      <c r="H7" s="188"/>
      <c r="I7" s="187" t="s">
        <v>38</v>
      </c>
      <c r="J7" s="188"/>
      <c r="K7" s="186" t="s">
        <v>41</v>
      </c>
      <c r="L7" s="187"/>
      <c r="M7" s="187"/>
      <c r="N7" s="188"/>
      <c r="O7" s="668" t="s">
        <v>96</v>
      </c>
      <c r="P7" s="186" t="s">
        <v>50</v>
      </c>
      <c r="Q7" s="187"/>
      <c r="R7" s="187"/>
      <c r="S7" s="187"/>
      <c r="T7" s="188"/>
      <c r="U7" s="630" t="s">
        <v>337</v>
      </c>
      <c r="V7" s="631"/>
      <c r="W7" s="631"/>
      <c r="X7" s="631"/>
      <c r="Y7" s="631"/>
      <c r="Z7" s="632"/>
      <c r="AA7" s="629" t="s">
        <v>338</v>
      </c>
      <c r="AB7" s="189"/>
      <c r="AC7" s="189"/>
      <c r="AD7" s="189"/>
      <c r="AE7" s="189"/>
      <c r="AF7" s="145"/>
      <c r="AG7" s="145" t="s">
        <v>63</v>
      </c>
      <c r="AH7" s="147"/>
    </row>
    <row r="8" spans="1:34" ht="14.25" customHeight="1" x14ac:dyDescent="0.3">
      <c r="A8" s="12" t="s">
        <v>26</v>
      </c>
      <c r="B8" s="13"/>
      <c r="C8" s="669"/>
      <c r="D8" s="14" t="s">
        <v>19</v>
      </c>
      <c r="E8" s="71" t="s">
        <v>59</v>
      </c>
      <c r="F8" s="14" t="s">
        <v>27</v>
      </c>
      <c r="G8" s="15" t="s">
        <v>35</v>
      </c>
      <c r="H8" s="16" t="s">
        <v>36</v>
      </c>
      <c r="I8" s="16" t="s">
        <v>35</v>
      </c>
      <c r="J8" s="15" t="s">
        <v>36</v>
      </c>
      <c r="K8" s="15" t="s">
        <v>39</v>
      </c>
      <c r="L8" s="15" t="s">
        <v>40</v>
      </c>
      <c r="M8" s="15" t="s">
        <v>42</v>
      </c>
      <c r="N8" s="15" t="s">
        <v>2</v>
      </c>
      <c r="O8" s="672"/>
      <c r="P8" s="602" t="s">
        <v>1</v>
      </c>
      <c r="Q8" s="186" t="s">
        <v>45</v>
      </c>
      <c r="R8" s="188"/>
      <c r="S8" s="187" t="s">
        <v>46</v>
      </c>
      <c r="T8" s="188"/>
      <c r="U8" s="145" t="s">
        <v>64</v>
      </c>
      <c r="V8" s="146"/>
      <c r="W8" s="147"/>
      <c r="X8" s="77" t="s">
        <v>65</v>
      </c>
      <c r="Y8" s="145" t="s">
        <v>66</v>
      </c>
      <c r="Z8" s="147"/>
      <c r="AA8" s="145" t="s">
        <v>64</v>
      </c>
      <c r="AB8" s="146"/>
      <c r="AC8" s="147"/>
      <c r="AD8" s="15" t="s">
        <v>65</v>
      </c>
      <c r="AE8" s="189" t="s">
        <v>66</v>
      </c>
      <c r="AF8" s="145"/>
      <c r="AG8" s="78" t="s">
        <v>1</v>
      </c>
      <c r="AH8" s="78" t="s">
        <v>95</v>
      </c>
    </row>
    <row r="9" spans="1:34" x14ac:dyDescent="0.3">
      <c r="A9" s="18" t="s">
        <v>23</v>
      </c>
      <c r="B9" s="19"/>
      <c r="C9" s="64"/>
      <c r="D9" s="64"/>
      <c r="E9" s="24"/>
      <c r="F9" s="18"/>
      <c r="G9" s="25"/>
      <c r="H9" s="37"/>
      <c r="I9" s="25"/>
      <c r="J9" s="37"/>
      <c r="K9" s="25"/>
      <c r="L9" s="25"/>
      <c r="M9" s="25"/>
      <c r="N9" s="25"/>
      <c r="O9" s="41"/>
      <c r="P9" s="25"/>
      <c r="Q9" s="181" t="s">
        <v>43</v>
      </c>
      <c r="R9" s="182"/>
      <c r="S9" s="183" t="s">
        <v>44</v>
      </c>
      <c r="T9" s="182"/>
      <c r="U9" s="79" t="s">
        <v>67</v>
      </c>
      <c r="V9" s="79" t="s">
        <v>97</v>
      </c>
      <c r="W9" s="79" t="s">
        <v>68</v>
      </c>
      <c r="X9" s="79" t="s">
        <v>69</v>
      </c>
      <c r="Y9" s="79" t="s">
        <v>69</v>
      </c>
      <c r="Z9" s="79" t="s">
        <v>70</v>
      </c>
      <c r="AA9" s="79" t="s">
        <v>71</v>
      </c>
      <c r="AB9" s="79" t="s">
        <v>97</v>
      </c>
      <c r="AC9" s="79" t="s">
        <v>72</v>
      </c>
      <c r="AD9" s="79" t="s">
        <v>73</v>
      </c>
      <c r="AE9" s="79" t="s">
        <v>73</v>
      </c>
      <c r="AF9" s="80" t="s">
        <v>70</v>
      </c>
      <c r="AG9" s="81" t="s">
        <v>74</v>
      </c>
      <c r="AH9" s="81" t="s">
        <v>34</v>
      </c>
    </row>
    <row r="10" spans="1:34" x14ac:dyDescent="0.3">
      <c r="A10" s="26" t="s">
        <v>28</v>
      </c>
      <c r="B10" s="27" t="s">
        <v>13</v>
      </c>
      <c r="C10" s="62" t="s">
        <v>29</v>
      </c>
      <c r="D10" s="28" t="s">
        <v>21</v>
      </c>
      <c r="E10" s="62" t="s">
        <v>98</v>
      </c>
      <c r="F10" s="38" t="s">
        <v>37</v>
      </c>
      <c r="G10" s="45">
        <f>Ene!G10+Feb!G10+Mar!G10+Abr!G10+May!G10+Jun!G10+Jul!G10+Ago!G10+Set!G10+Oct!G10+Nov!G10+Dic!G10</f>
        <v>0</v>
      </c>
      <c r="H10" s="45">
        <f>Ene!H10+Feb!H10+Mar!H10+Abr!H10+May!H10+Jun!H10+Jul!H10+Ago!H10+Set!H10+Oct!H10+Nov!H10+Dic!H10</f>
        <v>195898</v>
      </c>
      <c r="I10" s="45"/>
      <c r="J10" s="45"/>
      <c r="K10" s="45"/>
      <c r="L10" s="45"/>
      <c r="M10" s="45">
        <f>Ene!M10+Feb!M10+Mar!M10+Abr!M10+May!M10+Jun!M10+Jul!M10+Ago!M10+Set!M10+Oct!M10+Nov!M10+Dic!M10</f>
        <v>0</v>
      </c>
      <c r="N10" s="45">
        <f>Ene!N10+Feb!N10+Mar!N10+Abr!N10+May!N10+Jun!N10+Jul!N10+Ago!N10+Set!N10+Oct!N10+Nov!N10+Dic!N10</f>
        <v>3088.7489</v>
      </c>
      <c r="O10" s="45">
        <f>Ene!O10+Feb!O10+Mar!O10+Abr!O10+May!O10+Jun!O10+Jul!O10+Ago!O10+Set!O10+Oct!O10+Nov!O10+Dic!O10</f>
        <v>13423516.451099999</v>
      </c>
      <c r="P10" s="45">
        <f>Ene!P10+Feb!P10+Mar!P10+Abr!P10+May!P10+Jun!P10+Jul!P10+Ago!P10+Set!P10+Oct!P10+Nov!P10+Dic!P10</f>
        <v>2516909.33</v>
      </c>
      <c r="Q10" s="45">
        <f>Ene!Q10+Feb!Q10+Mar!Q10+Abr!Q10+May!Q10+Jun!Q10+Jul!Q10+Ago!Q10+Set!Q10+Oct!Q10+Nov!Q10+Dic!Q10</f>
        <v>2013527.4600000002</v>
      </c>
      <c r="R10" s="244">
        <v>0.15</v>
      </c>
      <c r="S10" s="45">
        <f>Ene!S10+Feb!S10+Mar!S10+Abr!S10+May!S10+Jun!S10+Jul!S10+Ago!S10+Set!S10+Oct!S10+Nov!S10+Dic!S10</f>
        <v>503381.87000000005</v>
      </c>
      <c r="T10" s="286">
        <v>3.7499999999999999E-2</v>
      </c>
      <c r="U10" s="73">
        <f t="shared" ref="U10:U34" si="0">IF($F10&amp;"/Día"=W$9,SUM($G10:$H10),"")</f>
        <v>195898</v>
      </c>
      <c r="V10" s="73">
        <f t="shared" ref="V10:V41" si="1">IF(U10&lt;&gt;"",$O10,"")</f>
        <v>13423516.451099999</v>
      </c>
      <c r="W10" s="82">
        <f t="shared" ref="W10:W34" si="2">IF($F10&amp;"/Día"=W$9,ROUND(U10/$W$1,1),"")</f>
        <v>536.70000000000005</v>
      </c>
      <c r="X10" s="83">
        <f t="shared" ref="X10:X34" si="3">IF(U10=0,0,IF($F10&amp;"/Día"=W$9,ROUND(V10/U10,4),""))</f>
        <v>68.522999999999996</v>
      </c>
      <c r="Y10" s="83">
        <f t="shared" ref="Y10:Y34" si="4">IF(U10=0,0,IF($F10&amp;"/Día"=W$9,ROUND(Z10/U10,4),""))</f>
        <v>12.848100000000001</v>
      </c>
      <c r="Z10" s="73">
        <f t="shared" ref="Z10:Z34" si="5">IF(U10&lt;&gt;"",$P10,"")</f>
        <v>2516909.33</v>
      </c>
      <c r="AA10" s="73" t="str">
        <f>IF($F10&amp;"/Día"=AC$9,SUM($G10:$H10),"")</f>
        <v/>
      </c>
      <c r="AB10" s="73" t="str">
        <f>IF(AA10&lt;&gt;"",$O10,"")</f>
        <v/>
      </c>
      <c r="AC10" s="82" t="str">
        <f>IF($F10&amp;"/Día"=AC$9,ROUND(AA10/$W$1,1),"")</f>
        <v/>
      </c>
      <c r="AD10" s="83" t="str">
        <f>IF(AA10=0,0,IF($F10&amp;"/Día"=AC$9,ROUND(AB10/AA10,4),""))</f>
        <v/>
      </c>
      <c r="AE10" s="83" t="str">
        <f>IF(AA10=0,0,IF($F10&amp;"/Día"=AC$9,ROUND(AF10/AA10,4),""))</f>
        <v/>
      </c>
      <c r="AF10" s="73" t="str">
        <f>IF(AA10&lt;&gt;"",$P10,"")</f>
        <v/>
      </c>
      <c r="AG10" s="54"/>
      <c r="AH10" s="131">
        <f t="shared" ref="AH10:AH41" si="6">IF(O10=0,"",IF(I10="",H10*J10-SUM(K10:N10)-O10,+(G10*I10+H10*J10)-SUM(K10:N10)-O10))</f>
        <v>-13426605.199999999</v>
      </c>
    </row>
    <row r="11" spans="1:34" x14ac:dyDescent="0.3">
      <c r="A11" s="26" t="s">
        <v>28</v>
      </c>
      <c r="B11" s="27" t="s">
        <v>14</v>
      </c>
      <c r="C11" s="62" t="s">
        <v>29</v>
      </c>
      <c r="D11" s="28" t="s">
        <v>21</v>
      </c>
      <c r="E11" s="62" t="s">
        <v>98</v>
      </c>
      <c r="F11" s="38" t="s">
        <v>56</v>
      </c>
      <c r="G11" s="45">
        <f>Ene!G11+Feb!G11+Mar!G11+Abr!G11+May!G11+Jun!G11+Jul!G11+Ago!G11+Set!G11+Oct!G11+Nov!G11+Dic!G11</f>
        <v>0</v>
      </c>
      <c r="H11" s="45">
        <f>Ene!H11+Feb!H11+Mar!H11+Abr!H11+May!H11+Jun!H11+Jul!H11+Ago!H11+Set!H11+Oct!H11+Nov!H11+Dic!H11</f>
        <v>1383573.2999999998</v>
      </c>
      <c r="I11" s="45"/>
      <c r="J11" s="45"/>
      <c r="K11" s="45"/>
      <c r="L11" s="45"/>
      <c r="M11" s="45">
        <f>Ene!M11+Feb!M11+Mar!M11+Abr!M11+May!M11+Jun!M11+Jul!M11+Ago!M11+Set!M11+Oct!M11+Nov!M11+Dic!M11</f>
        <v>0</v>
      </c>
      <c r="N11" s="45">
        <f>Ene!N11+Feb!N11+Mar!N11+Abr!N11+May!N11+Jun!N11+Jul!N11+Ago!N11+Set!N11+Oct!N11+Nov!N11+Dic!N11</f>
        <v>8675.0250999999989</v>
      </c>
      <c r="O11" s="45">
        <f>Ene!O11+Feb!O11+Mar!O11+Abr!O11+May!O11+Jun!O11+Jul!O11+Ago!O11+Set!O11+Oct!O11+Nov!O11+Dic!O11</f>
        <v>4728831.4649</v>
      </c>
      <c r="P11" s="45">
        <f>Ene!P11+Feb!P11+Mar!P11+Abr!P11+May!P11+Jun!P11+Jul!P11+Ago!P11+Set!P11+Oct!P11+Nov!P11+Dic!P11</f>
        <v>886655.9</v>
      </c>
      <c r="Q11" s="45">
        <f>Ene!Q11+Feb!Q11+Mar!Q11+Abr!Q11+May!Q11+Jun!Q11+Jul!Q11+Ago!Q11+Set!Q11+Oct!Q11+Nov!Q11+Dic!Q11</f>
        <v>709324.73</v>
      </c>
      <c r="R11" s="244">
        <v>0.15</v>
      </c>
      <c r="S11" s="45">
        <f>Ene!S11+Feb!S11+Mar!S11+Abr!S11+May!S11+Jun!S11+Jul!S11+Ago!S11+Set!S11+Oct!S11+Nov!S11+Dic!S11</f>
        <v>177331.19</v>
      </c>
      <c r="T11" s="286">
        <v>3.7499999999999999E-2</v>
      </c>
      <c r="U11" s="45" t="str">
        <f t="shared" si="0"/>
        <v/>
      </c>
      <c r="V11" s="45" t="str">
        <f t="shared" si="1"/>
        <v/>
      </c>
      <c r="W11" s="84" t="str">
        <f t="shared" si="2"/>
        <v/>
      </c>
      <c r="X11" s="85" t="str">
        <f t="shared" si="3"/>
        <v/>
      </c>
      <c r="Y11" s="85" t="str">
        <f t="shared" si="4"/>
        <v/>
      </c>
      <c r="Z11" s="45" t="str">
        <f t="shared" si="5"/>
        <v/>
      </c>
      <c r="AA11" s="45">
        <f>IF($F11&amp;"/Día"=AC$9,SUM($G11:$H11),"")</f>
        <v>1383573.2999999998</v>
      </c>
      <c r="AB11" s="45">
        <f>IF(AA11&lt;&gt;"",$O11,"")</f>
        <v>4728831.4649</v>
      </c>
      <c r="AC11" s="84">
        <f>IF($F11&amp;"/Día"=AC$9,ROUND(AA11/$W$1,1),"")</f>
        <v>3790.6</v>
      </c>
      <c r="AD11" s="85">
        <f>IF(AA11=0,0,IF($F11&amp;"/Día"=AC$9,ROUND(AB11/AA11,4),""))</f>
        <v>3.4178000000000002</v>
      </c>
      <c r="AE11" s="85">
        <f>IF(AA11=0,0,IF($F11&amp;"/Día"=AC$9,ROUND(AF11/AA11,4),""))</f>
        <v>0.64080000000000004</v>
      </c>
      <c r="AF11" s="45">
        <f>IF(AA11&lt;&gt;"",$P11,"")</f>
        <v>886655.9</v>
      </c>
      <c r="AG11" s="55"/>
      <c r="AH11" s="132">
        <f t="shared" si="6"/>
        <v>-4737506.49</v>
      </c>
    </row>
    <row r="12" spans="1:34" x14ac:dyDescent="0.3">
      <c r="A12" s="26" t="s">
        <v>28</v>
      </c>
      <c r="B12" s="27" t="s">
        <v>341</v>
      </c>
      <c r="C12" s="62" t="s">
        <v>29</v>
      </c>
      <c r="D12" s="28" t="s">
        <v>21</v>
      </c>
      <c r="E12" s="62" t="s">
        <v>98</v>
      </c>
      <c r="F12" s="38" t="s">
        <v>56</v>
      </c>
      <c r="G12" s="45">
        <f>Ene!G13+Feb!G13+Mar!G13+Abr!G13+May!G13+Jun!G13+Jul!G13+Ago!G13+Set!G13+Oct!G13+Nov!G13+Dic!G12</f>
        <v>63226</v>
      </c>
      <c r="H12" s="45">
        <f>Ene!H13+Feb!H13+Mar!H13+Abr!H13+May!H13+Jun!H13+Jul!H13+Ago!H13+Set!H13+Oct!H13+Nov!H13+Dic!H12</f>
        <v>78017.548500000004</v>
      </c>
      <c r="I12" s="45"/>
      <c r="J12" s="45"/>
      <c r="K12" s="45"/>
      <c r="L12" s="45"/>
      <c r="M12" s="45">
        <f>Ene!M12+Feb!M12+Mar!M12+Abr!M12+May!M12+Jun!M12+Jul!M12+Ago!M12+Set!M12+Oct!M12+Nov!M12+Dic!M12</f>
        <v>0</v>
      </c>
      <c r="N12" s="45">
        <f>Ene!N12+Feb!N12+Mar!N12+Abr!N12+May!N12+Jun!N12+Jul!N12+Ago!N12+Set!N12+Oct!N12+Nov!N12+Dic!N12</f>
        <v>0</v>
      </c>
      <c r="O12" s="45">
        <f>Ene!O12+Feb!O12+Mar!O12+Abr!O12+May!O12+Jun!O12+Jul!O12+Ago!O12+Set!O12+Oct!O12+Nov!O12+Dic!O12</f>
        <v>38017.65</v>
      </c>
      <c r="P12" s="45">
        <f>Ene!P12+Feb!P12+Mar!P12+Abr!P12+May!P12+Jun!P12+Jul!P12+Ago!P12+Set!P12+Oct!P12+Nov!P12+Dic!P12</f>
        <v>7128.31</v>
      </c>
      <c r="Q12" s="45">
        <f>Ene!Q12+Feb!Q12+Mar!Q12+Abr!Q12+May!Q12+Jun!Q12+Jul!Q12+Ago!Q12+Set!Q12+Oct!Q12+Nov!Q12+Dic!Q12</f>
        <v>5702.65</v>
      </c>
      <c r="R12" s="244">
        <v>0.15</v>
      </c>
      <c r="S12" s="45">
        <f>Ene!S12+Feb!S12+Mar!S12+Abr!S12+May!S12+Jun!S12+Jul!S12+Ago!S12+Set!S12+Oct!S12+Nov!S12+Dic!S12</f>
        <v>1425.66</v>
      </c>
      <c r="T12" s="286">
        <v>3.7499999999999999E-2</v>
      </c>
      <c r="U12" s="45" t="str">
        <f t="shared" ref="U12" si="7">IF($F12&amp;"/Día"=W$9,SUM($G12:$H12),"")</f>
        <v/>
      </c>
      <c r="V12" s="45" t="str">
        <f t="shared" ref="V12" si="8">IF(U12&lt;&gt;"",$O12,"")</f>
        <v/>
      </c>
      <c r="W12" s="84" t="str">
        <f t="shared" ref="W12" si="9">IF($F12&amp;"/Día"=W$9,ROUND(U12/$W$1,1),"")</f>
        <v/>
      </c>
      <c r="X12" s="85" t="str">
        <f t="shared" ref="X12" si="10">IF(U12=0,0,IF($F12&amp;"/Día"=W$9,ROUND(V12/U12,4),""))</f>
        <v/>
      </c>
      <c r="Y12" s="85" t="str">
        <f t="shared" ref="Y12" si="11">IF(U12=0,0,IF($F12&amp;"/Día"=W$9,ROUND(Z12/U12,4),""))</f>
        <v/>
      </c>
      <c r="Z12" s="45" t="str">
        <f t="shared" ref="Z12" si="12">IF(U12&lt;&gt;"",$P12,"")</f>
        <v/>
      </c>
      <c r="AA12" s="45">
        <f>IF($F12&amp;"/Día"=AC$9,SUM($G12:$H12),"")</f>
        <v>141243.5485</v>
      </c>
      <c r="AB12" s="45">
        <f>IF(AA12&lt;&gt;"",$O12,"")</f>
        <v>38017.65</v>
      </c>
      <c r="AC12" s="84">
        <f>IF($F12&amp;"/Día"=AC$9,ROUND(AA12/$W$1,1),"")</f>
        <v>387</v>
      </c>
      <c r="AD12" s="85">
        <f>IF(AA12=0,0,IF($F12&amp;"/Día"=AC$9,ROUND(AB12/AA12,4),""))</f>
        <v>0.26919999999999999</v>
      </c>
      <c r="AE12" s="85">
        <f>IF(AA12=0,0,IF($F12&amp;"/Día"=AC$9,ROUND(AF12/AA12,4),""))</f>
        <v>5.0500000000000003E-2</v>
      </c>
      <c r="AF12" s="45">
        <f>IF(AA12&lt;&gt;"",$P12,"")</f>
        <v>7128.31</v>
      </c>
      <c r="AG12" s="55"/>
      <c r="AH12" s="132">
        <f t="shared" ref="AH12" si="13">IF(O12=0,"",IF(I12="",H12*J12-SUM(K12:N12)-O12,+(G12*I12+H12*J12)-SUM(K12:N12)-O12))</f>
        <v>-38017.65</v>
      </c>
    </row>
    <row r="13" spans="1:34" x14ac:dyDescent="0.3">
      <c r="A13" s="26" t="s">
        <v>28</v>
      </c>
      <c r="B13" s="27" t="s">
        <v>3</v>
      </c>
      <c r="C13" s="62" t="s">
        <v>31</v>
      </c>
      <c r="D13" s="28" t="s">
        <v>30</v>
      </c>
      <c r="E13" s="62" t="s">
        <v>101</v>
      </c>
      <c r="F13" s="38" t="s">
        <v>37</v>
      </c>
      <c r="G13" s="45">
        <f>Ene!G13+Feb!G13+Mar!G13+Abr!G13+May!G13+Jun!G13+Jul!G13+Ago!G13+Set!G13+Oct!G13+Nov!G13+Dic!G13</f>
        <v>68201</v>
      </c>
      <c r="H13" s="45">
        <f>Ene!H13+Feb!H13+Mar!H13+Abr!H13+May!H13+Jun!H13+Jul!H13+Ago!H13+Set!H13+Oct!H13+Nov!H13+Dic!H13</f>
        <v>72012</v>
      </c>
      <c r="I13" s="45"/>
      <c r="J13" s="45"/>
      <c r="K13" s="45"/>
      <c r="L13" s="45"/>
      <c r="M13" s="45">
        <f>Ene!M13+Feb!M13+Mar!M13+Abr!M13+May!M13+Jun!M13+Jul!M13+Ago!M13+Set!M13+Oct!M13+Nov!M13+Dic!M13</f>
        <v>0</v>
      </c>
      <c r="N13" s="45">
        <f>Ene!N13+Feb!N13+Mar!N13+Abr!N13+May!N13+Jun!N13+Jul!N13+Ago!N13+Set!N13+Oct!N13+Nov!N13+Dic!N13</f>
        <v>7989.801199999999</v>
      </c>
      <c r="O13" s="45">
        <f>Ene!O13+Feb!O13+Mar!O13+Abr!O13+May!O13+Jun!O13+Jul!O13+Ago!O13+Set!O13+Oct!O13+Nov!O13+Dic!O13</f>
        <v>9634411.6088000014</v>
      </c>
      <c r="P13" s="45">
        <f>Ene!P13+Feb!P13+Mar!P13+Abr!P13+May!P13+Jun!P13+Jul!P13+Ago!P13+Set!P13+Oct!P13+Nov!P13+Dic!P13</f>
        <v>1806452.1600000001</v>
      </c>
      <c r="Q13" s="45">
        <f>Ene!Q13+Feb!Q13+Mar!Q13+Abr!Q13+May!Q13+Jun!Q13+Jul!Q13+Ago!Q13+Set!Q13+Oct!Q13+Nov!Q13+Dic!Q13</f>
        <v>1445161.7500000002</v>
      </c>
      <c r="R13" s="244">
        <v>0.15</v>
      </c>
      <c r="S13" s="45">
        <f>Ene!S13+Feb!S13+Mar!S13+Abr!S13+May!S13+Jun!S13+Jul!S13+Ago!S13+Set!S13+Oct!S13+Nov!S13+Dic!S13</f>
        <v>361290.44000000006</v>
      </c>
      <c r="T13" s="286">
        <v>3.7499999999999999E-2</v>
      </c>
      <c r="U13" s="45">
        <f t="shared" si="0"/>
        <v>140213</v>
      </c>
      <c r="V13" s="45">
        <f t="shared" si="1"/>
        <v>9634411.6088000014</v>
      </c>
      <c r="W13" s="84">
        <f t="shared" si="2"/>
        <v>384.1</v>
      </c>
      <c r="X13" s="85">
        <f t="shared" si="3"/>
        <v>68.712699999999998</v>
      </c>
      <c r="Y13" s="85">
        <f t="shared" si="4"/>
        <v>12.883599999999999</v>
      </c>
      <c r="Z13" s="45">
        <f t="shared" si="5"/>
        <v>1806452.1600000001</v>
      </c>
      <c r="AA13" s="45" t="str">
        <f t="shared" ref="AA13:AA39" si="14">IF($F13&amp;"/Día"=AC$9,SUM($G13:$H13),"")</f>
        <v/>
      </c>
      <c r="AB13" s="45" t="str">
        <f t="shared" ref="AB13:AB39" si="15">IF(AA13&lt;&gt;"",$O13,"")</f>
        <v/>
      </c>
      <c r="AC13" s="84" t="str">
        <f t="shared" ref="AC13:AC39" si="16">IF($F13&amp;"/Día"=AC$9,ROUND(AA13/$W$1,1),"")</f>
        <v/>
      </c>
      <c r="AD13" s="85" t="str">
        <f t="shared" ref="AD13:AD39" si="17">IF(AA13=0,0,IF($F13&amp;"/Día"=AC$9,ROUND(AB13/AA13,4),""))</f>
        <v/>
      </c>
      <c r="AE13" s="85" t="str">
        <f t="shared" ref="AE13:AE39" si="18">IF(AA13=0,0,IF($F13&amp;"/Día"=AC$9,ROUND(AF13/AA13,4),""))</f>
        <v/>
      </c>
      <c r="AF13" s="45" t="str">
        <f t="shared" ref="AF13:AF39" si="19">IF(AA13&lt;&gt;"",$P13,"")</f>
        <v/>
      </c>
      <c r="AG13" s="55"/>
      <c r="AH13" s="132">
        <f t="shared" si="6"/>
        <v>-9642401.410000002</v>
      </c>
    </row>
    <row r="14" spans="1:34" x14ac:dyDescent="0.3">
      <c r="A14" s="267" t="s">
        <v>28</v>
      </c>
      <c r="B14" s="271" t="s">
        <v>176</v>
      </c>
      <c r="C14" s="260" t="s">
        <v>29</v>
      </c>
      <c r="D14" s="268" t="s">
        <v>21</v>
      </c>
      <c r="E14" s="260" t="s">
        <v>98</v>
      </c>
      <c r="F14" s="260" t="s">
        <v>56</v>
      </c>
      <c r="G14" s="45">
        <f>Ene!G14+Feb!G14+Mar!G14+Abr!G14+May!G14+Jun!G14+Jul!G14+Ago!G14+Set!G14+Oct!G14+Nov!G14+Dic!G14</f>
        <v>158051.7905</v>
      </c>
      <c r="H14" s="45">
        <f>Ene!H14+Feb!H14+Mar!H14+Abr!H14+May!H14+Jun!H14+Jul!H14+Ago!H14+Set!H14+Oct!H14+Nov!H14+Dic!H14</f>
        <v>159200.62269999998</v>
      </c>
      <c r="I14" s="45"/>
      <c r="J14" s="45"/>
      <c r="K14" s="45"/>
      <c r="L14" s="45"/>
      <c r="M14" s="45">
        <f>Ene!M14+Feb!M14+Mar!M14+Abr!M14+May!M14+Jun!M14+Jul!M14+Ago!M14+Set!M14+Oct!M14+Nov!M14+Dic!M14</f>
        <v>0</v>
      </c>
      <c r="N14" s="45">
        <f>Ene!N14+Feb!N14+Mar!N14+Abr!N14+May!N14+Jun!N14+Jul!N14+Ago!N14+Set!N14+Oct!N14+Nov!N14+Dic!N14</f>
        <v>8534.1294000000016</v>
      </c>
      <c r="O14" s="45">
        <f>Ene!O14+Feb!O14+Mar!O14+Abr!O14+May!O14+Jun!O14+Jul!O14+Ago!O14+Set!O14+Oct!O14+Nov!O14+Dic!O14</f>
        <v>815339.42059999984</v>
      </c>
      <c r="P14" s="45">
        <f>Ene!P14+Feb!P14+Mar!P14+Abr!P14+May!P14+Jun!P14+Jul!P14+Ago!P14+Set!P14+Oct!P14+Nov!P14+Dic!P14</f>
        <v>152876.15</v>
      </c>
      <c r="Q14" s="45">
        <f>Ene!Q14+Feb!Q14+Mar!Q14+Abr!Q14+May!Q14+Jun!Q14+Jul!Q14+Ago!Q14+Set!Q14+Oct!Q14+Nov!Q14+Dic!Q14</f>
        <v>122300.91</v>
      </c>
      <c r="R14" s="244">
        <v>0.15</v>
      </c>
      <c r="S14" s="45">
        <f>Ene!S14+Feb!S14+Mar!S14+Abr!S14+May!S14+Jun!S14+Jul!S14+Ago!S14+Set!S14+Oct!S14+Nov!S14+Dic!S14</f>
        <v>30575.24</v>
      </c>
      <c r="T14" s="286">
        <v>3.7499999999999999E-2</v>
      </c>
      <c r="U14" s="45" t="str">
        <f t="shared" ref="U14" si="20">IF($F14&amp;"/Día"=W$9,SUM($G14:$H14),"")</f>
        <v/>
      </c>
      <c r="V14" s="45" t="str">
        <f t="shared" ref="V14" si="21">IF(U14&lt;&gt;"",$O14,"")</f>
        <v/>
      </c>
      <c r="W14" s="84" t="str">
        <f t="shared" ref="W14" si="22">IF($F14&amp;"/Día"=W$9,ROUND(U14/$W$1,1),"")</f>
        <v/>
      </c>
      <c r="X14" s="85" t="str">
        <f t="shared" ref="X14" si="23">IF(U14=0,0,IF($F14&amp;"/Día"=W$9,ROUND(V14/U14,4),""))</f>
        <v/>
      </c>
      <c r="Y14" s="85" t="str">
        <f t="shared" ref="Y14" si="24">IF(U14=0,0,IF($F14&amp;"/Día"=W$9,ROUND(Z14/U14,4),""))</f>
        <v/>
      </c>
      <c r="Z14" s="45" t="str">
        <f t="shared" ref="Z14" si="25">IF(U14&lt;&gt;"",$P14,"")</f>
        <v/>
      </c>
      <c r="AA14" s="45">
        <f t="shared" si="14"/>
        <v>317252.41319999995</v>
      </c>
      <c r="AB14" s="45">
        <f t="shared" si="15"/>
        <v>815339.42059999984</v>
      </c>
      <c r="AC14" s="84">
        <f t="shared" si="16"/>
        <v>869.2</v>
      </c>
      <c r="AD14" s="85">
        <f t="shared" si="17"/>
        <v>2.57</v>
      </c>
      <c r="AE14" s="85">
        <f t="shared" si="18"/>
        <v>0.4819</v>
      </c>
      <c r="AF14" s="45">
        <f t="shared" si="19"/>
        <v>152876.15</v>
      </c>
      <c r="AG14" s="55"/>
      <c r="AH14" s="132">
        <f t="shared" si="6"/>
        <v>-823873.54999999981</v>
      </c>
    </row>
    <row r="15" spans="1:34" x14ac:dyDescent="0.3">
      <c r="A15" s="26" t="s">
        <v>28</v>
      </c>
      <c r="B15" s="27" t="s">
        <v>4</v>
      </c>
      <c r="C15" s="62" t="s">
        <v>31</v>
      </c>
      <c r="D15" s="28" t="s">
        <v>30</v>
      </c>
      <c r="E15" s="62" t="s">
        <v>101</v>
      </c>
      <c r="F15" s="38" t="s">
        <v>37</v>
      </c>
      <c r="G15" s="45">
        <f>Ene!G15+Feb!G15+Mar!G15+Abr!G15+May!G15+Jun!G15+Jul!G15+Ago!G15+Set!G15+Oct!G15+Nov!G15+Dic!G15</f>
        <v>95089</v>
      </c>
      <c r="H15" s="45">
        <f>Ene!H15+Feb!H15+Mar!H15+Abr!H15+May!H15+Jun!H15+Jul!H15+Ago!H15+Set!H15+Oct!H15+Nov!H15+Dic!H15</f>
        <v>97289</v>
      </c>
      <c r="I15" s="45"/>
      <c r="J15" s="45"/>
      <c r="K15" s="45"/>
      <c r="L15" s="45"/>
      <c r="M15" s="45">
        <f>Ene!M15+Feb!M15+Mar!M15+Abr!M15+May!M15+Jun!M15+Jul!M15+Ago!M15+Set!M15+Oct!M15+Nov!M15+Dic!M15</f>
        <v>0</v>
      </c>
      <c r="N15" s="45">
        <f>Ene!N15+Feb!N15+Mar!N15+Abr!N15+May!N15+Jun!N15+Jul!N15+Ago!N15+Set!N15+Oct!N15+Nov!N15+Dic!N15</f>
        <v>5694.0540000000001</v>
      </c>
      <c r="O15" s="45">
        <f>Ene!O15+Feb!O15+Mar!O15+Abr!O15+May!O15+Jun!O15+Jul!O15+Ago!O15+Set!O15+Oct!O15+Nov!O15+Dic!O15</f>
        <v>13118897.356000001</v>
      </c>
      <c r="P15" s="45">
        <f>Ene!P15+Feb!P15+Mar!P15+Abr!P15+May!P15+Jun!P15+Jul!P15+Ago!P15+Set!P15+Oct!P15+Nov!P15+Dic!P15</f>
        <v>2459793.25</v>
      </c>
      <c r="Q15" s="45">
        <f>Ene!Q15+Feb!Q15+Mar!Q15+Abr!Q15+May!Q15+Jun!Q15+Jul!Q15+Ago!Q15+Set!Q15+Oct!Q15+Nov!Q15+Dic!Q15</f>
        <v>1967834.5899999999</v>
      </c>
      <c r="R15" s="244">
        <v>0.15</v>
      </c>
      <c r="S15" s="45">
        <f>Ene!S15+Feb!S15+Mar!S15+Abr!S15+May!S15+Jun!S15+Jul!S15+Ago!S15+Set!S15+Oct!S15+Nov!S15+Dic!S15</f>
        <v>491958.67</v>
      </c>
      <c r="T15" s="286">
        <v>3.7499999999999999E-2</v>
      </c>
      <c r="U15" s="45">
        <f t="shared" si="0"/>
        <v>192378</v>
      </c>
      <c r="V15" s="45">
        <f t="shared" si="1"/>
        <v>13118897.356000001</v>
      </c>
      <c r="W15" s="84">
        <f t="shared" si="2"/>
        <v>527.1</v>
      </c>
      <c r="X15" s="85">
        <f t="shared" si="3"/>
        <v>68.193299999999994</v>
      </c>
      <c r="Y15" s="85">
        <f t="shared" si="4"/>
        <v>12.786300000000001</v>
      </c>
      <c r="Z15" s="45">
        <f t="shared" si="5"/>
        <v>2459793.25</v>
      </c>
      <c r="AA15" s="45" t="str">
        <f t="shared" si="14"/>
        <v/>
      </c>
      <c r="AB15" s="45" t="str">
        <f t="shared" si="15"/>
        <v/>
      </c>
      <c r="AC15" s="84" t="str">
        <f t="shared" si="16"/>
        <v/>
      </c>
      <c r="AD15" s="85" t="str">
        <f t="shared" si="17"/>
        <v/>
      </c>
      <c r="AE15" s="85" t="str">
        <f t="shared" si="18"/>
        <v/>
      </c>
      <c r="AF15" s="45" t="str">
        <f t="shared" si="19"/>
        <v/>
      </c>
      <c r="AG15" s="55"/>
      <c r="AH15" s="132">
        <f t="shared" si="6"/>
        <v>-13124591.41</v>
      </c>
    </row>
    <row r="16" spans="1:34" x14ac:dyDescent="0.3">
      <c r="A16" s="26" t="s">
        <v>28</v>
      </c>
      <c r="B16" s="27" t="s">
        <v>5</v>
      </c>
      <c r="C16" s="62" t="s">
        <v>31</v>
      </c>
      <c r="D16" s="28" t="s">
        <v>30</v>
      </c>
      <c r="E16" s="62" t="s">
        <v>101</v>
      </c>
      <c r="F16" s="38" t="s">
        <v>37</v>
      </c>
      <c r="G16" s="45">
        <f>Ene!G16+Feb!G16+Mar!G16+Abr!G16+May!G16+Jun!G16+Jul!G16+Ago!G16+Set!G16+Oct!G16+Nov!G16+Dic!G16</f>
        <v>339694</v>
      </c>
      <c r="H16" s="45">
        <f>Ene!H16+Feb!H16+Mar!H16+Abr!H16+May!H16+Jun!H16+Jul!H16+Ago!H16+Set!H16+Oct!H16+Nov!H16+Dic!H16</f>
        <v>350990</v>
      </c>
      <c r="I16" s="45"/>
      <c r="J16" s="45"/>
      <c r="K16" s="45"/>
      <c r="L16" s="45"/>
      <c r="M16" s="45">
        <f>Ene!M16+Feb!M16+Mar!M16+Abr!M16+May!M16+Jun!M16+Jul!M16+Ago!M16+Set!M16+Oct!M16+Nov!M16+Dic!M16</f>
        <v>0</v>
      </c>
      <c r="N16" s="45">
        <f>Ene!N16+Feb!N16+Mar!N16+Abr!N16+May!N16+Jun!N16+Jul!N16+Ago!N16+Set!N16+Oct!N16+Nov!N16+Dic!N16</f>
        <v>14697.777899999999</v>
      </c>
      <c r="O16" s="45">
        <f>Ene!O16+Feb!O16+Mar!O16+Abr!O16+May!O16+Jun!O16+Jul!O16+Ago!O16+Set!O16+Oct!O16+Nov!O16+Dic!O16</f>
        <v>47854609.732100002</v>
      </c>
      <c r="P16" s="45">
        <f>Ene!P16+Feb!P16+Mar!P16+Abr!P16+May!P16+Jun!P16+Jul!P16+Ago!P16+Set!P16+Oct!P16+Nov!P16+Dic!P16</f>
        <v>8972739.3199999984</v>
      </c>
      <c r="Q16" s="45">
        <f>Ene!Q16+Feb!Q16+Mar!Q16+Abr!Q16+May!Q16+Jun!Q16+Jul!Q16+Ago!Q16+Set!Q16+Oct!Q16+Nov!Q16+Dic!Q16</f>
        <v>7178191.46</v>
      </c>
      <c r="R16" s="244">
        <v>0.15</v>
      </c>
      <c r="S16" s="45">
        <f>Ene!S16+Feb!S16+Mar!S16+Abr!S16+May!S16+Jun!S16+Jul!S16+Ago!S16+Set!S16+Oct!S16+Nov!S16+Dic!S16</f>
        <v>1794547.87</v>
      </c>
      <c r="T16" s="286">
        <v>3.7499999999999999E-2</v>
      </c>
      <c r="U16" s="45">
        <f t="shared" si="0"/>
        <v>690684</v>
      </c>
      <c r="V16" s="45">
        <f t="shared" si="1"/>
        <v>47854609.732100002</v>
      </c>
      <c r="W16" s="84">
        <f t="shared" si="2"/>
        <v>1892.3</v>
      </c>
      <c r="X16" s="85">
        <f t="shared" si="3"/>
        <v>69.285799999999995</v>
      </c>
      <c r="Y16" s="85">
        <f t="shared" si="4"/>
        <v>12.991099999999999</v>
      </c>
      <c r="Z16" s="45">
        <f t="shared" si="5"/>
        <v>8972739.3199999984</v>
      </c>
      <c r="AA16" s="45" t="str">
        <f t="shared" si="14"/>
        <v/>
      </c>
      <c r="AB16" s="45" t="str">
        <f t="shared" si="15"/>
        <v/>
      </c>
      <c r="AC16" s="84" t="str">
        <f t="shared" si="16"/>
        <v/>
      </c>
      <c r="AD16" s="85" t="str">
        <f t="shared" si="17"/>
        <v/>
      </c>
      <c r="AE16" s="85" t="str">
        <f t="shared" si="18"/>
        <v/>
      </c>
      <c r="AF16" s="45" t="str">
        <f t="shared" si="19"/>
        <v/>
      </c>
      <c r="AG16" s="55"/>
      <c r="AH16" s="132">
        <f t="shared" si="6"/>
        <v>-47869307.510000005</v>
      </c>
    </row>
    <row r="17" spans="1:34" x14ac:dyDescent="0.3">
      <c r="A17" s="26" t="s">
        <v>28</v>
      </c>
      <c r="B17" s="27" t="s">
        <v>331</v>
      </c>
      <c r="C17" s="62" t="s">
        <v>31</v>
      </c>
      <c r="D17" s="28" t="s">
        <v>30</v>
      </c>
      <c r="E17" s="62" t="s">
        <v>101</v>
      </c>
      <c r="F17" s="38" t="s">
        <v>37</v>
      </c>
      <c r="G17" s="45">
        <f>Ene!G17+Feb!G17+Mar!G17+Abr!G17+May!G17+Jun!G17+Jul!G17+Ago!G17+Set!G17+Oct!G17+Nov!G17+Dic!G17</f>
        <v>167630.4755</v>
      </c>
      <c r="H17" s="45">
        <f>Ene!H17+Feb!H17+Mar!H17+Abr!H17+May!H17+Jun!H17+Jul!H17+Ago!H17+Set!H17+Oct!H17+Nov!H17+Dic!H17</f>
        <v>190104.60749999998</v>
      </c>
      <c r="I17" s="45"/>
      <c r="J17" s="45"/>
      <c r="K17" s="45"/>
      <c r="L17" s="45"/>
      <c r="M17" s="45">
        <f>Ene!M17+Feb!M17+Mar!M17+Abr!M17+May!M17+Jun!M17+Jul!M17+Ago!M17+Set!M17+Oct!M17+Nov!M17+Dic!M17</f>
        <v>0</v>
      </c>
      <c r="N17" s="45">
        <f>Ene!N17+Feb!N17+Mar!N17+Abr!N17+May!N17+Jun!N17+Jul!N17+Ago!N17+Set!N17+Oct!N17+Nov!N17+Dic!N17</f>
        <v>0</v>
      </c>
      <c r="O17" s="45">
        <f>Ene!O17+Feb!O17+Mar!O17+Abr!O17+May!O17+Jun!O17+Jul!O17+Ago!O17+Set!O17+Oct!O17+Nov!O17+Dic!O17</f>
        <v>1654014.15</v>
      </c>
      <c r="P17" s="45">
        <f>Ene!P17+Feb!P17+Mar!P17+Abr!P17+May!P17+Jun!P17+Jul!P17+Ago!P17+Set!P17+Oct!P17+Nov!P17+Dic!P17</f>
        <v>310127.67000000004</v>
      </c>
      <c r="Q17" s="45">
        <f>Ene!Q17+Feb!Q17+Mar!Q17+Abr!Q17+May!Q17+Jun!Q17+Jul!Q17+Ago!Q17+Set!Q17+Oct!Q17+Nov!Q17+Dic!Q17</f>
        <v>248102.12</v>
      </c>
      <c r="R17" s="244">
        <v>0.15</v>
      </c>
      <c r="S17" s="45">
        <f>Ene!S17+Feb!S17+Mar!S17+Abr!S17+May!S17+Jun!S17+Jul!S17+Ago!S17+Set!S17+Oct!S17+Nov!S17+Dic!S17</f>
        <v>62025.530000000006</v>
      </c>
      <c r="T17" s="286">
        <v>3.7499999999999999E-2</v>
      </c>
      <c r="U17" s="45">
        <f t="shared" ref="U17" si="26">IF($F17&amp;"/Día"=W$9,SUM($G17:$H17),"")</f>
        <v>357735.08299999998</v>
      </c>
      <c r="V17" s="45">
        <f t="shared" ref="V17" si="27">IF(U17&lt;&gt;"",$O17,"")</f>
        <v>1654014.15</v>
      </c>
      <c r="W17" s="84">
        <f t="shared" ref="W17" si="28">IF($F17&amp;"/Día"=W$9,ROUND(U17/$W$1,1),"")</f>
        <v>980.1</v>
      </c>
      <c r="X17" s="85">
        <f t="shared" ref="X17" si="29">IF(U17=0,0,IF($F17&amp;"/Día"=W$9,ROUND(V17/U17,4),""))</f>
        <v>4.6235999999999997</v>
      </c>
      <c r="Y17" s="85">
        <f t="shared" ref="Y17" si="30">IF(U17=0,0,IF($F17&amp;"/Día"=W$9,ROUND(Z17/U17,4),""))</f>
        <v>0.8669</v>
      </c>
      <c r="Z17" s="45">
        <f t="shared" ref="Z17" si="31">IF(U17&lt;&gt;"",$P17,"")</f>
        <v>310127.67000000004</v>
      </c>
      <c r="AA17" s="45" t="str">
        <f t="shared" ref="AA17" si="32">IF($F17&amp;"/Día"=AC$9,SUM($G17:$H17),"")</f>
        <v/>
      </c>
      <c r="AB17" s="45" t="str">
        <f t="shared" ref="AB17" si="33">IF(AA17&lt;&gt;"",$O17,"")</f>
        <v/>
      </c>
      <c r="AC17" s="84" t="str">
        <f t="shared" ref="AC17" si="34">IF($F17&amp;"/Día"=AC$9,ROUND(AA17/$W$1,1),"")</f>
        <v/>
      </c>
      <c r="AD17" s="85" t="str">
        <f t="shared" ref="AD17" si="35">IF(AA17=0,0,IF($F17&amp;"/Día"=AC$9,ROUND(AB17/AA17,4),""))</f>
        <v/>
      </c>
      <c r="AE17" s="85" t="str">
        <f t="shared" ref="AE17" si="36">IF(AA17=0,0,IF($F17&amp;"/Día"=AC$9,ROUND(AF17/AA17,4),""))</f>
        <v/>
      </c>
      <c r="AF17" s="45" t="str">
        <f t="shared" ref="AF17" si="37">IF(AA17&lt;&gt;"",$P17,"")</f>
        <v/>
      </c>
      <c r="AG17" s="55"/>
      <c r="AH17" s="132">
        <f t="shared" ref="AH17" si="38">IF(O17=0,"",IF(I17="",H17*J17-SUM(K17:N17)-O17,+(G17*I17+H17*J17)-SUM(K17:N17)-O17))</f>
        <v>-1654014.15</v>
      </c>
    </row>
    <row r="18" spans="1:34" x14ac:dyDescent="0.3">
      <c r="A18" s="26" t="s">
        <v>28</v>
      </c>
      <c r="B18" s="27" t="s">
        <v>17</v>
      </c>
      <c r="C18" s="62" t="s">
        <v>29</v>
      </c>
      <c r="D18" s="28" t="s">
        <v>21</v>
      </c>
      <c r="E18" s="62" t="s">
        <v>98</v>
      </c>
      <c r="F18" s="38" t="s">
        <v>37</v>
      </c>
      <c r="G18" s="45">
        <f>Ene!G18+Feb!G18+Mar!G18+Abr!G18+May!G18+Jun!G18+Jul!G18+Ago!G18+Set!G18+Oct!G18+Nov!G18+Dic!G18</f>
        <v>0</v>
      </c>
      <c r="H18" s="45">
        <f>Ene!H18+Feb!H18+Mar!H18+Abr!H18+May!H18+Jun!H18+Jul!H18+Ago!H18+Set!H18+Oct!H18+Nov!H18+Dic!H18</f>
        <v>34090</v>
      </c>
      <c r="I18" s="45"/>
      <c r="J18" s="45"/>
      <c r="K18" s="45"/>
      <c r="L18" s="45"/>
      <c r="M18" s="45">
        <f>Ene!M18+Feb!M18+Mar!M18+Abr!M18+May!M18+Jun!M18+Jul!M18+Ago!M18+Set!M18+Oct!M18+Nov!M18+Dic!M18</f>
        <v>0</v>
      </c>
      <c r="N18" s="45">
        <f>Ene!N18+Feb!N18+Mar!N18+Abr!N18+May!N18+Jun!N18+Jul!N18+Ago!N18+Set!N18+Oct!N18+Nov!N18+Dic!N18</f>
        <v>6741.0706000000009</v>
      </c>
      <c r="O18" s="45">
        <f>Ene!O18+Feb!O18+Mar!O18+Abr!O18+May!O18+Jun!O18+Jul!O18+Ago!O18+Set!O18+Oct!O18+Nov!O18+Dic!O18</f>
        <v>2357838.1494</v>
      </c>
      <c r="P18" s="45">
        <f>Ene!P18+Feb!P18+Mar!P18+Abr!P18+May!P18+Jun!P18+Jul!P18+Ago!P18+Set!P18+Oct!P18+Nov!P18+Dic!P18</f>
        <v>442094.64999999991</v>
      </c>
      <c r="Q18" s="45">
        <f>Ene!Q18+Feb!Q18+Mar!Q18+Abr!Q18+May!Q18+Jun!Q18+Jul!Q18+Ago!Q18+Set!Q18+Oct!Q18+Nov!Q18+Dic!Q18</f>
        <v>353675.73000000004</v>
      </c>
      <c r="R18" s="244">
        <v>0.15</v>
      </c>
      <c r="S18" s="45">
        <f>Ene!S18+Feb!S18+Mar!S18+Abr!S18+May!S18+Jun!S18+Jul!S18+Ago!S18+Set!S18+Oct!S18+Nov!S18+Dic!S18</f>
        <v>88418.930000000008</v>
      </c>
      <c r="T18" s="286">
        <v>3.7499999999999999E-2</v>
      </c>
      <c r="U18" s="45">
        <f t="shared" si="0"/>
        <v>34090</v>
      </c>
      <c r="V18" s="45">
        <f t="shared" si="1"/>
        <v>2357838.1494</v>
      </c>
      <c r="W18" s="84">
        <f t="shared" si="2"/>
        <v>93.4</v>
      </c>
      <c r="X18" s="85">
        <f t="shared" si="3"/>
        <v>69.165099999999995</v>
      </c>
      <c r="Y18" s="85">
        <f t="shared" si="4"/>
        <v>12.968500000000001</v>
      </c>
      <c r="Z18" s="45">
        <f t="shared" si="5"/>
        <v>442094.64999999991</v>
      </c>
      <c r="AA18" s="45" t="str">
        <f t="shared" si="14"/>
        <v/>
      </c>
      <c r="AB18" s="45" t="str">
        <f t="shared" si="15"/>
        <v/>
      </c>
      <c r="AC18" s="84" t="str">
        <f t="shared" si="16"/>
        <v/>
      </c>
      <c r="AD18" s="85" t="str">
        <f t="shared" si="17"/>
        <v/>
      </c>
      <c r="AE18" s="85" t="str">
        <f t="shared" si="18"/>
        <v/>
      </c>
      <c r="AF18" s="45" t="str">
        <f t="shared" si="19"/>
        <v/>
      </c>
      <c r="AG18" s="55"/>
      <c r="AH18" s="132">
        <f t="shared" si="6"/>
        <v>-2364579.2200000002</v>
      </c>
    </row>
    <row r="19" spans="1:34" x14ac:dyDescent="0.3">
      <c r="A19" s="26" t="s">
        <v>28</v>
      </c>
      <c r="B19" s="27" t="s">
        <v>6</v>
      </c>
      <c r="C19" s="62" t="s">
        <v>31</v>
      </c>
      <c r="D19" s="28" t="s">
        <v>30</v>
      </c>
      <c r="E19" s="62" t="s">
        <v>101</v>
      </c>
      <c r="F19" s="38" t="s">
        <v>37</v>
      </c>
      <c r="G19" s="45">
        <f>Ene!G19+Feb!G19+Mar!G19+Abr!G19+May!G19+Jun!G19+Jul!G19+Ago!G19+Set!G19+Oct!G19+Nov!G19+Dic!G19</f>
        <v>643912</v>
      </c>
      <c r="H19" s="45">
        <f>Ene!H19+Feb!H19+Mar!H19+Abr!H19+May!H19+Jun!H19+Jul!H19+Ago!H19+Set!H19+Oct!H19+Nov!H19+Dic!H19</f>
        <v>792682</v>
      </c>
      <c r="I19" s="45"/>
      <c r="J19" s="45"/>
      <c r="K19" s="45"/>
      <c r="L19" s="45"/>
      <c r="M19" s="45">
        <f>Ene!M19+Feb!M19+Mar!M19+Abr!M19+May!M19+Jun!M19+Jul!M19+Ago!M19+Set!M19+Oct!M19+Nov!M19+Dic!M19</f>
        <v>0</v>
      </c>
      <c r="N19" s="45">
        <f>Ene!N19+Feb!N19+Mar!N19+Abr!N19+May!N19+Jun!N19+Jul!N19+Ago!N19+Set!N19+Oct!N19+Nov!N19+Dic!N19</f>
        <v>40971.457600000002</v>
      </c>
      <c r="O19" s="45">
        <f>Ene!O19+Feb!O19+Mar!O19+Abr!O19+May!O19+Jun!O19+Jul!O19+Ago!O19+Set!O19+Oct!O19+Nov!O19+Dic!O19</f>
        <v>98770582.702399999</v>
      </c>
      <c r="P19" s="45">
        <f>Ene!P19+Feb!P19+Mar!P19+Abr!P19+May!P19+Jun!P19+Jul!P19+Ago!P19+Set!P19+Oct!P19+Nov!P19+Dic!P19</f>
        <v>18519484.259999998</v>
      </c>
      <c r="Q19" s="45">
        <f>Ene!Q19+Feb!Q19+Mar!Q19+Abr!Q19+May!Q19+Jun!Q19+Jul!Q19+Ago!Q19+Set!Q19+Oct!Q19+Nov!Q19+Dic!Q19</f>
        <v>14815587.390000001</v>
      </c>
      <c r="R19" s="244">
        <v>0.15</v>
      </c>
      <c r="S19" s="45">
        <f>Ene!S19+Feb!S19+Mar!S19+Abr!S19+May!S19+Jun!S19+Jul!S19+Ago!S19+Set!S19+Oct!S19+Nov!S19+Dic!S19</f>
        <v>3703896.87</v>
      </c>
      <c r="T19" s="286">
        <v>3.7499999999999999E-2</v>
      </c>
      <c r="U19" s="45">
        <f t="shared" si="0"/>
        <v>1436594</v>
      </c>
      <c r="V19" s="45">
        <f t="shared" si="1"/>
        <v>98770582.702399999</v>
      </c>
      <c r="W19" s="84">
        <f t="shared" si="2"/>
        <v>3935.9</v>
      </c>
      <c r="X19" s="85">
        <f t="shared" si="3"/>
        <v>68.753299999999996</v>
      </c>
      <c r="Y19" s="85">
        <f t="shared" si="4"/>
        <v>12.8912</v>
      </c>
      <c r="Z19" s="45">
        <f t="shared" si="5"/>
        <v>18519484.259999998</v>
      </c>
      <c r="AA19" s="45" t="str">
        <f t="shared" si="14"/>
        <v/>
      </c>
      <c r="AB19" s="45" t="str">
        <f t="shared" si="15"/>
        <v/>
      </c>
      <c r="AC19" s="84" t="str">
        <f t="shared" si="16"/>
        <v/>
      </c>
      <c r="AD19" s="85" t="str">
        <f t="shared" si="17"/>
        <v/>
      </c>
      <c r="AE19" s="85" t="str">
        <f t="shared" si="18"/>
        <v/>
      </c>
      <c r="AF19" s="45" t="str">
        <f t="shared" si="19"/>
        <v/>
      </c>
      <c r="AG19" s="55"/>
      <c r="AH19" s="132">
        <f t="shared" si="6"/>
        <v>-98811554.159999996</v>
      </c>
    </row>
    <row r="20" spans="1:34" x14ac:dyDescent="0.3">
      <c r="A20" s="26" t="s">
        <v>28</v>
      </c>
      <c r="B20" s="29" t="s">
        <v>158</v>
      </c>
      <c r="C20" s="62" t="s">
        <v>29</v>
      </c>
      <c r="D20" s="28" t="s">
        <v>21</v>
      </c>
      <c r="E20" s="62" t="s">
        <v>98</v>
      </c>
      <c r="F20" s="38" t="s">
        <v>37</v>
      </c>
      <c r="G20" s="45">
        <f>Ene!G20+Feb!G20+Mar!G20+Abr!G20+May!G20+Jun!G20+Jul!G20+Ago!G20+Set!G20+Oct!G20+Nov!G20+Dic!G20</f>
        <v>0</v>
      </c>
      <c r="H20" s="45">
        <f>Ene!H20+Feb!H20+Mar!H20+Abr!H20+May!H20+Jun!H20+Jul!H20+Ago!H20+Set!H20+Oct!H20+Nov!H20+Dic!H20</f>
        <v>0</v>
      </c>
      <c r="I20" s="45"/>
      <c r="J20" s="45"/>
      <c r="K20" s="45"/>
      <c r="L20" s="45"/>
      <c r="M20" s="45">
        <f>Ene!M20+Feb!M20+Mar!M20+Abr!M20+May!M20+Jun!M20+Jul!M20+Ago!M20+Set!M20+Oct!M20+Nov!M20+Dic!M20</f>
        <v>0</v>
      </c>
      <c r="N20" s="45">
        <f>Ene!N20+Feb!N20+Mar!N20+Abr!N20+May!N20+Jun!N20+Jul!N20+Ago!N20+Set!N20+Oct!N20+Nov!N20+Dic!N20</f>
        <v>0</v>
      </c>
      <c r="O20" s="45">
        <f>Ene!O20+Feb!O20+Mar!O20+Abr!O20+May!O20+Jun!O20+Jul!O20+Ago!O20+Set!O20+Oct!O20+Nov!O20+Dic!O20</f>
        <v>0</v>
      </c>
      <c r="P20" s="45">
        <f>Ene!P20+Feb!P20+Mar!P20+Abr!P20+May!P20+Jun!P20+Jul!P20+Ago!P20+Set!P20+Oct!P20+Nov!P20+Dic!P20</f>
        <v>0</v>
      </c>
      <c r="Q20" s="45">
        <f>Ene!Q20+Feb!Q20+Mar!Q20+Abr!Q20+May!Q20+Jun!Q20+Jul!Q20+Ago!Q20+Set!Q20+Oct!Q20+Nov!Q20+Dic!Q20</f>
        <v>0</v>
      </c>
      <c r="R20" s="244">
        <v>0.15</v>
      </c>
      <c r="S20" s="45">
        <f>Ene!S20+Feb!S20+Mar!S20+Abr!S20+May!S20+Jun!S20+Jul!S20+Ago!S20+Set!S20+Oct!S20+Nov!S20+Dic!S20</f>
        <v>0</v>
      </c>
      <c r="T20" s="286">
        <v>3.7499999999999999E-2</v>
      </c>
      <c r="U20" s="45">
        <f>IF($F20&amp;"/Día"=W$9,SUM($G20:$H20),"")</f>
        <v>0</v>
      </c>
      <c r="V20" s="45">
        <f t="shared" si="1"/>
        <v>0</v>
      </c>
      <c r="W20" s="84">
        <f>IF($F20&amp;"/Día"=W$9,ROUND(U20/$W$1,1),"")</f>
        <v>0</v>
      </c>
      <c r="X20" s="85">
        <f>IF(U20=0,0,IF($F20&amp;"/Día"=W$9,ROUND(V20/U20,4),""))</f>
        <v>0</v>
      </c>
      <c r="Y20" s="85">
        <f>IF(U20=0,0,IF($F20&amp;"/Día"=W$9,ROUND(Z20/U20,4),""))</f>
        <v>0</v>
      </c>
      <c r="Z20" s="45">
        <f>IF(U20&lt;&gt;"",$P20,"")</f>
        <v>0</v>
      </c>
      <c r="AA20" s="45" t="str">
        <f t="shared" si="14"/>
        <v/>
      </c>
      <c r="AB20" s="45" t="str">
        <f t="shared" si="15"/>
        <v/>
      </c>
      <c r="AC20" s="84" t="str">
        <f t="shared" si="16"/>
        <v/>
      </c>
      <c r="AD20" s="85" t="str">
        <f t="shared" si="17"/>
        <v/>
      </c>
      <c r="AE20" s="85" t="str">
        <f t="shared" si="18"/>
        <v/>
      </c>
      <c r="AF20" s="45" t="str">
        <f t="shared" si="19"/>
        <v/>
      </c>
      <c r="AG20" s="55"/>
      <c r="AH20" s="132" t="str">
        <f t="shared" si="6"/>
        <v/>
      </c>
    </row>
    <row r="21" spans="1:34" x14ac:dyDescent="0.3">
      <c r="A21" s="26" t="s">
        <v>28</v>
      </c>
      <c r="B21" s="27" t="s">
        <v>7</v>
      </c>
      <c r="C21" s="62" t="s">
        <v>31</v>
      </c>
      <c r="D21" s="28" t="s">
        <v>30</v>
      </c>
      <c r="E21" s="62" t="s">
        <v>101</v>
      </c>
      <c r="F21" s="38" t="s">
        <v>56</v>
      </c>
      <c r="G21" s="45">
        <f>Ene!G21+Feb!G21+Mar!G21+Abr!G21+May!G21+Jun!G21+Jul!G21+Ago!G21+Set!G21+Oct!G21+Nov!G21+Dic!G21</f>
        <v>804631.41999999993</v>
      </c>
      <c r="H21" s="45">
        <f>Ene!H21+Feb!H21+Mar!H21+Abr!H21+May!H21+Jun!H21+Jul!H21+Ago!H21+Set!H21+Oct!H21+Nov!H21+Dic!H21</f>
        <v>850030.65</v>
      </c>
      <c r="I21" s="45"/>
      <c r="J21" s="45"/>
      <c r="K21" s="45"/>
      <c r="L21" s="45"/>
      <c r="M21" s="45">
        <f>Ene!M21+Feb!M21+Mar!M21+Abr!M21+May!M21+Jun!M21+Jul!M21+Ago!M21+Set!M21+Oct!M21+Nov!M21+Dic!M21</f>
        <v>0</v>
      </c>
      <c r="N21" s="45">
        <f>Ene!N21+Feb!N21+Mar!N21+Abr!N21+May!N21+Jun!N21+Jul!N21+Ago!N21+Set!N21+Oct!N21+Nov!N21+Dic!N21</f>
        <v>9595.0128000000004</v>
      </c>
      <c r="O21" s="45">
        <f>Ene!O21+Feb!O21+Mar!O21+Abr!O21+May!O21+Jun!O21+Jul!O21+Ago!O21+Set!O21+Oct!O21+Nov!O21+Dic!O21</f>
        <v>3579356.0372000001</v>
      </c>
      <c r="P21" s="45">
        <f>Ene!P21+Feb!P21+Mar!P21+Abr!P21+May!P21+Jun!P21+Jul!P21+Ago!P21+Set!P21+Oct!P21+Nov!P21+Dic!P21</f>
        <v>671129.26</v>
      </c>
      <c r="Q21" s="45">
        <f>Ene!Q21+Feb!Q21+Mar!Q21+Abr!Q21+May!Q21+Jun!Q21+Jul!Q21+Ago!Q21+Set!Q21+Oct!Q21+Nov!Q21+Dic!Q21</f>
        <v>536903.41</v>
      </c>
      <c r="R21" s="244">
        <v>0.15</v>
      </c>
      <c r="S21" s="45">
        <f>Ene!S21+Feb!S21+Mar!S21+Abr!S21+May!S21+Jun!S21+Jul!S21+Ago!S21+Set!S21+Oct!S21+Nov!S21+Dic!S21</f>
        <v>134225.84000000003</v>
      </c>
      <c r="T21" s="286">
        <v>3.7499999999999999E-2</v>
      </c>
      <c r="U21" s="45" t="str">
        <f t="shared" si="0"/>
        <v/>
      </c>
      <c r="V21" s="45" t="str">
        <f t="shared" si="1"/>
        <v/>
      </c>
      <c r="W21" s="84" t="str">
        <f t="shared" si="2"/>
        <v/>
      </c>
      <c r="X21" s="85" t="str">
        <f t="shared" si="3"/>
        <v/>
      </c>
      <c r="Y21" s="85" t="str">
        <f t="shared" si="4"/>
        <v/>
      </c>
      <c r="Z21" s="45" t="str">
        <f t="shared" si="5"/>
        <v/>
      </c>
      <c r="AA21" s="45">
        <f t="shared" si="14"/>
        <v>1654662.0699999998</v>
      </c>
      <c r="AB21" s="45">
        <f t="shared" si="15"/>
        <v>3579356.0372000001</v>
      </c>
      <c r="AC21" s="84">
        <f t="shared" si="16"/>
        <v>4533.3</v>
      </c>
      <c r="AD21" s="85">
        <f t="shared" si="17"/>
        <v>2.1631999999999998</v>
      </c>
      <c r="AE21" s="85">
        <f t="shared" si="18"/>
        <v>0.40560000000000002</v>
      </c>
      <c r="AF21" s="45">
        <f t="shared" si="19"/>
        <v>671129.26</v>
      </c>
      <c r="AG21" s="55"/>
      <c r="AH21" s="132">
        <f t="shared" si="6"/>
        <v>-3588951.0500000003</v>
      </c>
    </row>
    <row r="22" spans="1:34" x14ac:dyDescent="0.3">
      <c r="A22" s="26" t="s">
        <v>28</v>
      </c>
      <c r="B22" s="27" t="s">
        <v>18</v>
      </c>
      <c r="C22" s="62" t="s">
        <v>29</v>
      </c>
      <c r="D22" s="28" t="s">
        <v>21</v>
      </c>
      <c r="E22" s="62" t="s">
        <v>98</v>
      </c>
      <c r="F22" s="38" t="s">
        <v>37</v>
      </c>
      <c r="G22" s="45">
        <f>Ene!G22+Feb!G22+Mar!G22+Abr!G22+May!G22+Jun!G22+Jul!G22+Ago!G22+Set!G22+Oct!G22+Nov!G22+Dic!G22</f>
        <v>22802</v>
      </c>
      <c r="H22" s="45">
        <f>Ene!H22+Feb!H22+Mar!H22+Abr!H22+May!H22+Jun!H22+Jul!H22+Ago!H22+Set!H22+Oct!H22+Nov!H22+Dic!H22</f>
        <v>33778</v>
      </c>
      <c r="I22" s="45"/>
      <c r="J22" s="45"/>
      <c r="K22" s="45"/>
      <c r="L22" s="45"/>
      <c r="M22" s="45">
        <f>Ene!M22+Feb!M22+Mar!M22+Abr!M22+May!M22+Jun!M22+Jul!M22+Ago!M22+Set!M22+Oct!M22+Nov!M22+Dic!M22</f>
        <v>0</v>
      </c>
      <c r="N22" s="45">
        <f>Ene!N22+Feb!N22+Mar!N22+Abr!N22+May!N22+Jun!N22+Jul!N22+Ago!N22+Set!N22+Oct!N22+Nov!N22+Dic!N22</f>
        <v>3323.5493999999999</v>
      </c>
      <c r="O22" s="45">
        <f>Ene!O22+Feb!O22+Mar!O22+Abr!O22+May!O22+Jun!O22+Jul!O22+Ago!O22+Set!O22+Oct!O22+Nov!O22+Dic!O22</f>
        <v>3886950.9805999999</v>
      </c>
      <c r="P22" s="45">
        <f>Ene!P22+Feb!P22+Mar!P22+Abr!P22+May!P22+Jun!P22+Jul!P22+Ago!P22+Set!P22+Oct!P22+Nov!P22+Dic!P22</f>
        <v>728803.32000000007</v>
      </c>
      <c r="Q22" s="45">
        <f>Ene!Q22+Feb!Q22+Mar!Q22+Abr!Q22+May!Q22+Jun!Q22+Jul!Q22+Ago!Q22+Set!Q22+Oct!Q22+Nov!Q22+Dic!Q22</f>
        <v>583042.64</v>
      </c>
      <c r="R22" s="244">
        <v>0.15</v>
      </c>
      <c r="S22" s="45">
        <f>Ene!S22+Feb!S22+Mar!S22+Abr!S22+May!S22+Jun!S22+Jul!S22+Ago!S22+Set!S22+Oct!S22+Nov!S22+Dic!S22</f>
        <v>145760.66000000003</v>
      </c>
      <c r="T22" s="286">
        <v>3.7499999999999999E-2</v>
      </c>
      <c r="U22" s="45">
        <f t="shared" si="0"/>
        <v>56580</v>
      </c>
      <c r="V22" s="45">
        <f t="shared" si="1"/>
        <v>3886950.9805999999</v>
      </c>
      <c r="W22" s="84">
        <f t="shared" si="2"/>
        <v>155</v>
      </c>
      <c r="X22" s="85">
        <f t="shared" si="3"/>
        <v>68.698300000000003</v>
      </c>
      <c r="Y22" s="85">
        <f t="shared" si="4"/>
        <v>12.8809</v>
      </c>
      <c r="Z22" s="45">
        <f t="shared" si="5"/>
        <v>728803.32000000007</v>
      </c>
      <c r="AA22" s="45" t="str">
        <f t="shared" si="14"/>
        <v/>
      </c>
      <c r="AB22" s="45" t="str">
        <f t="shared" si="15"/>
        <v/>
      </c>
      <c r="AC22" s="84" t="str">
        <f t="shared" si="16"/>
        <v/>
      </c>
      <c r="AD22" s="85" t="str">
        <f t="shared" si="17"/>
        <v/>
      </c>
      <c r="AE22" s="85" t="str">
        <f t="shared" si="18"/>
        <v/>
      </c>
      <c r="AF22" s="45" t="str">
        <f t="shared" si="19"/>
        <v/>
      </c>
      <c r="AG22" s="55"/>
      <c r="AH22" s="132">
        <f t="shared" si="6"/>
        <v>-3890274.53</v>
      </c>
    </row>
    <row r="23" spans="1:34" x14ac:dyDescent="0.3">
      <c r="A23" s="26" t="s">
        <v>28</v>
      </c>
      <c r="B23" s="29" t="s">
        <v>20</v>
      </c>
      <c r="C23" s="62" t="s">
        <v>31</v>
      </c>
      <c r="D23" s="28" t="s">
        <v>21</v>
      </c>
      <c r="E23" s="62" t="s">
        <v>101</v>
      </c>
      <c r="F23" s="38" t="s">
        <v>37</v>
      </c>
      <c r="G23" s="45">
        <f>Ene!G23+Feb!G23+Mar!G23+Abr!G23+May!G23+Jun!G23+Jul!G23+Ago!G23+Set!G23+Oct!G23+Nov!G23+Dic!G23</f>
        <v>2168570</v>
      </c>
      <c r="H23" s="45">
        <f>Ene!H23+Feb!H23+Mar!H23+Abr!H23+May!H23+Jun!H23+Jul!H23+Ago!H23+Set!H23+Oct!H23+Nov!H23+Dic!H23</f>
        <v>2239059</v>
      </c>
      <c r="I23" s="45"/>
      <c r="J23" s="45"/>
      <c r="K23" s="45"/>
      <c r="L23" s="45"/>
      <c r="M23" s="45">
        <f>Ene!M23+Feb!M23+Mar!M23+Abr!M23+May!M23+Jun!M23+Jul!M23+Ago!M23+Set!M23+Oct!M23+Nov!M23+Dic!M23</f>
        <v>0</v>
      </c>
      <c r="N23" s="45">
        <f>Ene!N23+Feb!N23+Mar!N23+Abr!N23+May!N23+Jun!N23+Jul!N23+Ago!N23+Set!N23+Oct!N23+Nov!N23+Dic!N23</f>
        <v>51284.733599999992</v>
      </c>
      <c r="O23" s="45">
        <f>Ene!O23+Feb!O23+Mar!O23+Abr!O23+May!O23+Jun!O23+Jul!O23+Ago!O23+Set!O23+Oct!O23+Nov!O23+Dic!O23</f>
        <v>303615601.82639998</v>
      </c>
      <c r="P23" s="45">
        <f>Ene!P23+Feb!P23+Mar!P23+Abr!P23+May!P23+Jun!P23+Jul!P23+Ago!P23+Set!P23+Oct!P23+Nov!P23+Dic!P23</f>
        <v>56927925.330000006</v>
      </c>
      <c r="Q23" s="45">
        <f>Ene!Q23+Feb!Q23+Mar!Q23+Abr!Q23+May!Q23+Jun!Q23+Jul!Q23+Ago!Q23+Set!Q23+Oct!Q23+Nov!Q23+Dic!Q23</f>
        <v>45542340.269999996</v>
      </c>
      <c r="R23" s="244">
        <v>0.15</v>
      </c>
      <c r="S23" s="45">
        <f>Ene!S23+Feb!S23+Mar!S23+Abr!S23+May!S23+Jun!S23+Jul!S23+Ago!S23+Set!S23+Oct!S23+Nov!S23+Dic!S23</f>
        <v>11385585.080000002</v>
      </c>
      <c r="T23" s="286">
        <v>3.7499999999999999E-2</v>
      </c>
      <c r="U23" s="45">
        <f t="shared" si="0"/>
        <v>4407629</v>
      </c>
      <c r="V23" s="45">
        <f t="shared" si="1"/>
        <v>303615601.82639998</v>
      </c>
      <c r="W23" s="84">
        <f t="shared" si="2"/>
        <v>12075.7</v>
      </c>
      <c r="X23" s="85">
        <f t="shared" si="3"/>
        <v>68.884100000000004</v>
      </c>
      <c r="Y23" s="85">
        <f t="shared" si="4"/>
        <v>12.915800000000001</v>
      </c>
      <c r="Z23" s="45">
        <f t="shared" si="5"/>
        <v>56927925.330000006</v>
      </c>
      <c r="AA23" s="45" t="str">
        <f t="shared" si="14"/>
        <v/>
      </c>
      <c r="AB23" s="45" t="str">
        <f t="shared" si="15"/>
        <v/>
      </c>
      <c r="AC23" s="84" t="str">
        <f t="shared" si="16"/>
        <v/>
      </c>
      <c r="AD23" s="85" t="str">
        <f t="shared" si="17"/>
        <v/>
      </c>
      <c r="AE23" s="85" t="str">
        <f t="shared" si="18"/>
        <v/>
      </c>
      <c r="AF23" s="45" t="str">
        <f t="shared" si="19"/>
        <v/>
      </c>
      <c r="AG23" s="55"/>
      <c r="AH23" s="132">
        <f t="shared" si="6"/>
        <v>-303666886.56</v>
      </c>
    </row>
    <row r="24" spans="1:34" x14ac:dyDescent="0.3">
      <c r="A24" s="26" t="s">
        <v>28</v>
      </c>
      <c r="B24" s="27" t="s">
        <v>8</v>
      </c>
      <c r="C24" s="62" t="s">
        <v>31</v>
      </c>
      <c r="D24" s="28" t="s">
        <v>21</v>
      </c>
      <c r="E24" s="62" t="s">
        <v>101</v>
      </c>
      <c r="F24" s="38" t="s">
        <v>56</v>
      </c>
      <c r="G24" s="45">
        <f>Ene!G24+Feb!G24+Mar!G24+Abr!G24+May!G24+Jun!G24+Jul!G24+Ago!G24+Set!G24+Oct!G24+Nov!G24+Dic!G24</f>
        <v>2973279.4899999998</v>
      </c>
      <c r="H24" s="45">
        <f>Ene!H24+Feb!H24+Mar!H24+Abr!H24+May!H24+Jun!H24+Jul!H24+Ago!H24+Set!H24+Oct!H24+Nov!H24+Dic!H24</f>
        <v>3071532.9699999997</v>
      </c>
      <c r="I24" s="45"/>
      <c r="J24" s="45"/>
      <c r="K24" s="45"/>
      <c r="L24" s="45"/>
      <c r="M24" s="45">
        <f>Ene!M24+Feb!M24+Mar!M24+Abr!M24+May!M24+Jun!M24+Jul!M24+Ago!M24+Set!M24+Oct!M24+Nov!M24+Dic!M24</f>
        <v>0</v>
      </c>
      <c r="N24" s="45">
        <f>Ene!N24+Feb!N24+Mar!N24+Abr!N24+May!N24+Jun!N24+Jul!N24+Ago!N24+Set!N24+Oct!N24+Nov!N24+Dic!N24</f>
        <v>10125.478000000001</v>
      </c>
      <c r="O24" s="45">
        <f>Ene!O24+Feb!O24+Mar!O24+Abr!O24+May!O24+Jun!O24+Jul!O24+Ago!O24+Set!O24+Oct!O24+Nov!O24+Dic!O24</f>
        <v>11674005.001999998</v>
      </c>
      <c r="P24" s="45">
        <f>Ene!P24+Feb!P24+Mar!P24+Abr!P24+May!P24+Jun!P24+Jul!P24+Ago!P24+Set!P24+Oct!P24+Nov!P24+Dic!P24</f>
        <v>2188875.94</v>
      </c>
      <c r="Q24" s="45">
        <f>Ene!Q24+Feb!Q24+Mar!Q24+Abr!Q24+May!Q24+Jun!Q24+Jul!Q24+Ago!Q24+Set!Q24+Oct!Q24+Nov!Q24+Dic!Q24</f>
        <v>1751100.7599999998</v>
      </c>
      <c r="R24" s="244">
        <v>0.15</v>
      </c>
      <c r="S24" s="45">
        <f>Ene!S24+Feb!S24+Mar!S24+Abr!S24+May!S24+Jun!S24+Jul!S24+Ago!S24+Set!S24+Oct!S24+Nov!S24+Dic!S24</f>
        <v>437775.17999999993</v>
      </c>
      <c r="T24" s="286">
        <v>3.7499999999999999E-2</v>
      </c>
      <c r="U24" s="45" t="str">
        <f t="shared" si="0"/>
        <v/>
      </c>
      <c r="V24" s="45" t="str">
        <f t="shared" si="1"/>
        <v/>
      </c>
      <c r="W24" s="84" t="str">
        <f t="shared" si="2"/>
        <v/>
      </c>
      <c r="X24" s="85" t="str">
        <f t="shared" si="3"/>
        <v/>
      </c>
      <c r="Y24" s="85" t="str">
        <f t="shared" si="4"/>
        <v/>
      </c>
      <c r="Z24" s="45" t="str">
        <f t="shared" si="5"/>
        <v/>
      </c>
      <c r="AA24" s="45">
        <f t="shared" si="14"/>
        <v>6044812.459999999</v>
      </c>
      <c r="AB24" s="45">
        <f t="shared" si="15"/>
        <v>11674005.001999998</v>
      </c>
      <c r="AC24" s="84">
        <f t="shared" si="16"/>
        <v>16561.099999999999</v>
      </c>
      <c r="AD24" s="85">
        <f t="shared" si="17"/>
        <v>1.9312</v>
      </c>
      <c r="AE24" s="85">
        <f t="shared" si="18"/>
        <v>0.36209999999999998</v>
      </c>
      <c r="AF24" s="45">
        <f t="shared" si="19"/>
        <v>2188875.94</v>
      </c>
      <c r="AG24" s="55"/>
      <c r="AH24" s="132">
        <f t="shared" si="6"/>
        <v>-11684130.479999999</v>
      </c>
    </row>
    <row r="25" spans="1:34" x14ac:dyDescent="0.3">
      <c r="A25" s="26" t="s">
        <v>28</v>
      </c>
      <c r="B25" s="29" t="s">
        <v>57</v>
      </c>
      <c r="C25" s="62" t="s">
        <v>31</v>
      </c>
      <c r="D25" s="28" t="s">
        <v>21</v>
      </c>
      <c r="E25" s="62" t="s">
        <v>101</v>
      </c>
      <c r="F25" s="38" t="s">
        <v>37</v>
      </c>
      <c r="G25" s="45">
        <f>Ene!G25+Feb!G25+Mar!G25+Abr!G25+May!G25+Jun!G25+Jul!G25+Ago!G25+Set!G25+Oct!G25+Nov!G25+Dic!G25</f>
        <v>0</v>
      </c>
      <c r="H25" s="45">
        <f>Ene!H25+Feb!H25+Mar!H25+Abr!H25+May!H25+Jun!H25+Jul!H25+Ago!H25+Set!H25+Oct!H25+Nov!H25+Dic!H25</f>
        <v>0</v>
      </c>
      <c r="I25" s="45"/>
      <c r="J25" s="45"/>
      <c r="K25" s="45"/>
      <c r="L25" s="45"/>
      <c r="M25" s="45">
        <f>Ene!M25+Feb!M25+Mar!M25+Abr!M25+May!M25+Jun!M25+Jul!M25+Ago!M25+Set!M25+Oct!M25+Nov!M25+Dic!M25</f>
        <v>0</v>
      </c>
      <c r="N25" s="45">
        <f>Ene!N25+Feb!N25+Mar!N25+Abr!N25+May!N25+Jun!N25+Jul!N25+Ago!N25+Set!N25+Oct!N25+Nov!N25+Dic!N25</f>
        <v>0</v>
      </c>
      <c r="O25" s="45">
        <f>Ene!O25+Feb!O25+Mar!O25+Abr!O25+May!O25+Jun!O25+Jul!O25+Ago!O25+Set!O25+Oct!O25+Nov!O25+Dic!O25</f>
        <v>0</v>
      </c>
      <c r="P25" s="45">
        <f>Ene!P25+Feb!P25+Mar!P25+Abr!P25+May!P25+Jun!P25+Jul!P25+Ago!P25+Set!P25+Oct!P25+Nov!P25+Dic!P25</f>
        <v>0</v>
      </c>
      <c r="Q25" s="45">
        <f>Ene!Q25+Feb!Q25+Mar!Q25+Abr!Q25+May!Q25+Jun!Q25+Jul!Q25+Ago!Q25+Set!Q25+Oct!Q25+Nov!Q25+Dic!Q25</f>
        <v>0</v>
      </c>
      <c r="R25" s="244">
        <v>0.15</v>
      </c>
      <c r="S25" s="45">
        <f>Ene!S25+Feb!S25+Mar!S25+Abr!S25+May!S25+Jun!S25+Jul!S25+Ago!S25+Set!S25+Oct!S25+Nov!S25+Dic!S25</f>
        <v>0</v>
      </c>
      <c r="T25" s="286">
        <v>3.7499999999999999E-2</v>
      </c>
      <c r="U25" s="45">
        <f t="shared" si="0"/>
        <v>0</v>
      </c>
      <c r="V25" s="45">
        <f t="shared" si="1"/>
        <v>0</v>
      </c>
      <c r="W25" s="84">
        <f t="shared" si="2"/>
        <v>0</v>
      </c>
      <c r="X25" s="85">
        <f t="shared" si="3"/>
        <v>0</v>
      </c>
      <c r="Y25" s="85">
        <f t="shared" si="4"/>
        <v>0</v>
      </c>
      <c r="Z25" s="45">
        <f t="shared" si="5"/>
        <v>0</v>
      </c>
      <c r="AA25" s="45" t="str">
        <f t="shared" si="14"/>
        <v/>
      </c>
      <c r="AB25" s="45" t="str">
        <f t="shared" si="15"/>
        <v/>
      </c>
      <c r="AC25" s="84" t="str">
        <f t="shared" si="16"/>
        <v/>
      </c>
      <c r="AD25" s="85" t="str">
        <f t="shared" si="17"/>
        <v/>
      </c>
      <c r="AE25" s="85" t="str">
        <f t="shared" si="18"/>
        <v/>
      </c>
      <c r="AF25" s="45" t="str">
        <f t="shared" si="19"/>
        <v/>
      </c>
      <c r="AG25" s="55"/>
      <c r="AH25" s="132" t="str">
        <f t="shared" si="6"/>
        <v/>
      </c>
    </row>
    <row r="26" spans="1:34" x14ac:dyDescent="0.3">
      <c r="A26" s="26" t="s">
        <v>28</v>
      </c>
      <c r="B26" s="27" t="s">
        <v>9</v>
      </c>
      <c r="C26" s="62" t="s">
        <v>31</v>
      </c>
      <c r="D26" s="28" t="s">
        <v>30</v>
      </c>
      <c r="E26" s="62" t="s">
        <v>101</v>
      </c>
      <c r="F26" s="38" t="s">
        <v>37</v>
      </c>
      <c r="G26" s="45">
        <f>Ene!G26+Feb!G26+Mar!G26+Abr!G26+May!G26+Jun!G26+Jul!G26+Ago!G26+Set!G26+Oct!G26+Nov!G26+Dic!G26</f>
        <v>4763</v>
      </c>
      <c r="H26" s="45">
        <f>Ene!H26+Feb!H26+Mar!H26+Abr!H26+May!H26+Jun!H26+Jul!H26+Ago!H26+Set!H26+Oct!H26+Nov!H26+Dic!H26</f>
        <v>6040</v>
      </c>
      <c r="I26" s="45"/>
      <c r="J26" s="45"/>
      <c r="K26" s="45"/>
      <c r="L26" s="45"/>
      <c r="M26" s="45">
        <f>Ene!M26+Feb!M26+Mar!M26+Abr!M26+May!M26+Jun!M26+Jul!M26+Ago!M26+Set!M26+Oct!M26+Nov!M26+Dic!M26</f>
        <v>0</v>
      </c>
      <c r="N26" s="45">
        <f>Ene!N26+Feb!N26+Mar!N26+Abr!N26+May!N26+Jun!N26+Jul!N26+Ago!N26+Set!N26+Oct!N26+Nov!N26+Dic!N26</f>
        <v>3619.1917999999996</v>
      </c>
      <c r="O26" s="45">
        <f>Ene!O26+Feb!O26+Mar!O26+Abr!O26+May!O26+Jun!O26+Jul!O26+Ago!O26+Set!O26+Oct!O26+Nov!O26+Dic!O26</f>
        <v>739679.77819999994</v>
      </c>
      <c r="P26" s="45">
        <f>Ene!P26+Feb!P26+Mar!P26+Abr!P26+May!P26+Jun!P26+Jul!P26+Ago!P26+Set!P26+Oct!P26+Nov!P26+Dic!P26</f>
        <v>138689.96000000002</v>
      </c>
      <c r="Q26" s="45">
        <f>Ene!Q26+Feb!Q26+Mar!Q26+Abr!Q26+May!Q26+Jun!Q26+Jul!Q26+Ago!Q26+Set!Q26+Oct!Q26+Nov!Q26+Dic!Q26</f>
        <v>110951.96999999999</v>
      </c>
      <c r="R26" s="244">
        <v>0.15</v>
      </c>
      <c r="S26" s="45">
        <f>Ene!S26+Feb!S26+Mar!S26+Abr!S26+May!S26+Jun!S26+Jul!S26+Ago!S26+Set!S26+Oct!S26+Nov!S26+Dic!S26</f>
        <v>27737.979999999996</v>
      </c>
      <c r="T26" s="286">
        <v>3.7499999999999999E-2</v>
      </c>
      <c r="U26" s="45">
        <f t="shared" si="0"/>
        <v>10803</v>
      </c>
      <c r="V26" s="45">
        <f t="shared" si="1"/>
        <v>739679.77819999994</v>
      </c>
      <c r="W26" s="84">
        <f t="shared" si="2"/>
        <v>29.6</v>
      </c>
      <c r="X26" s="85">
        <f t="shared" si="3"/>
        <v>68.469800000000006</v>
      </c>
      <c r="Y26" s="85">
        <f t="shared" si="4"/>
        <v>12.838100000000001</v>
      </c>
      <c r="Z26" s="45">
        <f t="shared" si="5"/>
        <v>138689.96000000002</v>
      </c>
      <c r="AA26" s="45" t="str">
        <f t="shared" si="14"/>
        <v/>
      </c>
      <c r="AB26" s="45" t="str">
        <f t="shared" si="15"/>
        <v/>
      </c>
      <c r="AC26" s="84" t="str">
        <f t="shared" si="16"/>
        <v/>
      </c>
      <c r="AD26" s="85" t="str">
        <f t="shared" si="17"/>
        <v/>
      </c>
      <c r="AE26" s="85" t="str">
        <f t="shared" si="18"/>
        <v/>
      </c>
      <c r="AF26" s="45" t="str">
        <f t="shared" si="19"/>
        <v/>
      </c>
      <c r="AG26" s="55"/>
      <c r="AH26" s="132">
        <f t="shared" si="6"/>
        <v>-743298.97</v>
      </c>
    </row>
    <row r="27" spans="1:34" x14ac:dyDescent="0.3">
      <c r="A27" s="26" t="s">
        <v>28</v>
      </c>
      <c r="B27" s="29" t="s">
        <v>168</v>
      </c>
      <c r="C27" s="62" t="s">
        <v>31</v>
      </c>
      <c r="D27" s="28" t="s">
        <v>30</v>
      </c>
      <c r="E27" s="62" t="s">
        <v>101</v>
      </c>
      <c r="F27" s="38" t="s">
        <v>37</v>
      </c>
      <c r="G27" s="45">
        <f>Ene!G27+Feb!G27+Mar!G27+Abr!G27+May!G27+Jun!G27+Jul!G27+Ago!G27+Set!G27+Oct!G27+Nov!G27+Dic!G27</f>
        <v>169081</v>
      </c>
      <c r="H27" s="45">
        <f>Ene!H27+Feb!H27+Mar!H27+Abr!H27+May!H27+Jun!H27+Jul!H27+Ago!H27+Set!H27+Oct!H27+Nov!H27+Dic!H27</f>
        <v>261653</v>
      </c>
      <c r="I27" s="45"/>
      <c r="J27" s="45"/>
      <c r="K27" s="45"/>
      <c r="L27" s="45"/>
      <c r="M27" s="45">
        <f>Ene!M27+Feb!M27+Mar!M27+Abr!M27+May!M27+Jun!M27+Jul!M27+Ago!M27+Set!M27+Oct!M27+Nov!M27+Dic!M27</f>
        <v>0</v>
      </c>
      <c r="N27" s="45">
        <f>Ene!N27+Feb!N27+Mar!N27+Abr!N27+May!N27+Jun!N27+Jul!N27+Ago!N27+Set!N27+Oct!N27+Nov!N27+Dic!N27</f>
        <v>34479.924599999998</v>
      </c>
      <c r="O27" s="45">
        <f>Ene!O27+Feb!O27+Mar!O27+Abr!O27+May!O27+Jun!O27+Jul!O27+Ago!O27+Set!O27+Oct!O27+Nov!O27+Dic!O27</f>
        <v>29034956.005400002</v>
      </c>
      <c r="P27" s="45">
        <f>Ene!P27+Feb!P27+Mar!P27+Abr!P27+May!P27+Jun!P27+Jul!P27+Ago!P27+Set!P27+Oct!P27+Nov!P27+Dic!P27</f>
        <v>5444054.2400000002</v>
      </c>
      <c r="Q27" s="45">
        <f>Ene!Q27+Feb!Q27+Mar!Q27+Abr!Q27+May!Q27+Jun!Q27+Jul!Q27+Ago!Q27+Set!Q27+Oct!Q27+Nov!Q27+Dic!Q27</f>
        <v>4355243.41</v>
      </c>
      <c r="R27" s="244">
        <v>0.15</v>
      </c>
      <c r="S27" s="45">
        <f>Ene!S27+Feb!S27+Mar!S27+Abr!S27+May!S27+Jun!S27+Jul!S27+Ago!S27+Set!S27+Oct!S27+Nov!S27+Dic!S27</f>
        <v>1088810.8399999999</v>
      </c>
      <c r="T27" s="286">
        <v>3.7499999999999999E-2</v>
      </c>
      <c r="U27" s="45">
        <f>IF($F27&amp;"/Día"=W$9,SUM($G27:$H27),"")</f>
        <v>430734</v>
      </c>
      <c r="V27" s="45">
        <f t="shared" si="1"/>
        <v>29034956.005400002</v>
      </c>
      <c r="W27" s="84">
        <f>IF($F27&amp;"/Día"=W$9,ROUND(U27/$W$1,1),"")</f>
        <v>1180.0999999999999</v>
      </c>
      <c r="X27" s="85">
        <f>IF(U27=0,0,IF($F27&amp;"/Día"=W$9,ROUND(V27/U27,4),""))</f>
        <v>67.408100000000005</v>
      </c>
      <c r="Y27" s="85">
        <f>IF(U27=0,0,IF($F27&amp;"/Día"=W$9,ROUND(Z27/U27,4),""))</f>
        <v>12.638999999999999</v>
      </c>
      <c r="Z27" s="45">
        <f>IF(U27&lt;&gt;"",$P27,"")</f>
        <v>5444054.2400000002</v>
      </c>
      <c r="AA27" s="45" t="str">
        <f t="shared" si="14"/>
        <v/>
      </c>
      <c r="AB27" s="45" t="str">
        <f t="shared" si="15"/>
        <v/>
      </c>
      <c r="AC27" s="84" t="str">
        <f t="shared" si="16"/>
        <v/>
      </c>
      <c r="AD27" s="85" t="str">
        <f t="shared" si="17"/>
        <v/>
      </c>
      <c r="AE27" s="85" t="str">
        <f t="shared" si="18"/>
        <v/>
      </c>
      <c r="AF27" s="45" t="str">
        <f t="shared" si="19"/>
        <v/>
      </c>
      <c r="AG27" s="55"/>
      <c r="AH27" s="132">
        <f t="shared" si="6"/>
        <v>-29069435.930000003</v>
      </c>
    </row>
    <row r="28" spans="1:34" x14ac:dyDescent="0.3">
      <c r="A28" s="26" t="s">
        <v>28</v>
      </c>
      <c r="B28" s="29" t="s">
        <v>191</v>
      </c>
      <c r="C28" s="62" t="s">
        <v>31</v>
      </c>
      <c r="D28" s="28" t="s">
        <v>30</v>
      </c>
      <c r="E28" s="62" t="s">
        <v>101</v>
      </c>
      <c r="F28" s="38" t="s">
        <v>37</v>
      </c>
      <c r="G28" s="45">
        <f>Ene!G28+Feb!G28+Mar!G28+Abr!G28+May!G28+Jun!G28+Jul!G28+Ago!G28+Set!G28+Oct!G28+Nov!G28+Dic!G28</f>
        <v>0</v>
      </c>
      <c r="H28" s="45">
        <f>Ene!H28+Feb!H28+Mar!H28+Abr!H28+May!H28+Jun!H28+Jul!H28+Ago!H28+Set!H28+Oct!H28+Nov!H28+Dic!H28</f>
        <v>0</v>
      </c>
      <c r="I28" s="45"/>
      <c r="J28" s="45"/>
      <c r="K28" s="45"/>
      <c r="L28" s="45"/>
      <c r="M28" s="45">
        <f>Ene!M28+Feb!M28+Mar!M28+Abr!M28+May!M28+Jun!M28+Jul!M28+Ago!M28+Set!M28+Oct!M28+Nov!M28+Dic!M28</f>
        <v>0</v>
      </c>
      <c r="N28" s="45">
        <f>Ene!N28+Feb!N28+Mar!N28+Abr!N28+May!N28+Jun!N28+Jul!N28+Ago!N28+Set!N28+Oct!N28+Nov!N28+Dic!N28</f>
        <v>0</v>
      </c>
      <c r="O28" s="45">
        <f>Ene!O28+Feb!O28+Mar!O28+Abr!O28+May!O28+Jun!O28+Jul!O28+Ago!O28+Set!O28+Oct!O28+Nov!O28+Dic!O28</f>
        <v>0</v>
      </c>
      <c r="P28" s="45">
        <f>Ene!P28+Feb!P28+Mar!P28+Abr!P28+May!P28+Jun!P28+Jul!P28+Ago!P28+Set!P28+Oct!P28+Nov!P28+Dic!P28</f>
        <v>0</v>
      </c>
      <c r="Q28" s="45">
        <f>Ene!Q28+Feb!Q28+Mar!Q28+Abr!Q28+May!Q28+Jun!Q28+Jul!Q28+Ago!Q28+Set!Q28+Oct!Q28+Nov!Q28+Dic!Q28</f>
        <v>0</v>
      </c>
      <c r="R28" s="244">
        <v>0.15</v>
      </c>
      <c r="S28" s="45">
        <f>Ene!S28+Feb!S28+Mar!S28+Abr!S28+May!S28+Jun!S28+Jul!S28+Ago!S28+Set!S28+Oct!S28+Nov!S28+Dic!S28</f>
        <v>0</v>
      </c>
      <c r="T28" s="286">
        <v>3.7499999999999999E-2</v>
      </c>
      <c r="U28" s="45">
        <f>IF($F28&amp;"/Día"=W$9,SUM($G28:$H28),"")</f>
        <v>0</v>
      </c>
      <c r="V28" s="45">
        <f>IF(U28&lt;&gt;"",$O28,"")</f>
        <v>0</v>
      </c>
      <c r="W28" s="84">
        <f>IF($F28&amp;"/Día"=W$9,ROUND(U28/$W$1,1),"")</f>
        <v>0</v>
      </c>
      <c r="X28" s="85">
        <f>IF(U28=0,0,IF($F28&amp;"/Día"=W$9,ROUND(V28/U28,4),""))</f>
        <v>0</v>
      </c>
      <c r="Y28" s="85">
        <f>IF(U28=0,0,IF($F28&amp;"/Día"=W$9,ROUND(Z28/U28,4),""))</f>
        <v>0</v>
      </c>
      <c r="Z28" s="45">
        <f>IF(U28&lt;&gt;"",$P28,"")</f>
        <v>0</v>
      </c>
      <c r="AA28" s="45" t="str">
        <f t="shared" si="14"/>
        <v/>
      </c>
      <c r="AB28" s="45" t="str">
        <f t="shared" si="15"/>
        <v/>
      </c>
      <c r="AC28" s="84" t="str">
        <f t="shared" si="16"/>
        <v/>
      </c>
      <c r="AD28" s="85" t="str">
        <f t="shared" si="17"/>
        <v/>
      </c>
      <c r="AE28" s="85" t="str">
        <f t="shared" si="18"/>
        <v/>
      </c>
      <c r="AF28" s="45" t="str">
        <f t="shared" si="19"/>
        <v/>
      </c>
      <c r="AG28" s="55"/>
      <c r="AH28" s="132" t="str">
        <f t="shared" si="6"/>
        <v/>
      </c>
    </row>
    <row r="29" spans="1:34" x14ac:dyDescent="0.3">
      <c r="A29" s="26" t="s">
        <v>28</v>
      </c>
      <c r="B29" s="29" t="s">
        <v>320</v>
      </c>
      <c r="C29" s="62" t="s">
        <v>31</v>
      </c>
      <c r="D29" s="28" t="s">
        <v>30</v>
      </c>
      <c r="E29" s="62" t="s">
        <v>101</v>
      </c>
      <c r="F29" s="38" t="s">
        <v>56</v>
      </c>
      <c r="G29" s="45">
        <f>Ene!G29+Feb!G29+Mar!G29+Abr!G29+May!G29+Jun!G29+Jul!G29+Ago!G29+Set!G29+Oct!G29+Nov!G29+Dic!G29</f>
        <v>985948.15299999982</v>
      </c>
      <c r="H29" s="45">
        <f>Ene!H29+Feb!H29+Mar!H29+Abr!H29+May!H29+Jun!H29+Jul!H29+Ago!H29+Set!H29+Oct!H29+Nov!H29+Dic!H29</f>
        <v>933663.16059999994</v>
      </c>
      <c r="I29" s="45"/>
      <c r="J29" s="45"/>
      <c r="K29" s="45"/>
      <c r="L29" s="45"/>
      <c r="M29" s="45">
        <f>Ene!M29+Feb!M29+Mar!M29+Abr!M29+May!M29+Jun!M29+Jul!M29+Ago!M29+Set!M29+Oct!M29+Nov!M29+Dic!M29</f>
        <v>0</v>
      </c>
      <c r="N29" s="45">
        <f>Ene!N29+Feb!N29+Mar!N29+Abr!N29+May!N29+Jun!N29+Jul!N29+Ago!N29+Set!N29+Oct!N29+Nov!N29+Dic!N29</f>
        <v>14308.189100000001</v>
      </c>
      <c r="O29" s="45">
        <f>Ene!O29+Feb!O29+Mar!O29+Abr!O29+May!O29+Jun!O29+Jul!O29+Ago!O29+Set!O29+Oct!O29+Nov!O29+Dic!O29</f>
        <v>2865108.8409000002</v>
      </c>
      <c r="P29" s="45">
        <f>Ene!P29+Feb!P29+Mar!P29+Abr!P29+May!P29+Jun!P29+Jul!P29+Ago!P29+Set!P29+Oct!P29+Nov!P29+Dic!P29</f>
        <v>537207.89999999991</v>
      </c>
      <c r="Q29" s="45">
        <f>Ene!Q29+Feb!Q29+Mar!Q29+Abr!Q29+May!Q29+Jun!Q29+Jul!Q29+Ago!Q29+Set!Q29+Oct!Q29+Nov!Q29+Dic!Q29</f>
        <v>429766.33</v>
      </c>
      <c r="R29" s="244">
        <v>0.15</v>
      </c>
      <c r="S29" s="45">
        <f>Ene!S29+Feb!S29+Mar!S29+Abr!S29+May!S29+Jun!S29+Jul!S29+Ago!S29+Set!S29+Oct!S29+Nov!S29+Dic!S29</f>
        <v>107441.58000000002</v>
      </c>
      <c r="T29" s="286">
        <v>3.7499999999999999E-2</v>
      </c>
      <c r="U29" s="45" t="str">
        <f>IF($F29&amp;"/Día"=W$9,SUM($G29:$H29),"")</f>
        <v/>
      </c>
      <c r="V29" s="45" t="str">
        <f t="shared" si="1"/>
        <v/>
      </c>
      <c r="W29" s="84" t="str">
        <f>IF($F29&amp;"/Día"=W$9,ROUND(U29/$W$1,1),"")</f>
        <v/>
      </c>
      <c r="X29" s="85" t="str">
        <f>IF(U29=0,0,IF($F29&amp;"/Día"=W$9,ROUND(V29/U29,4),""))</f>
        <v/>
      </c>
      <c r="Y29" s="85" t="str">
        <f>IF(U29=0,0,IF($F29&amp;"/Día"=W$9,ROUND(Z29/U29,4),""))</f>
        <v/>
      </c>
      <c r="Z29" s="45" t="str">
        <f>IF(U29&lt;&gt;"",$P29,"")</f>
        <v/>
      </c>
      <c r="AA29" s="45">
        <f t="shared" si="14"/>
        <v>1919611.3135999998</v>
      </c>
      <c r="AB29" s="45">
        <f t="shared" si="15"/>
        <v>2865108.8409000002</v>
      </c>
      <c r="AC29" s="84">
        <f t="shared" si="16"/>
        <v>5259.2</v>
      </c>
      <c r="AD29" s="85">
        <f t="shared" si="17"/>
        <v>1.4924999999999999</v>
      </c>
      <c r="AE29" s="85">
        <f t="shared" si="18"/>
        <v>0.27989999999999998</v>
      </c>
      <c r="AF29" s="45">
        <f t="shared" si="19"/>
        <v>537207.89999999991</v>
      </c>
      <c r="AG29" s="55"/>
      <c r="AH29" s="132">
        <f t="shared" si="6"/>
        <v>-2879417.0300000003</v>
      </c>
    </row>
    <row r="30" spans="1:34" x14ac:dyDescent="0.3">
      <c r="A30" s="26" t="s">
        <v>28</v>
      </c>
      <c r="B30" s="29" t="s">
        <v>321</v>
      </c>
      <c r="C30" s="62" t="s">
        <v>31</v>
      </c>
      <c r="D30" s="28" t="s">
        <v>30</v>
      </c>
      <c r="E30" s="62" t="s">
        <v>101</v>
      </c>
      <c r="F30" s="38" t="s">
        <v>56</v>
      </c>
      <c r="G30" s="45">
        <f>Ene!G30+Feb!G30+Mar!G30+Abr!G30+May!G30+Jun!G30+Jul!G30+Ago!G30+Set!G30+Oct!G30+Nov!G30+Dic!G30</f>
        <v>1064792.6574000001</v>
      </c>
      <c r="H30" s="45">
        <f>Ene!H30+Feb!H30+Mar!H30+Abr!H30+May!H30+Jun!H30+Jul!H30+Ago!H30+Set!H30+Oct!H30+Nov!H30+Dic!H30</f>
        <v>1165023.4608</v>
      </c>
      <c r="I30" s="45"/>
      <c r="J30" s="45"/>
      <c r="K30" s="45"/>
      <c r="L30" s="45"/>
      <c r="M30" s="45">
        <f>Ene!M30+Feb!M30+Mar!M30+Abr!M30+May!M30+Jun!M30+Jul!M30+Ago!M30+Set!M30+Oct!M30+Nov!M30+Dic!M30</f>
        <v>0</v>
      </c>
      <c r="N30" s="45">
        <f>Ene!N30+Feb!N30+Mar!N30+Abr!N30+May!N30+Jun!N30+Jul!N30+Ago!N30+Set!N30+Oct!N30+Nov!N30+Dic!N30</f>
        <v>0</v>
      </c>
      <c r="O30" s="45">
        <f>Ene!O30+Feb!O30+Mar!O30+Abr!O30+May!O30+Jun!O30+Jul!O30+Ago!O30+Set!O30+Oct!O30+Nov!O30+Dic!O30</f>
        <v>7457221.2400000002</v>
      </c>
      <c r="P30" s="45">
        <f>Ene!P30+Feb!P30+Mar!P30+Abr!P30+May!P30+Jun!P30+Jul!P30+Ago!P30+Set!P30+Oct!P30+Nov!P30+Dic!P30</f>
        <v>1398229</v>
      </c>
      <c r="Q30" s="45">
        <f>Ene!Q30+Feb!Q30+Mar!Q30+Abr!Q30+May!Q30+Jun!Q30+Jul!Q30+Ago!Q30+Set!Q30+Oct!Q30+Nov!Q30+Dic!Q30</f>
        <v>1118583.2</v>
      </c>
      <c r="R30" s="244">
        <v>0.15</v>
      </c>
      <c r="S30" s="45">
        <f>Ene!S30+Feb!S30+Mar!S30+Abr!S30+May!S30+Jun!S30+Jul!S30+Ago!S30+Set!S30+Oct!S30+Nov!S30+Dic!S30</f>
        <v>279645.79000000004</v>
      </c>
      <c r="T30" s="286">
        <v>3.7499999999999999E-2</v>
      </c>
      <c r="U30" s="45" t="str">
        <f>IF($F30&amp;"/Día"=W$9,SUM($G30:$H30),"")</f>
        <v/>
      </c>
      <c r="V30" s="45" t="str">
        <f t="shared" ref="V30" si="39">IF(U30&lt;&gt;"",$O30,"")</f>
        <v/>
      </c>
      <c r="W30" s="84" t="str">
        <f>IF($F30&amp;"/Día"=W$9,ROUND(U30/$W$1,1),"")</f>
        <v/>
      </c>
      <c r="X30" s="85" t="str">
        <f>IF(U30=0,0,IF($F30&amp;"/Día"=W$9,ROUND(V30/U30,4),""))</f>
        <v/>
      </c>
      <c r="Y30" s="85" t="str">
        <f>IF(U30=0,0,IF($F30&amp;"/Día"=W$9,ROUND(Z30/U30,4),""))</f>
        <v/>
      </c>
      <c r="Z30" s="45" t="str">
        <f>IF(U30&lt;&gt;"",$P30,"")</f>
        <v/>
      </c>
      <c r="AA30" s="45">
        <f t="shared" ref="AA30" si="40">IF($F30&amp;"/Día"=AC$9,SUM($G30:$H30),"")</f>
        <v>2229816.1182000004</v>
      </c>
      <c r="AB30" s="45">
        <f t="shared" ref="AB30" si="41">IF(AA30&lt;&gt;"",$O30,"")</f>
        <v>7457221.2400000002</v>
      </c>
      <c r="AC30" s="84">
        <f t="shared" ref="AC30" si="42">IF($F30&amp;"/Día"=AC$9,ROUND(AA30/$W$1,1),"")</f>
        <v>6109.1</v>
      </c>
      <c r="AD30" s="85">
        <f t="shared" ref="AD30" si="43">IF(AA30=0,0,IF($F30&amp;"/Día"=AC$9,ROUND(AB30/AA30,4),""))</f>
        <v>3.3443000000000001</v>
      </c>
      <c r="AE30" s="85">
        <f t="shared" ref="AE30" si="44">IF(AA30=0,0,IF($F30&amp;"/Día"=AC$9,ROUND(AF30/AA30,4),""))</f>
        <v>0.62709999999999999</v>
      </c>
      <c r="AF30" s="45">
        <f t="shared" ref="AF30" si="45">IF(AA30&lt;&gt;"",$P30,"")</f>
        <v>1398229</v>
      </c>
      <c r="AG30" s="55"/>
      <c r="AH30" s="132">
        <f t="shared" si="6"/>
        <v>-7457221.2400000002</v>
      </c>
    </row>
    <row r="31" spans="1:34" s="307" customFormat="1" ht="13.2" x14ac:dyDescent="0.25">
      <c r="A31" s="26" t="s">
        <v>28</v>
      </c>
      <c r="B31" s="29" t="s">
        <v>323</v>
      </c>
      <c r="C31" s="62" t="s">
        <v>31</v>
      </c>
      <c r="D31" s="28" t="s">
        <v>30</v>
      </c>
      <c r="E31" s="62" t="s">
        <v>101</v>
      </c>
      <c r="F31" s="260" t="s">
        <v>56</v>
      </c>
      <c r="G31" s="45">
        <f>Ene!G31+Feb!G31+Mar!G31+Abr!G31+May!G31+Jun!G31+Jul!G31+Ago!G31+Set!G31+Oct!G31+Nov!G31+Dic!G31</f>
        <v>0</v>
      </c>
      <c r="H31" s="45">
        <f>Ene!H31+Feb!H31+Mar!H31+Abr!H31+May!H31+Jun!H31+Jul!H31+Ago!H31+Set!H31+Oct!H31+Nov!H31+Dic!H31</f>
        <v>0</v>
      </c>
      <c r="I31" s="45"/>
      <c r="J31" s="45"/>
      <c r="K31" s="45"/>
      <c r="L31" s="45"/>
      <c r="M31" s="45">
        <f>Ene!M31+Feb!M31+Mar!M31+Abr!M31+May!M31+Jun!M31+Jul!M31+Ago!M31+Set!M31+Oct!M31+Nov!M31+Dic!M31</f>
        <v>0</v>
      </c>
      <c r="N31" s="45">
        <f>Ene!N31+Feb!N31+Mar!N31+Abr!N31+May!N31+Jun!N31+Jul!N31+Ago!N31+Set!N31+Oct!N31+Nov!N31+Dic!N31</f>
        <v>0</v>
      </c>
      <c r="O31" s="45">
        <f>Ene!O31+Feb!O31+Mar!O31+Abr!O31+May!O31+Jun!O31+Jul!O31+Ago!O31+Set!O31+Oct!O31+Nov!O31+Dic!O31</f>
        <v>0</v>
      </c>
      <c r="P31" s="45">
        <f>Ene!P31+Feb!P31+Mar!P31+Abr!P31+May!P31+Jun!P31+Jul!P31+Ago!P31+Set!P31+Oct!P31+Nov!P31+Dic!P31</f>
        <v>0</v>
      </c>
      <c r="Q31" s="45">
        <f>Ene!Q31+Feb!Q31+Mar!Q31+Abr!Q31+May!Q31+Jun!Q31+Jul!Q31+Ago!Q31+Set!Q31+Oct!Q31+Nov!Q31+Dic!Q31</f>
        <v>0</v>
      </c>
      <c r="R31" s="244">
        <v>0.15</v>
      </c>
      <c r="S31" s="45">
        <f>Ene!S31+Feb!S31+Mar!S31+Abr!S31+May!S31+Jun!S31+Jul!S31+Ago!S31+Set!S31+Oct!S31+Nov!S31+Dic!S31</f>
        <v>0</v>
      </c>
      <c r="T31" s="286">
        <v>3.7499999999999999E-2</v>
      </c>
      <c r="U31" s="45" t="str">
        <f>IF($F31&amp;"/Día"=W$9,SUM($G31:$H31),"")</f>
        <v/>
      </c>
      <c r="V31" s="45" t="str">
        <f t="shared" ref="V31:V33" si="46">IF(U31&lt;&gt;"",$O31,"")</f>
        <v/>
      </c>
      <c r="W31" s="84" t="str">
        <f>IF($F31&amp;"/Día"=W$9,ROUND(U31/$W$1,1),"")</f>
        <v/>
      </c>
      <c r="X31" s="85" t="str">
        <f>IF(U31=0,0,IF($F31&amp;"/Día"=W$9,ROUND(V31/U31,4),""))</f>
        <v/>
      </c>
      <c r="Y31" s="85" t="str">
        <f>IF(U31=0,0,IF($F31&amp;"/Día"=W$9,ROUND(Z31/U31,4),""))</f>
        <v/>
      </c>
      <c r="Z31" s="45" t="str">
        <f>IF(U31&lt;&gt;"",$P31,"")</f>
        <v/>
      </c>
      <c r="AA31" s="45">
        <f t="shared" ref="AA31:AA33" si="47">IF($F31&amp;"/Día"=AC$9,SUM($G31:$H31),"")</f>
        <v>0</v>
      </c>
      <c r="AB31" s="45">
        <f t="shared" ref="AB31:AB33" si="48">IF(AA31&lt;&gt;"",$O31,"")</f>
        <v>0</v>
      </c>
      <c r="AC31" s="84">
        <f t="shared" ref="AC31:AC33" si="49">IF($F31&amp;"/Día"=AC$9,ROUND(AA31/$W$1,1),"")</f>
        <v>0</v>
      </c>
      <c r="AD31" s="85">
        <f t="shared" ref="AD31:AD33" si="50">IF(AA31=0,0,IF($F31&amp;"/Día"=AC$9,ROUND(AB31/AA31,4),""))</f>
        <v>0</v>
      </c>
      <c r="AE31" s="85">
        <f t="shared" ref="AE31:AE33" si="51">IF(AA31=0,0,IF($F31&amp;"/Día"=AC$9,ROUND(AF31/AA31,4),""))</f>
        <v>0</v>
      </c>
      <c r="AF31" s="45">
        <f t="shared" ref="AF31:AF33" si="52">IF(AA31&lt;&gt;"",$P31,"")</f>
        <v>0</v>
      </c>
      <c r="AG31" s="55"/>
      <c r="AH31" s="132" t="str">
        <f t="shared" si="6"/>
        <v/>
      </c>
    </row>
    <row r="32" spans="1:34" s="307" customFormat="1" ht="13.2" x14ac:dyDescent="0.25">
      <c r="A32" s="26" t="s">
        <v>28</v>
      </c>
      <c r="B32" s="29" t="s">
        <v>330</v>
      </c>
      <c r="C32" s="62" t="s">
        <v>31</v>
      </c>
      <c r="D32" s="28" t="s">
        <v>30</v>
      </c>
      <c r="E32" s="62" t="s">
        <v>101</v>
      </c>
      <c r="F32" s="260" t="s">
        <v>56</v>
      </c>
      <c r="G32" s="45">
        <f>Ene!G32+Feb!G32+Mar!G32+Abr!G32+May!G32+Jun!G32+Jul!G32+Ago!G32+Set!G32+Oct!G32+Nov!G32+Dic!G32</f>
        <v>459.53000000000003</v>
      </c>
      <c r="H32" s="45">
        <f>Ene!H32+Feb!H32+Mar!H32+Abr!H32+May!H32+Jun!H32+Jul!H32+Ago!H32+Set!H32+Oct!H32+Nov!H32+Dic!H32</f>
        <v>770.93000000000006</v>
      </c>
      <c r="I32" s="45"/>
      <c r="J32" s="45"/>
      <c r="K32" s="45"/>
      <c r="L32" s="45"/>
      <c r="M32" s="45">
        <f>Ene!M32+Feb!M32+Mar!M32+Abr!M32+May!M32+Jun!M32+Jul!M32+Ago!M32+Set!M32+Oct!M32+Nov!M32+Dic!M32</f>
        <v>0</v>
      </c>
      <c r="N32" s="45">
        <f>Ene!N32+Feb!N32+Mar!N32+Abr!N32+May!N32+Jun!N32+Jul!N32+Ago!N32+Set!N32+Oct!N32+Nov!N32+Dic!N32</f>
        <v>0</v>
      </c>
      <c r="O32" s="45">
        <f>Ene!O32+Feb!O32+Mar!O32+Abr!O32+May!O32+Jun!O32+Jul!O32+Ago!O32+Set!O32+Oct!O32+Nov!O32+Dic!O32</f>
        <v>2830.05</v>
      </c>
      <c r="P32" s="45">
        <f>Ene!P32+Feb!P32+Mar!P32+Abr!P32+May!P32+Jun!P32+Jul!P32+Ago!P32+Set!P32+Oct!P32+Nov!P32+Dic!P32</f>
        <v>530.63</v>
      </c>
      <c r="Q32" s="45">
        <f>Ene!Q32+Feb!Q32+Mar!Q32+Abr!Q32+May!Q32+Jun!Q32+Jul!Q32+Ago!Q32+Set!Q32+Oct!Q32+Nov!Q32+Dic!Q32</f>
        <v>424.5</v>
      </c>
      <c r="R32" s="244">
        <v>0.15</v>
      </c>
      <c r="S32" s="45">
        <f>Ene!S32+Feb!S32+Mar!S32+Abr!S32+May!S32+Jun!S32+Jul!S32+Ago!S32+Set!S32+Oct!S32+Nov!S32+Dic!S32</f>
        <v>106.13</v>
      </c>
      <c r="T32" s="286">
        <v>3.7499999999999999E-2</v>
      </c>
      <c r="U32" s="45" t="str">
        <f t="shared" ref="U32" si="53">IF($F32&amp;"/Día"=W$9,SUM($G32:$H32),"")</f>
        <v/>
      </c>
      <c r="V32" s="45" t="str">
        <f t="shared" si="46"/>
        <v/>
      </c>
      <c r="W32" s="84" t="str">
        <f t="shared" ref="W32:W33" si="54">IF($F32&amp;"/Día"=W$9,ROUND(U32/$W$1,1),"")</f>
        <v/>
      </c>
      <c r="X32" s="85" t="str">
        <f t="shared" ref="X32:X33" si="55">IF(U32=0,0,IF($F32&amp;"/Día"=W$9,ROUND(V32/U32,4),""))</f>
        <v/>
      </c>
      <c r="Y32" s="85" t="str">
        <f t="shared" ref="Y32:Y33" si="56">IF(U32=0,0,IF($F32&amp;"/Día"=W$9,ROUND(Z32/U32,4),""))</f>
        <v/>
      </c>
      <c r="Z32" s="45" t="str">
        <f t="shared" ref="Z32:Z33" si="57">IF(U32&lt;&gt;"",$P32,"")</f>
        <v/>
      </c>
      <c r="AA32" s="45">
        <f t="shared" si="47"/>
        <v>1230.46</v>
      </c>
      <c r="AB32" s="45">
        <f t="shared" si="48"/>
        <v>2830.05</v>
      </c>
      <c r="AC32" s="84">
        <f t="shared" si="49"/>
        <v>3.4</v>
      </c>
      <c r="AD32" s="85">
        <f t="shared" si="50"/>
        <v>2.2999999999999998</v>
      </c>
      <c r="AE32" s="85">
        <f t="shared" si="51"/>
        <v>0.43120000000000003</v>
      </c>
      <c r="AF32" s="45">
        <f t="shared" si="52"/>
        <v>530.63</v>
      </c>
      <c r="AG32" s="55"/>
      <c r="AH32" s="132">
        <f t="shared" si="6"/>
        <v>-2830.05</v>
      </c>
    </row>
    <row r="33" spans="1:34" s="307" customFormat="1" ht="13.2" x14ac:dyDescent="0.25">
      <c r="A33" s="26" t="s">
        <v>28</v>
      </c>
      <c r="B33" s="29" t="s">
        <v>336</v>
      </c>
      <c r="C33" s="62" t="s">
        <v>31</v>
      </c>
      <c r="D33" s="28" t="s">
        <v>30</v>
      </c>
      <c r="E33" s="62" t="s">
        <v>101</v>
      </c>
      <c r="F33" s="260" t="s">
        <v>56</v>
      </c>
      <c r="G33" s="45">
        <f>Ene!G33+Feb!G33+Mar!G33+Abr!G33+May!G33+Jun!G33+Jul!G33+Ago!G33+Set!G33+Oct!G33+Nov!G33+Dic!G33</f>
        <v>157994.82</v>
      </c>
      <c r="H33" s="45">
        <f>Ene!H33+Feb!H33+Mar!H33+Abr!H33+May!H33+Jun!H33+Jul!H33+Ago!H33+Set!H33+Oct!H33+Nov!H33+Dic!H33</f>
        <v>169904.33</v>
      </c>
      <c r="I33" s="237"/>
      <c r="J33" s="237"/>
      <c r="K33" s="312"/>
      <c r="L33" s="312"/>
      <c r="M33" s="45">
        <f>Ene!M33+Feb!M33+Mar!M33+Abr!M33+May!M33+Jun!M33+Jul!M33+Ago!M33+Set!M33+Oct!M33+Nov!M33+Dic!M33</f>
        <v>0</v>
      </c>
      <c r="N33" s="45">
        <f>Ene!N33+Feb!N33+Mar!N33+Abr!N33+May!N33+Jun!N33+Jul!N33+Ago!N33+Set!N33+Oct!N33+Nov!N33+Dic!N33</f>
        <v>0</v>
      </c>
      <c r="O33" s="45">
        <f>Ene!O33+Feb!O33+Mar!O33+Abr!O33+May!O33+Jun!O33+Jul!O33+Ago!O33+Set!O33+Oct!O33+Nov!O33+Dic!O33</f>
        <v>1029082.97</v>
      </c>
      <c r="P33" s="243">
        <f t="shared" ref="P33" si="58">ROUND(18.75%*O33,2)</f>
        <v>192953.06</v>
      </c>
      <c r="Q33" s="243">
        <f t="shared" ref="Q33" si="59">ROUND($O33*R33,2)</f>
        <v>154362.45000000001</v>
      </c>
      <c r="R33" s="244">
        <v>0.15</v>
      </c>
      <c r="S33" s="243">
        <f t="shared" ref="S33" si="60">ROUND($O33*T33,2)</f>
        <v>38590.61</v>
      </c>
      <c r="T33" s="286">
        <v>3.7499999999999999E-2</v>
      </c>
      <c r="U33" s="45" t="str">
        <f t="shared" ref="U33" si="61">IF($F33&amp;"/Día"=W$9,SUM($G33:$H33),"")</f>
        <v/>
      </c>
      <c r="V33" s="45" t="str">
        <f t="shared" si="46"/>
        <v/>
      </c>
      <c r="W33" s="84" t="str">
        <f t="shared" si="54"/>
        <v/>
      </c>
      <c r="X33" s="85" t="str">
        <f t="shared" si="55"/>
        <v/>
      </c>
      <c r="Y33" s="85" t="str">
        <f t="shared" si="56"/>
        <v/>
      </c>
      <c r="Z33" s="45" t="str">
        <f t="shared" si="57"/>
        <v/>
      </c>
      <c r="AA33" s="45">
        <f t="shared" si="47"/>
        <v>327899.15000000002</v>
      </c>
      <c r="AB33" s="45">
        <f t="shared" si="48"/>
        <v>1029082.97</v>
      </c>
      <c r="AC33" s="84">
        <f t="shared" si="49"/>
        <v>898.4</v>
      </c>
      <c r="AD33" s="85">
        <f t="shared" si="50"/>
        <v>3.1383999999999999</v>
      </c>
      <c r="AE33" s="85">
        <f t="shared" si="51"/>
        <v>0.58850000000000002</v>
      </c>
      <c r="AF33" s="45">
        <f t="shared" si="52"/>
        <v>192953.06</v>
      </c>
      <c r="AG33" s="55"/>
      <c r="AH33" s="132">
        <f t="shared" si="6"/>
        <v>-1029082.97</v>
      </c>
    </row>
    <row r="34" spans="1:34" x14ac:dyDescent="0.3">
      <c r="A34" s="26" t="s">
        <v>28</v>
      </c>
      <c r="B34" s="27" t="s">
        <v>15</v>
      </c>
      <c r="C34" s="62" t="s">
        <v>29</v>
      </c>
      <c r="D34" s="28" t="s">
        <v>21</v>
      </c>
      <c r="E34" s="62" t="s">
        <v>98</v>
      </c>
      <c r="F34" s="38" t="s">
        <v>37</v>
      </c>
      <c r="G34" s="45">
        <f>Ene!G34+Feb!G34+Mar!G34+Abr!G34+May!G34+Jun!G34+Jul!G34+Ago!G34+Set!G34+Oct!G34+Nov!G34+Dic!G34</f>
        <v>0</v>
      </c>
      <c r="H34" s="45">
        <f>Ene!H34+Feb!H34+Mar!H34+Abr!H34+May!H34+Jun!H34+Jul!H34+Ago!H34+Set!H34+Oct!H34+Nov!H34+Dic!H34</f>
        <v>2130439</v>
      </c>
      <c r="I34" s="45"/>
      <c r="J34" s="45"/>
      <c r="K34" s="45"/>
      <c r="L34" s="45"/>
      <c r="M34" s="45">
        <f>Ene!M34+Feb!M34+Mar!M34+Abr!M34+May!M34+Jun!M34+Jul!M34+Ago!M34+Set!M34+Oct!M34+Nov!M34+Dic!M34</f>
        <v>0</v>
      </c>
      <c r="N34" s="45">
        <f>Ene!N34+Feb!N34+Mar!N34+Abr!N34+May!N34+Jun!N34+Jul!N34+Ago!N34+Set!N34+Oct!N34+Nov!N34+Dic!N34</f>
        <v>11079.0262</v>
      </c>
      <c r="O34" s="45">
        <f>Ene!O34+Feb!O34+Mar!O34+Abr!O34+May!O34+Jun!O34+Jul!O34+Ago!O34+Set!O34+Oct!O34+Nov!O34+Dic!O34</f>
        <v>150789788.9438</v>
      </c>
      <c r="P34" s="45">
        <f>Ene!P34+Feb!P34+Mar!P34+Abr!P34+May!P34+Jun!P34+Jul!P34+Ago!P34+Set!P34+Oct!P34+Nov!P34+Dic!P34</f>
        <v>28273085.419999998</v>
      </c>
      <c r="Q34" s="45">
        <f>Ene!Q34+Feb!Q34+Mar!Q34+Abr!Q34+May!Q34+Jun!Q34+Jul!Q34+Ago!Q34+Set!Q34+Oct!Q34+Nov!Q34+Dic!Q34</f>
        <v>22618468.34</v>
      </c>
      <c r="R34" s="244">
        <v>0.15</v>
      </c>
      <c r="S34" s="45">
        <f>Ene!S34+Feb!S34+Mar!S34+Abr!S34+May!S34+Jun!S34+Jul!S34+Ago!S34+Set!S34+Oct!S34+Nov!S34+Dic!S34</f>
        <v>5654617.0899999999</v>
      </c>
      <c r="T34" s="286">
        <v>3.7499999999999999E-2</v>
      </c>
      <c r="U34" s="45">
        <f t="shared" si="0"/>
        <v>2130439</v>
      </c>
      <c r="V34" s="45">
        <f t="shared" si="1"/>
        <v>150789788.9438</v>
      </c>
      <c r="W34" s="84">
        <f t="shared" si="2"/>
        <v>5836.8</v>
      </c>
      <c r="X34" s="85">
        <f t="shared" si="3"/>
        <v>70.778700000000001</v>
      </c>
      <c r="Y34" s="85">
        <f t="shared" si="4"/>
        <v>13.271000000000001</v>
      </c>
      <c r="Z34" s="45">
        <f t="shared" si="5"/>
        <v>28273085.419999998</v>
      </c>
      <c r="AA34" s="45" t="str">
        <f t="shared" si="14"/>
        <v/>
      </c>
      <c r="AB34" s="45" t="str">
        <f t="shared" si="15"/>
        <v/>
      </c>
      <c r="AC34" s="84" t="str">
        <f t="shared" si="16"/>
        <v/>
      </c>
      <c r="AD34" s="85" t="str">
        <f t="shared" si="17"/>
        <v/>
      </c>
      <c r="AE34" s="85" t="str">
        <f t="shared" si="18"/>
        <v/>
      </c>
      <c r="AF34" s="45" t="str">
        <f t="shared" si="19"/>
        <v/>
      </c>
      <c r="AG34" s="55"/>
      <c r="AH34" s="132">
        <f t="shared" si="6"/>
        <v>-150800867.97</v>
      </c>
    </row>
    <row r="35" spans="1:34" x14ac:dyDescent="0.3">
      <c r="A35" s="26" t="s">
        <v>28</v>
      </c>
      <c r="B35" s="27" t="s">
        <v>16</v>
      </c>
      <c r="C35" s="62" t="s">
        <v>29</v>
      </c>
      <c r="D35" s="28" t="s">
        <v>21</v>
      </c>
      <c r="E35" s="62" t="s">
        <v>98</v>
      </c>
      <c r="F35" s="38" t="s">
        <v>56</v>
      </c>
      <c r="G35" s="45">
        <f>Ene!G35+Feb!G35+Mar!G35+Abr!G35+May!G35+Jun!G35+Jul!G35+Ago!G35+Set!G35+Oct!G35+Nov!G35+Dic!G35</f>
        <v>0</v>
      </c>
      <c r="H35" s="45">
        <f>Ene!H35+Feb!H35+Mar!H35+Abr!H35+May!H35+Jun!H35+Jul!H35+Ago!H35+Set!H35+Oct!H35+Nov!H35+Dic!H35</f>
        <v>3837598.8099999996</v>
      </c>
      <c r="I35" s="45"/>
      <c r="J35" s="45"/>
      <c r="K35" s="45"/>
      <c r="L35" s="45"/>
      <c r="M35" s="45">
        <f>Ene!M35+Feb!M35+Mar!M35+Abr!M35+May!M35+Jun!M35+Jul!M35+Ago!M35+Set!M35+Oct!M35+Nov!M35+Dic!M35</f>
        <v>0</v>
      </c>
      <c r="N35" s="45">
        <f>Ene!N35+Feb!N35+Mar!N35+Abr!N35+May!N35+Jun!N35+Jul!N35+Ago!N35+Set!N35+Oct!N35+Nov!N35+Dic!N35</f>
        <v>9749.7592999999997</v>
      </c>
      <c r="O35" s="45">
        <f>Ene!O35+Feb!O35+Mar!O35+Abr!O35+May!O35+Jun!O35+Jul!O35+Ago!O35+Set!O35+Oct!O35+Nov!O35+Dic!O35</f>
        <v>25675180.070700001</v>
      </c>
      <c r="P35" s="45">
        <f>Ene!P35+Feb!P35+Mar!P35+Abr!P35+May!P35+Jun!P35+Jul!P35+Ago!P35+Set!P35+Oct!P35+Nov!P35+Dic!P35</f>
        <v>4814096.2700000005</v>
      </c>
      <c r="Q35" s="45">
        <f>Ene!Q35+Feb!Q35+Mar!Q35+Abr!Q35+May!Q35+Jun!Q35+Jul!Q35+Ago!Q35+Set!Q35+Oct!Q35+Nov!Q35+Dic!Q35</f>
        <v>3851277.8399999994</v>
      </c>
      <c r="R35" s="244">
        <v>0.15</v>
      </c>
      <c r="S35" s="45">
        <f>Ene!S35+Feb!S35+Mar!S35+Abr!S35+May!S35+Jun!S35+Jul!S35+Ago!S35+Set!S35+Oct!S35+Nov!S35+Dic!S35</f>
        <v>962819.45</v>
      </c>
      <c r="T35" s="286">
        <v>3.7499999999999999E-2</v>
      </c>
      <c r="U35" s="45" t="str">
        <f t="shared" ref="U35:U41" si="62">IF($F35&amp;"/Día"=W$9,SUM($G35:$H35),"")</f>
        <v/>
      </c>
      <c r="V35" s="45" t="str">
        <f t="shared" si="1"/>
        <v/>
      </c>
      <c r="W35" s="84" t="str">
        <f t="shared" ref="W35:W41" si="63">IF($F35&amp;"/Día"=W$9,ROUND(U35/$W$1,1),"")</f>
        <v/>
      </c>
      <c r="X35" s="85" t="str">
        <f t="shared" ref="X35:X41" si="64">IF(U35=0,0,IF($F35&amp;"/Día"=W$9,ROUND(V35/U35,4),""))</f>
        <v/>
      </c>
      <c r="Y35" s="85" t="str">
        <f t="shared" ref="Y35:Y41" si="65">IF(U35=0,0,IF($F35&amp;"/Día"=W$9,ROUND(Z35/U35,4),""))</f>
        <v/>
      </c>
      <c r="Z35" s="45" t="str">
        <f t="shared" ref="Z35:Z41" si="66">IF(U35&lt;&gt;"",$P35,"")</f>
        <v/>
      </c>
      <c r="AA35" s="45">
        <f t="shared" si="14"/>
        <v>3837598.8099999996</v>
      </c>
      <c r="AB35" s="45">
        <f t="shared" si="15"/>
        <v>25675180.070700001</v>
      </c>
      <c r="AC35" s="84">
        <f t="shared" si="16"/>
        <v>10514</v>
      </c>
      <c r="AD35" s="85">
        <f t="shared" si="17"/>
        <v>6.6904000000000003</v>
      </c>
      <c r="AE35" s="85">
        <f t="shared" si="18"/>
        <v>1.2544999999999999</v>
      </c>
      <c r="AF35" s="45">
        <f t="shared" si="19"/>
        <v>4814096.2700000005</v>
      </c>
      <c r="AG35" s="55"/>
      <c r="AH35" s="132">
        <f t="shared" si="6"/>
        <v>-25684929.830000002</v>
      </c>
    </row>
    <row r="36" spans="1:34" x14ac:dyDescent="0.3">
      <c r="A36" s="26" t="s">
        <v>28</v>
      </c>
      <c r="B36" s="29" t="s">
        <v>173</v>
      </c>
      <c r="C36" s="62" t="s">
        <v>31</v>
      </c>
      <c r="D36" s="28" t="s">
        <v>30</v>
      </c>
      <c r="E36" s="62" t="s">
        <v>101</v>
      </c>
      <c r="F36" s="38" t="s">
        <v>37</v>
      </c>
      <c r="G36" s="45">
        <f>Ene!G36+Feb!G36+Mar!G36+Abr!G36+May!G36+Jun!G36+Jul!G36+Ago!G36+Set!G36+Oct!G36+Nov!G36+Dic!G36</f>
        <v>2195</v>
      </c>
      <c r="H36" s="45">
        <f>Ene!H36+Feb!H36+Mar!H36+Abr!H36+May!H36+Jun!H36+Jul!H36+Ago!H36+Set!H36+Oct!H36+Nov!H36+Dic!H36</f>
        <v>2128</v>
      </c>
      <c r="I36" s="45"/>
      <c r="J36" s="45"/>
      <c r="K36" s="45"/>
      <c r="L36" s="45"/>
      <c r="M36" s="45">
        <f>Ene!M36+Feb!M36+Mar!M36+Abr!M36+May!M36+Jun!M36+Jul!M36+Ago!M36+Set!M36+Oct!M36+Nov!M36+Dic!M36</f>
        <v>0</v>
      </c>
      <c r="N36" s="45">
        <f>Ene!N36+Feb!N36+Mar!N36+Abr!N36+May!N36+Jun!N36+Jul!N36+Ago!N36+Set!N36+Oct!N36+Nov!N36+Dic!N36</f>
        <v>2121.7739999999999</v>
      </c>
      <c r="O36" s="45">
        <f>Ene!O36+Feb!O36+Mar!O36+Abr!O36+May!O36+Jun!O36+Jul!O36+Ago!O36+Set!O36+Oct!O36+Nov!O36+Dic!O36</f>
        <v>290476.30599999998</v>
      </c>
      <c r="P36" s="45">
        <f>Ene!P36+Feb!P36+Mar!P36+Abr!P36+May!P36+Jun!P36+Jul!P36+Ago!P36+Set!P36+Oct!P36+Nov!P36+Dic!P36</f>
        <v>54464.310000000005</v>
      </c>
      <c r="Q36" s="45">
        <f>Ene!Q36+Feb!Q36+Mar!Q36+Abr!Q36+May!Q36+Jun!Q36+Jul!Q36+Ago!Q36+Set!Q36+Oct!Q36+Nov!Q36+Dic!Q36</f>
        <v>10892.869999999999</v>
      </c>
      <c r="R36" s="286">
        <v>3.7499999999999999E-2</v>
      </c>
      <c r="S36" s="45">
        <f>Ene!S36+Feb!S36+Mar!S36+Abr!S36+May!S36+Jun!S36+Jul!S36+Ago!S36+Set!S36+Oct!S36+Nov!S36+Dic!S36</f>
        <v>43571.460000000006</v>
      </c>
      <c r="T36" s="244">
        <v>0.15</v>
      </c>
      <c r="U36" s="45">
        <f t="shared" si="62"/>
        <v>4323</v>
      </c>
      <c r="V36" s="45">
        <f t="shared" si="1"/>
        <v>290476.30599999998</v>
      </c>
      <c r="W36" s="84">
        <f t="shared" si="63"/>
        <v>11.8</v>
      </c>
      <c r="X36" s="85">
        <f t="shared" si="64"/>
        <v>67.193200000000004</v>
      </c>
      <c r="Y36" s="85">
        <f t="shared" si="65"/>
        <v>12.598699999999999</v>
      </c>
      <c r="Z36" s="45">
        <f t="shared" si="66"/>
        <v>54464.310000000005</v>
      </c>
      <c r="AA36" s="45" t="str">
        <f t="shared" si="14"/>
        <v/>
      </c>
      <c r="AB36" s="45" t="str">
        <f t="shared" si="15"/>
        <v/>
      </c>
      <c r="AC36" s="84" t="str">
        <f t="shared" si="16"/>
        <v/>
      </c>
      <c r="AD36" s="85" t="str">
        <f t="shared" si="17"/>
        <v/>
      </c>
      <c r="AE36" s="85" t="str">
        <f t="shared" si="18"/>
        <v/>
      </c>
      <c r="AF36" s="45" t="str">
        <f t="shared" si="19"/>
        <v/>
      </c>
      <c r="AG36" s="55"/>
      <c r="AH36" s="132">
        <f t="shared" si="6"/>
        <v>-292598.07999999996</v>
      </c>
    </row>
    <row r="37" spans="1:34" x14ac:dyDescent="0.3">
      <c r="A37" s="26" t="s">
        <v>28</v>
      </c>
      <c r="B37" s="29" t="s">
        <v>169</v>
      </c>
      <c r="C37" s="62" t="s">
        <v>31</v>
      </c>
      <c r="D37" s="28" t="s">
        <v>30</v>
      </c>
      <c r="E37" s="62" t="s">
        <v>101</v>
      </c>
      <c r="F37" s="38" t="s">
        <v>37</v>
      </c>
      <c r="G37" s="45">
        <f>Ene!G37+Feb!G37+Mar!G37+Abr!G37+May!G37+Jun!G37+Jul!G37+Ago!G37+Set!G37+Oct!G37+Nov!G37+Dic!G37</f>
        <v>0</v>
      </c>
      <c r="H37" s="45">
        <f>Ene!H37+Feb!H37+Mar!H37+Abr!H37+May!H37+Jun!H37+Jul!H37+Ago!H37+Set!H37+Oct!H37+Nov!H37+Dic!H37</f>
        <v>0</v>
      </c>
      <c r="I37" s="45"/>
      <c r="J37" s="45"/>
      <c r="K37" s="45"/>
      <c r="L37" s="45"/>
      <c r="M37" s="45">
        <f>Ene!M37+Feb!M37+Mar!M37+Abr!M37+May!M37+Jun!M37+Jul!M37+Ago!M37+Set!M37+Oct!M37+Nov!M37+Dic!M37</f>
        <v>0</v>
      </c>
      <c r="N37" s="45">
        <f>Ene!N37+Feb!N37+Mar!N37+Abr!N37+May!N37+Jun!N37+Jul!N37+Ago!N37+Set!N37+Oct!N37+Nov!N37+Dic!N37</f>
        <v>0</v>
      </c>
      <c r="O37" s="45">
        <f>Ene!O37+Feb!O37+Mar!O37+Abr!O37+May!O37+Jun!O37+Jul!O37+Ago!O37+Set!O37+Oct!O37+Nov!O37+Dic!O37</f>
        <v>0</v>
      </c>
      <c r="P37" s="45">
        <f>Ene!P37+Feb!P37+Mar!P37+Abr!P37+May!P37+Jun!P37+Jul!P37+Ago!P37+Set!P37+Oct!P37+Nov!P37+Dic!P37</f>
        <v>0</v>
      </c>
      <c r="Q37" s="45">
        <f>Ene!Q37+Feb!Q37+Mar!Q37+Abr!Q37+May!Q37+Jun!Q37+Jul!Q37+Ago!Q37+Set!Q37+Oct!Q37+Nov!Q37+Dic!Q37</f>
        <v>0</v>
      </c>
      <c r="R37" s="286">
        <v>3.7499999999999999E-2</v>
      </c>
      <c r="S37" s="45">
        <f>Ene!S37+Feb!S37+Mar!S37+Abr!S37+May!S37+Jun!S37+Jul!S37+Ago!S37+Set!S37+Oct!S37+Nov!S37+Dic!S37</f>
        <v>0</v>
      </c>
      <c r="T37" s="244">
        <v>0.15</v>
      </c>
      <c r="U37" s="45">
        <f t="shared" si="62"/>
        <v>0</v>
      </c>
      <c r="V37" s="45">
        <f t="shared" si="1"/>
        <v>0</v>
      </c>
      <c r="W37" s="84">
        <f t="shared" si="63"/>
        <v>0</v>
      </c>
      <c r="X37" s="85">
        <f t="shared" si="64"/>
        <v>0</v>
      </c>
      <c r="Y37" s="85">
        <f t="shared" si="65"/>
        <v>0</v>
      </c>
      <c r="Z37" s="45">
        <f t="shared" si="66"/>
        <v>0</v>
      </c>
      <c r="AA37" s="45" t="str">
        <f t="shared" si="14"/>
        <v/>
      </c>
      <c r="AB37" s="45" t="str">
        <f t="shared" si="15"/>
        <v/>
      </c>
      <c r="AC37" s="84" t="str">
        <f t="shared" si="16"/>
        <v/>
      </c>
      <c r="AD37" s="85" t="str">
        <f t="shared" si="17"/>
        <v/>
      </c>
      <c r="AE37" s="85" t="str">
        <f t="shared" si="18"/>
        <v/>
      </c>
      <c r="AF37" s="45" t="str">
        <f t="shared" si="19"/>
        <v/>
      </c>
      <c r="AG37" s="55"/>
      <c r="AH37" s="132" t="str">
        <f t="shared" si="6"/>
        <v/>
      </c>
    </row>
    <row r="38" spans="1:34" x14ac:dyDescent="0.3">
      <c r="A38" s="26" t="s">
        <v>28</v>
      </c>
      <c r="B38" s="29" t="s">
        <v>170</v>
      </c>
      <c r="C38" s="62" t="s">
        <v>31</v>
      </c>
      <c r="D38" s="28" t="s">
        <v>30</v>
      </c>
      <c r="E38" s="62" t="s">
        <v>101</v>
      </c>
      <c r="F38" s="38" t="s">
        <v>56</v>
      </c>
      <c r="G38" s="45">
        <f>Ene!G38+Feb!G38+Mar!G38+Abr!G38+May!G38+Jun!G38+Jul!G38+Ago!G38+Set!G38+Oct!G38+Nov!G38+Dic!G38</f>
        <v>0</v>
      </c>
      <c r="H38" s="45">
        <f>Ene!H38+Feb!H38+Mar!H38+Abr!H38+May!H38+Jun!H38+Jul!H38+Ago!H38+Set!H38+Oct!H38+Nov!H38+Dic!H38</f>
        <v>0</v>
      </c>
      <c r="I38" s="45"/>
      <c r="J38" s="45"/>
      <c r="K38" s="45"/>
      <c r="L38" s="45"/>
      <c r="M38" s="45">
        <f>Ene!M38+Feb!M38+Mar!M38+Abr!M38+May!M38+Jun!M38+Jul!M38+Ago!M38+Set!M38+Oct!M38+Nov!M38+Dic!M38</f>
        <v>0</v>
      </c>
      <c r="N38" s="45">
        <f>Ene!N38+Feb!N38+Mar!N38+Abr!N38+May!N38+Jun!N38+Jul!N38+Ago!N38+Set!N38+Oct!N38+Nov!N38+Dic!N38</f>
        <v>0</v>
      </c>
      <c r="O38" s="45">
        <f>Ene!O38+Feb!O38+Mar!O38+Abr!O38+May!O38+Jun!O38+Jul!O38+Ago!O38+Set!O38+Oct!O38+Nov!O38+Dic!O38</f>
        <v>0</v>
      </c>
      <c r="P38" s="45">
        <f>Ene!P38+Feb!P38+Mar!P38+Abr!P38+May!P38+Jun!P38+Jul!P38+Ago!P38+Set!P38+Oct!P38+Nov!P38+Dic!P38</f>
        <v>0</v>
      </c>
      <c r="Q38" s="45">
        <f>Ene!Q38+Feb!Q38+Mar!Q38+Abr!Q38+May!Q38+Jun!Q38+Jul!Q38+Ago!Q38+Set!Q38+Oct!Q38+Nov!Q38+Dic!Q38</f>
        <v>0</v>
      </c>
      <c r="R38" s="286">
        <v>3.7499999999999999E-2</v>
      </c>
      <c r="S38" s="45">
        <f>Ene!S38+Feb!S38+Mar!S38+Abr!S38+May!S38+Jun!S38+Jul!S38+Ago!S38+Set!S38+Oct!S38+Nov!S38+Dic!S38</f>
        <v>0</v>
      </c>
      <c r="T38" s="244">
        <v>0.15</v>
      </c>
      <c r="U38" s="45" t="str">
        <f t="shared" si="62"/>
        <v/>
      </c>
      <c r="V38" s="45" t="str">
        <f t="shared" si="1"/>
        <v/>
      </c>
      <c r="W38" s="84" t="str">
        <f t="shared" si="63"/>
        <v/>
      </c>
      <c r="X38" s="85" t="str">
        <f t="shared" si="64"/>
        <v/>
      </c>
      <c r="Y38" s="85" t="str">
        <f t="shared" si="65"/>
        <v/>
      </c>
      <c r="Z38" s="45" t="str">
        <f t="shared" si="66"/>
        <v/>
      </c>
      <c r="AA38" s="45">
        <f t="shared" si="14"/>
        <v>0</v>
      </c>
      <c r="AB38" s="45">
        <f t="shared" si="15"/>
        <v>0</v>
      </c>
      <c r="AC38" s="84">
        <f t="shared" si="16"/>
        <v>0</v>
      </c>
      <c r="AD38" s="85">
        <f t="shared" si="17"/>
        <v>0</v>
      </c>
      <c r="AE38" s="85">
        <f t="shared" si="18"/>
        <v>0</v>
      </c>
      <c r="AF38" s="45">
        <f t="shared" si="19"/>
        <v>0</v>
      </c>
      <c r="AG38" s="55"/>
      <c r="AH38" s="132" t="str">
        <f t="shared" si="6"/>
        <v/>
      </c>
    </row>
    <row r="39" spans="1:34" x14ac:dyDescent="0.3">
      <c r="A39" s="26" t="s">
        <v>28</v>
      </c>
      <c r="B39" s="29" t="s">
        <v>175</v>
      </c>
      <c r="C39" s="260" t="s">
        <v>29</v>
      </c>
      <c r="D39" s="268" t="s">
        <v>21</v>
      </c>
      <c r="E39" s="260" t="s">
        <v>98</v>
      </c>
      <c r="F39" s="260" t="s">
        <v>37</v>
      </c>
      <c r="G39" s="45">
        <f>Ene!G39+Feb!G39+Mar!G39+Abr!G39+May!G39+Jun!G39+Jul!G39+Ago!G39+Set!G39+Oct!G39+Nov!G39+Dic!G39</f>
        <v>0</v>
      </c>
      <c r="H39" s="45">
        <f>Ene!H39+Feb!H39+Mar!H39+Abr!H39+May!H39+Jun!H39+Jul!H39+Ago!H39+Set!H39+Oct!H39+Nov!H39+Dic!H39</f>
        <v>280025</v>
      </c>
      <c r="I39" s="45"/>
      <c r="J39" s="45"/>
      <c r="K39" s="45"/>
      <c r="L39" s="45"/>
      <c r="M39" s="45">
        <f>Ene!M39+Feb!M39+Mar!M39+Abr!M39+May!M39+Jun!M39+Jul!M39+Ago!M39+Set!M39+Oct!M39+Nov!M39+Dic!M39</f>
        <v>0</v>
      </c>
      <c r="N39" s="45">
        <f>Ene!N39+Feb!N39+Mar!N39+Abr!N39+May!N39+Jun!N39+Jul!N39+Ago!N39+Set!N39+Oct!N39+Nov!N39+Dic!N39</f>
        <v>10608.915999999999</v>
      </c>
      <c r="O39" s="45">
        <f>Ene!O39+Feb!O39+Mar!O39+Abr!O39+May!O39+Jun!O39+Jul!O39+Ago!O39+Set!O39+Oct!O39+Nov!O39+Dic!O39</f>
        <v>18653361.714000002</v>
      </c>
      <c r="P39" s="45">
        <f>Ene!P39+Feb!P39+Mar!P39+Abr!P39+May!P39+Jun!P39+Jul!P39+Ago!P39+Set!P39+Oct!P39+Nov!P39+Dic!P39</f>
        <v>3497505.3199999994</v>
      </c>
      <c r="Q39" s="45">
        <f>Ene!Q39+Feb!Q39+Mar!Q39+Abr!Q39+May!Q39+Jun!Q39+Jul!Q39+Ago!Q39+Set!Q39+Oct!Q39+Nov!Q39+Dic!Q39</f>
        <v>2798004.2399999998</v>
      </c>
      <c r="R39" s="247">
        <v>0.15</v>
      </c>
      <c r="S39" s="45">
        <f>Ene!S39+Feb!S39+Mar!S39+Abr!S39+May!S39+Jun!S39+Jul!S39+Ago!S39+Set!S39+Oct!S39+Nov!S39+Dic!S39</f>
        <v>699501.06000000017</v>
      </c>
      <c r="T39" s="286">
        <v>3.7499999999999999E-2</v>
      </c>
      <c r="U39" s="45">
        <f t="shared" si="62"/>
        <v>280025</v>
      </c>
      <c r="V39" s="45">
        <f t="shared" si="1"/>
        <v>18653361.714000002</v>
      </c>
      <c r="W39" s="84">
        <f t="shared" si="63"/>
        <v>767.2</v>
      </c>
      <c r="X39" s="85">
        <f t="shared" si="64"/>
        <v>66.613200000000006</v>
      </c>
      <c r="Y39" s="85">
        <f t="shared" si="65"/>
        <v>12.49</v>
      </c>
      <c r="Z39" s="45">
        <f t="shared" si="66"/>
        <v>3497505.3199999994</v>
      </c>
      <c r="AA39" s="45" t="str">
        <f t="shared" si="14"/>
        <v/>
      </c>
      <c r="AB39" s="45" t="str">
        <f t="shared" si="15"/>
        <v/>
      </c>
      <c r="AC39" s="84" t="str">
        <f t="shared" si="16"/>
        <v/>
      </c>
      <c r="AD39" s="85" t="str">
        <f t="shared" si="17"/>
        <v/>
      </c>
      <c r="AE39" s="85" t="str">
        <f t="shared" si="18"/>
        <v/>
      </c>
      <c r="AF39" s="45" t="str">
        <f t="shared" si="19"/>
        <v/>
      </c>
      <c r="AG39" s="55"/>
      <c r="AH39" s="132">
        <f t="shared" si="6"/>
        <v>-18663970.630000003</v>
      </c>
    </row>
    <row r="40" spans="1:34" x14ac:dyDescent="0.3">
      <c r="A40" s="26" t="s">
        <v>28</v>
      </c>
      <c r="B40" s="29" t="s">
        <v>178</v>
      </c>
      <c r="C40" s="260" t="s">
        <v>31</v>
      </c>
      <c r="D40" s="268" t="s">
        <v>30</v>
      </c>
      <c r="E40" s="260" t="s">
        <v>101</v>
      </c>
      <c r="F40" s="260" t="s">
        <v>37</v>
      </c>
      <c r="G40" s="45">
        <f>Ene!G40+Feb!G40+Mar!G40+Abr!G40+May!G40+Jun!G40+Jul!G40+Ago!G40+Set!G40+Oct!G40+Nov!G40+Dic!G40</f>
        <v>0</v>
      </c>
      <c r="H40" s="45">
        <f>Ene!H40+Feb!H40+Mar!H40+Abr!H40+May!H40+Jun!H40+Jul!H40+Ago!H40+Set!H40+Oct!H40+Nov!H40+Dic!H40</f>
        <v>0</v>
      </c>
      <c r="I40" s="45"/>
      <c r="J40" s="45"/>
      <c r="K40" s="45"/>
      <c r="L40" s="45"/>
      <c r="M40" s="45">
        <f>Ene!M40+Feb!M40+Mar!M40+Abr!M40+May!M40+Jun!M40+Jul!M40+Ago!M40+Set!M40+Oct!M40+Nov!M40+Dic!M40</f>
        <v>0</v>
      </c>
      <c r="N40" s="45">
        <f>Ene!N40+Feb!N40+Mar!N40+Abr!N40+May!N40+Jun!N40+Jul!N40+Ago!N40+Set!N40+Oct!N40+Nov!N40+Dic!N40</f>
        <v>0</v>
      </c>
      <c r="O40" s="45">
        <f>Ene!O40+Feb!O40+Mar!O40+Abr!O40+May!O40+Jun!O40+Jul!O40+Ago!O40+Set!O40+Oct!O40+Nov!O40+Dic!O40</f>
        <v>0</v>
      </c>
      <c r="P40" s="45">
        <f>Ene!P40+Feb!P40+Mar!P40+Abr!P40+May!P40+Jun!P40+Jul!P40+Ago!P40+Set!P40+Oct!P40+Nov!P40+Dic!P40</f>
        <v>0</v>
      </c>
      <c r="Q40" s="45">
        <f>Ene!Q40+Feb!Q40+Mar!Q40+Abr!Q40+May!Q40+Jun!Q40+Jul!Q40+Ago!Q40+Set!Q40+Oct!Q40+Nov!Q40+Dic!Q40</f>
        <v>0</v>
      </c>
      <c r="R40" s="247">
        <v>0.15</v>
      </c>
      <c r="S40" s="45">
        <f>Ene!S40+Feb!S40+Mar!S40+Abr!S40+May!S40+Jun!S40+Jul!S40+Ago!S40+Set!S40+Oct!S40+Nov!S40+Dic!S40</f>
        <v>0</v>
      </c>
      <c r="T40" s="286">
        <v>3.7499999999999999E-2</v>
      </c>
      <c r="U40" s="45">
        <f t="shared" ref="U40" si="67">IF($F40&amp;"/Día"=W$9,SUM($G40:$H40),"")</f>
        <v>0</v>
      </c>
      <c r="V40" s="45">
        <f t="shared" ref="V40" si="68">IF(U40&lt;&gt;"",$O40,"")</f>
        <v>0</v>
      </c>
      <c r="W40" s="84">
        <f t="shared" ref="W40" si="69">IF($F40&amp;"/Día"=W$9,ROUND(U40/$W$1,1),"")</f>
        <v>0</v>
      </c>
      <c r="X40" s="85">
        <f t="shared" ref="X40" si="70">IF(U40=0,0,IF($F40&amp;"/Día"=W$9,ROUND(V40/U40,4),""))</f>
        <v>0</v>
      </c>
      <c r="Y40" s="85">
        <f t="shared" ref="Y40" si="71">IF(U40=0,0,IF($F40&amp;"/Día"=W$9,ROUND(Z40/U40,4),""))</f>
        <v>0</v>
      </c>
      <c r="Z40" s="45">
        <f t="shared" ref="Z40" si="72">IF(U40&lt;&gt;"",$P40,"")</f>
        <v>0</v>
      </c>
      <c r="AA40" s="45" t="str">
        <f t="shared" ref="AA40" si="73">IF($F40&amp;"/Día"=AC$9,SUM($G40:$H40),"")</f>
        <v/>
      </c>
      <c r="AB40" s="45" t="str">
        <f t="shared" ref="AB40" si="74">IF(AA40&lt;&gt;"",$O40,"")</f>
        <v/>
      </c>
      <c r="AC40" s="84" t="str">
        <f t="shared" ref="AC40" si="75">IF($F40&amp;"/Día"=AC$9,ROUND(AA40/$W$1,1),"")</f>
        <v/>
      </c>
      <c r="AD40" s="85" t="str">
        <f t="shared" ref="AD40" si="76">IF(AA40=0,0,IF($F40&amp;"/Día"=AC$9,ROUND(AB40/AA40,4),""))</f>
        <v/>
      </c>
      <c r="AE40" s="85" t="str">
        <f t="shared" ref="AE40" si="77">IF(AA40=0,0,IF($F40&amp;"/Día"=AC$9,ROUND(AF40/AA40,4),""))</f>
        <v/>
      </c>
      <c r="AF40" s="45" t="str">
        <f t="shared" ref="AF40" si="78">IF(AA40&lt;&gt;"",$P40,"")</f>
        <v/>
      </c>
      <c r="AG40" s="55"/>
      <c r="AH40" s="132" t="str">
        <f t="shared" si="6"/>
        <v/>
      </c>
    </row>
    <row r="41" spans="1:34" x14ac:dyDescent="0.3">
      <c r="A41" s="30" t="s">
        <v>28</v>
      </c>
      <c r="B41" s="33" t="s">
        <v>52</v>
      </c>
      <c r="C41" s="61"/>
      <c r="D41" s="61"/>
      <c r="E41" s="274"/>
      <c r="F41" s="276"/>
      <c r="G41" s="45"/>
      <c r="H41" s="45"/>
      <c r="I41" s="45"/>
      <c r="J41" s="45"/>
      <c r="K41" s="45"/>
      <c r="L41" s="45"/>
      <c r="M41" s="45"/>
      <c r="N41" s="45">
        <f>Ene!N41+Feb!N41+Mar!N41+Abr!N41+May!N41+Jun!N41+Jul!N41+Ago!N41+Set!N41+Oct!N41+Nov!N41+Dic!N41</f>
        <v>0</v>
      </c>
      <c r="O41" s="45">
        <f>Ene!O41+Feb!O41+Mar!O41+Abr!O41+May!O41+Jun!O41+Jul!O41+Ago!O41+Set!O41+Oct!O41+Nov!O41+Dic!O41</f>
        <v>63333.476222232915</v>
      </c>
      <c r="P41" s="45">
        <f>Ene!P41+Feb!P41+Mar!P41+Abr!P41+May!P41+Jun!P41+Jul!P41+Ago!P41+Set!P41+Oct!P41+Nov!P41+Dic!P41</f>
        <v>11875.020000000324</v>
      </c>
      <c r="Q41" s="45">
        <f>Ene!Q41+Feb!Q41+Mar!Q41+Abr!Q41+May!Q41+Jun!Q41+Jul!Q41+Ago!Q41+Set!Q41+Oct!Q41+Nov!Q41+Dic!Q41</f>
        <v>9500.0500000002285</v>
      </c>
      <c r="R41" s="47"/>
      <c r="S41" s="45">
        <f>Ene!S41+Feb!S41+Mar!S41+Abr!S41+May!S41+Jun!S41+Jul!S41+Ago!S41+Set!S41+Oct!S41+Nov!S41+Dic!S41</f>
        <v>2375.0500000000411</v>
      </c>
      <c r="T41" s="47"/>
      <c r="U41" s="45" t="str">
        <f t="shared" si="62"/>
        <v/>
      </c>
      <c r="V41" s="45" t="str">
        <f t="shared" si="1"/>
        <v/>
      </c>
      <c r="W41" s="84" t="str">
        <f t="shared" si="63"/>
        <v/>
      </c>
      <c r="X41" s="85" t="str">
        <f t="shared" si="64"/>
        <v/>
      </c>
      <c r="Y41" s="85" t="str">
        <f t="shared" si="65"/>
        <v/>
      </c>
      <c r="Z41" s="45" t="str">
        <f t="shared" si="66"/>
        <v/>
      </c>
      <c r="AA41" s="45" t="str">
        <f>IF($F41&amp;"/Día"=AC$9,SUM($G41:$H41),"")</f>
        <v/>
      </c>
      <c r="AB41" s="45" t="str">
        <f>IF(AA41&lt;&gt;"",$O41,"")</f>
        <v/>
      </c>
      <c r="AC41" s="84" t="str">
        <f>IF($F41&amp;"/Día"=AC$9,ROUND(AA41/$W$1,1),"")</f>
        <v/>
      </c>
      <c r="AD41" s="85" t="str">
        <f>IF(AA41=0,0,IF($F41&amp;"/Día"=AC$9,ROUND(AB41/AA41,4),""))</f>
        <v/>
      </c>
      <c r="AE41" s="85" t="str">
        <f>IF(AA41=0,0,IF($F41&amp;"/Día"=AC$9,ROUND(AF41/AA41,4),""))</f>
        <v/>
      </c>
      <c r="AF41" s="45" t="str">
        <f>IF(AA41&lt;&gt;"",$P41,"")</f>
        <v/>
      </c>
      <c r="AG41" s="55"/>
      <c r="AH41" s="132">
        <f t="shared" si="6"/>
        <v>-63333.476222232915</v>
      </c>
    </row>
    <row r="42" spans="1:34" x14ac:dyDescent="0.3">
      <c r="A42" s="34"/>
      <c r="B42" s="165" t="s">
        <v>108</v>
      </c>
      <c r="C42" s="35" t="str">
        <f>TEXT(A$9,)&amp;" US$"</f>
        <v>Piura / Tumbes US$</v>
      </c>
      <c r="D42" s="23"/>
      <c r="E42" s="44"/>
      <c r="F42" s="43"/>
      <c r="G42" s="49"/>
      <c r="H42" s="49"/>
      <c r="I42" s="49"/>
      <c r="J42" s="49"/>
      <c r="K42" s="49"/>
      <c r="L42" s="49"/>
      <c r="M42" s="49"/>
      <c r="N42" s="65">
        <f>SUM(N10:N41)</f>
        <v>256687.6195</v>
      </c>
      <c r="O42" s="65">
        <f>SUM(O10:O41)</f>
        <v>751752991.92672217</v>
      </c>
      <c r="P42" s="65">
        <f>SUM(P10:P41)</f>
        <v>140953685.97999999</v>
      </c>
      <c r="Q42" s="65">
        <f>SUM(Q10:Q41)</f>
        <v>112730271.07000001</v>
      </c>
      <c r="R42" s="50"/>
      <c r="S42" s="65">
        <f>SUM(S10:S41)</f>
        <v>28223416.069999997</v>
      </c>
      <c r="T42" s="50"/>
      <c r="U42" s="86">
        <f>SUM(U10:U39)</f>
        <v>10368125.083000001</v>
      </c>
      <c r="V42" s="86">
        <f>SUM(V10:V39)</f>
        <v>693824685.70419991</v>
      </c>
      <c r="W42" s="87">
        <f>SUM(W10:W39)</f>
        <v>28405.8</v>
      </c>
      <c r="X42" s="88">
        <f>ROUND(V42/U42,4)</f>
        <v>66.918999999999997</v>
      </c>
      <c r="Y42" s="88">
        <f>ROUND(Z42/U42,4)</f>
        <v>12.5473</v>
      </c>
      <c r="Z42" s="86">
        <f>SUM(Z10:Z39)</f>
        <v>130092128.53999999</v>
      </c>
      <c r="AA42" s="86">
        <f>SUM(AA10:AA39)</f>
        <v>17857699.6435</v>
      </c>
      <c r="AB42" s="86">
        <f>SUM(AB10:AB39)</f>
        <v>57864972.746299997</v>
      </c>
      <c r="AC42" s="87">
        <f>SUM(AC10:AC39)</f>
        <v>48925.3</v>
      </c>
      <c r="AD42" s="88">
        <f>ROUND(AB42/AA42,4)</f>
        <v>3.2403</v>
      </c>
      <c r="AE42" s="88">
        <f>ROUND(AF42/AA42,4)</f>
        <v>0.60760000000000003</v>
      </c>
      <c r="AF42" s="86">
        <f>SUM(AF10:AF39)</f>
        <v>10849682.42</v>
      </c>
      <c r="AG42" s="48">
        <f>P42-Z42-AF42</f>
        <v>11875.01999999769</v>
      </c>
      <c r="AH42" s="86">
        <f>SUM(AH10:AH39)</f>
        <v>-751946346.07000005</v>
      </c>
    </row>
    <row r="43" spans="1:34" x14ac:dyDescent="0.3">
      <c r="A43" s="136"/>
      <c r="B43" s="137"/>
      <c r="C43" s="35" t="str">
        <f>TEXT(A$9,)&amp;" S/."</f>
        <v>Piura / Tumbes S/.</v>
      </c>
      <c r="D43" s="148"/>
      <c r="E43" s="148"/>
      <c r="F43" s="149"/>
      <c r="G43" s="56"/>
      <c r="H43" s="56"/>
      <c r="I43" s="56"/>
      <c r="J43" s="56"/>
      <c r="K43" s="56"/>
      <c r="L43" s="56"/>
      <c r="M43" s="155"/>
      <c r="N43" s="56"/>
      <c r="O43" s="150"/>
      <c r="P43" s="447">
        <f>Ene!P43+Feb!P43+Mar!P43+Abr!P43+May!P43+Jun!P43+Jul!P43+Ago!P43+Set!P43+Oct!P43+Nov!P43+Dic!P43</f>
        <v>551452326.63999999</v>
      </c>
      <c r="Q43" s="448">
        <f>Ene!Q43+Feb!Q43+Mar!Q43+Abr!Q43+May!Q43+Jun!Q43+Jul!Q43+Ago!Q43+Set!Q43+Oct!Q43+Nov!Q43+Dic!Q43</f>
        <v>441034734.73999995</v>
      </c>
      <c r="R43" s="449"/>
      <c r="S43" s="448">
        <f>Ene!S43+Feb!S43+Mar!S43+Abr!S43+May!S43+Jun!S43+Jul!S43+Ago!S43+Set!S43+Oct!S43+Nov!S43+Dic!S43</f>
        <v>110417596.54000002</v>
      </c>
      <c r="T43" s="50"/>
      <c r="U43" s="152"/>
      <c r="V43" s="152"/>
      <c r="W43" s="153"/>
      <c r="X43" s="154"/>
      <c r="Y43" s="154"/>
      <c r="Z43" s="152"/>
      <c r="AA43" s="152"/>
      <c r="AB43" s="152"/>
      <c r="AC43" s="153"/>
      <c r="AD43" s="154"/>
      <c r="AE43" s="154"/>
      <c r="AF43" s="152"/>
      <c r="AG43" s="152"/>
      <c r="AH43" s="152"/>
    </row>
    <row r="44" spans="1:34" x14ac:dyDescent="0.3">
      <c r="A44" s="18" t="s">
        <v>22</v>
      </c>
      <c r="B44" s="19"/>
      <c r="C44" s="63"/>
      <c r="D44" s="63"/>
      <c r="E44" s="20"/>
      <c r="F44" s="39"/>
      <c r="G44" s="51"/>
      <c r="H44" s="52"/>
      <c r="I44" s="53"/>
      <c r="J44" s="51"/>
      <c r="K44" s="51"/>
      <c r="L44" s="51"/>
      <c r="M44" s="51"/>
      <c r="N44" s="51"/>
      <c r="O44" s="130"/>
      <c r="P44" s="51"/>
      <c r="Q44" s="181" t="s">
        <v>49</v>
      </c>
      <c r="R44" s="182"/>
      <c r="S44" s="191"/>
      <c r="T44" s="182"/>
      <c r="U44" s="54"/>
      <c r="V44" s="54"/>
      <c r="W44" s="89"/>
      <c r="X44" s="90"/>
      <c r="Y44" s="90"/>
      <c r="Z44" s="90"/>
      <c r="AA44" s="54"/>
      <c r="AB44" s="54"/>
      <c r="AC44" s="89"/>
      <c r="AD44" s="90"/>
      <c r="AE44" s="90"/>
      <c r="AF44" s="90"/>
      <c r="AG44" s="51"/>
      <c r="AH44" s="131"/>
    </row>
    <row r="45" spans="1:34" x14ac:dyDescent="0.3">
      <c r="A45" s="30" t="s">
        <v>28</v>
      </c>
      <c r="B45" s="27" t="s">
        <v>11</v>
      </c>
      <c r="C45" s="62" t="s">
        <v>31</v>
      </c>
      <c r="D45" s="28" t="s">
        <v>30</v>
      </c>
      <c r="E45" s="62" t="s">
        <v>101</v>
      </c>
      <c r="F45" s="40" t="s">
        <v>37</v>
      </c>
      <c r="G45" s="45">
        <f>Ene!G45+Feb!G45+Mar!G45+Abr!G45+May!G45+Jun!G45+Jul!G45+Ago!G45+Set!G45+Oct!G45+Nov!G45+Dic!G45</f>
        <v>0</v>
      </c>
      <c r="H45" s="45">
        <f>Ene!H45+Feb!H45+Mar!H45+Abr!H45+May!H45+Jun!H45+Jul!H45+Ago!H45+Set!H45+Oct!H45+Nov!H45+Dic!H45</f>
        <v>0</v>
      </c>
      <c r="I45" s="45"/>
      <c r="J45" s="45"/>
      <c r="K45" s="45"/>
      <c r="L45" s="45"/>
      <c r="M45" s="45"/>
      <c r="N45" s="45">
        <f>Ene!N45+Feb!N45+Mar!N45+Abr!N45+May!N45+Jun!N45+Jul!N45+Ago!N45+Set!N45+Oct!N45+Nov!N45+Dic!N45</f>
        <v>0</v>
      </c>
      <c r="O45" s="45">
        <f>Ene!O45+Feb!O45+Mar!O45+Abr!O45+May!O45+Jun!O45+Jul!O45+Ago!O45+Set!O45+Oct!O45+Nov!O45+Dic!O45</f>
        <v>0</v>
      </c>
      <c r="P45" s="45">
        <f>Ene!P45+Feb!P45+Mar!P45+Abr!P45+May!P45+Jun!P45+Jul!P45+Ago!P45+Set!P45+Oct!P45+Nov!P45+Dic!P45</f>
        <v>0</v>
      </c>
      <c r="Q45" s="45">
        <f>Ene!Q45+Feb!Q45+Mar!Q45+Abr!Q45+May!Q45+Jun!Q45+Jul!Q45+Ago!Q45+Set!Q45+Oct!Q45+Nov!Q45+Dic!Q45</f>
        <v>0</v>
      </c>
      <c r="R45" s="429">
        <v>0.15</v>
      </c>
      <c r="S45" s="45"/>
      <c r="T45" s="36"/>
      <c r="U45" s="45">
        <f>IF($F45&amp;"/Día"=W$9,SUM($G45:$H45),"")</f>
        <v>0</v>
      </c>
      <c r="V45" s="45">
        <f>IF(U45&lt;&gt;"",$O45,"")</f>
        <v>0</v>
      </c>
      <c r="W45" s="84">
        <f>IF($F45&amp;"/Día"=W$9,ROUND(U45/$W$1,1),"")</f>
        <v>0</v>
      </c>
      <c r="X45" s="85">
        <f>IF(U45=0,0,IF($F45&amp;"/Día"=W$9,ROUND(V45/U45,4),""))</f>
        <v>0</v>
      </c>
      <c r="Y45" s="85">
        <f>IF(U45=0,0,IF($F45&amp;"/Día"=W$9,ROUND(Z45/U45,4),""))</f>
        <v>0</v>
      </c>
      <c r="Z45" s="45">
        <f>IF(U45&lt;&gt;"",$P45,"")</f>
        <v>0</v>
      </c>
      <c r="AA45" s="45" t="str">
        <f>IF($F45&amp;"/Día"=AC$9,SUM($G45:$H45),"")</f>
        <v/>
      </c>
      <c r="AB45" s="45" t="str">
        <f>IF(AA45&lt;&gt;"",$O45,"")</f>
        <v/>
      </c>
      <c r="AC45" s="84" t="str">
        <f>IF($F45&amp;"/Día"=AC$9,ROUND(AA45/$W$1,1),"")</f>
        <v/>
      </c>
      <c r="AD45" s="85" t="str">
        <f>IF(AA45=0,0,IF($F45&amp;"/Día"=AC$9,ROUND(AB45/AA45,4),""))</f>
        <v/>
      </c>
      <c r="AE45" s="85" t="str">
        <f>IF(AA45=0,0,IF($F45&amp;"/Día"=AC$9,ROUND(AF45/AA45,4),""))</f>
        <v/>
      </c>
      <c r="AF45" s="45" t="str">
        <f>IF(AA45&lt;&gt;"",$P45,"")</f>
        <v/>
      </c>
      <c r="AG45" s="55"/>
      <c r="AH45" s="132" t="str">
        <f>IF(O45=0,"",IF(I45="",H45*J45-SUM(K45:N45)-O45,+(G45*I45+H45*J45)-SUM(K45:N45)-O45))</f>
        <v/>
      </c>
    </row>
    <row r="46" spans="1:34" s="1" customFormat="1" ht="13.2" x14ac:dyDescent="0.25">
      <c r="A46" s="30" t="s">
        <v>28</v>
      </c>
      <c r="B46" s="315">
        <v>131</v>
      </c>
      <c r="C46" s="62" t="s">
        <v>31</v>
      </c>
      <c r="D46" s="28" t="s">
        <v>30</v>
      </c>
      <c r="E46" s="62" t="s">
        <v>101</v>
      </c>
      <c r="F46" s="40" t="s">
        <v>37</v>
      </c>
      <c r="G46" s="45">
        <f>Ene!G46+Feb!G46+Mar!G46+Abr!G46+May!G46+Jun!G46+Jul!G46+Ago!G46+Set!G46+Oct!G46+Nov!G46+Dic!G46</f>
        <v>260980</v>
      </c>
      <c r="H46" s="45">
        <f>Ene!H46+Feb!H46+Mar!H46+Abr!H46+May!H46+Jun!H46+Jul!H46+Ago!H46+Set!H46+Oct!H46+Nov!H46+Dic!H46</f>
        <v>275473</v>
      </c>
      <c r="I46" s="45"/>
      <c r="J46" s="45"/>
      <c r="K46" s="45"/>
      <c r="L46" s="45"/>
      <c r="M46" s="45"/>
      <c r="N46" s="45">
        <f>Ene!N46+Feb!N46+Mar!N46+Abr!N46+May!N46+Jun!N46+Jul!N46+Ago!N46+Set!N46+Oct!N46+Nov!N46+Dic!N46</f>
        <v>42733.770899999996</v>
      </c>
      <c r="O46" s="45">
        <f>Ene!O46+Feb!O46+Mar!O46+Abr!O46+May!O46+Jun!O46+Jul!O46+Ago!O46+Set!O46+Oct!O46+Nov!O46+Dic!O46</f>
        <v>31400888.849100001</v>
      </c>
      <c r="P46" s="45">
        <f>Ene!P46+Feb!P46+Mar!P46+Abr!P46+May!P46+Jun!P46+Jul!P46+Ago!P46+Set!P46+Oct!P46+Nov!P46+Dic!P46</f>
        <v>4710133.32</v>
      </c>
      <c r="Q46" s="45">
        <f>Ene!Q46+Feb!Q46+Mar!Q46+Abr!Q46+May!Q46+Jun!Q46+Jul!Q46+Ago!Q46+Set!Q46+Oct!Q46+Nov!Q46+Dic!Q46</f>
        <v>4710133.32</v>
      </c>
      <c r="R46" s="430">
        <v>0.15</v>
      </c>
      <c r="S46" s="391"/>
      <c r="T46" s="257"/>
      <c r="U46" s="45">
        <f>IF($F46&amp;"/Día"=W$9,SUM($G46:$H46),"")</f>
        <v>536453</v>
      </c>
      <c r="V46" s="45">
        <f>IF(U46&lt;&gt;"",$O46,"")</f>
        <v>31400888.849100001</v>
      </c>
      <c r="W46" s="84">
        <f>IF($F46&amp;"/Día"=W$9,ROUND(U46/$W$1,1),"")</f>
        <v>1469.7</v>
      </c>
      <c r="X46" s="85">
        <f>IF(U46=0,0,IF($F46&amp;"/Día"=W$9,ROUND(V46/U46,4),""))</f>
        <v>58.534300000000002</v>
      </c>
      <c r="Y46" s="85">
        <f>IF(U46=0,0,IF($F46&amp;"/Día"=W$9,ROUND(Z46/U46,4),""))</f>
        <v>8.7800999999999991</v>
      </c>
      <c r="Z46" s="45">
        <f>IF(U46&lt;&gt;"",$P46,"")</f>
        <v>4710133.32</v>
      </c>
      <c r="AA46" s="45" t="str">
        <f>IF($F46&amp;"/Día"=AC$9,SUM($G46:$H46),"")</f>
        <v/>
      </c>
      <c r="AB46" s="45" t="str">
        <f>IF(AA46&lt;&gt;"",$O46,"")</f>
        <v/>
      </c>
      <c r="AC46" s="84" t="str">
        <f>IF($F46&amp;"/Día"=AC$9,ROUND(AA46/$W$1,1),"")</f>
        <v/>
      </c>
      <c r="AD46" s="85" t="str">
        <f>IF(AA46=0,0,IF($F46&amp;"/Día"=AC$9,ROUND(AB46/AA46,4),""))</f>
        <v/>
      </c>
      <c r="AE46" s="85" t="str">
        <f>IF(AA46=0,0,IF($F46&amp;"/Día"=AC$9,ROUND(AF46/AA46,4),""))</f>
        <v/>
      </c>
      <c r="AF46" s="45" t="str">
        <f>IF(AA46&lt;&gt;"",$P46,"")</f>
        <v/>
      </c>
      <c r="AG46" s="55"/>
    </row>
    <row r="47" spans="1:34" x14ac:dyDescent="0.3">
      <c r="A47" s="30" t="s">
        <v>28</v>
      </c>
      <c r="B47" s="33" t="s">
        <v>53</v>
      </c>
      <c r="C47" s="61"/>
      <c r="D47" s="61"/>
      <c r="E47" s="8"/>
      <c r="F47" s="97"/>
      <c r="G47" s="45"/>
      <c r="H47" s="45"/>
      <c r="I47" s="45"/>
      <c r="J47" s="45"/>
      <c r="K47" s="45"/>
      <c r="L47" s="45"/>
      <c r="M47" s="45"/>
      <c r="N47" s="45">
        <f>Ene!N47+Feb!N47+Mar!N47+Abr!N47+May!N47+Jun!N47+Jul!N47+Ago!N47+Set!N47+Oct!N47+Nov!N47+Dic!N47</f>
        <v>0</v>
      </c>
      <c r="O47" s="45">
        <f>Ene!O47+Feb!O47+Mar!O47+Abr!O47+May!O47+Jun!O47+Jul!O47+Ago!O47+Set!O47+Oct!O47+Nov!O47+Dic!O47</f>
        <v>98748.560000001045</v>
      </c>
      <c r="P47" s="45">
        <f>Ene!P47+Feb!P47+Mar!P47+Abr!P47+May!P47+Jun!P47+Jul!P47+Ago!P47+Set!P47+Oct!P47+Nov!P47+Dic!P47</f>
        <v>14812.270000000019</v>
      </c>
      <c r="Q47" s="45">
        <f>Ene!Q47+Feb!Q47+Mar!Q47+Abr!Q47+May!Q47+Jun!Q47+Jul!Q47+Ago!Q47+Set!Q47+Oct!Q47+Nov!Q47+Dic!Q47</f>
        <v>14812.270000000019</v>
      </c>
      <c r="R47" s="431"/>
      <c r="S47" s="45"/>
      <c r="T47" s="47"/>
      <c r="U47" s="45" t="str">
        <f>IF($F47&amp;"/Día"=W$9,SUM($G47:$H47),"")</f>
        <v/>
      </c>
      <c r="V47" s="45" t="str">
        <f>IF(U47&lt;&gt;"",$O47,"")</f>
        <v/>
      </c>
      <c r="W47" s="84" t="str">
        <f>IF($F47&amp;"/Día"=W$9,ROUND(U47/$W$1,1),"")</f>
        <v/>
      </c>
      <c r="X47" s="85" t="str">
        <f>IF(U47=0,0,IF($F47&amp;"/Día"=W$9,ROUND(V47/U47,4),""))</f>
        <v/>
      </c>
      <c r="Y47" s="85" t="str">
        <f>IF(U47=0,0,IF($F47&amp;"/Día"=W$9,ROUND(Z47/U47,4),""))</f>
        <v/>
      </c>
      <c r="Z47" s="45" t="str">
        <f>IF(U47&lt;&gt;"",$P47,"")</f>
        <v/>
      </c>
      <c r="AA47" s="45" t="str">
        <f>IF($F47&amp;"/Día"=AC$9,SUM($G47:$H47),"")</f>
        <v/>
      </c>
      <c r="AB47" s="45" t="str">
        <f>IF(AA47&lt;&gt;"",$O47,"")</f>
        <v/>
      </c>
      <c r="AC47" s="84" t="str">
        <f>IF($F47&amp;"/Día"=AC$9,ROUND(AA47/$W$1,1),"")</f>
        <v/>
      </c>
      <c r="AD47" s="85" t="str">
        <f>IF(AA47=0,0,IF($F47&amp;"/Día"=AC$9,ROUND(AB47/AA47,4),""))</f>
        <v/>
      </c>
      <c r="AE47" s="85" t="str">
        <f>IF(AA47=0,0,IF($F47&amp;"/Día"=AC$9,ROUND(AF47/AA47,4),""))</f>
        <v/>
      </c>
      <c r="AF47" s="45" t="str">
        <f>IF(AA47&lt;&gt;"",$P47,"")</f>
        <v/>
      </c>
      <c r="AG47" s="55"/>
      <c r="AH47" s="132">
        <f>IF(O47=0,"",IF(I47="",H47*J47-SUM(K47:N47)-O47,+(G47*I47+H47*J47)-SUM(K47:N47)-O47))</f>
        <v>-98748.560000001045</v>
      </c>
    </row>
    <row r="48" spans="1:34" x14ac:dyDescent="0.3">
      <c r="A48" s="34"/>
      <c r="B48" s="165" t="s">
        <v>108</v>
      </c>
      <c r="C48" s="35" t="str">
        <f>TEXT(A$44,)&amp;" US$"</f>
        <v>Provincia Puerto Inca Huanuco US$</v>
      </c>
      <c r="D48" s="23"/>
      <c r="E48" s="44"/>
      <c r="F48" s="43"/>
      <c r="G48" s="57"/>
      <c r="H48" s="57"/>
      <c r="I48" s="58"/>
      <c r="J48" s="58"/>
      <c r="K48" s="58"/>
      <c r="L48" s="58"/>
      <c r="M48" s="57"/>
      <c r="N48" s="65">
        <f>SUM(N45:N47)</f>
        <v>42733.770899999996</v>
      </c>
      <c r="O48" s="65">
        <f t="shared" ref="O48:Q48" si="79">SUM(O45:O47)</f>
        <v>31499637.409100004</v>
      </c>
      <c r="P48" s="65">
        <f t="shared" si="79"/>
        <v>4724945.59</v>
      </c>
      <c r="Q48" s="65">
        <f t="shared" si="79"/>
        <v>4724945.59</v>
      </c>
      <c r="R48" s="57"/>
      <c r="S48" s="86"/>
      <c r="T48" s="57"/>
      <c r="U48" s="48">
        <f>SUM(U45:U47)</f>
        <v>536453</v>
      </c>
      <c r="V48" s="48">
        <f>SUM(V45:V47)</f>
        <v>31400888.849100001</v>
      </c>
      <c r="W48" s="91">
        <f>SUM(W45:W47)</f>
        <v>1469.7</v>
      </c>
      <c r="X48" s="92">
        <f>ROUND(V48/U48,4)</f>
        <v>58.534300000000002</v>
      </c>
      <c r="Y48" s="92">
        <f>ROUND(Z48/U48,4)</f>
        <v>8.7800999999999991</v>
      </c>
      <c r="Z48" s="48">
        <f>SUM(Z45:Z47)</f>
        <v>4710133.32</v>
      </c>
      <c r="AA48" s="48">
        <f>SUM(AA45:AA47)</f>
        <v>0</v>
      </c>
      <c r="AB48" s="48">
        <f>SUM(AB45:AB47)</f>
        <v>0</v>
      </c>
      <c r="AC48" s="91">
        <f>SUM(AC45:AC47)</f>
        <v>0</v>
      </c>
      <c r="AD48" s="92">
        <f>IF(AA48=0,0,ROUND(AB48/AA48,4))</f>
        <v>0</v>
      </c>
      <c r="AE48" s="92">
        <f>IF(AA48=0,0,ROUND(AF48/AA48,4))</f>
        <v>0</v>
      </c>
      <c r="AF48" s="48">
        <f>SUM(AF45:AF47)</f>
        <v>0</v>
      </c>
      <c r="AG48" s="86">
        <f>P48-Z48-AF48</f>
        <v>14812.269999999553</v>
      </c>
      <c r="AH48" s="133"/>
    </row>
    <row r="49" spans="1:34" x14ac:dyDescent="0.3">
      <c r="A49" s="136"/>
      <c r="B49" s="137"/>
      <c r="C49" s="35" t="str">
        <f>TEXT(A$44,)&amp;" S/."</f>
        <v>Provincia Puerto Inca Huanuco S/.</v>
      </c>
      <c r="D49" s="148"/>
      <c r="E49" s="148"/>
      <c r="F49" s="149"/>
      <c r="G49" s="155"/>
      <c r="H49" s="155"/>
      <c r="I49" s="156"/>
      <c r="J49" s="156"/>
      <c r="K49" s="156"/>
      <c r="L49" s="156"/>
      <c r="M49" s="155"/>
      <c r="N49" s="155"/>
      <c r="O49" s="150"/>
      <c r="P49" s="450">
        <f>Ene!P49+Feb!P49+Mar!P49+Abr!P49+May!P49+Jun!P49+Jul!P49+Ago!P49+Set!P49+Oct!P49+Nov!P49+Dic!P49</f>
        <v>18497107.82</v>
      </c>
      <c r="Q49" s="448">
        <f>Ene!Q49+Feb!Q49+Mar!Q49+Abr!Q49+May!Q49+Jun!Q49+Jul!Q49+Ago!Q49+Set!Q49+Oct!Q49+Nov!Q49+Dic!Q49</f>
        <v>18497107.82</v>
      </c>
      <c r="R49" s="166"/>
      <c r="S49" s="167"/>
      <c r="T49" s="151"/>
      <c r="U49" s="152"/>
      <c r="V49" s="152"/>
      <c r="W49" s="153"/>
      <c r="X49" s="154"/>
      <c r="Y49" s="154"/>
      <c r="Z49" s="152"/>
      <c r="AA49" s="152"/>
      <c r="AB49" s="152"/>
      <c r="AC49" s="153"/>
      <c r="AD49" s="154"/>
      <c r="AE49" s="154"/>
      <c r="AF49" s="152"/>
      <c r="AG49" s="152"/>
      <c r="AH49" s="164"/>
    </row>
    <row r="50" spans="1:34" x14ac:dyDescent="0.3">
      <c r="A50" s="18" t="s">
        <v>24</v>
      </c>
      <c r="B50" s="19"/>
      <c r="C50" s="63"/>
      <c r="D50" s="63"/>
      <c r="E50" s="20"/>
      <c r="F50" s="39"/>
      <c r="G50" s="51"/>
      <c r="H50" s="52"/>
      <c r="I50" s="53"/>
      <c r="J50" s="51"/>
      <c r="K50" s="51"/>
      <c r="L50" s="73"/>
      <c r="M50" s="51"/>
      <c r="N50" s="51"/>
      <c r="O50" s="53"/>
      <c r="P50" s="51"/>
      <c r="Q50" s="181" t="s">
        <v>47</v>
      </c>
      <c r="R50" s="182"/>
      <c r="S50" s="183" t="s">
        <v>48</v>
      </c>
      <c r="T50" s="182"/>
      <c r="U50" s="51"/>
      <c r="V50" s="51"/>
      <c r="W50" s="82"/>
      <c r="X50" s="83"/>
      <c r="Y50" s="83"/>
      <c r="Z50" s="83"/>
      <c r="AA50" s="51"/>
      <c r="AB50" s="51"/>
      <c r="AC50" s="82"/>
      <c r="AD50" s="83"/>
      <c r="AE50" s="83"/>
      <c r="AF50" s="83"/>
      <c r="AG50" s="51"/>
      <c r="AH50" s="131"/>
    </row>
    <row r="51" spans="1:34" x14ac:dyDescent="0.3">
      <c r="A51" s="26" t="s">
        <v>28</v>
      </c>
      <c r="B51" s="29" t="s">
        <v>167</v>
      </c>
      <c r="C51" s="62" t="s">
        <v>31</v>
      </c>
      <c r="D51" s="62" t="s">
        <v>30</v>
      </c>
      <c r="E51" s="62" t="s">
        <v>101</v>
      </c>
      <c r="F51" s="40" t="s">
        <v>37</v>
      </c>
      <c r="G51" s="45">
        <f>Ene!G51+Feb!G51+Mar!G51+Abr!G51+May!G51+Jun!G51+Jul!G51+Ago!G51+Set!G51+Oct!G51+Nov!G51+Dic!G51</f>
        <v>0</v>
      </c>
      <c r="H51" s="45">
        <f>Ene!H51+Feb!H51+Mar!H51+Abr!H51+May!H51+Jun!H51+Jul!H51+Ago!H51+Set!H51+Oct!H51+Nov!H51+Dic!H51</f>
        <v>0</v>
      </c>
      <c r="I51" s="45"/>
      <c r="J51" s="45"/>
      <c r="K51" s="45"/>
      <c r="L51" s="45"/>
      <c r="M51" s="45"/>
      <c r="N51" s="45">
        <f>Ene!N51+Feb!N51+Mar!N51+Abr!N51+May!N51+Jun!N51+Jul!N51+Ago!N51+Set!N51+Oct!N51+Nov!N51+Dic!N51</f>
        <v>0</v>
      </c>
      <c r="O51" s="45">
        <f>Ene!O51+Feb!O51+Mar!O51+Abr!O51+May!O51+Jun!O51+Jul!O51+Ago!O51+Set!O51+Oct!O51+Nov!O51+Dic!O51</f>
        <v>0</v>
      </c>
      <c r="P51" s="45">
        <f>Ene!P51+Feb!P51+Mar!P51+Abr!P51+May!P51+Jun!P51+Jul!P51+Ago!P51+Set!P51+Oct!P51+Nov!P51+Dic!P51</f>
        <v>0</v>
      </c>
      <c r="Q51" s="45">
        <f>Ene!Q51+Feb!Q51+Mar!Q51+Abr!Q51+May!Q51+Jun!Q51+Jul!Q51+Ago!Q51+Set!Q51+Oct!Q51+Nov!Q51+Dic!Q51</f>
        <v>0</v>
      </c>
      <c r="R51" s="47">
        <v>0.15</v>
      </c>
      <c r="S51" s="45">
        <f>Ene!S51+Feb!S51+Mar!S51+Abr!S51+May!S51+Jun!S51+Jul!S51+Ago!S51+Set!S51+Oct!S51+Nov!S51+Dic!S51</f>
        <v>0</v>
      </c>
      <c r="T51" s="286">
        <v>3.7499999999999999E-2</v>
      </c>
      <c r="U51" s="45">
        <f t="shared" ref="U51:U62" si="80">IF($F51&amp;"/Día"=W$9,SUM($G51:$H51),"")</f>
        <v>0</v>
      </c>
      <c r="V51" s="45">
        <f t="shared" ref="V51:V62" si="81">IF(U51&lt;&gt;"",$O51,"")</f>
        <v>0</v>
      </c>
      <c r="W51" s="84">
        <f t="shared" ref="W51:W62" si="82">IF($F51&amp;"/Día"=W$9,ROUND(U51/$W$1,1),"")</f>
        <v>0</v>
      </c>
      <c r="X51" s="85">
        <f t="shared" ref="X51:X62" si="83">IF(U51=0,0,IF($F51&amp;"/Día"=W$9,ROUND(V51/U51,4),""))</f>
        <v>0</v>
      </c>
      <c r="Y51" s="85">
        <f t="shared" ref="Y51:Y62" si="84">IF(U51=0,0,IF($F51&amp;"/Día"=W$9,ROUND(Z51/U51,4),""))</f>
        <v>0</v>
      </c>
      <c r="Z51" s="45">
        <f t="shared" ref="Z51:Z62" si="85">IF(U51&lt;&gt;"",$P51,"")</f>
        <v>0</v>
      </c>
      <c r="AA51" s="45" t="str">
        <f t="shared" ref="AA51:AA58" si="86">IF($F51&amp;"/Día"=AC$9,SUM($G51:$H51),"")</f>
        <v/>
      </c>
      <c r="AB51" s="45" t="str">
        <f t="shared" ref="AB51:AB58" si="87">IF(AA51&lt;&gt;"",$O51,"")</f>
        <v/>
      </c>
      <c r="AC51" s="84" t="str">
        <f t="shared" ref="AC51:AC58" si="88">IF($F51&amp;"/Día"=AC$9,ROUND(AA51/$W$1,1),"")</f>
        <v/>
      </c>
      <c r="AD51" s="85" t="str">
        <f t="shared" ref="AD51:AD58" si="89">IF(AA51=0,0,IF($F51&amp;"/Día"=AC$9,ROUND(AB51/AA51,4),""))</f>
        <v/>
      </c>
      <c r="AE51" s="85" t="str">
        <f t="shared" ref="AE51:AE58" si="90">IF(AA51=0,0,IF($F51&amp;"/Día"=AC$9,ROUND(AF51/AA51,4),""))</f>
        <v/>
      </c>
      <c r="AF51" s="45" t="str">
        <f t="shared" ref="AF51:AF58" si="91">IF(AA51&lt;&gt;"",$P51,"")</f>
        <v/>
      </c>
      <c r="AG51" s="55"/>
      <c r="AH51" s="132" t="str">
        <f t="shared" ref="AH51:AH58" si="92">IF(O51=0,"",IF(I51="",H51*J51-SUM(K51:N51)-O51,+(G51*I51+H51*J51)-SUM(K51:N51)-O51))</f>
        <v/>
      </c>
    </row>
    <row r="52" spans="1:34" x14ac:dyDescent="0.3">
      <c r="A52" s="26" t="s">
        <v>28</v>
      </c>
      <c r="B52" s="32">
        <v>192</v>
      </c>
      <c r="C52" s="62" t="s">
        <v>31</v>
      </c>
      <c r="D52" s="28" t="s">
        <v>30</v>
      </c>
      <c r="E52" s="62" t="s">
        <v>101</v>
      </c>
      <c r="F52" s="40" t="s">
        <v>37</v>
      </c>
      <c r="G52" s="45">
        <f>Ene!G52+Feb!G52+Mar!G52+Abr!G52+May!G52+Jun!G52+Jul!G52+Ago!G52+Set!G52+Oct!G52+Nov!G52+Dic!G52</f>
        <v>0</v>
      </c>
      <c r="H52" s="45">
        <f>Ene!H52+Feb!H52+Mar!H52+Abr!H52+May!H52+Jun!H52+Jul!H52+Ago!H52+Set!H52+Oct!H52+Nov!H52+Dic!H52</f>
        <v>110701</v>
      </c>
      <c r="I52" s="45"/>
      <c r="J52" s="45"/>
      <c r="K52" s="45"/>
      <c r="L52" s="45"/>
      <c r="M52" s="45"/>
      <c r="N52" s="45">
        <f>Ene!N52+Feb!N52+Mar!N52+Abr!N52+May!N52+Jun!N52+Jul!N52+Ago!N52+Set!N52+Oct!N52+Nov!N52+Dic!N52</f>
        <v>291.97000000000003</v>
      </c>
      <c r="O52" s="45">
        <f>Ene!O52+Feb!O52+Mar!O52+Abr!O52+May!O52+Jun!O52+Jul!O52+Ago!O52+Set!O52+Oct!O52+Nov!O52+Dic!O52</f>
        <v>5477457.2999999989</v>
      </c>
      <c r="P52" s="45">
        <f>Ene!P52+Feb!P52+Mar!P52+Abr!P52+May!P52+Jun!P52+Jul!P52+Ago!P52+Set!P52+Oct!P52+Nov!P52+Dic!P52</f>
        <v>1027023.24</v>
      </c>
      <c r="Q52" s="45">
        <f>Ene!Q52+Feb!Q52+Mar!Q52+Abr!Q52+May!Q52+Jun!Q52+Jul!Q52+Ago!Q52+Set!Q52+Oct!Q52+Nov!Q52+Dic!Q52</f>
        <v>821618.59</v>
      </c>
      <c r="R52" s="47">
        <v>0.15</v>
      </c>
      <c r="S52" s="45">
        <f>Ene!S52+Feb!S52+Mar!S52+Abr!S52+May!S52+Jun!S52+Jul!S52+Ago!S52+Set!S52+Oct!S52+Nov!S52+Dic!S52</f>
        <v>205404.65</v>
      </c>
      <c r="T52" s="286">
        <v>3.7499999999999999E-2</v>
      </c>
      <c r="U52" s="45">
        <f t="shared" si="80"/>
        <v>110701</v>
      </c>
      <c r="V52" s="45">
        <f t="shared" si="81"/>
        <v>5477457.2999999989</v>
      </c>
      <c r="W52" s="84">
        <f t="shared" si="82"/>
        <v>303.3</v>
      </c>
      <c r="X52" s="85">
        <f t="shared" si="83"/>
        <v>49.479700000000001</v>
      </c>
      <c r="Y52" s="85">
        <f t="shared" si="84"/>
        <v>9.2774999999999999</v>
      </c>
      <c r="Z52" s="45">
        <f t="shared" si="85"/>
        <v>1027023.24</v>
      </c>
      <c r="AA52" s="45" t="str">
        <f t="shared" si="86"/>
        <v/>
      </c>
      <c r="AB52" s="45" t="str">
        <f t="shared" si="87"/>
        <v/>
      </c>
      <c r="AC52" s="84" t="str">
        <f t="shared" si="88"/>
        <v/>
      </c>
      <c r="AD52" s="85" t="str">
        <f t="shared" si="89"/>
        <v/>
      </c>
      <c r="AE52" s="85" t="str">
        <f t="shared" si="90"/>
        <v/>
      </c>
      <c r="AF52" s="45" t="str">
        <f t="shared" si="91"/>
        <v/>
      </c>
      <c r="AG52" s="55"/>
      <c r="AH52" s="132">
        <f t="shared" si="92"/>
        <v>-5477749.2699999986</v>
      </c>
    </row>
    <row r="53" spans="1:34" x14ac:dyDescent="0.3">
      <c r="A53" s="26" t="s">
        <v>28</v>
      </c>
      <c r="B53" s="32">
        <v>8</v>
      </c>
      <c r="C53" s="62" t="s">
        <v>31</v>
      </c>
      <c r="D53" s="28" t="s">
        <v>21</v>
      </c>
      <c r="E53" s="62" t="s">
        <v>101</v>
      </c>
      <c r="F53" s="40" t="s">
        <v>37</v>
      </c>
      <c r="G53" s="45">
        <f>Ene!G53+Feb!G53+Mar!G53+Abr!G53+May!G53+Jun!G53+Jul!G53+Ago!G53+Set!G53+Oct!G53+Nov!G53+Dic!G53</f>
        <v>0</v>
      </c>
      <c r="H53" s="45">
        <f>Ene!H53+Feb!H53+Mar!H53+Abr!H53+May!H53+Jun!H53+Jul!H53+Ago!H53+Set!H53+Oct!H53+Nov!H53+Dic!H53</f>
        <v>0</v>
      </c>
      <c r="I53" s="45"/>
      <c r="J53" s="45"/>
      <c r="K53" s="45"/>
      <c r="L53" s="45"/>
      <c r="M53" s="45"/>
      <c r="N53" s="45">
        <f>Ene!N53+Feb!N53+Mar!N53+Abr!N53+May!N53+Jun!N53+Jul!N53+Ago!N53+Set!N53+Oct!N53+Nov!N53+Dic!N53</f>
        <v>0</v>
      </c>
      <c r="O53" s="45">
        <f>Ene!O53+Feb!O53+Mar!O53+Abr!O53+May!O53+Jun!O53+Jul!O53+Ago!O53+Set!O53+Oct!O53+Nov!O53+Dic!O53</f>
        <v>0</v>
      </c>
      <c r="P53" s="45">
        <f>Ene!P53+Feb!P53+Mar!P53+Abr!P53+May!P53+Jun!P53+Jul!P53+Ago!P53+Set!P53+Oct!P53+Nov!P53+Dic!P53</f>
        <v>0</v>
      </c>
      <c r="Q53" s="45">
        <f>Ene!Q53+Feb!Q53+Mar!Q53+Abr!Q53+May!Q53+Jun!Q53+Jul!Q53+Ago!Q53+Set!Q53+Oct!Q53+Nov!Q53+Dic!Q53</f>
        <v>0</v>
      </c>
      <c r="R53" s="47">
        <v>0.15</v>
      </c>
      <c r="S53" s="45">
        <f>Ene!S53+Feb!S53+Mar!S53+Abr!S53+May!S53+Jun!S53+Jul!S53+Ago!S53+Set!S53+Oct!S53+Nov!S53+Dic!S53</f>
        <v>0</v>
      </c>
      <c r="T53" s="286">
        <v>3.7499999999999999E-2</v>
      </c>
      <c r="U53" s="45">
        <f t="shared" si="80"/>
        <v>0</v>
      </c>
      <c r="V53" s="45">
        <f t="shared" si="81"/>
        <v>0</v>
      </c>
      <c r="W53" s="84">
        <f t="shared" si="82"/>
        <v>0</v>
      </c>
      <c r="X53" s="85">
        <f t="shared" si="83"/>
        <v>0</v>
      </c>
      <c r="Y53" s="85">
        <f t="shared" si="84"/>
        <v>0</v>
      </c>
      <c r="Z53" s="45">
        <f t="shared" si="85"/>
        <v>0</v>
      </c>
      <c r="AA53" s="45" t="str">
        <f t="shared" si="86"/>
        <v/>
      </c>
      <c r="AB53" s="45" t="str">
        <f t="shared" si="87"/>
        <v/>
      </c>
      <c r="AC53" s="84" t="str">
        <f t="shared" si="88"/>
        <v/>
      </c>
      <c r="AD53" s="85" t="str">
        <f t="shared" si="89"/>
        <v/>
      </c>
      <c r="AE53" s="85" t="str">
        <f t="shared" si="90"/>
        <v/>
      </c>
      <c r="AF53" s="45" t="str">
        <f t="shared" si="91"/>
        <v/>
      </c>
      <c r="AG53" s="55"/>
      <c r="AH53" s="132" t="str">
        <f t="shared" si="92"/>
        <v/>
      </c>
    </row>
    <row r="54" spans="1:34" x14ac:dyDescent="0.3">
      <c r="A54" s="26" t="s">
        <v>28</v>
      </c>
      <c r="B54" s="32">
        <v>8</v>
      </c>
      <c r="C54" s="62" t="s">
        <v>31</v>
      </c>
      <c r="D54" s="28" t="s">
        <v>21</v>
      </c>
      <c r="E54" s="62" t="s">
        <v>101</v>
      </c>
      <c r="F54" s="40" t="s">
        <v>37</v>
      </c>
      <c r="G54" s="45">
        <f>Ene!G54+Feb!G54+Mar!G54+Abr!G54+May!G54+Jun!G54+Jul!G54+Ago!G54+Set!G54+Oct!G54+Nov!G54+Dic!G54</f>
        <v>0</v>
      </c>
      <c r="H54" s="45">
        <f>Ene!H54+Feb!H54+Mar!H54+Abr!H54+May!H54+Jun!H54+Jul!H54+Ago!H54+Set!H54+Oct!H54+Nov!H54+Dic!H54</f>
        <v>0</v>
      </c>
      <c r="I54" s="45"/>
      <c r="J54" s="45"/>
      <c r="K54" s="45"/>
      <c r="L54" s="45"/>
      <c r="M54" s="45"/>
      <c r="N54" s="45">
        <f>Ene!N54+Feb!N54+Mar!N54+Abr!N54+May!N54+Jun!N54+Jul!N54+Ago!N54+Set!N54+Oct!N54+Nov!N54+Dic!N54</f>
        <v>0</v>
      </c>
      <c r="O54" s="45">
        <f>Ene!O54+Feb!O54+Mar!O54+Abr!O54+May!O54+Jun!O54+Jul!O54+Ago!O54+Set!O54+Oct!O54+Nov!O54+Dic!O54</f>
        <v>0</v>
      </c>
      <c r="P54" s="45">
        <f>Ene!P54+Feb!P54+Mar!P54+Abr!P54+May!P54+Jun!P54+Jul!P54+Ago!P54+Set!P54+Oct!P54+Nov!P54+Dic!P54</f>
        <v>0</v>
      </c>
      <c r="Q54" s="45">
        <f>Ene!Q54+Feb!Q54+Mar!Q54+Abr!Q54+May!Q54+Jun!Q54+Jul!Q54+Ago!Q54+Set!Q54+Oct!Q54+Nov!Q54+Dic!Q54</f>
        <v>0</v>
      </c>
      <c r="R54" s="47">
        <v>0.15</v>
      </c>
      <c r="S54" s="45">
        <f>Ene!S54+Feb!S54+Mar!S54+Abr!S54+May!S54+Jun!S54+Jul!S54+Ago!S54+Set!S54+Oct!S54+Nov!S54+Dic!S54</f>
        <v>0</v>
      </c>
      <c r="T54" s="286">
        <v>3.7499999999999999E-2</v>
      </c>
      <c r="U54" s="45">
        <f t="shared" ref="U54" si="93">IF($F54&amp;"/Día"=W$9,SUM($G54:$H54),"")</f>
        <v>0</v>
      </c>
      <c r="V54" s="45">
        <f t="shared" ref="V54" si="94">IF(U54&lt;&gt;"",$O54,"")</f>
        <v>0</v>
      </c>
      <c r="W54" s="84">
        <f t="shared" ref="W54" si="95">IF($F54&amp;"/Día"=W$9,ROUND(U54/$W$1,1),"")</f>
        <v>0</v>
      </c>
      <c r="X54" s="85">
        <f t="shared" ref="X54" si="96">IF(U54=0,0,IF($F54&amp;"/Día"=W$9,ROUND(V54/U54,4),""))</f>
        <v>0</v>
      </c>
      <c r="Y54" s="85">
        <f t="shared" ref="Y54" si="97">IF(U54=0,0,IF($F54&amp;"/Día"=W$9,ROUND(Z54/U54,4),""))</f>
        <v>0</v>
      </c>
      <c r="Z54" s="45">
        <f t="shared" ref="Z54" si="98">IF(U54&lt;&gt;"",$P54,"")</f>
        <v>0</v>
      </c>
      <c r="AA54" s="45" t="str">
        <f t="shared" ref="AA54" si="99">IF($F54&amp;"/Día"=AC$9,SUM($G54:$H54),"")</f>
        <v/>
      </c>
      <c r="AB54" s="45" t="str">
        <f t="shared" ref="AB54" si="100">IF(AA54&lt;&gt;"",$O54,"")</f>
        <v/>
      </c>
      <c r="AC54" s="84" t="str">
        <f t="shared" ref="AC54" si="101">IF($F54&amp;"/Día"=AC$9,ROUND(AA54/$W$1,1),"")</f>
        <v/>
      </c>
      <c r="AD54" s="85" t="str">
        <f t="shared" ref="AD54" si="102">IF(AA54=0,0,IF($F54&amp;"/Día"=AC$9,ROUND(AB54/AA54,4),""))</f>
        <v/>
      </c>
      <c r="AE54" s="85" t="str">
        <f t="shared" ref="AE54" si="103">IF(AA54=0,0,IF($F54&amp;"/Día"=AC$9,ROUND(AF54/AA54,4),""))</f>
        <v/>
      </c>
      <c r="AF54" s="45" t="str">
        <f t="shared" ref="AF54" si="104">IF(AA54&lt;&gt;"",$P54,"")</f>
        <v/>
      </c>
      <c r="AG54" s="55"/>
      <c r="AH54" s="132" t="str">
        <f t="shared" ref="AH54" si="105">IF(O54=0,"",IF(I54="",H54*J54-SUM(K54:N54)-O54,+(G54*I54+H54*J54)-SUM(K54:N54)-O54))</f>
        <v/>
      </c>
    </row>
    <row r="55" spans="1:34" x14ac:dyDescent="0.3">
      <c r="A55" s="26" t="s">
        <v>28</v>
      </c>
      <c r="B55" s="27" t="s">
        <v>10</v>
      </c>
      <c r="C55" s="62" t="s">
        <v>31</v>
      </c>
      <c r="D55" s="28" t="s">
        <v>30</v>
      </c>
      <c r="E55" s="62" t="s">
        <v>101</v>
      </c>
      <c r="F55" s="40" t="s">
        <v>37</v>
      </c>
      <c r="G55" s="45">
        <f>Ene!G55+Feb!G55+Mar!G55+Abr!G55+May!G55+Jun!G55+Jul!G55+Ago!G55+Set!G55+Oct!G55+Nov!G55+Dic!G55</f>
        <v>0</v>
      </c>
      <c r="H55" s="45">
        <f>Ene!H55+Feb!H55+Mar!H55+Abr!H55+May!H55+Jun!H55+Jul!H55+Ago!H55+Set!H55+Oct!H55+Nov!H55+Dic!H55</f>
        <v>0</v>
      </c>
      <c r="I55" s="45"/>
      <c r="J55" s="45"/>
      <c r="K55" s="45"/>
      <c r="L55" s="45"/>
      <c r="M55" s="45"/>
      <c r="N55" s="45">
        <f>Ene!N55+Feb!N55+Mar!N55+Abr!N55+May!N55+Jun!N55+Jul!N55+Ago!N55+Set!N55+Oct!N55+Nov!N55+Dic!N55</f>
        <v>0</v>
      </c>
      <c r="O55" s="45">
        <f>Ene!O55+Feb!O55+Mar!O55+Abr!O55+May!O55+Jun!O55+Jul!O55+Ago!O55+Set!O55+Oct!O55+Nov!O55+Dic!O55</f>
        <v>0</v>
      </c>
      <c r="P55" s="45">
        <f>Ene!P55+Feb!P55+Mar!P55+Abr!P55+May!P55+Jun!P55+Jul!P55+Ago!P55+Set!P55+Oct!P55+Nov!P55+Dic!P55</f>
        <v>0</v>
      </c>
      <c r="Q55" s="45">
        <f>Ene!Q55+Feb!Q55+Mar!Q55+Abr!Q55+May!Q55+Jun!Q55+Jul!Q55+Ago!Q55+Set!Q55+Oct!Q55+Nov!Q55+Dic!Q55</f>
        <v>0</v>
      </c>
      <c r="R55" s="47">
        <v>0.15</v>
      </c>
      <c r="S55" s="45">
        <f>Ene!S55+Feb!S55+Mar!S55+Abr!S55+May!S55+Jun!S55+Jul!S55+Ago!S55+Set!S55+Oct!S55+Nov!S55+Dic!S55</f>
        <v>0</v>
      </c>
      <c r="T55" s="286">
        <v>3.7499999999999999E-2</v>
      </c>
      <c r="U55" s="45">
        <f t="shared" si="80"/>
        <v>0</v>
      </c>
      <c r="V55" s="45">
        <f t="shared" si="81"/>
        <v>0</v>
      </c>
      <c r="W55" s="84">
        <f t="shared" si="82"/>
        <v>0</v>
      </c>
      <c r="X55" s="85">
        <f t="shared" si="83"/>
        <v>0</v>
      </c>
      <c r="Y55" s="85">
        <f t="shared" si="84"/>
        <v>0</v>
      </c>
      <c r="Z55" s="45">
        <f t="shared" si="85"/>
        <v>0</v>
      </c>
      <c r="AA55" s="45" t="str">
        <f t="shared" si="86"/>
        <v/>
      </c>
      <c r="AB55" s="45" t="str">
        <f t="shared" si="87"/>
        <v/>
      </c>
      <c r="AC55" s="84" t="str">
        <f t="shared" si="88"/>
        <v/>
      </c>
      <c r="AD55" s="85" t="str">
        <f t="shared" si="89"/>
        <v/>
      </c>
      <c r="AE55" s="85" t="str">
        <f t="shared" si="90"/>
        <v/>
      </c>
      <c r="AF55" s="45" t="str">
        <f t="shared" si="91"/>
        <v/>
      </c>
      <c r="AG55" s="55"/>
      <c r="AH55" s="132" t="str">
        <f t="shared" si="92"/>
        <v/>
      </c>
    </row>
    <row r="56" spans="1:34" x14ac:dyDescent="0.3">
      <c r="A56" s="26" t="s">
        <v>28</v>
      </c>
      <c r="B56" s="27" t="s">
        <v>12</v>
      </c>
      <c r="C56" s="62" t="s">
        <v>31</v>
      </c>
      <c r="D56" s="28" t="s">
        <v>30</v>
      </c>
      <c r="E56" s="62" t="s">
        <v>101</v>
      </c>
      <c r="F56" s="38" t="s">
        <v>56</v>
      </c>
      <c r="G56" s="45">
        <f>Ene!G56+Feb!G56+Mar!G56+Abr!G56+May!G56+Jun!G56+Jul!G56+Ago!G56+Set!G56+Oct!G56+Nov!G56+Dic!G56</f>
        <v>1073339.0555</v>
      </c>
      <c r="H56" s="45">
        <f>Ene!H56+Feb!H56+Mar!H56+Abr!H56+May!H56+Jun!H56+Jul!H56+Ago!H56+Set!H56+Oct!H56+Nov!H56+Dic!H56</f>
        <v>1410868.7404000002</v>
      </c>
      <c r="I56" s="45"/>
      <c r="J56" s="45"/>
      <c r="K56" s="45"/>
      <c r="L56" s="45"/>
      <c r="M56" s="45"/>
      <c r="N56" s="45">
        <f>Ene!N56+Feb!N56+Mar!N56+Abr!N56+May!N56+Jun!N56+Jul!N56+Ago!N56+Set!N56+Oct!N56+Nov!N56+Dic!N56</f>
        <v>4986.7031000000006</v>
      </c>
      <c r="O56" s="45">
        <f>Ene!O56+Feb!O56+Mar!O56+Abr!O56+May!O56+Jun!O56+Jul!O56+Ago!O56+Set!O56+Oct!O56+Nov!O56+Dic!O56</f>
        <v>9069253.7256999984</v>
      </c>
      <c r="P56" s="45">
        <f>Ene!P56+Feb!P56+Mar!P56+Abr!P56+May!P56+Jun!P56+Jul!P56+Ago!P56+Set!P56+Oct!P56+Nov!P56+Dic!P56</f>
        <v>1700485.0699999998</v>
      </c>
      <c r="Q56" s="45">
        <f>Ene!Q56+Feb!Q56+Mar!Q56+Abr!Q56+May!Q56+Jun!Q56+Jul!Q56+Ago!Q56+Set!Q56+Oct!Q56+Nov!Q56+Dic!Q56</f>
        <v>340097.02999999997</v>
      </c>
      <c r="R56" s="286">
        <v>3.7499999999999999E-2</v>
      </c>
      <c r="S56" s="45">
        <f>Ene!S56+Feb!S56+Mar!S56+Abr!S56+May!S56+Jun!S56+Jul!S56+Ago!S56+Set!S56+Oct!S56+Nov!S56+Dic!S56</f>
        <v>1360388.05</v>
      </c>
      <c r="T56" s="47">
        <v>0.15</v>
      </c>
      <c r="U56" s="45" t="str">
        <f t="shared" si="80"/>
        <v/>
      </c>
      <c r="V56" s="45" t="str">
        <f t="shared" si="81"/>
        <v/>
      </c>
      <c r="W56" s="84" t="str">
        <f t="shared" si="82"/>
        <v/>
      </c>
      <c r="X56" s="85" t="str">
        <f t="shared" si="83"/>
        <v/>
      </c>
      <c r="Y56" s="85" t="str">
        <f t="shared" si="84"/>
        <v/>
      </c>
      <c r="Z56" s="45" t="str">
        <f t="shared" si="85"/>
        <v/>
      </c>
      <c r="AA56" s="45">
        <f t="shared" si="86"/>
        <v>2484207.7959000003</v>
      </c>
      <c r="AB56" s="45">
        <f t="shared" si="87"/>
        <v>9069253.7256999984</v>
      </c>
      <c r="AC56" s="84">
        <f t="shared" si="88"/>
        <v>6806</v>
      </c>
      <c r="AD56" s="85">
        <f t="shared" si="89"/>
        <v>3.6507999999999998</v>
      </c>
      <c r="AE56" s="85">
        <f t="shared" si="90"/>
        <v>0.6845</v>
      </c>
      <c r="AF56" s="45">
        <f t="shared" si="91"/>
        <v>1700485.0699999998</v>
      </c>
      <c r="AG56" s="55"/>
      <c r="AH56" s="132">
        <f t="shared" si="92"/>
        <v>-9074240.428799998</v>
      </c>
    </row>
    <row r="57" spans="1:34" x14ac:dyDescent="0.3">
      <c r="A57" s="26" t="s">
        <v>28</v>
      </c>
      <c r="B57" s="29" t="s">
        <v>75</v>
      </c>
      <c r="C57" s="62" t="s">
        <v>31</v>
      </c>
      <c r="D57" s="28" t="s">
        <v>30</v>
      </c>
      <c r="E57" s="62" t="s">
        <v>103</v>
      </c>
      <c r="F57" s="40" t="s">
        <v>37</v>
      </c>
      <c r="G57" s="45">
        <f>Ene!G57+Feb!G57+Mar!G57+Abr!G57+May!G57+Jun!G57+Jul!G57+Ago!G57+Set!G57+Oct!G57+Nov!G57+Dic!G57</f>
        <v>43393</v>
      </c>
      <c r="H57" s="45">
        <f>Ene!H57+Feb!H57+Mar!H57+Abr!H57+May!H57+Jun!H57+Jul!H57+Ago!H57+Set!H57+Oct!H57+Nov!H57+Dic!H57</f>
        <v>39650</v>
      </c>
      <c r="I57" s="45"/>
      <c r="J57" s="45"/>
      <c r="K57" s="45"/>
      <c r="L57" s="45"/>
      <c r="M57" s="45"/>
      <c r="N57" s="45">
        <f>Ene!N57+Feb!N57+Mar!N57+Abr!N57+May!N57+Jun!N57+Jul!N57+Ago!N57+Set!N57+Oct!N57+Nov!N57+Dic!N57</f>
        <v>22593.087999999996</v>
      </c>
      <c r="O57" s="45">
        <f>Ene!O57+Feb!O57+Mar!O57+Abr!O57+May!O57+Jun!O57+Jul!O57+Ago!O57+Set!O57+Oct!O57+Nov!O57+Dic!O57</f>
        <v>4067372.8794</v>
      </c>
      <c r="P57" s="45">
        <f>Ene!P57+Feb!P57+Mar!P57+Abr!P57+May!P57+Jun!P57+Jul!P57+Ago!P57+Set!P57+Oct!P57+Nov!P57+Dic!P57</f>
        <v>762632.42</v>
      </c>
      <c r="Q57" s="45">
        <f>Ene!Q57+Feb!Q57+Mar!Q57+Abr!Q57+May!Q57+Jun!Q57+Jul!Q57+Ago!Q57+Set!Q57+Oct!Q57+Nov!Q57+Dic!Q57</f>
        <v>152526.47000000003</v>
      </c>
      <c r="R57" s="286">
        <v>3.7499999999999999E-2</v>
      </c>
      <c r="S57" s="45">
        <f>Ene!S57+Feb!S57+Mar!S57+Abr!S57+May!S57+Jun!S57+Jul!S57+Ago!S57+Set!S57+Oct!S57+Nov!S57+Dic!S57</f>
        <v>610105.92000000016</v>
      </c>
      <c r="T57" s="47">
        <v>0.15</v>
      </c>
      <c r="U57" s="45">
        <f t="shared" si="80"/>
        <v>83043</v>
      </c>
      <c r="V57" s="45">
        <f t="shared" si="81"/>
        <v>4067372.8794</v>
      </c>
      <c r="W57" s="84">
        <f t="shared" si="82"/>
        <v>227.5</v>
      </c>
      <c r="X57" s="85">
        <f t="shared" si="83"/>
        <v>48.979100000000003</v>
      </c>
      <c r="Y57" s="85">
        <f t="shared" si="84"/>
        <v>9.1836000000000002</v>
      </c>
      <c r="Z57" s="45">
        <f t="shared" si="85"/>
        <v>762632.42</v>
      </c>
      <c r="AA57" s="45" t="str">
        <f t="shared" si="86"/>
        <v/>
      </c>
      <c r="AB57" s="45" t="str">
        <f t="shared" si="87"/>
        <v/>
      </c>
      <c r="AC57" s="84" t="str">
        <f t="shared" si="88"/>
        <v/>
      </c>
      <c r="AD57" s="85" t="str">
        <f t="shared" si="89"/>
        <v/>
      </c>
      <c r="AE57" s="85" t="str">
        <f t="shared" si="90"/>
        <v/>
      </c>
      <c r="AF57" s="45" t="str">
        <f t="shared" si="91"/>
        <v/>
      </c>
      <c r="AG57" s="55"/>
      <c r="AH57" s="132">
        <f t="shared" si="92"/>
        <v>-4089965.9674</v>
      </c>
    </row>
    <row r="58" spans="1:34" x14ac:dyDescent="0.3">
      <c r="A58" s="26" t="s">
        <v>28</v>
      </c>
      <c r="B58" s="29" t="s">
        <v>32</v>
      </c>
      <c r="C58" s="62" t="s">
        <v>31</v>
      </c>
      <c r="D58" s="28" t="s">
        <v>30</v>
      </c>
      <c r="E58" s="62" t="s">
        <v>101</v>
      </c>
      <c r="F58" s="40" t="s">
        <v>37</v>
      </c>
      <c r="G58" s="45">
        <f>Ene!G58+Feb!G58+Mar!G58+Abr!G58+May!G58+Jun!G58+Jul!G58+Ago!G58+Set!G58+Oct!G58+Nov!G58+Dic!G58</f>
        <v>0</v>
      </c>
      <c r="H58" s="45">
        <f>Ene!H58+Feb!H58+Mar!H58+Abr!H58+May!H58+Jun!H58+Jul!H58+Ago!H58+Set!H58+Oct!H58+Nov!H58+Dic!H58</f>
        <v>0</v>
      </c>
      <c r="I58" s="45"/>
      <c r="J58" s="45"/>
      <c r="K58" s="45"/>
      <c r="L58" s="45"/>
      <c r="M58" s="45"/>
      <c r="N58" s="45">
        <f>Ene!N58+Feb!N58+Mar!N58+Abr!N58+May!N58+Jun!N58+Jul!N58+Ago!N58+Set!N58+Oct!N58+Nov!N58+Dic!N58</f>
        <v>0</v>
      </c>
      <c r="O58" s="45">
        <f>Ene!O58+Feb!O58+Mar!O58+Abr!O58+May!O58+Jun!O58+Jul!O58+Ago!O58+Set!O58+Oct!O58+Nov!O58+Dic!O58</f>
        <v>0</v>
      </c>
      <c r="P58" s="45">
        <f>Ene!P58+Feb!P58+Mar!P58+Abr!P58+May!P58+Jun!P58+Jul!P58+Ago!P58+Set!P58+Oct!P58+Nov!P58+Dic!P58</f>
        <v>0</v>
      </c>
      <c r="Q58" s="45">
        <f>Ene!Q58+Feb!Q58+Mar!Q58+Abr!Q58+May!Q58+Jun!Q58+Jul!Q58+Ago!Q58+Set!Q58+Oct!Q58+Nov!Q58+Dic!Q58</f>
        <v>0</v>
      </c>
      <c r="R58" s="286">
        <v>3.7499999999999999E-2</v>
      </c>
      <c r="S58" s="45">
        <f>Ene!S58+Feb!S58+Mar!S58+Abr!S58+May!S58+Jun!S58+Jul!S58+Ago!S58+Set!S58+Oct!S58+Nov!S58+Dic!S58</f>
        <v>0</v>
      </c>
      <c r="T58" s="47">
        <v>0.15</v>
      </c>
      <c r="U58" s="45">
        <f t="shared" si="80"/>
        <v>0</v>
      </c>
      <c r="V58" s="45">
        <f t="shared" si="81"/>
        <v>0</v>
      </c>
      <c r="W58" s="84">
        <f t="shared" si="82"/>
        <v>0</v>
      </c>
      <c r="X58" s="85">
        <f t="shared" si="83"/>
        <v>0</v>
      </c>
      <c r="Y58" s="85">
        <f t="shared" si="84"/>
        <v>0</v>
      </c>
      <c r="Z58" s="45">
        <f t="shared" si="85"/>
        <v>0</v>
      </c>
      <c r="AA58" s="45" t="str">
        <f t="shared" si="86"/>
        <v/>
      </c>
      <c r="AB58" s="45" t="str">
        <f t="shared" si="87"/>
        <v/>
      </c>
      <c r="AC58" s="84" t="str">
        <f t="shared" si="88"/>
        <v/>
      </c>
      <c r="AD58" s="85" t="str">
        <f t="shared" si="89"/>
        <v/>
      </c>
      <c r="AE58" s="85" t="str">
        <f t="shared" si="90"/>
        <v/>
      </c>
      <c r="AF58" s="45" t="str">
        <f t="shared" si="91"/>
        <v/>
      </c>
      <c r="AG58" s="55"/>
      <c r="AH58" s="132" t="str">
        <f t="shared" si="92"/>
        <v/>
      </c>
    </row>
    <row r="59" spans="1:34" x14ac:dyDescent="0.3">
      <c r="A59" s="26" t="s">
        <v>28</v>
      </c>
      <c r="B59" s="32">
        <v>102</v>
      </c>
      <c r="C59" s="62" t="s">
        <v>31</v>
      </c>
      <c r="D59" s="62" t="s">
        <v>30</v>
      </c>
      <c r="E59" s="62" t="s">
        <v>101</v>
      </c>
      <c r="F59" s="261" t="s">
        <v>37</v>
      </c>
      <c r="G59" s="45">
        <f>Ene!G59+Feb!G59+Mar!G59+Abr!G59+May!G59+Jun!G59+Jul!G59+Ago!G59+Set!G59+Oct!G59+Nov!G59+Dic!G59</f>
        <v>0</v>
      </c>
      <c r="H59" s="45">
        <f>Ene!H59+Feb!H59+Mar!H59+Abr!H59+May!H59+Jun!H59+Jul!H59+Ago!H59+Set!H59+Oct!H59+Nov!H59+Dic!H59</f>
        <v>0</v>
      </c>
      <c r="I59" s="45"/>
      <c r="J59" s="45"/>
      <c r="K59" s="45"/>
      <c r="L59" s="45"/>
      <c r="M59" s="45"/>
      <c r="N59" s="45">
        <f>Ene!N59+Feb!N59+Mar!N59+Abr!N59+May!N59+Jun!N59+Jul!N59+Ago!N59+Set!N59+Oct!N59+Nov!N59+Dic!N59</f>
        <v>0</v>
      </c>
      <c r="O59" s="45">
        <f>Ene!O59+Feb!O59+Mar!O59+Abr!O59+May!O59+Jun!O59+Jul!O59+Ago!O59+Set!O59+Oct!O59+Nov!O59+Dic!O59</f>
        <v>0</v>
      </c>
      <c r="P59" s="45">
        <f>Ene!P59+Feb!P59+Mar!P59+Abr!P59+May!P59+Jun!P59+Jul!P59+Ago!P59+Set!P59+Oct!P59+Nov!P59+Dic!P59</f>
        <v>0</v>
      </c>
      <c r="Q59" s="45">
        <f>Ene!Q59+Feb!Q59+Mar!Q59+Abr!Q59+May!Q59+Jun!Q59+Jul!Q59+Ago!Q59+Set!Q59+Oct!Q59+Nov!Q59+Dic!Q59</f>
        <v>0</v>
      </c>
      <c r="R59" s="47">
        <v>0.15</v>
      </c>
      <c r="S59" s="45">
        <f>Ene!S59+Feb!S59+Mar!S59+Abr!S59+May!S59+Jun!S59+Jul!S59+Ago!S59+Set!S59+Oct!S59+Nov!S59+Dic!S59</f>
        <v>0</v>
      </c>
      <c r="T59" s="303">
        <v>3.7499999999999999E-2</v>
      </c>
      <c r="U59" s="45">
        <f t="shared" ref="U59:U61" si="106">IF($F59&amp;"/Día"=W$9,SUM($G59:$H59),"")</f>
        <v>0</v>
      </c>
      <c r="V59" s="45">
        <f t="shared" ref="V59:V61" si="107">IF(U59&lt;&gt;"",$O59,"")</f>
        <v>0</v>
      </c>
      <c r="W59" s="84">
        <f t="shared" ref="W59:W61" si="108">IF($F59&amp;"/Día"=W$9,ROUND(U59/$W$1,1),"")</f>
        <v>0</v>
      </c>
      <c r="X59" s="85">
        <f t="shared" ref="X59:X61" si="109">IF(U59=0,0,IF($F59&amp;"/Día"=W$9,ROUND(V59/U59,4),""))</f>
        <v>0</v>
      </c>
      <c r="Y59" s="85">
        <f t="shared" ref="Y59:Y61" si="110">IF(U59=0,0,IF($F59&amp;"/Día"=W$9,ROUND(Z59/U59,4),""))</f>
        <v>0</v>
      </c>
      <c r="Z59" s="45">
        <f t="shared" ref="Z59:Z61" si="111">IF(U59&lt;&gt;"",$P59,"")</f>
        <v>0</v>
      </c>
      <c r="AA59" s="45" t="str">
        <f t="shared" ref="AA59:AA62" si="112">IF($F59&amp;"/Día"=AC$9,SUM($G59:$H59),"")</f>
        <v/>
      </c>
      <c r="AB59" s="45" t="str">
        <f t="shared" ref="AB59:AB62" si="113">IF(AA59&lt;&gt;"",$O59,"")</f>
        <v/>
      </c>
      <c r="AC59" s="84" t="str">
        <f t="shared" ref="AC59:AC62" si="114">IF($F59&amp;"/Día"=AC$9,ROUND(AA59/$W$1,1),"")</f>
        <v/>
      </c>
      <c r="AD59" s="85" t="str">
        <f t="shared" ref="AD59:AD62" si="115">IF(AA59=0,0,IF($F59&amp;"/Día"=AC$9,ROUND(AB59/AA59,4),""))</f>
        <v/>
      </c>
      <c r="AE59" s="85" t="str">
        <f t="shared" ref="AE59:AE62" si="116">IF(AA59=0,0,IF($F59&amp;"/Día"=AC$9,ROUND(AF59/AA59,4),""))</f>
        <v/>
      </c>
      <c r="AF59" s="45" t="str">
        <f t="shared" ref="AF59:AF62" si="117">IF(AA59&lt;&gt;"",$P59,"")</f>
        <v/>
      </c>
      <c r="AG59" s="55"/>
      <c r="AH59" s="132"/>
    </row>
    <row r="60" spans="1:34" x14ac:dyDescent="0.3">
      <c r="A60" s="26" t="s">
        <v>28</v>
      </c>
      <c r="B60" s="32">
        <v>95</v>
      </c>
      <c r="C60" s="62" t="s">
        <v>31</v>
      </c>
      <c r="D60" s="62" t="s">
        <v>30</v>
      </c>
      <c r="E60" s="62" t="s">
        <v>101</v>
      </c>
      <c r="F60" s="261" t="s">
        <v>37</v>
      </c>
      <c r="G60" s="45">
        <f>Ene!G60+Feb!G60+Mar!G60+Abr!G60+May!G60+Jun!G60+Jul!G60+Ago!G60+Set!G60+Oct!G60+Nov!G60+Dic!G60</f>
        <v>1687933</v>
      </c>
      <c r="H60" s="45">
        <f>Ene!H60+Feb!H60+Mar!H60+Abr!H60+May!H60+Jun!H60+Jul!H60+Ago!H60+Set!H60+Oct!H60+Nov!H60+Dic!H60</f>
        <v>1541190</v>
      </c>
      <c r="I60" s="45"/>
      <c r="J60" s="45"/>
      <c r="K60" s="45"/>
      <c r="L60" s="45"/>
      <c r="M60" s="45"/>
      <c r="N60" s="45">
        <f>Ene!N60+Feb!N60+Mar!N60+Abr!N60+May!N60+Jun!N60+Jul!N60+Ago!N60+Set!N60+Oct!N60+Nov!N60+Dic!N60</f>
        <v>53351.128100000002</v>
      </c>
      <c r="O60" s="45">
        <f>Ene!O60+Feb!O60+Mar!O60+Abr!O60+May!O60+Jun!O60+Jul!O60+Ago!O60+Set!O60+Oct!O60+Nov!O60+Dic!O60</f>
        <v>178184849.1406</v>
      </c>
      <c r="P60" s="45">
        <f>Ene!P60+Feb!P60+Mar!P60+Abr!P60+May!P60+Jun!P60+Jul!P60+Ago!P60+Set!P60+Oct!P60+Nov!P60+Dic!P60</f>
        <v>33409659.210000001</v>
      </c>
      <c r="Q60" s="45">
        <f>Ene!Q60+Feb!Q60+Mar!Q60+Abr!Q60+May!Q60+Jun!Q60+Jul!Q60+Ago!Q60+Set!Q60+Oct!Q60+Nov!Q60+Dic!Q60</f>
        <v>26727727.360000003</v>
      </c>
      <c r="R60" s="47">
        <v>0.15</v>
      </c>
      <c r="S60" s="45">
        <f>Ene!S60+Feb!S60+Mar!S60+Abr!S60+May!S60+Jun!S60+Jul!S60+Ago!S60+Set!S60+Oct!S60+Nov!S60+Dic!S60</f>
        <v>6681931.8499999996</v>
      </c>
      <c r="T60" s="303">
        <v>3.7499999999999999E-2</v>
      </c>
      <c r="U60" s="45">
        <f t="shared" si="106"/>
        <v>3229123</v>
      </c>
      <c r="V60" s="45">
        <f t="shared" si="107"/>
        <v>178184849.1406</v>
      </c>
      <c r="W60" s="84">
        <f t="shared" si="108"/>
        <v>8846.9</v>
      </c>
      <c r="X60" s="85">
        <f t="shared" si="109"/>
        <v>55.180599999999998</v>
      </c>
      <c r="Y60" s="85">
        <f t="shared" si="110"/>
        <v>10.346399999999999</v>
      </c>
      <c r="Z60" s="45">
        <f t="shared" si="111"/>
        <v>33409659.210000001</v>
      </c>
      <c r="AA60" s="45" t="str">
        <f t="shared" si="112"/>
        <v/>
      </c>
      <c r="AB60" s="45" t="str">
        <f t="shared" si="113"/>
        <v/>
      </c>
      <c r="AC60" s="84" t="str">
        <f t="shared" si="114"/>
        <v/>
      </c>
      <c r="AD60" s="85" t="str">
        <f t="shared" si="115"/>
        <v/>
      </c>
      <c r="AE60" s="85" t="str">
        <f t="shared" si="116"/>
        <v/>
      </c>
      <c r="AF60" s="45" t="str">
        <f t="shared" si="117"/>
        <v/>
      </c>
      <c r="AG60" s="55"/>
      <c r="AH60" s="132"/>
    </row>
    <row r="61" spans="1:34" x14ac:dyDescent="0.3">
      <c r="A61" s="30" t="s">
        <v>28</v>
      </c>
      <c r="B61" s="302">
        <v>67</v>
      </c>
      <c r="C61" s="62" t="s">
        <v>31</v>
      </c>
      <c r="D61" s="62" t="s">
        <v>30</v>
      </c>
      <c r="E61" s="62" t="s">
        <v>101</v>
      </c>
      <c r="F61" s="261" t="s">
        <v>37</v>
      </c>
      <c r="G61" s="45">
        <f>Ene!G61+Feb!G61+Mar!G61+Abr!G61+May!G61+Jun!G61+Jul!G61+Ago!G61+Set!G61+Oct!G61+Nov!G61+Dic!G61</f>
        <v>247544</v>
      </c>
      <c r="H61" s="45">
        <f>Ene!H61+Feb!H61+Mar!H61+Abr!H61+May!H61+Jun!H61+Jul!H61+Ago!H61+Set!H61+Oct!H61+Nov!H61+Dic!H61</f>
        <v>269165</v>
      </c>
      <c r="I61" s="45"/>
      <c r="J61" s="45"/>
      <c r="K61" s="45"/>
      <c r="L61" s="45"/>
      <c r="M61" s="45"/>
      <c r="N61" s="45">
        <f>Ene!N61+Feb!N61+Mar!N61+Abr!N61+May!N61+Jun!N61+Jul!N61+Ago!N61+Set!N61+Oct!N61+Nov!N61+Dic!N61</f>
        <v>24497.108400000001</v>
      </c>
      <c r="O61" s="45">
        <f>Ene!O61+Feb!O61+Mar!O61+Abr!O61+May!O61+Jun!O61+Jul!O61+Ago!O61+Set!O61+Oct!O61+Nov!O61+Dic!O61</f>
        <v>19730629.6932</v>
      </c>
      <c r="P61" s="45">
        <f>Ene!P61+Feb!P61+Mar!P61+Abr!P61+May!P61+Jun!P61+Jul!P61+Ago!P61+Set!P61+Oct!P61+Nov!P61+Dic!P61</f>
        <v>3699493.06</v>
      </c>
      <c r="Q61" s="45">
        <f>Ene!Q61+Feb!Q61+Mar!Q61+Abr!Q61+May!Q61+Jun!Q61+Jul!Q61+Ago!Q61+Set!Q61+Oct!Q61+Nov!Q61+Dic!Q61</f>
        <v>2959594.46</v>
      </c>
      <c r="R61" s="47">
        <v>0.15</v>
      </c>
      <c r="S61" s="45">
        <f>Ene!S61+Feb!S61+Mar!S61+Abr!S61+May!S61+Jun!S61+Jul!S61+Ago!S61+Set!S61+Oct!S61+Nov!S61+Dic!S61</f>
        <v>739898.60000000009</v>
      </c>
      <c r="T61" s="303">
        <v>3.7499999999999999E-2</v>
      </c>
      <c r="U61" s="45">
        <f t="shared" si="106"/>
        <v>516709</v>
      </c>
      <c r="V61" s="45">
        <f t="shared" si="107"/>
        <v>19730629.6932</v>
      </c>
      <c r="W61" s="84">
        <f t="shared" si="108"/>
        <v>1415.6</v>
      </c>
      <c r="X61" s="85">
        <f t="shared" si="109"/>
        <v>38.185200000000002</v>
      </c>
      <c r="Y61" s="85">
        <f t="shared" si="110"/>
        <v>7.1597</v>
      </c>
      <c r="Z61" s="45">
        <f t="shared" si="111"/>
        <v>3699493.06</v>
      </c>
      <c r="AA61" s="45" t="str">
        <f t="shared" si="112"/>
        <v/>
      </c>
      <c r="AB61" s="45" t="str">
        <f t="shared" si="113"/>
        <v/>
      </c>
      <c r="AC61" s="84" t="str">
        <f t="shared" si="114"/>
        <v/>
      </c>
      <c r="AD61" s="85" t="str">
        <f t="shared" si="115"/>
        <v/>
      </c>
      <c r="AE61" s="85" t="str">
        <f t="shared" si="116"/>
        <v/>
      </c>
      <c r="AF61" s="45" t="str">
        <f t="shared" si="117"/>
        <v/>
      </c>
      <c r="AG61" s="55"/>
      <c r="AH61" s="132"/>
    </row>
    <row r="62" spans="1:34" x14ac:dyDescent="0.3">
      <c r="A62" s="21" t="s">
        <v>28</v>
      </c>
      <c r="B62" s="33" t="s">
        <v>54</v>
      </c>
      <c r="C62" s="61"/>
      <c r="D62" s="61"/>
      <c r="E62" s="31"/>
      <c r="F62" s="62" t="s">
        <v>37</v>
      </c>
      <c r="G62" s="45"/>
      <c r="H62" s="45"/>
      <c r="I62" s="45"/>
      <c r="J62" s="45"/>
      <c r="K62" s="45"/>
      <c r="L62" s="45"/>
      <c r="M62" s="45"/>
      <c r="N62" s="45">
        <f>Ene!N62+Feb!N62+Mar!N62+Abr!N62+May!N62+Jun!N62+Jul!N62+Ago!N62+Set!N62+Oct!N62+Nov!N62+Dic!N62</f>
        <v>0</v>
      </c>
      <c r="O62" s="45">
        <f>Ene!O62+Feb!O62+Mar!O62+Abr!O62+May!O62+Jun!O62+Jul!O62+Ago!O62+Set!O62+Oct!O62+Nov!O62+Dic!O62</f>
        <v>3182011.549999997</v>
      </c>
      <c r="P62" s="45">
        <f>Ene!P62+Feb!P62+Mar!P62+Abr!P62+May!P62+Jun!P62+Jul!P62+Ago!P62+Set!P62+Oct!P62+Nov!P62+Dic!P62</f>
        <v>596627.17999999993</v>
      </c>
      <c r="Q62" s="45">
        <f>Ene!Q62+Feb!Q62+Mar!Q62+Abr!Q62+May!Q62+Jun!Q62+Jul!Q62+Ago!Q62+Set!Q62+Oct!Q62+Nov!Q62+Dic!Q62</f>
        <v>565862.53</v>
      </c>
      <c r="R62" s="96"/>
      <c r="S62" s="45">
        <f>Ene!S62+Feb!S62+Mar!S62+Abr!S62+May!S62+Jun!S62+Jul!S62+Ago!S62+Set!S62+Oct!S62+Nov!S62+Dic!S62</f>
        <v>30764.669999999955</v>
      </c>
      <c r="T62" s="96"/>
      <c r="U62" s="45">
        <f t="shared" si="80"/>
        <v>0</v>
      </c>
      <c r="V62" s="45">
        <f t="shared" si="81"/>
        <v>3182011.549999997</v>
      </c>
      <c r="W62" s="84">
        <f t="shared" si="82"/>
        <v>0</v>
      </c>
      <c r="X62" s="85">
        <f t="shared" si="83"/>
        <v>0</v>
      </c>
      <c r="Y62" s="85">
        <f t="shared" si="84"/>
        <v>0</v>
      </c>
      <c r="Z62" s="45">
        <f t="shared" si="85"/>
        <v>596627.17999999993</v>
      </c>
      <c r="AA62" s="45" t="str">
        <f t="shared" si="112"/>
        <v/>
      </c>
      <c r="AB62" s="45" t="str">
        <f t="shared" si="113"/>
        <v/>
      </c>
      <c r="AC62" s="84" t="str">
        <f t="shared" si="114"/>
        <v/>
      </c>
      <c r="AD62" s="85" t="str">
        <f t="shared" si="115"/>
        <v/>
      </c>
      <c r="AE62" s="85" t="str">
        <f t="shared" si="116"/>
        <v/>
      </c>
      <c r="AF62" s="45" t="str">
        <f t="shared" si="117"/>
        <v/>
      </c>
      <c r="AG62" s="55"/>
      <c r="AH62" s="132"/>
    </row>
    <row r="63" spans="1:34" x14ac:dyDescent="0.3">
      <c r="A63" s="34"/>
      <c r="B63" s="165" t="s">
        <v>108</v>
      </c>
      <c r="C63" s="35" t="str">
        <f>TEXT(A$50,)&amp;" US$"</f>
        <v>Loreto / Ucayali US$</v>
      </c>
      <c r="D63" s="35"/>
      <c r="E63" s="135"/>
      <c r="F63" s="34"/>
      <c r="G63" s="49"/>
      <c r="H63" s="49"/>
      <c r="I63" s="49"/>
      <c r="J63" s="49"/>
      <c r="K63" s="49"/>
      <c r="L63" s="49"/>
      <c r="M63" s="57"/>
      <c r="N63" s="65">
        <f t="shared" ref="N63:S63" si="118">SUM(N51:N62)</f>
        <v>105719.9976</v>
      </c>
      <c r="O63" s="66">
        <f t="shared" si="118"/>
        <v>219711574.28889996</v>
      </c>
      <c r="P63" s="66">
        <f t="shared" si="118"/>
        <v>41195920.18</v>
      </c>
      <c r="Q63" s="67">
        <f t="shared" si="118"/>
        <v>31567426.440000005</v>
      </c>
      <c r="R63" s="68"/>
      <c r="S63" s="67">
        <f t="shared" si="118"/>
        <v>9628493.7399999984</v>
      </c>
      <c r="T63" s="50"/>
      <c r="U63" s="86">
        <f>SUM(U51:U62)</f>
        <v>3939576</v>
      </c>
      <c r="V63" s="86">
        <f>SUM(V51:V62)</f>
        <v>210642320.5632</v>
      </c>
      <c r="W63" s="87">
        <f>SUM(W51:W62)</f>
        <v>10793.3</v>
      </c>
      <c r="X63" s="88">
        <f>ROUND(V63/U63,4)</f>
        <v>53.468299999999999</v>
      </c>
      <c r="Y63" s="88">
        <f>ROUND(Z63/U63,4)</f>
        <v>10.0253</v>
      </c>
      <c r="Z63" s="86">
        <f>SUM(Z51:Z62)</f>
        <v>39495435.110000007</v>
      </c>
      <c r="AA63" s="86">
        <f>SUM(AA51:AA62)</f>
        <v>2484207.7959000003</v>
      </c>
      <c r="AB63" s="86">
        <f>SUM(AB51:AB62)</f>
        <v>9069253.7256999984</v>
      </c>
      <c r="AC63" s="87">
        <f>SUM(AC51:AC62)</f>
        <v>6806</v>
      </c>
      <c r="AD63" s="88">
        <f>ROUND(AB63/AA63,4)</f>
        <v>3.6507999999999998</v>
      </c>
      <c r="AE63" s="88">
        <f>ROUND(AF63/AA63,4)</f>
        <v>0.6845</v>
      </c>
      <c r="AF63" s="86">
        <f>SUM(AF51:AF62)</f>
        <v>1700485.0699999998</v>
      </c>
      <c r="AG63" s="86">
        <f>P63-Z63-AF63</f>
        <v>-6.9849193096160889E-9</v>
      </c>
      <c r="AH63" s="86">
        <f>SUM(AH51:AH62)</f>
        <v>-18641955.666199997</v>
      </c>
    </row>
    <row r="64" spans="1:34" x14ac:dyDescent="0.3">
      <c r="A64" s="157"/>
      <c r="B64" s="158"/>
      <c r="C64" s="35" t="str">
        <f>TEXT(A$50,)&amp;" S/."</f>
        <v>Loreto / Ucayali S/.</v>
      </c>
      <c r="D64" s="114"/>
      <c r="E64" s="135"/>
      <c r="F64" s="157"/>
      <c r="G64" s="98"/>
      <c r="H64" s="98"/>
      <c r="I64" s="98"/>
      <c r="J64" s="98"/>
      <c r="K64" s="98"/>
      <c r="L64" s="98"/>
      <c r="M64" s="159"/>
      <c r="N64" s="159"/>
      <c r="O64" s="621"/>
      <c r="P64" s="432">
        <f>Ene!P64+Feb!P64+Mar!P64+Abr!P64+May!P64+Jun!P64+Jul!P64+Ago!P64+Set!P64+Oct!P64+Nov!P64+Dic!P64</f>
        <v>161359964.33000001</v>
      </c>
      <c r="Q64" s="448">
        <f>Ene!Q64+Feb!Q64+Mar!Q64+Abr!Q64+May!Q64+Jun!Q64+Jul!Q64+Ago!Q64+Set!Q64+Oct!Q64+Nov!Q64+Dic!Q64</f>
        <v>123666300.42</v>
      </c>
      <c r="R64" s="166"/>
      <c r="S64" s="448">
        <f>Ene!S64+Feb!S64+Mar!S64+Abr!S64+May!S64+Jun!S64+Jul!S64+Ago!S64+Set!S64+Oct!S64+Nov!S64+Dic!S64</f>
        <v>37693663.920000002</v>
      </c>
      <c r="T64" s="160"/>
      <c r="U64" s="161"/>
      <c r="V64" s="161"/>
      <c r="W64" s="162"/>
      <c r="X64" s="163"/>
      <c r="Y64" s="163"/>
      <c r="Z64" s="161"/>
      <c r="AA64" s="161"/>
      <c r="AB64" s="161"/>
      <c r="AC64" s="162"/>
      <c r="AD64" s="163"/>
      <c r="AE64" s="163"/>
      <c r="AF64" s="161"/>
      <c r="AG64" s="161"/>
      <c r="AH64" s="161"/>
    </row>
    <row r="65" spans="1:36" x14ac:dyDescent="0.3">
      <c r="A65" s="18" t="s">
        <v>164</v>
      </c>
      <c r="B65" s="19"/>
      <c r="C65" s="19"/>
      <c r="D65" s="19"/>
      <c r="E65" s="24"/>
      <c r="F65" s="18"/>
      <c r="G65" s="25"/>
      <c r="H65" s="37"/>
      <c r="I65" s="19"/>
      <c r="J65" s="25"/>
      <c r="K65" s="25"/>
      <c r="L65" s="25"/>
      <c r="M65" s="25"/>
      <c r="N65" s="25"/>
      <c r="O65" s="25"/>
      <c r="P65" s="181" t="s">
        <v>166</v>
      </c>
      <c r="Q65" s="652" t="s">
        <v>164</v>
      </c>
      <c r="R65" s="182"/>
      <c r="S65" s="191"/>
      <c r="T65" s="193"/>
      <c r="U65" s="93">
        <f>U42+U48+U63</f>
        <v>14844154.083000001</v>
      </c>
      <c r="V65" s="93">
        <f>V42+V48+V63</f>
        <v>935867895.1164999</v>
      </c>
      <c r="W65" s="94">
        <f>W42+W48+W63</f>
        <v>40668.800000000003</v>
      </c>
      <c r="X65" s="95">
        <f>ROUND(V65/U65,4)</f>
        <v>63.046199999999999</v>
      </c>
      <c r="Y65" s="95">
        <f>ROUND(Z65/U65,4)</f>
        <v>11.7418</v>
      </c>
      <c r="Z65" s="93">
        <f>Z42+Z48+Z63</f>
        <v>174297696.97</v>
      </c>
      <c r="AA65" s="93">
        <f>AA42+AA48+AA63</f>
        <v>20341907.439400002</v>
      </c>
      <c r="AB65" s="93">
        <f>AB42+AB48+AB63</f>
        <v>66934226.471999995</v>
      </c>
      <c r="AC65" s="94">
        <f>AC42+AC48+AC63</f>
        <v>55731.3</v>
      </c>
      <c r="AD65" s="95">
        <f>ROUND(AB65/AA65,4)</f>
        <v>3.2905000000000002</v>
      </c>
      <c r="AE65" s="95">
        <f>ROUND(AF65/AA65,4)</f>
        <v>0.61699999999999999</v>
      </c>
      <c r="AF65" s="93">
        <f>AF42+AF48+AF63</f>
        <v>12550167.49</v>
      </c>
      <c r="AG65" s="93" t="e">
        <f>P65-Z65-AF65</f>
        <v>#VALUE!</v>
      </c>
      <c r="AH65" s="93">
        <f>AH42+AH48+AH63</f>
        <v>-770588301.73620009</v>
      </c>
    </row>
    <row r="66" spans="1:36" x14ac:dyDescent="0.3">
      <c r="A66" s="26" t="s">
        <v>28</v>
      </c>
      <c r="B66" s="29" t="s">
        <v>163</v>
      </c>
      <c r="C66" s="62" t="s">
        <v>31</v>
      </c>
      <c r="D66" s="28" t="s">
        <v>30</v>
      </c>
      <c r="E66" s="62" t="s">
        <v>161</v>
      </c>
      <c r="F66" s="40" t="s">
        <v>37</v>
      </c>
      <c r="G66" s="45">
        <f>Ene!G66+Feb!G66+Mar!G66+Abr!G66+May!G66+Jun!G66+Jul!G66+Ago!G66+Set!G66+Oct!G66+Nov!G66+Dic!G66</f>
        <v>9084590</v>
      </c>
      <c r="H66" s="45">
        <f>Ene!H66+Feb!H66+Mar!H66+Abr!H66+May!H66+Jun!H66+Jul!H66+Ago!H66+Set!H66+Oct!H66+Nov!H66+Dic!H66</f>
        <v>9007891</v>
      </c>
      <c r="I66" s="45"/>
      <c r="J66" s="45"/>
      <c r="K66" s="45"/>
      <c r="L66" s="45"/>
      <c r="M66" s="45"/>
      <c r="N66" s="45">
        <f>Ene!N66+Feb!N66+Mar!N66+Abr!N66+May!N66+Jun!N66+Jul!N66+Ago!N66+Set!N66+Oct!N66+Nov!N66+Dic!N66</f>
        <v>0</v>
      </c>
      <c r="O66" s="45">
        <f>Ene!O66+Feb!O66+Mar!O66+Abr!O66+May!O66+Jun!O66+Jul!O66+Ago!O66+Set!O66+Oct!O66+Nov!O66+Dic!O66</f>
        <v>886652962.96010005</v>
      </c>
      <c r="P66" s="45">
        <f>Ene!P66+Feb!P66+Mar!P66+Abr!P66+May!P66+Jun!P66+Jul!P66+Ago!P66+Set!P66+Oct!P66+Nov!P66+Dic!P66</f>
        <v>330189563.39999998</v>
      </c>
      <c r="Q66" s="45">
        <f>Ene!Q66+Feb!Q66+Mar!Q66+Abr!Q66+May!Q66+Jun!Q66+Jul!Q66+Ago!Q66+Set!Q66+Oct!Q66+Nov!Q66+Dic!Q66</f>
        <v>165094781.71999997</v>
      </c>
      <c r="R66" s="47">
        <v>0.5</v>
      </c>
      <c r="S66" s="45"/>
      <c r="T66" s="47"/>
      <c r="U66" s="45">
        <f t="shared" ref="U66:U70" si="119">IF($F66&amp;"/Día"=W$9,SUM($G66:$H66),"")</f>
        <v>18092481</v>
      </c>
      <c r="V66" s="45">
        <f t="shared" ref="V66:V70" si="120">IF(U66&lt;&gt;"",$O66,"")</f>
        <v>886652962.96010005</v>
      </c>
      <c r="W66" s="84">
        <f t="shared" ref="W66:W70" si="121">IF($F66&amp;"/Día"=W$9,ROUND(U66/$W$1,1),"")</f>
        <v>49568.4</v>
      </c>
      <c r="X66" s="85">
        <f t="shared" ref="X66:X70" si="122">IF(U66=0,0,IF($F66&amp;"/Día"=W$9,ROUND(V66/U66,4),""))</f>
        <v>49.006700000000002</v>
      </c>
      <c r="Y66" s="85">
        <f t="shared" ref="Y66:Y70" si="123">IF(U66=0,0,IF($F66&amp;"/Día"=W$9,ROUND(Z66/U66,4),""))</f>
        <v>9.125</v>
      </c>
      <c r="Z66" s="45">
        <f t="shared" ref="Z66:Z70" si="124">IF(U66&lt;&gt;"",$Q66,"")</f>
        <v>165094781.71999997</v>
      </c>
      <c r="AA66" s="45" t="str">
        <f t="shared" ref="AA66:AA71" si="125">IF($F66&amp;"/Día"=AC$9,SUM($G66:$H66),"")</f>
        <v/>
      </c>
      <c r="AB66" s="45" t="str">
        <f t="shared" ref="AB66:AB71" si="126">IF(AA66&lt;&gt;"",$O66,"")</f>
        <v/>
      </c>
      <c r="AC66" s="84" t="str">
        <f t="shared" ref="AC66:AC71" si="127">IF($F66&amp;"/Día"=AC$9,ROUND(AA66/$W$1,1),"")</f>
        <v/>
      </c>
      <c r="AD66" s="85" t="str">
        <f t="shared" ref="AD66:AD71" si="128">IF(AA66=0,0,IF($F66&amp;"/Día"=AC$9,ROUND(AB66/AA66,4),""))</f>
        <v/>
      </c>
      <c r="AE66" s="85" t="str">
        <f t="shared" ref="AE66:AE71" si="129">IF(AA66=0,0,IF($F66&amp;"/Día"=AC$9,ROUND(AF66/AA66,4),""))</f>
        <v/>
      </c>
      <c r="AF66" s="45" t="str">
        <f t="shared" ref="AF66:AF71" si="130">IF(AA66&lt;&gt;"",$Q66,"")</f>
        <v/>
      </c>
      <c r="AG66" s="161"/>
    </row>
    <row r="67" spans="1:36" x14ac:dyDescent="0.3">
      <c r="A67" s="26" t="s">
        <v>28</v>
      </c>
      <c r="B67" s="29" t="s">
        <v>162</v>
      </c>
      <c r="C67" s="62" t="s">
        <v>31</v>
      </c>
      <c r="D67" s="28" t="s">
        <v>30</v>
      </c>
      <c r="E67" s="62" t="s">
        <v>161</v>
      </c>
      <c r="F67" s="38" t="s">
        <v>56</v>
      </c>
      <c r="G67" s="45">
        <f>Ene!G67+Feb!G67+Mar!G67+Abr!G67+May!G67+Jun!G67+Jul!G67+Ago!G67+Set!G67+Oct!G67+Nov!G67+Dic!G67</f>
        <v>121339021.05949999</v>
      </c>
      <c r="H67" s="45">
        <f>Ene!H67+Feb!H67+Mar!H67+Abr!H67+May!H67+Jun!H67+Jul!H67+Ago!H67+Set!H67+Oct!H67+Nov!H67+Dic!H67</f>
        <v>129603899.50130001</v>
      </c>
      <c r="I67" s="45"/>
      <c r="J67" s="45"/>
      <c r="K67" s="45"/>
      <c r="L67" s="45"/>
      <c r="M67" s="45"/>
      <c r="N67" s="45">
        <f>Ene!N67+Feb!N67+Mar!N67+Abr!N67+May!N67+Jun!N67+Jul!N67+Ago!N67+Set!N67+Oct!N67+Nov!N67+Dic!N67</f>
        <v>0</v>
      </c>
      <c r="O67" s="45">
        <f>Ene!O67+Feb!O67+Mar!O67+Abr!O67+May!O67+Jun!O67+Jul!O67+Ago!O67+Set!O67+Oct!O67+Nov!O67+Dic!O67</f>
        <v>493822195.13960195</v>
      </c>
      <c r="P67" s="45">
        <f>Ene!P67+Feb!P67+Mar!P67+Abr!P67+May!P67+Jun!P67+Jul!P67+Ago!P67+Set!P67+Oct!P67+Nov!P67+Dic!P67</f>
        <v>183899385.46000001</v>
      </c>
      <c r="Q67" s="45">
        <f>Ene!Q67+Feb!Q67+Mar!Q67+Abr!Q67+May!Q67+Jun!Q67+Jul!Q67+Ago!Q67+Set!Q67+Oct!Q67+Nov!Q67+Dic!Q67</f>
        <v>91949692.74000001</v>
      </c>
      <c r="R67" s="47">
        <v>0.5</v>
      </c>
      <c r="S67" s="45"/>
      <c r="T67" s="47"/>
      <c r="U67" s="45" t="str">
        <f t="shared" si="119"/>
        <v/>
      </c>
      <c r="V67" s="45" t="str">
        <f t="shared" si="120"/>
        <v/>
      </c>
      <c r="W67" s="84" t="str">
        <f t="shared" si="121"/>
        <v/>
      </c>
      <c r="X67" s="85" t="str">
        <f t="shared" si="122"/>
        <v/>
      </c>
      <c r="Y67" s="85" t="str">
        <f t="shared" si="123"/>
        <v/>
      </c>
      <c r="Z67" s="45" t="str">
        <f t="shared" si="124"/>
        <v/>
      </c>
      <c r="AA67" s="45">
        <f t="shared" si="125"/>
        <v>250942920.56080002</v>
      </c>
      <c r="AB67" s="45">
        <f t="shared" si="126"/>
        <v>493822195.13960195</v>
      </c>
      <c r="AC67" s="84">
        <f t="shared" si="127"/>
        <v>687514.9</v>
      </c>
      <c r="AD67" s="85">
        <f t="shared" si="128"/>
        <v>1.9679</v>
      </c>
      <c r="AE67" s="85">
        <f t="shared" si="129"/>
        <v>0.3664</v>
      </c>
      <c r="AF67" s="45">
        <f t="shared" si="130"/>
        <v>91949692.74000001</v>
      </c>
      <c r="AG67" s="161"/>
    </row>
    <row r="68" spans="1:36" s="307" customFormat="1" ht="15" customHeight="1" x14ac:dyDescent="0.25">
      <c r="A68" s="26" t="s">
        <v>28</v>
      </c>
      <c r="B68" s="27" t="s">
        <v>181</v>
      </c>
      <c r="C68" s="62" t="s">
        <v>31</v>
      </c>
      <c r="D68" s="62" t="s">
        <v>30</v>
      </c>
      <c r="E68" s="62" t="s">
        <v>161</v>
      </c>
      <c r="F68" s="262" t="s">
        <v>56</v>
      </c>
      <c r="G68" s="45">
        <f>Ene!G68+Feb!G68+Mar!G68+Abr!G68+May!G68+Jun!G68+Jul!G68+Ago!G68+Set!G68+Oct!G68+Nov!G68+Dic!G68</f>
        <v>195027.14700000003</v>
      </c>
      <c r="H68" s="45">
        <f>Ene!H68+Feb!H68+Mar!H68+Abr!H68+May!H68+Jun!H68+Jul!H68+Ago!H68+Set!H68+Oct!H68+Nov!H68+Dic!H68</f>
        <v>202473.04919999998</v>
      </c>
      <c r="I68" s="45"/>
      <c r="J68" s="45"/>
      <c r="K68" s="45"/>
      <c r="L68" s="45"/>
      <c r="M68" s="45"/>
      <c r="N68" s="45">
        <f>Ene!N68+Feb!N68+Mar!N68+Abr!N68+May!N68+Jun!N68+Jul!N68+Ago!N68+Set!N68+Oct!N68+Nov!N68+Dic!N68</f>
        <v>0</v>
      </c>
      <c r="O68" s="45">
        <f>Ene!O68+Feb!O68+Mar!O68+Abr!O68+May!O68+Jun!O68+Jul!O68+Ago!O68+Set!O68+Oct!O68+Nov!O68+Dic!O68</f>
        <v>1086529.98968807</v>
      </c>
      <c r="P68" s="45">
        <f>Ene!P68+Feb!P68+Mar!P68+Abr!P68+May!P68+Jun!P68+Jul!P68+Ago!P68+Set!P68+Oct!P68+Nov!P68+Dic!P68</f>
        <v>404623.77999999991</v>
      </c>
      <c r="Q68" s="45">
        <f>Ene!Q68+Feb!Q68+Mar!Q68+Abr!Q68+May!Q68+Jun!Q68+Jul!Q68+Ago!Q68+Set!Q68+Oct!Q68+Nov!Q68+Dic!Q68</f>
        <v>202311.91999999998</v>
      </c>
      <c r="R68" s="244">
        <v>0.5</v>
      </c>
      <c r="S68" s="243"/>
      <c r="T68" s="244"/>
      <c r="U68" s="45" t="str">
        <f t="shared" si="119"/>
        <v/>
      </c>
      <c r="V68" s="45" t="str">
        <f t="shared" si="120"/>
        <v/>
      </c>
      <c r="W68" s="84" t="str">
        <f t="shared" si="121"/>
        <v/>
      </c>
      <c r="X68" s="85" t="str">
        <f t="shared" si="122"/>
        <v/>
      </c>
      <c r="Y68" s="85" t="str">
        <f t="shared" si="123"/>
        <v/>
      </c>
      <c r="Z68" s="45" t="str">
        <f t="shared" si="124"/>
        <v/>
      </c>
      <c r="AA68" s="45">
        <f t="shared" si="125"/>
        <v>397500.19620000001</v>
      </c>
      <c r="AB68" s="45">
        <f t="shared" si="126"/>
        <v>1086529.98968807</v>
      </c>
      <c r="AC68" s="84">
        <f t="shared" si="127"/>
        <v>1089</v>
      </c>
      <c r="AD68" s="85">
        <f t="shared" si="128"/>
        <v>2.7334000000000001</v>
      </c>
      <c r="AE68" s="85">
        <f t="shared" si="129"/>
        <v>0.50900000000000001</v>
      </c>
      <c r="AF68" s="45">
        <f t="shared" si="130"/>
        <v>202311.91999999998</v>
      </c>
      <c r="AG68" s="161"/>
    </row>
    <row r="69" spans="1:36" s="307" customFormat="1" ht="13.2" x14ac:dyDescent="0.25">
      <c r="A69" s="26" t="s">
        <v>28</v>
      </c>
      <c r="B69" s="27" t="s">
        <v>182</v>
      </c>
      <c r="C69" s="62" t="s">
        <v>31</v>
      </c>
      <c r="D69" s="62" t="s">
        <v>30</v>
      </c>
      <c r="E69" s="62" t="s">
        <v>161</v>
      </c>
      <c r="F69" s="262" t="s">
        <v>56</v>
      </c>
      <c r="G69" s="45">
        <f>Ene!G69+Feb!G69+Mar!G69+Abr!G69+May!G69+Jun!G69+Jul!G69+Ago!G69+Set!G69+Oct!G69+Nov!G69+Dic!G69</f>
        <v>8372174.1944000004</v>
      </c>
      <c r="H69" s="45">
        <f>Ene!H69+Feb!H69+Mar!H69+Abr!H69+May!H69+Jun!H69+Jul!H69+Ago!H69+Set!H69+Oct!H69+Nov!H69+Dic!H69</f>
        <v>9370485.8271999992</v>
      </c>
      <c r="I69" s="45"/>
      <c r="J69" s="45"/>
      <c r="K69" s="312"/>
      <c r="L69" s="312"/>
      <c r="M69" s="312"/>
      <c r="N69" s="45">
        <f>Ene!N69+Feb!N69+Mar!N69+Abr!N69+May!N69+Jun!N69+Jul!N69+Ago!N69+Set!N69+Oct!N69+Nov!N69+Dic!N69</f>
        <v>0</v>
      </c>
      <c r="O69" s="45">
        <f>Ene!O69+Feb!O69+Mar!O69+Abr!O69+May!O69+Jun!O69+Jul!O69+Ago!O69+Set!O69+Oct!O69+Nov!O69+Dic!O69</f>
        <v>137492628.26943281</v>
      </c>
      <c r="P69" s="45">
        <f>Ene!P69+Feb!P69+Mar!P69+Abr!P69+May!P69+Jun!P69+Jul!P69+Ago!P69+Set!P69+Oct!P69+Nov!P69+Dic!P69</f>
        <v>52247198.730000004</v>
      </c>
      <c r="Q69" s="45">
        <f>Ene!Q69+Feb!Q69+Mar!Q69+Abr!Q69+May!Q69+Jun!Q69+Jul!Q69+Ago!Q69+Set!Q69+Oct!Q69+Nov!Q69+Dic!Q69</f>
        <v>26123599.390000001</v>
      </c>
      <c r="R69" s="314">
        <v>0.5</v>
      </c>
      <c r="S69" s="243"/>
      <c r="T69" s="244"/>
      <c r="U69" s="45" t="str">
        <f t="shared" si="119"/>
        <v/>
      </c>
      <c r="V69" s="45" t="str">
        <f t="shared" si="120"/>
        <v/>
      </c>
      <c r="W69" s="84" t="str">
        <f t="shared" si="121"/>
        <v/>
      </c>
      <c r="X69" s="85" t="str">
        <f t="shared" si="122"/>
        <v/>
      </c>
      <c r="Y69" s="85" t="str">
        <f t="shared" si="123"/>
        <v/>
      </c>
      <c r="Z69" s="45" t="str">
        <f t="shared" si="124"/>
        <v/>
      </c>
      <c r="AA69" s="45">
        <f t="shared" si="125"/>
        <v>17742660.021600001</v>
      </c>
      <c r="AB69" s="45">
        <f t="shared" si="126"/>
        <v>137492628.26943281</v>
      </c>
      <c r="AC69" s="84">
        <f t="shared" si="127"/>
        <v>48610</v>
      </c>
      <c r="AD69" s="85">
        <f t="shared" si="128"/>
        <v>7.7492999999999999</v>
      </c>
      <c r="AE69" s="85">
        <f t="shared" si="129"/>
        <v>1.4723999999999999</v>
      </c>
      <c r="AF69" s="45">
        <f t="shared" si="130"/>
        <v>26123599.390000001</v>
      </c>
      <c r="AG69" s="161"/>
    </row>
    <row r="70" spans="1:36" x14ac:dyDescent="0.3">
      <c r="A70" s="26" t="s">
        <v>28</v>
      </c>
      <c r="B70" s="29" t="s">
        <v>171</v>
      </c>
      <c r="C70" s="62" t="s">
        <v>31</v>
      </c>
      <c r="D70" s="28" t="s">
        <v>30</v>
      </c>
      <c r="E70" s="62" t="s">
        <v>161</v>
      </c>
      <c r="F70" s="40" t="s">
        <v>37</v>
      </c>
      <c r="G70" s="45">
        <f>Ene!G70+Feb!G70+Mar!G70+Abr!G70+May!G70+Jun!G70+Jul!G70+Ago!G70+Set!G70+Oct!G70+Nov!G70+Dic!G70</f>
        <v>4113865</v>
      </c>
      <c r="H70" s="45">
        <f>Ene!H70+Feb!H70+Mar!H70+Abr!H70+May!H70+Jun!H70+Jul!H70+Ago!H70+Set!H70+Oct!H70+Nov!H70+Dic!H70</f>
        <v>4200880</v>
      </c>
      <c r="I70" s="45"/>
      <c r="J70" s="45"/>
      <c r="K70" s="45"/>
      <c r="L70" s="45"/>
      <c r="M70" s="45"/>
      <c r="N70" s="45">
        <f>Ene!N70+Feb!N70+Mar!N70+Abr!N70+May!N70+Jun!N70+Jul!N70+Ago!N70+Set!N70+Oct!N70+Nov!N70+Dic!N70</f>
        <v>0</v>
      </c>
      <c r="O70" s="45">
        <f>Ene!O70+Feb!O70+Mar!O70+Abr!O70+May!O70+Jun!O70+Jul!O70+Ago!O70+Set!O70+Oct!O70+Nov!O70+Dic!O70</f>
        <v>401523952.29429996</v>
      </c>
      <c r="P70" s="45">
        <f>Ene!P70+Feb!P70+Mar!P70+Abr!P70+May!P70+Jun!P70+Jul!P70+Ago!P70+Set!P70+Oct!P70+Nov!P70+Dic!P70</f>
        <v>160609580.90000001</v>
      </c>
      <c r="Q70" s="45">
        <f>Ene!Q70+Feb!Q70+Mar!Q70+Abr!Q70+May!Q70+Jun!Q70+Jul!Q70+Ago!Q70+Set!Q70+Oct!Q70+Nov!Q70+Dic!Q70</f>
        <v>80304790.5</v>
      </c>
      <c r="R70" s="151">
        <v>0.5</v>
      </c>
      <c r="S70" s="46"/>
      <c r="T70" s="244"/>
      <c r="U70" s="45">
        <f t="shared" si="119"/>
        <v>8314745</v>
      </c>
      <c r="V70" s="45">
        <f t="shared" si="120"/>
        <v>401523952.29429996</v>
      </c>
      <c r="W70" s="84">
        <f t="shared" si="121"/>
        <v>22780.1</v>
      </c>
      <c r="X70" s="85">
        <f t="shared" si="122"/>
        <v>48.290599999999998</v>
      </c>
      <c r="Y70" s="85">
        <f t="shared" si="123"/>
        <v>9.6580999999999992</v>
      </c>
      <c r="Z70" s="45">
        <f t="shared" si="124"/>
        <v>80304790.5</v>
      </c>
      <c r="AA70" s="45" t="str">
        <f t="shared" si="125"/>
        <v/>
      </c>
      <c r="AB70" s="45" t="str">
        <f t="shared" si="126"/>
        <v/>
      </c>
      <c r="AC70" s="84" t="str">
        <f t="shared" si="127"/>
        <v/>
      </c>
      <c r="AD70" s="85" t="str">
        <f t="shared" si="128"/>
        <v/>
      </c>
      <c r="AE70" s="85" t="str">
        <f t="shared" si="129"/>
        <v/>
      </c>
      <c r="AF70" s="45" t="str">
        <f t="shared" si="130"/>
        <v/>
      </c>
      <c r="AG70" s="161"/>
    </row>
    <row r="71" spans="1:36" x14ac:dyDescent="0.3">
      <c r="A71" s="26" t="s">
        <v>28</v>
      </c>
      <c r="B71" s="29" t="s">
        <v>172</v>
      </c>
      <c r="C71" s="62" t="s">
        <v>31</v>
      </c>
      <c r="D71" s="28" t="s">
        <v>30</v>
      </c>
      <c r="E71" s="62" t="s">
        <v>161</v>
      </c>
      <c r="F71" s="38" t="s">
        <v>56</v>
      </c>
      <c r="G71" s="45">
        <f>Ene!G71+Feb!G71+Mar!G71+Abr!G71+May!G71+Jun!G71+Jul!G71+Ago!G71+Set!G71+Oct!G71+Nov!G71+Dic!G71</f>
        <v>41489908.135600001</v>
      </c>
      <c r="H71" s="45">
        <f>Ene!H71+Feb!H71+Mar!H71+Abr!H71+May!H71+Jun!H71+Jul!H71+Ago!H71+Set!H71+Oct!H71+Nov!H71+Dic!H71</f>
        <v>49065509.547299996</v>
      </c>
      <c r="I71" s="45"/>
      <c r="J71" s="45"/>
      <c r="K71" s="45"/>
      <c r="L71" s="45"/>
      <c r="M71" s="45"/>
      <c r="N71" s="45">
        <f>Ene!N71+Feb!N71+Mar!N71+Abr!N71+May!N71+Jun!N71+Jul!N71+Ago!N71+Set!N71+Oct!N71+Nov!N71+Dic!N71</f>
        <v>0</v>
      </c>
      <c r="O71" s="45">
        <f>Ene!O71+Feb!O71+Mar!O71+Abr!O71+May!O71+Jun!O71+Jul!O71+Ago!O71+Set!O71+Oct!O71+Nov!O71+Dic!O71</f>
        <v>762449606.62043071</v>
      </c>
      <c r="P71" s="45">
        <f>Ene!P71+Feb!P71+Mar!P71+Abr!P71+May!P71+Jun!P71+Jul!P71+Ago!P71+Set!P71+Oct!P71+Nov!P71+Dic!P71</f>
        <v>289730850.51999998</v>
      </c>
      <c r="Q71" s="45">
        <f>Ene!Q71+Feb!Q71+Mar!Q71+Abr!Q71+May!Q71+Jun!Q71+Jul!Q71+Ago!Q71+Set!Q71+Oct!Q71+Nov!Q71+Dic!Q71</f>
        <v>144865425.28</v>
      </c>
      <c r="R71" s="151">
        <v>0.5</v>
      </c>
      <c r="S71" s="46"/>
      <c r="T71" s="244"/>
      <c r="U71" s="45" t="str">
        <f t="shared" ref="U71:U74" si="131">IF($F71&amp;"/Día"=W$9,SUM($G71:$H71),"")</f>
        <v/>
      </c>
      <c r="V71" s="45" t="str">
        <f t="shared" ref="V71:V74" si="132">IF(U71&lt;&gt;"",$O71,"")</f>
        <v/>
      </c>
      <c r="W71" s="84" t="str">
        <f t="shared" ref="W71:W74" si="133">IF($F71&amp;"/Día"=W$9,ROUND(U71/$W$1,1),"")</f>
        <v/>
      </c>
      <c r="X71" s="85" t="str">
        <f t="shared" ref="X71:X74" si="134">IF(U71=0,0,IF($F71&amp;"/Día"=W$9,ROUND(V71/U71,4),""))</f>
        <v/>
      </c>
      <c r="Y71" s="85" t="str">
        <f t="shared" ref="Y71:Y74" si="135">IF(U71=0,0,IF($F71&amp;"/Día"=W$9,ROUND(Z71/U71,4),""))</f>
        <v/>
      </c>
      <c r="Z71" s="45" t="str">
        <f t="shared" ref="Z71:Z74" si="136">IF(U71&lt;&gt;"",$Q71,"")</f>
        <v/>
      </c>
      <c r="AA71" s="45">
        <f t="shared" si="125"/>
        <v>90555417.682899997</v>
      </c>
      <c r="AB71" s="45">
        <f t="shared" si="126"/>
        <v>762449606.62043071</v>
      </c>
      <c r="AC71" s="84">
        <f t="shared" si="127"/>
        <v>248097</v>
      </c>
      <c r="AD71" s="85">
        <f t="shared" si="128"/>
        <v>8.4197000000000006</v>
      </c>
      <c r="AE71" s="85">
        <f t="shared" si="129"/>
        <v>1.5996999999999999</v>
      </c>
      <c r="AF71" s="45">
        <f t="shared" si="130"/>
        <v>144865425.28</v>
      </c>
      <c r="AG71" s="161"/>
    </row>
    <row r="72" spans="1:36" x14ac:dyDescent="0.3">
      <c r="A72" s="26" t="s">
        <v>28</v>
      </c>
      <c r="B72" s="29" t="s">
        <v>172</v>
      </c>
      <c r="C72" s="62" t="s">
        <v>31</v>
      </c>
      <c r="D72" s="28" t="s">
        <v>30</v>
      </c>
      <c r="E72" s="62" t="s">
        <v>161</v>
      </c>
      <c r="F72" s="38" t="s">
        <v>56</v>
      </c>
      <c r="G72" s="45">
        <f>Ene!G72+Feb!G72+Mar!G72+Abr!G72+May!G72+Jun!G72+Jul!G72+Ago!G72+Set!G72+Oct!G72+Nov!G72+Dic!G72</f>
        <v>1753907.6952</v>
      </c>
      <c r="H72" s="45">
        <f>Ene!H72+Feb!H72+Mar!H72+Abr!H72+May!H72+Jun!H72+Jul!H72+Ago!H72+Set!H72+Oct!H72+Nov!H72+Dic!H72</f>
        <v>2003283.2731999999</v>
      </c>
      <c r="I72" s="45"/>
      <c r="J72" s="45"/>
      <c r="K72" s="45"/>
      <c r="L72" s="45"/>
      <c r="M72" s="45"/>
      <c r="N72" s="45">
        <f>Ene!N72+Feb!N72+Mar!N72+Abr!N72+May!N72+Jun!N72+Jul!N72+Ago!N72+Set!N72+Oct!N72+Nov!N72+Dic!N72</f>
        <v>0</v>
      </c>
      <c r="O72" s="45">
        <f>Ene!O72+Feb!O72+Mar!O72+Abr!O72+May!O72+Jun!O72+Jul!O72+Ago!O72+Set!O72+Oct!O72+Nov!O72+Dic!O72</f>
        <v>7408211.1289184</v>
      </c>
      <c r="P72" s="45">
        <f>Ene!P72+Feb!P72+Mar!P72+Abr!P72+May!P72+Jun!P72+Jul!P72+Ago!P72+Set!P72+Oct!P72+Nov!P72+Dic!P72</f>
        <v>2758817.8299999996</v>
      </c>
      <c r="Q72" s="45">
        <f>Ene!Q72+Feb!Q72+Mar!Q72+Abr!Q72+May!Q72+Jun!Q72+Jul!Q72+Ago!Q72+Set!Q72+Oct!Q72+Nov!Q72+Dic!Q72</f>
        <v>1379408.9400000002</v>
      </c>
      <c r="R72" s="151">
        <v>0.5</v>
      </c>
      <c r="S72" s="46"/>
      <c r="T72" s="244"/>
      <c r="U72" s="45" t="str">
        <f t="shared" si="131"/>
        <v/>
      </c>
      <c r="V72" s="45" t="str">
        <f t="shared" si="132"/>
        <v/>
      </c>
      <c r="W72" s="84" t="str">
        <f t="shared" si="133"/>
        <v/>
      </c>
      <c r="X72" s="85" t="str">
        <f t="shared" si="134"/>
        <v/>
      </c>
      <c r="Y72" s="85" t="str">
        <f t="shared" si="135"/>
        <v/>
      </c>
      <c r="Z72" s="45" t="str">
        <f t="shared" si="136"/>
        <v/>
      </c>
      <c r="AA72" s="45">
        <f t="shared" ref="AA72:AA74" si="137">IF($F72&amp;"/Día"=AC$9,SUM($G72:$H72),"")</f>
        <v>3757190.9683999997</v>
      </c>
      <c r="AB72" s="45">
        <f t="shared" ref="AB72:AB74" si="138">IF(AA72&lt;&gt;"",$O72,"")</f>
        <v>7408211.1289184</v>
      </c>
      <c r="AC72" s="84">
        <f t="shared" ref="AC72:AC74" si="139">IF($F72&amp;"/Día"=AC$9,ROUND(AA72/$W$1,1),"")</f>
        <v>10293.700000000001</v>
      </c>
      <c r="AD72" s="85">
        <f t="shared" ref="AD72:AD74" si="140">IF(AA72=0,0,IF($F72&amp;"/Día"=AC$9,ROUND(AB72/AA72,4),""))</f>
        <v>1.9717</v>
      </c>
      <c r="AE72" s="85">
        <f t="shared" ref="AE72:AE74" si="141">IF(AA72=0,0,IF($F72&amp;"/Día"=AC$9,ROUND(AF72/AA72,4),""))</f>
        <v>0.36709999999999998</v>
      </c>
      <c r="AF72" s="45">
        <f t="shared" ref="AF72:AF74" si="142">IF(AA72&lt;&gt;"",$Q72,"")</f>
        <v>1379408.9400000002</v>
      </c>
      <c r="AG72" s="161"/>
    </row>
    <row r="73" spans="1:36" x14ac:dyDescent="0.3">
      <c r="A73" s="26" t="s">
        <v>28</v>
      </c>
      <c r="B73" s="29" t="s">
        <v>179</v>
      </c>
      <c r="C73" s="62" t="s">
        <v>31</v>
      </c>
      <c r="D73" s="28" t="s">
        <v>30</v>
      </c>
      <c r="E73" s="62" t="s">
        <v>161</v>
      </c>
      <c r="F73" s="40" t="s">
        <v>37</v>
      </c>
      <c r="G73" s="45">
        <f>Ene!G73+Feb!G73+Mar!G73+Abr!G73+May!G73+Jun!G73+Jul!G73+Ago!G73+Set!G73+Oct!G73+Nov!G73+Dic!G73</f>
        <v>1392960</v>
      </c>
      <c r="H73" s="45">
        <f>Ene!H73+Feb!H73+Mar!H73+Abr!H73+May!H73+Jun!H73+Jul!H73+Ago!H73+Set!H73+Oct!H73+Nov!H73+Dic!H73</f>
        <v>1444446</v>
      </c>
      <c r="I73" s="45"/>
      <c r="J73" s="45"/>
      <c r="K73" s="45"/>
      <c r="L73" s="45"/>
      <c r="M73" s="45"/>
      <c r="N73" s="45">
        <f>Ene!N73+Feb!N73+Mar!N73+Abr!N73+May!N73+Jun!N73+Jul!N73+Ago!N73+Set!N73+Oct!N73+Nov!N73+Dic!N73</f>
        <v>0</v>
      </c>
      <c r="O73" s="45">
        <f>Ene!O73+Feb!O73+Mar!O73+Abr!O73+May!O73+Jun!O73+Jul!O73+Ago!O73+Set!O73+Oct!O73+Nov!O73+Dic!O73</f>
        <v>124440059.63850001</v>
      </c>
      <c r="P73" s="45">
        <f>Ene!P73+Feb!P73+Mar!P73+Abr!P73+May!P73+Jun!P73+Jul!P73+Ago!P73+Set!P73+Oct!P73+Nov!P73+Dic!P73</f>
        <v>7644784.8196069999</v>
      </c>
      <c r="Q73" s="45">
        <f>Ene!Q73+Feb!Q73+Mar!Q73+Abr!Q73+May!Q73+Jun!Q73+Jul!Q73+Ago!Q73+Set!Q73+Oct!Q73+Nov!Q73+Dic!Q73</f>
        <v>3822392.4099999997</v>
      </c>
      <c r="R73" s="151">
        <v>0.5</v>
      </c>
      <c r="S73" s="46"/>
      <c r="T73" s="244"/>
      <c r="U73" s="45">
        <f t="shared" si="131"/>
        <v>2837406</v>
      </c>
      <c r="V73" s="45">
        <f t="shared" si="132"/>
        <v>124440059.63850001</v>
      </c>
      <c r="W73" s="84">
        <f t="shared" si="133"/>
        <v>7773.7</v>
      </c>
      <c r="X73" s="85">
        <f t="shared" si="134"/>
        <v>43.856999999999999</v>
      </c>
      <c r="Y73" s="85">
        <f t="shared" si="135"/>
        <v>1.3471</v>
      </c>
      <c r="Z73" s="45">
        <f t="shared" si="136"/>
        <v>3822392.4099999997</v>
      </c>
      <c r="AA73" s="45" t="str">
        <f t="shared" si="137"/>
        <v/>
      </c>
      <c r="AB73" s="45" t="str">
        <f t="shared" si="138"/>
        <v/>
      </c>
      <c r="AC73" s="84" t="str">
        <f t="shared" si="139"/>
        <v/>
      </c>
      <c r="AD73" s="85" t="str">
        <f t="shared" si="140"/>
        <v/>
      </c>
      <c r="AE73" s="85" t="str">
        <f t="shared" si="141"/>
        <v/>
      </c>
      <c r="AF73" s="45" t="str">
        <f t="shared" si="142"/>
        <v/>
      </c>
      <c r="AG73" s="161"/>
      <c r="AJ73" s="307"/>
    </row>
    <row r="74" spans="1:36" x14ac:dyDescent="0.3">
      <c r="A74" s="26" t="s">
        <v>28</v>
      </c>
      <c r="B74" s="29" t="s">
        <v>180</v>
      </c>
      <c r="C74" s="62" t="s">
        <v>31</v>
      </c>
      <c r="D74" s="28" t="s">
        <v>30</v>
      </c>
      <c r="E74" s="62" t="s">
        <v>161</v>
      </c>
      <c r="F74" s="38" t="s">
        <v>56</v>
      </c>
      <c r="G74" s="45">
        <f>Ene!G74+Feb!G74+Mar!G74+Abr!G74+May!G74+Jun!G74+Jul!G74+Ago!G74+Set!G74+Oct!G74+Nov!G74+Dic!G74</f>
        <v>22465401.005399998</v>
      </c>
      <c r="H74" s="45">
        <f>Ene!H74+Feb!H74+Mar!H74+Abr!H74+May!H74+Jun!H74+Jul!H74+Ago!H74+Set!H74+Oct!H74+Nov!H74+Dic!H74</f>
        <v>23106273.450900003</v>
      </c>
      <c r="I74" s="45"/>
      <c r="J74" s="45"/>
      <c r="K74" s="45"/>
      <c r="L74" s="45"/>
      <c r="M74" s="45"/>
      <c r="N74" s="45">
        <f>Ene!N74+Feb!N74+Mar!N74+Abr!N74+May!N74+Jun!N74+Jul!N74+Ago!N74+Set!N74+Oct!N74+Nov!N74+Dic!N74</f>
        <v>0</v>
      </c>
      <c r="O74" s="45">
        <f>Ene!O74+Feb!O74+Mar!O74+Abr!O74+May!O74+Jun!O74+Jul!O74+Ago!O74+Set!O74+Oct!O74+Nov!O74+Dic!O74</f>
        <v>352259736.44817328</v>
      </c>
      <c r="P74" s="45">
        <f>Ene!P74+Feb!P74+Mar!P74+Abr!P74+May!P74+Jun!P74+Jul!P74+Ago!P74+Set!P74+Oct!P74+Nov!P74+Dic!P74</f>
        <v>33557704.507316999</v>
      </c>
      <c r="Q74" s="45">
        <f>Ene!Q74+Feb!Q74+Mar!Q74+Abr!Q74+May!Q74+Jun!Q74+Jul!Q74+Ago!Q74+Set!Q74+Oct!Q74+Nov!Q74+Dic!Q74</f>
        <v>16778852.27</v>
      </c>
      <c r="R74" s="151">
        <v>0.5</v>
      </c>
      <c r="S74" s="46"/>
      <c r="T74" s="244"/>
      <c r="U74" s="45" t="str">
        <f t="shared" si="131"/>
        <v/>
      </c>
      <c r="V74" s="45" t="str">
        <f t="shared" si="132"/>
        <v/>
      </c>
      <c r="W74" s="84" t="str">
        <f t="shared" si="133"/>
        <v/>
      </c>
      <c r="X74" s="85" t="str">
        <f t="shared" si="134"/>
        <v/>
      </c>
      <c r="Y74" s="85" t="str">
        <f t="shared" si="135"/>
        <v/>
      </c>
      <c r="Z74" s="45" t="str">
        <f t="shared" si="136"/>
        <v/>
      </c>
      <c r="AA74" s="45">
        <f t="shared" si="137"/>
        <v>45571674.456300005</v>
      </c>
      <c r="AB74" s="45">
        <f t="shared" si="138"/>
        <v>352259736.44817328</v>
      </c>
      <c r="AC74" s="84">
        <f t="shared" si="139"/>
        <v>124853.9</v>
      </c>
      <c r="AD74" s="85">
        <f t="shared" si="140"/>
        <v>7.7298</v>
      </c>
      <c r="AE74" s="85">
        <f t="shared" si="141"/>
        <v>0.36820000000000003</v>
      </c>
      <c r="AF74" s="45">
        <f t="shared" si="142"/>
        <v>16778852.27</v>
      </c>
      <c r="AG74" s="161"/>
      <c r="AJ74" s="307"/>
    </row>
    <row r="75" spans="1:36" x14ac:dyDescent="0.3">
      <c r="A75" s="194" t="s">
        <v>28</v>
      </c>
      <c r="B75" s="195" t="s">
        <v>165</v>
      </c>
      <c r="C75" s="196"/>
      <c r="D75" s="196"/>
      <c r="E75" s="197"/>
      <c r="F75" s="38"/>
      <c r="G75" s="45">
        <f>Ene!G75+Feb!G75+Mar!G75+Abr!G75+May!G75+Jun!G75+Jul!G75+Ago!G75+Set!G75+Oct!G75+Nov!G75+Dic!G75</f>
        <v>0</v>
      </c>
      <c r="H75" s="45">
        <f>Ene!H75+Feb!H75+Mar!H75+Abr!H75+May!H75+Jun!H75+Jul!H75+Ago!H75+Set!H75+Oct!H75+Nov!H75+Dic!H75</f>
        <v>0</v>
      </c>
      <c r="I75" s="45"/>
      <c r="J75" s="45"/>
      <c r="K75" s="45"/>
      <c r="L75" s="45"/>
      <c r="M75" s="45"/>
      <c r="N75" s="45">
        <f>Ene!N75+Feb!N75+Mar!N75+Abr!N75+May!N75+Jun!N75+Jul!N75+Ago!N75+Set!N75+Oct!N75+Nov!N75+Dic!N75</f>
        <v>0</v>
      </c>
      <c r="O75" s="45">
        <f>Ene!O75+Feb!O75+Mar!O75+Abr!O75+May!O75+Jun!O75+Jul!O75+Ago!O75+Set!O75+Oct!O75+Nov!O75+Dic!O75</f>
        <v>27268310.262990341</v>
      </c>
      <c r="P75" s="45">
        <f>Ene!P75+Feb!P75+Mar!P75+Abr!P75+May!P75+Jun!P75+Jul!P75+Ago!P75+Set!P75+Oct!P75+Nov!P75+Dic!P75</f>
        <v>-369327.74157300126</v>
      </c>
      <c r="Q75" s="45">
        <f>Ene!Q75+Feb!Q75+Mar!Q75+Abr!Q75+May!Q75+Jun!Q75+Jul!Q75+Ago!Q75+Set!Q75+Oct!Q75+Nov!Q75+Dic!Q75</f>
        <v>-184663.81000000134</v>
      </c>
      <c r="R75" s="160">
        <v>0.5</v>
      </c>
      <c r="S75" s="47"/>
      <c r="T75" s="160"/>
      <c r="U75" s="45" t="str">
        <f>IF($F75&amp;"/Día"=W$9,SUM($G75:$H75),"")</f>
        <v/>
      </c>
      <c r="V75" s="45" t="str">
        <f>IF(U75&lt;&gt;"",$O75,"")</f>
        <v/>
      </c>
      <c r="W75" s="84" t="str">
        <f>IF($F75&amp;"/Día"=W$9,ROUND(U75/$W$1,1),"")</f>
        <v/>
      </c>
      <c r="X75" s="85" t="str">
        <f>IF(U75=0,0,IF($F75&amp;"/Día"=W$9,ROUND(V75/U75,4),""))</f>
        <v/>
      </c>
      <c r="Y75" s="85" t="str">
        <f>IF(U75=0,0,IF($F75&amp;"/Día"=W$9,ROUND(Z75/U75,4),""))</f>
        <v/>
      </c>
      <c r="Z75" s="45" t="str">
        <f>IF(U75&lt;&gt;"",$Q75,"")</f>
        <v/>
      </c>
      <c r="AA75" s="45" t="str">
        <f>IF($F75&amp;"/Día"=AC$9,SUM($G75:$H75),"")</f>
        <v/>
      </c>
      <c r="AB75" s="45" t="str">
        <f>IF(AA75&lt;&gt;"",$O75,"")</f>
        <v/>
      </c>
      <c r="AC75" s="84" t="str">
        <f>IF($F75&amp;"/Día"=AC$9,ROUND(AA75/$W$1,1),"")</f>
        <v/>
      </c>
      <c r="AD75" s="85" t="str">
        <f>IF(AA75=0,0,IF($F75&amp;"/Día"=AC$9,ROUND(AB75/AA75,4),""))</f>
        <v/>
      </c>
      <c r="AE75" s="85" t="str">
        <f>IF(AA75=0,0,IF($F75&amp;"/Día"=AC$9,ROUND(AF75/AA75,4),""))</f>
        <v/>
      </c>
      <c r="AF75" s="45" t="str">
        <f>IF(AA75&lt;&gt;"",$Q75,"")</f>
        <v/>
      </c>
      <c r="AG75" s="161"/>
    </row>
    <row r="76" spans="1:36" x14ac:dyDescent="0.3">
      <c r="A76" s="34"/>
      <c r="B76" s="165" t="s">
        <v>108</v>
      </c>
      <c r="C76" s="35" t="str">
        <f>TEXT(A$65,)&amp;" US$"</f>
        <v>Cusco US$</v>
      </c>
      <c r="D76" s="22"/>
      <c r="E76" s="22"/>
      <c r="F76" s="34"/>
      <c r="G76" s="49"/>
      <c r="H76" s="49"/>
      <c r="I76" s="49"/>
      <c r="J76" s="49"/>
      <c r="K76" s="49"/>
      <c r="L76" s="49"/>
      <c r="M76" s="49"/>
      <c r="N76" s="65">
        <f>SUM(N66:N75)</f>
        <v>0</v>
      </c>
      <c r="O76" s="65">
        <f t="shared" ref="O76:Q76" si="143">SUM(O66:O75)</f>
        <v>3194404192.7521358</v>
      </c>
      <c r="P76" s="65">
        <f t="shared" si="143"/>
        <v>1060673182.205351</v>
      </c>
      <c r="Q76" s="651">
        <f t="shared" si="143"/>
        <v>530336591.35999995</v>
      </c>
      <c r="R76" s="199"/>
      <c r="S76" s="171"/>
      <c r="T76" s="160"/>
      <c r="U76" s="86">
        <f>SUM(U66:U75)</f>
        <v>29244632</v>
      </c>
      <c r="V76" s="86">
        <f>SUM(V66:V75)</f>
        <v>1412616974.8929</v>
      </c>
      <c r="W76" s="87">
        <f>SUM(W66:W75)</f>
        <v>80122.2</v>
      </c>
      <c r="X76" s="88">
        <f>ROUND(V76/U76,4)</f>
        <v>48.3035</v>
      </c>
      <c r="Y76" s="88">
        <f>ROUND(Z76/U76,4)</f>
        <v>8.5220000000000002</v>
      </c>
      <c r="Z76" s="86">
        <f>SUM(Z66:Z75)</f>
        <v>249221964.62999997</v>
      </c>
      <c r="AA76" s="86">
        <f>SUM(AA66:AA75)</f>
        <v>408967363.88620007</v>
      </c>
      <c r="AB76" s="86">
        <f>SUM(AB66:AB75)</f>
        <v>1754518907.5962453</v>
      </c>
      <c r="AC76" s="87">
        <f>SUM(AC66:AC75)</f>
        <v>1120458.5</v>
      </c>
      <c r="AD76" s="88">
        <f>ROUND(AB76/AA76,4)</f>
        <v>4.2900999999999998</v>
      </c>
      <c r="AE76" s="88">
        <f>ROUND(AF76/AA76,4)</f>
        <v>0.68779999999999997</v>
      </c>
      <c r="AF76" s="86">
        <f>SUM(AF66:AF75)</f>
        <v>281299290.54000002</v>
      </c>
      <c r="AG76" s="86">
        <f>Q76-Z76-AF76</f>
        <v>-184663.81000000238</v>
      </c>
    </row>
    <row r="77" spans="1:36" x14ac:dyDescent="0.3">
      <c r="A77" s="157"/>
      <c r="B77" s="158"/>
      <c r="C77" s="35" t="str">
        <f>TEXT(A$65,)&amp;" S/."</f>
        <v>Cusco S/.</v>
      </c>
      <c r="D77" s="114"/>
      <c r="E77" s="114"/>
      <c r="F77" s="157"/>
      <c r="G77" s="98"/>
      <c r="H77" s="98"/>
      <c r="I77" s="98"/>
      <c r="J77" s="98"/>
      <c r="K77" s="98"/>
      <c r="L77" s="98"/>
      <c r="M77" s="98"/>
      <c r="N77" s="98"/>
      <c r="O77" s="150"/>
      <c r="P77" s="150"/>
      <c r="Q77" s="448">
        <f>Ene!Q77+Feb!Q77+Mar!Q77+Abr!Q77+May!Q77+Jun!Q77+Jul!Q77+Ago!Q77+Set!Q77+Oct!Q77+Nov!Q77+Dic!Q77</f>
        <v>2076631973.4166398</v>
      </c>
      <c r="R77" s="198"/>
      <c r="S77" s="171"/>
      <c r="T77" s="160"/>
      <c r="U77" s="161"/>
      <c r="V77" s="161"/>
      <c r="W77" s="162"/>
      <c r="X77" s="163"/>
      <c r="Y77" s="163"/>
      <c r="Z77" s="161"/>
      <c r="AA77" s="161"/>
      <c r="AB77" s="161"/>
      <c r="AC77" s="162"/>
      <c r="AD77" s="163"/>
      <c r="AE77" s="163"/>
      <c r="AF77" s="161"/>
      <c r="AG77" s="161"/>
    </row>
    <row r="78" spans="1:36" x14ac:dyDescent="0.3">
      <c r="A78" s="10" t="s">
        <v>55</v>
      </c>
      <c r="B78" s="11"/>
      <c r="C78" s="11"/>
      <c r="D78" s="11"/>
      <c r="E78" s="11"/>
      <c r="F78" s="17"/>
      <c r="G78" s="59"/>
      <c r="H78" s="59"/>
      <c r="I78" s="59"/>
      <c r="J78" s="59"/>
      <c r="K78" s="59"/>
      <c r="L78" s="59"/>
      <c r="M78" s="59"/>
      <c r="N78" s="171">
        <f>N76+N63+N48+N42</f>
        <v>405141.38800000004</v>
      </c>
      <c r="O78" s="171">
        <f>O76+O63+O48+O42</f>
        <v>4197368396.3768578</v>
      </c>
      <c r="P78" s="171">
        <f>Q76+P63+P48+P42</f>
        <v>717211143.11000001</v>
      </c>
      <c r="Q78" s="171">
        <f>Q77+Q64+S64+Q49+Q43+S43</f>
        <v>2807941376.8566399</v>
      </c>
      <c r="R78" s="60"/>
      <c r="S78" s="171"/>
      <c r="T78" s="60"/>
      <c r="U78" s="93">
        <f>U42+U48+U63+U76</f>
        <v>44088786.083000004</v>
      </c>
      <c r="V78" s="93">
        <f>V42+V48+V63+V76</f>
        <v>2348484870.0093999</v>
      </c>
      <c r="W78" s="94">
        <f>W42+W48+W63+W76</f>
        <v>120791</v>
      </c>
      <c r="X78" s="95">
        <f>ROUND(V78/U78,4)</f>
        <v>53.267200000000003</v>
      </c>
      <c r="Y78" s="95">
        <f>ROUND(Z78/U78,4)</f>
        <v>9.6060999999999996</v>
      </c>
      <c r="Z78" s="93">
        <f>Z42+Z48+Z63+Z76</f>
        <v>423519661.59999996</v>
      </c>
      <c r="AA78" s="93">
        <f>AA42+AA48+AA63+AA76</f>
        <v>429309271.32560009</v>
      </c>
      <c r="AB78" s="93">
        <f>AB42+AB48+AB63+AB76</f>
        <v>1821453134.0682452</v>
      </c>
      <c r="AC78" s="93">
        <f>AC42+AC48+AC63+AC76</f>
        <v>1176189.8</v>
      </c>
      <c r="AD78" s="95">
        <f>ROUND(AB78/AA78,4)</f>
        <v>4.2427999999999999</v>
      </c>
      <c r="AE78" s="95">
        <f>ROUND(AF78/AA78,4)</f>
        <v>0.6845</v>
      </c>
      <c r="AF78" s="93">
        <f>AF42+AF48+AF63+AF76</f>
        <v>293849458.03000003</v>
      </c>
      <c r="AG78" s="93">
        <f>P78-Z78-AF78</f>
        <v>-157976.51999998093</v>
      </c>
    </row>
    <row r="79" spans="1:36" x14ac:dyDescent="0.3">
      <c r="A79" s="6"/>
      <c r="B79" s="6"/>
      <c r="C79" s="6"/>
      <c r="D79" s="6"/>
      <c r="E79" s="6"/>
      <c r="F79" s="6"/>
      <c r="G79" s="6"/>
      <c r="H79" s="6"/>
      <c r="I79" s="6"/>
      <c r="J79" s="6"/>
      <c r="K79" s="6"/>
      <c r="L79" s="6"/>
      <c r="M79" s="6"/>
      <c r="N79" s="6"/>
      <c r="O79" s="6"/>
      <c r="P79" s="6"/>
      <c r="Q79" s="74"/>
      <c r="R79" s="1"/>
      <c r="S79" s="1"/>
      <c r="T79" s="1"/>
    </row>
    <row r="80" spans="1:36" x14ac:dyDescent="0.3">
      <c r="Q80" s="273"/>
      <c r="S80" s="273"/>
    </row>
    <row r="81" spans="15:21" ht="8.25" customHeight="1" x14ac:dyDescent="0.3"/>
    <row r="82" spans="15:21" hidden="1" x14ac:dyDescent="0.3">
      <c r="P82" s="444" t="s">
        <v>214</v>
      </c>
      <c r="Q82" s="445">
        <f>Q43+S43+Q49+Q64+S64+Q77</f>
        <v>2807941376.8566399</v>
      </c>
      <c r="S82" s="434">
        <f>[1]Memoria!$AG$49*1000</f>
        <v>1151842493.8700001</v>
      </c>
      <c r="T82" s="628">
        <f>Q82-S82</f>
        <v>1656098882.9866397</v>
      </c>
    </row>
    <row r="83" spans="15:21" hidden="1" x14ac:dyDescent="0.3">
      <c r="P83" s="444" t="s">
        <v>221</v>
      </c>
      <c r="Q83" s="434">
        <f>Q42+Q48+Q63+Q76+S42+S63</f>
        <v>717211144.2700001</v>
      </c>
      <c r="S83" s="434">
        <f>[1]Memoria!$AG$104*1000</f>
        <v>325987029.88040507</v>
      </c>
      <c r="T83" s="628">
        <f>S83-Q83</f>
        <v>-391224114.38959503</v>
      </c>
      <c r="U83" s="433"/>
    </row>
    <row r="84" spans="15:21" ht="4.5" hidden="1" customHeight="1" x14ac:dyDescent="0.3">
      <c r="Q84" s="433"/>
    </row>
    <row r="85" spans="15:21" hidden="1" x14ac:dyDescent="0.3">
      <c r="O85" s="673" t="s">
        <v>328</v>
      </c>
      <c r="P85" s="674"/>
      <c r="Q85" s="674"/>
      <c r="R85" s="674"/>
      <c r="S85" s="674"/>
      <c r="T85" s="675"/>
      <c r="U85" s="435"/>
    </row>
    <row r="86" spans="15:21" ht="29.25" hidden="1" customHeight="1" x14ac:dyDescent="0.3">
      <c r="O86" s="441"/>
      <c r="P86" s="441"/>
      <c r="Q86" s="442" t="s">
        <v>220</v>
      </c>
      <c r="R86" s="443"/>
      <c r="S86" s="442" t="s">
        <v>332</v>
      </c>
      <c r="T86" s="446" t="s">
        <v>222</v>
      </c>
      <c r="U86" s="435"/>
    </row>
    <row r="87" spans="15:21" hidden="1" x14ac:dyDescent="0.3">
      <c r="O87" s="436" t="s">
        <v>215</v>
      </c>
      <c r="P87" s="436" t="s">
        <v>216</v>
      </c>
      <c r="Q87" s="437">
        <f>SUM(Ene!Q78+Feb!Q78+Mar!Q78)</f>
        <v>502776874.95106</v>
      </c>
      <c r="R87" s="436"/>
      <c r="S87" s="437">
        <f>'[1]2020'!$F$50+'[1]2020'!$G$50+'[1]2020'!$H$50</f>
        <v>326306144.82999998</v>
      </c>
      <c r="T87" s="437">
        <f>S87-Q87</f>
        <v>-176470730.12106001</v>
      </c>
      <c r="U87" s="435"/>
    </row>
    <row r="88" spans="15:21" hidden="1" x14ac:dyDescent="0.3">
      <c r="O88" s="436" t="s">
        <v>217</v>
      </c>
      <c r="P88" s="436" t="s">
        <v>216</v>
      </c>
      <c r="Q88" s="437">
        <f>SUM(Abr!Q78+May!Q78+Jun!Q78)</f>
        <v>515962625.91095006</v>
      </c>
      <c r="R88" s="436"/>
      <c r="S88" s="437">
        <f>'[1]2020'!$I$50+'[1]2020'!$J$50+'[1]2020'!$K$50</f>
        <v>151054752.81</v>
      </c>
      <c r="T88" s="437">
        <f>S88-Q88</f>
        <v>-364907873.10095006</v>
      </c>
      <c r="U88" s="435"/>
    </row>
    <row r="89" spans="15:21" hidden="1" x14ac:dyDescent="0.3">
      <c r="O89" s="436" t="s">
        <v>218</v>
      </c>
      <c r="P89" s="436" t="s">
        <v>216</v>
      </c>
      <c r="Q89" s="437">
        <f>SUM(Jul!Q78+Ago!Q78+Set!Q78)</f>
        <v>712944192.71878004</v>
      </c>
      <c r="R89" s="436"/>
      <c r="S89" s="437">
        <f>'[1]2020'!$L$50+'[1]2020'!$M$50+'[1]2020'!$N$50</f>
        <v>279255234.50999999</v>
      </c>
      <c r="T89" s="437">
        <f>S89-Q89</f>
        <v>-433688958.20878005</v>
      </c>
      <c r="U89" s="435"/>
    </row>
    <row r="90" spans="15:21" hidden="1" x14ac:dyDescent="0.3">
      <c r="O90" s="436" t="s">
        <v>219</v>
      </c>
      <c r="P90" s="436" t="s">
        <v>216</v>
      </c>
      <c r="Q90" s="440">
        <f>SUM(Oct!Q78+Nov!Q78+Dic!Q78)</f>
        <v>1076257683.2758498</v>
      </c>
      <c r="R90" s="439"/>
      <c r="S90" s="440">
        <f>'[1]2020'!$O$50+'[1]2020'!$P$50+'[1]2020'!$Q$50</f>
        <v>395226361.72000003</v>
      </c>
      <c r="T90" s="437">
        <f>S90-Q90</f>
        <v>-681031321.55584979</v>
      </c>
      <c r="U90" s="435"/>
    </row>
    <row r="91" spans="15:21" hidden="1" x14ac:dyDescent="0.3">
      <c r="O91" s="436"/>
      <c r="P91" s="436"/>
      <c r="Q91" s="438">
        <f>SUM(Q87:Q90)</f>
        <v>2807941376.8566399</v>
      </c>
      <c r="R91" s="436"/>
      <c r="S91" s="438">
        <f>SUM(S87:S90)</f>
        <v>1151842493.8699999</v>
      </c>
      <c r="T91" s="437">
        <f>S91-Q91</f>
        <v>-1656098882.98664</v>
      </c>
      <c r="U91" s="435"/>
    </row>
    <row r="92" spans="15:21" hidden="1" x14ac:dyDescent="0.3">
      <c r="O92" s="439"/>
      <c r="P92" s="439"/>
      <c r="Q92" s="439"/>
      <c r="R92" s="439"/>
      <c r="S92" s="439"/>
      <c r="T92" s="439"/>
      <c r="U92" s="435"/>
    </row>
    <row r="93" spans="15:21" hidden="1" x14ac:dyDescent="0.3">
      <c r="O93" s="435"/>
      <c r="P93" s="435"/>
      <c r="Q93" s="435"/>
      <c r="R93" s="435"/>
      <c r="S93" s="433">
        <f>Q91-S91</f>
        <v>1656098882.98664</v>
      </c>
      <c r="T93" s="435"/>
      <c r="U93" s="435"/>
    </row>
    <row r="94" spans="15:21" hidden="1" x14ac:dyDescent="0.3">
      <c r="Q94" s="628"/>
    </row>
    <row r="95" spans="15:21" hidden="1" x14ac:dyDescent="0.3">
      <c r="O95" s="673" t="s">
        <v>328</v>
      </c>
      <c r="P95" s="674"/>
      <c r="Q95" s="674"/>
      <c r="R95" s="674"/>
      <c r="S95" s="674"/>
      <c r="T95" s="675"/>
    </row>
    <row r="96" spans="15:21" ht="21.6" hidden="1" x14ac:dyDescent="0.3">
      <c r="O96" s="441"/>
      <c r="P96" s="441"/>
      <c r="Q96" s="442" t="s">
        <v>334</v>
      </c>
      <c r="R96" s="443"/>
      <c r="S96" s="442" t="s">
        <v>334</v>
      </c>
      <c r="T96" s="446" t="s">
        <v>335</v>
      </c>
    </row>
    <row r="97" spans="15:20" hidden="1" x14ac:dyDescent="0.3">
      <c r="O97" s="436" t="s">
        <v>215</v>
      </c>
      <c r="P97" s="436" t="s">
        <v>333</v>
      </c>
      <c r="Q97" s="437">
        <f>SUM(Ene!P78+Feb!P78+Mar!P78)</f>
        <v>136446001.83000001</v>
      </c>
      <c r="R97" s="436"/>
      <c r="S97" s="437">
        <f>SUM(('[2]2020'!$F$50/'[2]2020'!$F$53)+('[2]2020'!$G$50/'[2]2020'!$G$53)+('[2]2020'!$H$50/'[2]2020'!$H$53))*1000</f>
        <v>94527029.845069215</v>
      </c>
      <c r="T97" s="437">
        <f>S97-Q97</f>
        <v>-41918971.984930798</v>
      </c>
    </row>
    <row r="98" spans="15:20" hidden="1" x14ac:dyDescent="0.3">
      <c r="O98" s="436" t="s">
        <v>217</v>
      </c>
      <c r="P98" s="436" t="s">
        <v>333</v>
      </c>
      <c r="Q98" s="437">
        <f>SUM(Abr!P78+May!P78+Jun!P78)</f>
        <v>133036896.06999999</v>
      </c>
      <c r="R98" s="436"/>
      <c r="S98" s="437">
        <f>SUM(('[1]2020'!$I$50/'[1]2020'!$I$53)+'[1]2020'!$J$50/'[1]2020'!$J$53+('[1]2020'!$K$50/'[1]2020'!$K$53))*1000</f>
        <v>43317947.767177008</v>
      </c>
      <c r="T98" s="437">
        <f>S98-Q98</f>
        <v>-89718948.302822977</v>
      </c>
    </row>
    <row r="99" spans="15:20" hidden="1" x14ac:dyDescent="0.3">
      <c r="O99" s="436" t="s">
        <v>218</v>
      </c>
      <c r="P99" s="436" t="s">
        <v>333</v>
      </c>
      <c r="Q99" s="437">
        <f>SUM(Jul!P78+Ago!P78+Set!P78)</f>
        <v>176647540.19</v>
      </c>
      <c r="R99" s="436"/>
      <c r="S99" s="437">
        <f>SUM(('[1]2020'!$L$50/'[1]2020'!$L$53)+('[1]2020'!$M$50/'[1]2020'!$M$53)+('[1]2020'!$N$50/'[1]2020'!$N$53))*1000</f>
        <v>78355699.421371341</v>
      </c>
      <c r="T99" s="437">
        <f>S99-Q99</f>
        <v>-98291840.768628657</v>
      </c>
    </row>
    <row r="100" spans="15:20" hidden="1" x14ac:dyDescent="0.3">
      <c r="O100" s="436" t="s">
        <v>219</v>
      </c>
      <c r="P100" s="436" t="s">
        <v>333</v>
      </c>
      <c r="Q100" s="440">
        <f>SUM(Oct!P78+Nov!P78+Dic!P78)</f>
        <v>271080704.99000001</v>
      </c>
      <c r="R100" s="439"/>
      <c r="S100" s="440">
        <f>SUM(('[1]2020'!$O$50/'[1]2020'!$O$53)+('[1]2020'!$P$50/'[1]2020'!$P$53)+('[1]2020'!$Q$50/'[1]2020'!$Q$53))*1000</f>
        <v>109786352.84678751</v>
      </c>
      <c r="T100" s="437">
        <f>S100-Q100</f>
        <v>-161294352.1432125</v>
      </c>
    </row>
    <row r="101" spans="15:20" hidden="1" x14ac:dyDescent="0.3">
      <c r="O101" s="436"/>
      <c r="P101" s="436"/>
      <c r="Q101" s="438">
        <f>SUM(Q97:Q100)</f>
        <v>717211143.07999992</v>
      </c>
      <c r="R101" s="436"/>
      <c r="S101" s="438">
        <f>SUM(S97:S100)</f>
        <v>325987029.88040507</v>
      </c>
      <c r="T101" s="437">
        <f>S101-Q101</f>
        <v>-391224113.19959486</v>
      </c>
    </row>
    <row r="102" spans="15:20" hidden="1" x14ac:dyDescent="0.3">
      <c r="O102" s="439"/>
      <c r="P102" s="439"/>
      <c r="Q102" s="439"/>
      <c r="R102" s="439"/>
      <c r="S102" s="439"/>
      <c r="T102" s="439"/>
    </row>
    <row r="103" spans="15:20" hidden="1" x14ac:dyDescent="0.3">
      <c r="O103" s="435"/>
      <c r="P103" s="435"/>
      <c r="Q103" s="435"/>
      <c r="R103" s="435"/>
      <c r="S103" s="433"/>
      <c r="T103" s="435"/>
    </row>
  </sheetData>
  <mergeCells count="4">
    <mergeCell ref="C7:C8"/>
    <mergeCell ref="O7:O8"/>
    <mergeCell ref="O85:T85"/>
    <mergeCell ref="O95:T95"/>
  </mergeCells>
  <phoneticPr fontId="3" type="noConversion"/>
  <printOptions horizontalCentered="1"/>
  <pageMargins left="0.59055118110236227" right="0.47244094488188981" top="0.98425196850393704" bottom="1" header="0" footer="0"/>
  <pageSetup paperSize="8" scale="60"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A1:H48"/>
  <sheetViews>
    <sheetView zoomScale="75" zoomScaleNormal="75" workbookViewId="0"/>
  </sheetViews>
  <sheetFormatPr baseColWidth="10" defaultColWidth="11.54296875" defaultRowHeight="15.6" x14ac:dyDescent="0.3"/>
  <cols>
    <col min="1" max="1" width="1.54296875" customWidth="1"/>
    <col min="2" max="2" width="2.1796875" customWidth="1"/>
    <col min="3" max="3" width="80.54296875" customWidth="1"/>
  </cols>
  <sheetData>
    <row r="1" spans="1:8" x14ac:dyDescent="0.3">
      <c r="A1" s="173" t="s">
        <v>0</v>
      </c>
    </row>
    <row r="2" spans="1:8" ht="23.25" customHeight="1" x14ac:dyDescent="0.3">
      <c r="A2" s="676" t="s">
        <v>116</v>
      </c>
      <c r="B2" s="676"/>
      <c r="C2" s="676"/>
    </row>
    <row r="3" spans="1:8" ht="16.2" x14ac:dyDescent="0.35">
      <c r="A3" s="677" t="s">
        <v>117</v>
      </c>
      <c r="B3" s="678"/>
      <c r="C3" s="678"/>
      <c r="D3" s="174"/>
      <c r="E3" s="174"/>
      <c r="F3" s="174"/>
      <c r="G3" s="174"/>
      <c r="H3" s="174"/>
    </row>
    <row r="4" spans="1:8" x14ac:dyDescent="0.3">
      <c r="A4" s="175"/>
      <c r="B4" s="175"/>
      <c r="C4" s="175"/>
      <c r="D4" s="175"/>
      <c r="E4" s="175"/>
      <c r="F4" s="175"/>
      <c r="G4" s="175"/>
      <c r="H4" s="175"/>
    </row>
    <row r="5" spans="1:8" x14ac:dyDescent="0.3">
      <c r="A5" s="176" t="s">
        <v>28</v>
      </c>
      <c r="B5" s="173" t="s">
        <v>118</v>
      </c>
      <c r="C5" s="175"/>
      <c r="D5" s="175"/>
      <c r="E5" s="175"/>
      <c r="F5" s="175"/>
      <c r="G5" s="175"/>
      <c r="H5" s="175"/>
    </row>
    <row r="6" spans="1:8" x14ac:dyDescent="0.3">
      <c r="A6" s="177"/>
      <c r="B6" s="178" t="s">
        <v>119</v>
      </c>
      <c r="C6" s="175"/>
      <c r="D6" s="175"/>
      <c r="E6" s="175"/>
      <c r="F6" s="175"/>
      <c r="G6" s="175"/>
      <c r="H6" s="175"/>
    </row>
    <row r="7" spans="1:8" x14ac:dyDescent="0.3">
      <c r="A7" s="176" t="s">
        <v>28</v>
      </c>
      <c r="B7" s="173" t="s">
        <v>120</v>
      </c>
      <c r="D7" s="175"/>
      <c r="E7" s="175"/>
      <c r="F7" s="175"/>
      <c r="G7" s="175"/>
      <c r="H7" s="175"/>
    </row>
    <row r="8" spans="1:8" ht="33.75" customHeight="1" x14ac:dyDescent="0.3">
      <c r="A8" s="177"/>
      <c r="B8" s="679" t="s">
        <v>121</v>
      </c>
      <c r="C8" s="679"/>
      <c r="D8" s="175"/>
      <c r="E8" s="175"/>
      <c r="F8" s="175"/>
      <c r="G8" s="175"/>
      <c r="H8" s="175"/>
    </row>
    <row r="9" spans="1:8" x14ac:dyDescent="0.3">
      <c r="A9" s="176" t="s">
        <v>28</v>
      </c>
      <c r="B9" s="173" t="s">
        <v>122</v>
      </c>
      <c r="C9" s="175"/>
      <c r="D9" s="175"/>
      <c r="E9" s="175"/>
      <c r="F9" s="175"/>
      <c r="G9" s="175"/>
      <c r="H9" s="175"/>
    </row>
    <row r="10" spans="1:8" ht="22.5" customHeight="1" x14ac:dyDescent="0.3">
      <c r="A10" s="177"/>
      <c r="B10" s="679" t="s">
        <v>123</v>
      </c>
      <c r="C10" s="679"/>
      <c r="D10" s="175"/>
      <c r="E10" s="175"/>
      <c r="F10" s="175"/>
      <c r="G10" s="175"/>
      <c r="H10" s="175"/>
    </row>
    <row r="11" spans="1:8" x14ac:dyDescent="0.3">
      <c r="A11" s="177"/>
      <c r="B11" s="177" t="s">
        <v>28</v>
      </c>
      <c r="C11" s="178" t="s">
        <v>102</v>
      </c>
      <c r="D11" s="175"/>
      <c r="E11" s="175"/>
      <c r="F11" s="175"/>
      <c r="G11" s="175"/>
      <c r="H11" s="175"/>
    </row>
    <row r="12" spans="1:8" x14ac:dyDescent="0.3">
      <c r="A12" s="175"/>
      <c r="B12" s="177" t="s">
        <v>28</v>
      </c>
      <c r="C12" s="178" t="s">
        <v>99</v>
      </c>
      <c r="D12" s="175"/>
      <c r="E12" s="175"/>
      <c r="F12" s="175"/>
      <c r="G12" s="175"/>
      <c r="H12" s="175"/>
    </row>
    <row r="13" spans="1:8" ht="12.75" customHeight="1" x14ac:dyDescent="0.3">
      <c r="A13" s="175"/>
      <c r="B13" s="177" t="s">
        <v>28</v>
      </c>
      <c r="C13" s="178" t="s">
        <v>124</v>
      </c>
      <c r="D13" s="175"/>
      <c r="E13" s="175"/>
      <c r="F13" s="175"/>
      <c r="G13" s="175"/>
      <c r="H13" s="175"/>
    </row>
    <row r="14" spans="1:8" x14ac:dyDescent="0.3">
      <c r="A14" s="176" t="s">
        <v>28</v>
      </c>
      <c r="B14" s="173" t="s">
        <v>125</v>
      </c>
      <c r="C14" s="175"/>
      <c r="D14" s="175"/>
      <c r="E14" s="175"/>
      <c r="F14" s="175"/>
      <c r="G14" s="175"/>
      <c r="H14" s="175"/>
    </row>
    <row r="15" spans="1:8" x14ac:dyDescent="0.3">
      <c r="A15" s="175"/>
      <c r="B15" s="176" t="s">
        <v>28</v>
      </c>
      <c r="C15" s="173" t="s">
        <v>126</v>
      </c>
      <c r="D15" s="175"/>
      <c r="E15" s="175"/>
      <c r="F15" s="175"/>
      <c r="G15" s="175"/>
      <c r="H15" s="175"/>
    </row>
    <row r="16" spans="1:8" ht="22.5" customHeight="1" x14ac:dyDescent="0.3">
      <c r="A16" s="175"/>
      <c r="B16" s="177"/>
      <c r="C16" s="179" t="s">
        <v>127</v>
      </c>
      <c r="D16" s="175"/>
      <c r="E16" s="175"/>
      <c r="F16" s="175"/>
      <c r="G16" s="175"/>
      <c r="H16" s="175"/>
    </row>
    <row r="17" spans="1:8" x14ac:dyDescent="0.3">
      <c r="A17" s="175"/>
      <c r="B17" s="176" t="s">
        <v>28</v>
      </c>
      <c r="C17" s="173" t="s">
        <v>128</v>
      </c>
      <c r="D17" s="175"/>
      <c r="E17" s="175"/>
      <c r="F17" s="175"/>
      <c r="G17" s="175"/>
      <c r="H17" s="175"/>
    </row>
    <row r="18" spans="1:8" ht="12.75" customHeight="1" x14ac:dyDescent="0.3">
      <c r="A18" s="175"/>
      <c r="B18" s="177"/>
      <c r="C18" s="179" t="s">
        <v>129</v>
      </c>
      <c r="D18" s="175"/>
      <c r="E18" s="175"/>
      <c r="F18" s="175"/>
      <c r="G18" s="175"/>
      <c r="H18" s="175"/>
    </row>
    <row r="19" spans="1:8" x14ac:dyDescent="0.3">
      <c r="A19" s="176" t="s">
        <v>28</v>
      </c>
      <c r="B19" s="173" t="s">
        <v>130</v>
      </c>
      <c r="C19" s="175"/>
      <c r="D19" s="175"/>
      <c r="E19" s="175"/>
      <c r="F19" s="175"/>
      <c r="G19" s="175"/>
      <c r="H19" s="175"/>
    </row>
    <row r="20" spans="1:8" ht="22.5" customHeight="1" x14ac:dyDescent="0.3">
      <c r="A20" s="177"/>
      <c r="B20" s="679" t="s">
        <v>131</v>
      </c>
      <c r="C20" s="679"/>
      <c r="D20" s="175"/>
      <c r="E20" s="175"/>
      <c r="F20" s="175"/>
      <c r="G20" s="175"/>
      <c r="H20" s="175"/>
    </row>
    <row r="21" spans="1:8" x14ac:dyDescent="0.3">
      <c r="A21" s="175"/>
      <c r="B21" s="176" t="s">
        <v>28</v>
      </c>
      <c r="C21" s="173" t="s">
        <v>107</v>
      </c>
      <c r="D21" s="175"/>
      <c r="E21" s="175"/>
      <c r="F21" s="175"/>
      <c r="G21" s="175"/>
      <c r="H21" s="175"/>
    </row>
    <row r="22" spans="1:8" ht="22.5" customHeight="1" x14ac:dyDescent="0.3">
      <c r="A22" s="175"/>
      <c r="B22" s="177"/>
      <c r="C22" s="179" t="s">
        <v>132</v>
      </c>
      <c r="D22" s="175"/>
      <c r="E22" s="175"/>
      <c r="F22" s="175"/>
      <c r="G22" s="175"/>
      <c r="H22" s="175"/>
    </row>
    <row r="23" spans="1:8" x14ac:dyDescent="0.3">
      <c r="A23" s="175"/>
      <c r="B23" s="176" t="s">
        <v>28</v>
      </c>
      <c r="C23" s="173" t="s">
        <v>133</v>
      </c>
      <c r="D23" s="175"/>
      <c r="E23" s="175"/>
      <c r="F23" s="175"/>
      <c r="G23" s="175"/>
      <c r="H23" s="175"/>
    </row>
    <row r="24" spans="1:8" ht="12.75" customHeight="1" x14ac:dyDescent="0.3">
      <c r="A24" s="175"/>
      <c r="B24" s="177"/>
      <c r="C24" s="179" t="s">
        <v>134</v>
      </c>
      <c r="D24" s="175"/>
      <c r="E24" s="175"/>
      <c r="F24" s="175"/>
      <c r="G24" s="175"/>
      <c r="H24" s="175"/>
    </row>
    <row r="25" spans="1:8" x14ac:dyDescent="0.3">
      <c r="A25" s="175"/>
      <c r="B25" s="176" t="s">
        <v>28</v>
      </c>
      <c r="C25" s="173" t="s">
        <v>135</v>
      </c>
      <c r="D25" s="175"/>
      <c r="E25" s="175"/>
      <c r="F25" s="175"/>
      <c r="G25" s="175"/>
      <c r="H25" s="175"/>
    </row>
    <row r="26" spans="1:8" ht="22.8" x14ac:dyDescent="0.3">
      <c r="A26" s="175"/>
      <c r="B26" s="177"/>
      <c r="C26" s="179" t="s">
        <v>136</v>
      </c>
      <c r="D26" s="175"/>
      <c r="E26" s="175"/>
      <c r="F26" s="175"/>
      <c r="G26" s="175"/>
      <c r="H26" s="175"/>
    </row>
    <row r="27" spans="1:8" x14ac:dyDescent="0.3">
      <c r="A27" s="176" t="s">
        <v>28</v>
      </c>
      <c r="B27" s="173" t="s">
        <v>137</v>
      </c>
      <c r="C27" s="175"/>
      <c r="D27" s="175"/>
      <c r="E27" s="175"/>
      <c r="F27" s="175"/>
      <c r="G27" s="175"/>
      <c r="H27" s="175"/>
    </row>
    <row r="28" spans="1:8" x14ac:dyDescent="0.3">
      <c r="A28" s="177"/>
      <c r="B28" s="173" t="s">
        <v>138</v>
      </c>
      <c r="C28" s="173" t="s">
        <v>139</v>
      </c>
      <c r="D28" s="175"/>
      <c r="E28" s="175"/>
      <c r="F28" s="175"/>
      <c r="G28" s="175"/>
      <c r="H28" s="175"/>
    </row>
    <row r="29" spans="1:8" ht="52.5" customHeight="1" x14ac:dyDescent="0.3">
      <c r="A29" s="177"/>
      <c r="B29" s="175"/>
      <c r="C29" s="179" t="s">
        <v>140</v>
      </c>
      <c r="D29" s="175"/>
      <c r="E29" s="175"/>
      <c r="F29" s="175"/>
      <c r="G29" s="175"/>
      <c r="H29" s="175"/>
    </row>
    <row r="30" spans="1:8" x14ac:dyDescent="0.3">
      <c r="A30" s="175"/>
      <c r="B30" s="173" t="s">
        <v>141</v>
      </c>
      <c r="C30" s="173" t="s">
        <v>142</v>
      </c>
      <c r="D30" s="175"/>
      <c r="E30" s="175"/>
      <c r="F30" s="175"/>
      <c r="G30" s="175"/>
      <c r="H30" s="175"/>
    </row>
    <row r="31" spans="1:8" ht="39" customHeight="1" x14ac:dyDescent="0.3">
      <c r="A31" s="175"/>
      <c r="B31" s="177"/>
      <c r="C31" s="179" t="s">
        <v>143</v>
      </c>
      <c r="D31" s="175"/>
      <c r="E31" s="175"/>
      <c r="F31" s="175"/>
      <c r="G31" s="175"/>
      <c r="H31" s="175"/>
    </row>
    <row r="32" spans="1:8" x14ac:dyDescent="0.3">
      <c r="A32" s="176" t="s">
        <v>28</v>
      </c>
      <c r="B32" s="173" t="s">
        <v>144</v>
      </c>
      <c r="C32" s="175"/>
      <c r="D32" s="175"/>
      <c r="E32" s="175"/>
      <c r="F32" s="175"/>
      <c r="G32" s="175"/>
      <c r="H32" s="175"/>
    </row>
    <row r="33" spans="1:8" x14ac:dyDescent="0.3">
      <c r="A33" s="177"/>
      <c r="B33" s="679" t="s">
        <v>145</v>
      </c>
      <c r="C33" s="679"/>
      <c r="D33" s="175"/>
      <c r="E33" s="175"/>
      <c r="F33" s="175"/>
      <c r="G33" s="175"/>
      <c r="H33" s="175"/>
    </row>
    <row r="34" spans="1:8" x14ac:dyDescent="0.3">
      <c r="A34" s="175"/>
      <c r="B34" s="176" t="s">
        <v>28</v>
      </c>
      <c r="C34" s="173" t="s">
        <v>146</v>
      </c>
      <c r="D34" s="175"/>
      <c r="E34" s="175"/>
      <c r="F34" s="175"/>
      <c r="G34" s="175"/>
      <c r="H34" s="175"/>
    </row>
    <row r="35" spans="1:8" ht="22.5" customHeight="1" x14ac:dyDescent="0.3">
      <c r="A35" s="175"/>
      <c r="B35" s="177"/>
      <c r="C35" s="179" t="s">
        <v>147</v>
      </c>
      <c r="D35" s="175"/>
      <c r="E35" s="175"/>
      <c r="F35" s="175"/>
      <c r="G35" s="175"/>
      <c r="H35" s="175"/>
    </row>
    <row r="36" spans="1:8" x14ac:dyDescent="0.3">
      <c r="A36" s="175"/>
      <c r="B36" s="176" t="s">
        <v>28</v>
      </c>
      <c r="C36" s="173" t="s">
        <v>148</v>
      </c>
      <c r="D36" s="175"/>
      <c r="E36" s="175"/>
      <c r="F36" s="175"/>
      <c r="G36" s="175"/>
      <c r="H36" s="175"/>
    </row>
    <row r="37" spans="1:8" ht="12.75" customHeight="1" x14ac:dyDescent="0.3">
      <c r="A37" s="175"/>
      <c r="B37" s="177"/>
      <c r="C37" s="179" t="s">
        <v>149</v>
      </c>
      <c r="D37" s="175"/>
      <c r="E37" s="175"/>
      <c r="F37" s="175"/>
      <c r="G37" s="175"/>
      <c r="H37" s="175"/>
    </row>
    <row r="38" spans="1:8" x14ac:dyDescent="0.3">
      <c r="A38" s="175"/>
      <c r="B38" s="176" t="s">
        <v>28</v>
      </c>
      <c r="C38" s="173" t="s">
        <v>150</v>
      </c>
      <c r="D38" s="175"/>
      <c r="E38" s="175"/>
      <c r="F38" s="175"/>
      <c r="G38" s="175"/>
      <c r="H38" s="175"/>
    </row>
    <row r="39" spans="1:8" ht="12.75" customHeight="1" x14ac:dyDescent="0.3">
      <c r="A39" s="175"/>
      <c r="B39" s="177"/>
      <c r="C39" s="179" t="s">
        <v>151</v>
      </c>
      <c r="D39" s="175"/>
      <c r="E39" s="175"/>
      <c r="F39" s="175"/>
      <c r="G39" s="175"/>
      <c r="H39" s="175"/>
    </row>
    <row r="40" spans="1:8" x14ac:dyDescent="0.3">
      <c r="A40" s="175"/>
      <c r="B40" s="176" t="s">
        <v>28</v>
      </c>
      <c r="C40" s="173" t="s">
        <v>152</v>
      </c>
      <c r="D40" s="175"/>
      <c r="E40" s="175"/>
      <c r="F40" s="175"/>
      <c r="G40" s="175"/>
      <c r="H40" s="175"/>
    </row>
    <row r="41" spans="1:8" ht="12.75" customHeight="1" x14ac:dyDescent="0.3">
      <c r="A41" s="175"/>
      <c r="B41" s="177"/>
      <c r="C41" s="179" t="s">
        <v>153</v>
      </c>
      <c r="D41" s="175"/>
      <c r="E41" s="175"/>
      <c r="F41" s="175"/>
      <c r="G41" s="175"/>
      <c r="H41" s="175"/>
    </row>
    <row r="42" spans="1:8" x14ac:dyDescent="0.3">
      <c r="A42" s="176" t="s">
        <v>28</v>
      </c>
      <c r="B42" s="173" t="s">
        <v>154</v>
      </c>
      <c r="C42" s="175"/>
      <c r="D42" s="175"/>
      <c r="E42" s="175"/>
      <c r="F42" s="175"/>
      <c r="G42" s="175"/>
      <c r="H42" s="175"/>
    </row>
    <row r="43" spans="1:8" ht="22.5" customHeight="1" x14ac:dyDescent="0.3">
      <c r="A43" s="177"/>
      <c r="B43" s="679" t="s">
        <v>155</v>
      </c>
      <c r="C43" s="679"/>
      <c r="D43" s="175"/>
      <c r="E43" s="175"/>
      <c r="F43" s="175"/>
      <c r="G43" s="175"/>
      <c r="H43" s="175"/>
    </row>
    <row r="44" spans="1:8" x14ac:dyDescent="0.3">
      <c r="A44" s="176" t="s">
        <v>28</v>
      </c>
      <c r="B44" s="173" t="s">
        <v>156</v>
      </c>
      <c r="C44" s="175"/>
      <c r="D44" s="175"/>
      <c r="E44" s="175"/>
      <c r="F44" s="175"/>
      <c r="G44" s="175"/>
      <c r="H44" s="175"/>
    </row>
    <row r="45" spans="1:8" ht="22.5" customHeight="1" x14ac:dyDescent="0.3">
      <c r="A45" s="177"/>
      <c r="B45" s="679" t="s">
        <v>157</v>
      </c>
      <c r="C45" s="679"/>
      <c r="D45" s="175"/>
      <c r="E45" s="175"/>
      <c r="F45" s="175"/>
      <c r="G45" s="175"/>
      <c r="H45" s="175"/>
    </row>
    <row r="46" spans="1:8" x14ac:dyDescent="0.3">
      <c r="A46" s="680">
        <f ca="1">TODAY()</f>
        <v>44586</v>
      </c>
      <c r="B46" s="680"/>
      <c r="C46" s="680"/>
      <c r="D46" s="175"/>
      <c r="E46" s="175"/>
      <c r="F46" s="175"/>
      <c r="G46" s="175"/>
      <c r="H46" s="175"/>
    </row>
    <row r="47" spans="1:8" x14ac:dyDescent="0.3">
      <c r="A47" s="175"/>
      <c r="B47" s="177"/>
      <c r="C47" s="175"/>
      <c r="D47" s="175"/>
      <c r="E47" s="175"/>
      <c r="F47" s="175"/>
      <c r="G47" s="175"/>
      <c r="H47" s="175"/>
    </row>
    <row r="48" spans="1:8" x14ac:dyDescent="0.3">
      <c r="A48" s="175"/>
      <c r="B48" s="177"/>
      <c r="C48" s="175"/>
      <c r="D48" s="175"/>
      <c r="E48" s="175"/>
      <c r="F48" s="175"/>
      <c r="G48" s="175"/>
      <c r="H48" s="175"/>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dimension ref="A1:I25"/>
  <sheetViews>
    <sheetView workbookViewId="0">
      <selection activeCell="A3" sqref="A3"/>
    </sheetView>
  </sheetViews>
  <sheetFormatPr baseColWidth="10" defaultColWidth="11.54296875" defaultRowHeight="13.2" x14ac:dyDescent="0.25"/>
  <cols>
    <col min="1" max="1" width="3.81640625" style="138" customWidth="1"/>
    <col min="2" max="3" width="9.81640625" style="138" customWidth="1"/>
    <col min="4" max="16384" width="11.54296875" style="138"/>
  </cols>
  <sheetData>
    <row r="1" spans="1:9" x14ac:dyDescent="0.25">
      <c r="A1" s="3" t="s">
        <v>0</v>
      </c>
    </row>
    <row r="2" spans="1:9" x14ac:dyDescent="0.25">
      <c r="A2" s="139" t="s">
        <v>159</v>
      </c>
      <c r="B2" s="140"/>
      <c r="C2" s="140"/>
      <c r="D2" s="140"/>
      <c r="E2" s="140"/>
      <c r="F2" s="140"/>
      <c r="G2" s="140"/>
      <c r="H2" s="140"/>
      <c r="I2" s="140"/>
    </row>
    <row r="4" spans="1:9" x14ac:dyDescent="0.25">
      <c r="A4" s="169" t="s">
        <v>98</v>
      </c>
      <c r="B4" s="139" t="s">
        <v>99</v>
      </c>
      <c r="C4" s="140"/>
    </row>
    <row r="5" spans="1:9" x14ac:dyDescent="0.25">
      <c r="A5" s="169"/>
      <c r="B5" s="140" t="s">
        <v>100</v>
      </c>
      <c r="C5" s="140"/>
      <c r="D5" s="142" t="s">
        <v>110</v>
      </c>
    </row>
    <row r="6" spans="1:9" x14ac:dyDescent="0.25">
      <c r="A6" s="169"/>
      <c r="D6" s="138" t="s">
        <v>111</v>
      </c>
      <c r="E6" s="142"/>
    </row>
    <row r="7" spans="1:9" x14ac:dyDescent="0.25">
      <c r="A7" s="169"/>
    </row>
    <row r="8" spans="1:9" x14ac:dyDescent="0.25">
      <c r="A8" s="169" t="s">
        <v>101</v>
      </c>
      <c r="B8" s="139" t="s">
        <v>102</v>
      </c>
      <c r="C8" s="140"/>
      <c r="D8" s="142"/>
    </row>
    <row r="9" spans="1:9" x14ac:dyDescent="0.25">
      <c r="A9" s="169"/>
      <c r="B9" s="140" t="s">
        <v>100</v>
      </c>
      <c r="C9" s="140"/>
      <c r="D9" s="142" t="s">
        <v>112</v>
      </c>
    </row>
    <row r="10" spans="1:9" x14ac:dyDescent="0.25">
      <c r="A10" s="169"/>
      <c r="B10" s="140"/>
      <c r="C10" s="140"/>
      <c r="D10" s="138" t="s">
        <v>114</v>
      </c>
      <c r="E10" s="142"/>
    </row>
    <row r="11" spans="1:9" x14ac:dyDescent="0.25">
      <c r="A11" s="169"/>
    </row>
    <row r="12" spans="1:9" x14ac:dyDescent="0.25">
      <c r="A12" s="169" t="s">
        <v>103</v>
      </c>
      <c r="B12" s="139" t="s">
        <v>102</v>
      </c>
      <c r="C12" s="140"/>
    </row>
    <row r="13" spans="1:9" x14ac:dyDescent="0.25">
      <c r="A13" s="141"/>
      <c r="B13" s="140" t="s">
        <v>104</v>
      </c>
      <c r="C13" s="140"/>
    </row>
    <row r="14" spans="1:9" x14ac:dyDescent="0.25">
      <c r="A14" s="141"/>
      <c r="B14" s="140" t="s">
        <v>105</v>
      </c>
      <c r="C14" s="140"/>
      <c r="D14" s="142" t="s">
        <v>115</v>
      </c>
    </row>
    <row r="15" spans="1:9" x14ac:dyDescent="0.25">
      <c r="A15" s="141"/>
      <c r="B15" s="140"/>
      <c r="C15" s="140"/>
      <c r="D15" s="138" t="s">
        <v>113</v>
      </c>
      <c r="E15" s="142"/>
    </row>
    <row r="17" spans="1:6" x14ac:dyDescent="0.25">
      <c r="A17" s="99"/>
      <c r="D17" s="7" t="s">
        <v>76</v>
      </c>
      <c r="E17" s="7"/>
      <c r="F17" s="6"/>
    </row>
    <row r="18" spans="1:6" x14ac:dyDescent="0.25">
      <c r="A18" s="6"/>
      <c r="D18" s="126" t="s">
        <v>78</v>
      </c>
      <c r="E18" s="127" t="s">
        <v>79</v>
      </c>
      <c r="F18" s="128"/>
    </row>
    <row r="19" spans="1:6" x14ac:dyDescent="0.25">
      <c r="A19" s="7"/>
      <c r="D19" s="102" t="s">
        <v>81</v>
      </c>
      <c r="E19" s="103" t="s">
        <v>82</v>
      </c>
      <c r="F19" s="104"/>
    </row>
    <row r="20" spans="1:6" x14ac:dyDescent="0.25">
      <c r="A20" s="6"/>
      <c r="D20" s="108" t="s">
        <v>83</v>
      </c>
      <c r="E20" s="109" t="s">
        <v>84</v>
      </c>
      <c r="F20" s="110"/>
    </row>
    <row r="21" spans="1:6" x14ac:dyDescent="0.25">
      <c r="A21" s="6"/>
      <c r="D21" s="108" t="s">
        <v>85</v>
      </c>
      <c r="E21" s="109" t="s">
        <v>86</v>
      </c>
      <c r="F21" s="110"/>
    </row>
    <row r="22" spans="1:6" x14ac:dyDescent="0.25">
      <c r="A22" s="6"/>
      <c r="D22" s="108" t="s">
        <v>87</v>
      </c>
      <c r="E22" s="109" t="s">
        <v>88</v>
      </c>
      <c r="F22" s="110"/>
    </row>
    <row r="23" spans="1:6" x14ac:dyDescent="0.25">
      <c r="A23" s="6"/>
      <c r="D23" s="120" t="s">
        <v>91</v>
      </c>
      <c r="E23" s="121" t="s">
        <v>92</v>
      </c>
      <c r="F23" s="122"/>
    </row>
    <row r="24" spans="1:6" x14ac:dyDescent="0.25">
      <c r="A24" s="6"/>
      <c r="D24" s="61"/>
      <c r="E24" s="125"/>
      <c r="F24" s="7"/>
    </row>
    <row r="25" spans="1:6" x14ac:dyDescent="0.25">
      <c r="A25" s="170">
        <f ca="1">TODAY()</f>
        <v>44586</v>
      </c>
      <c r="B25" s="168"/>
    </row>
  </sheetData>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19</vt:i4>
      </vt:variant>
      <vt:variant>
        <vt:lpstr>Rangos con nombre</vt:lpstr>
      </vt:variant>
      <vt:variant>
        <vt:i4>21</vt:i4>
      </vt:variant>
    </vt:vector>
  </HeadingPairs>
  <TitlesOfParts>
    <vt:vector size="40" baseType="lpstr">
      <vt:lpstr>Dic (2)</vt:lpstr>
      <vt:lpstr>Feb (2)</vt:lpstr>
      <vt:lpstr>Abr (2)</vt:lpstr>
      <vt:lpstr>Ene</vt:lpstr>
      <vt:lpstr>Ene-2</vt:lpstr>
      <vt:lpstr>Feb</vt:lpstr>
      <vt:lpstr>Mar</vt:lpstr>
      <vt:lpstr>Abr</vt:lpstr>
      <vt:lpstr>May</vt:lpstr>
      <vt:lpstr>Jun</vt:lpstr>
      <vt:lpstr>Jul</vt:lpstr>
      <vt:lpstr>Ago</vt:lpstr>
      <vt:lpstr>Set</vt:lpstr>
      <vt:lpstr>Oct</vt:lpstr>
      <vt:lpstr>Nov</vt:lpstr>
      <vt:lpstr>Dic</vt:lpstr>
      <vt:lpstr>Tot.21</vt:lpstr>
      <vt:lpstr>Nomenclatura</vt:lpstr>
      <vt:lpstr>Formulas</vt:lpstr>
      <vt:lpstr>Abr!Área_de_impresión</vt:lpstr>
      <vt:lpstr>'Abr (2)'!Área_de_impresión</vt:lpstr>
      <vt:lpstr>Ago!Área_de_impresión</vt:lpstr>
      <vt:lpstr>Dic!Área_de_impresión</vt:lpstr>
      <vt:lpstr>'Dic (2)'!Área_de_impresión</vt:lpstr>
      <vt:lpstr>Ene!Área_de_impresión</vt:lpstr>
      <vt:lpstr>'Ene-2'!Área_de_impresión</vt:lpstr>
      <vt:lpstr>Feb!Área_de_impresión</vt:lpstr>
      <vt:lpstr>'Feb (2)'!Área_de_impresión</vt:lpstr>
      <vt:lpstr>Jul!Área_de_impresión</vt:lpstr>
      <vt:lpstr>Jun!Área_de_impresión</vt:lpstr>
      <vt:lpstr>Mar!Área_de_impresión</vt:lpstr>
      <vt:lpstr>May!Área_de_impresión</vt:lpstr>
      <vt:lpstr>Nomenclatura!Área_de_impresión</vt:lpstr>
      <vt:lpstr>Nov!Área_de_impresión</vt:lpstr>
      <vt:lpstr>Oct!Área_de_impresión</vt:lpstr>
      <vt:lpstr>Set!Área_de_impresión</vt:lpstr>
      <vt:lpstr>Tot.21!Área_de_impresión</vt:lpstr>
      <vt:lpstr>Set!tc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Jessica Gallo Cabrera</cp:lastModifiedBy>
  <cp:lastPrinted>2018-10-05T13:28:15Z</cp:lastPrinted>
  <dcterms:created xsi:type="dcterms:W3CDTF">2000-02-15T17:08:19Z</dcterms:created>
  <dcterms:modified xsi:type="dcterms:W3CDTF">2022-01-25T16:56:28Z</dcterms:modified>
</cp:coreProperties>
</file>