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3.xml" ContentType="application/vnd.openxmlformats-officedocument.drawingml.chartshapes+xml"/>
  <Override PartName="/xl/drawings/drawing4.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5.xml" ContentType="application/vnd.openxmlformats-officedocument.drawingml.chartshapes+xml"/>
  <Override PartName="/xl/comments1.xml" ContentType="application/vnd.openxmlformats-officedocument.spreadsheetml.comments+xml"/>
  <Override PartName="/xl/drawings/drawing6.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7.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8.xml" ContentType="application/vnd.openxmlformats-officedocument.drawingml.chartshapes+xml"/>
  <Override PartName="/xl/drawings/drawing9.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10.xml" ContentType="application/vnd.openxmlformats-officedocument.drawing+xml"/>
  <Override PartName="/xl/charts/chart7.xml" ContentType="application/vnd.openxmlformats-officedocument.drawingml.chart+xml"/>
  <Override PartName="/xl/charts/chart8.xml" ContentType="application/vnd.openxmlformats-officedocument.drawingml.chart+xml"/>
  <Override PartName="/xl/drawings/drawing11.xml" ContentType="application/vnd.openxmlformats-officedocument.drawing+xml"/>
  <Override PartName="/xl/charts/chart9.xml" ContentType="application/vnd.openxmlformats-officedocument.drawingml.chart+xml"/>
  <Override PartName="/xl/drawings/drawing12.xml" ContentType="application/vnd.openxmlformats-officedocument.drawingml.chartshapes+xml"/>
  <Override PartName="/xl/charts/chart10.xml" ContentType="application/vnd.openxmlformats-officedocument.drawingml.chart+xml"/>
  <Override PartName="/xl/drawings/drawing13.xml" ContentType="application/vnd.openxmlformats-officedocument.drawingml.chartshapes+xml"/>
  <Override PartName="/xl/charts/chart11.xml" ContentType="application/vnd.openxmlformats-officedocument.drawingml.chart+xml"/>
  <Override PartName="/xl/drawings/drawing14.xml" ContentType="application/vnd.openxmlformats-officedocument.drawingml.chartshapes+xml"/>
  <Override PartName="/xl/drawings/drawing15.xml" ContentType="application/vnd.openxmlformats-officedocument.drawing+xml"/>
  <Override PartName="/xl/charts/chart12.xml" ContentType="application/vnd.openxmlformats-officedocument.drawingml.chart+xml"/>
  <Override PartName="/xl/drawings/drawing16.xml" ContentType="application/vnd.openxmlformats-officedocument.drawing+xml"/>
  <Override PartName="/xl/charts/chart13.xml" ContentType="application/vnd.openxmlformats-officedocument.drawingml.chart+xml"/>
  <Override PartName="/xl/drawings/drawing17.xml" ContentType="application/vnd.openxmlformats-officedocument.drawingml.chartshapes+xml"/>
  <Override PartName="/xl/charts/chart14.xml" ContentType="application/vnd.openxmlformats-officedocument.drawingml.chart+xml"/>
  <Override PartName="/xl/drawings/drawing18.xml" ContentType="application/vnd.openxmlformats-officedocument.drawing+xml"/>
  <Override PartName="/xl/charts/chart15.xml" ContentType="application/vnd.openxmlformats-officedocument.drawingml.chart+xml"/>
  <Override PartName="/xl/drawings/drawing19.xml" ContentType="application/vnd.openxmlformats-officedocument.drawing+xml"/>
  <Override PartName="/xl/charts/chart16.xml" ContentType="application/vnd.openxmlformats-officedocument.drawingml.chart+xml"/>
  <Override PartName="/xl/drawings/drawing20.xml" ContentType="application/vnd.openxmlformats-officedocument.drawing+xml"/>
  <Override PartName="/xl/charts/chart17.xml" ContentType="application/vnd.openxmlformats-officedocument.drawingml.chart+xml"/>
  <Override PartName="/xl/drawings/drawing21.xml" ContentType="application/vnd.openxmlformats-officedocument.drawingml.chartshapes+xml"/>
  <Override PartName="/xl/drawings/drawing22.xml" ContentType="application/vnd.openxmlformats-officedocument.drawing+xml"/>
  <Override PartName="/xl/charts/chart18.xml" ContentType="application/vnd.openxmlformats-officedocument.drawingml.chart+xml"/>
  <Override PartName="/xl/charts/style7.xml" ContentType="application/vnd.ms-office.chartstyle+xml"/>
  <Override PartName="/xl/charts/colors7.xml" ContentType="application/vnd.ms-office.chartcolorstyle+xml"/>
  <Override PartName="/xl/charts/chart19.xml" ContentType="application/vnd.openxmlformats-officedocument.drawingml.chart+xml"/>
  <Override PartName="/xl/charts/style8.xml" ContentType="application/vnd.ms-office.chartstyle+xml"/>
  <Override PartName="/xl/charts/colors8.xml" ContentType="application/vnd.ms-office.chartcolorstyle+xml"/>
  <Override PartName="/xl/drawings/drawing23.xml" ContentType="application/vnd.openxmlformats-officedocument.drawing+xml"/>
  <Override PartName="/xl/charts/chart20.xml" ContentType="application/vnd.openxmlformats-officedocument.drawingml.chart+xml"/>
  <Override PartName="/xl/charts/style9.xml" ContentType="application/vnd.ms-office.chartstyle+xml"/>
  <Override PartName="/xl/charts/colors9.xml" ContentType="application/vnd.ms-office.chartcolorstyle+xml"/>
  <Override PartName="/xl/charts/chart21.xml" ContentType="application/vnd.openxmlformats-officedocument.drawingml.chart+xml"/>
  <Override PartName="/xl/charts/style10.xml" ContentType="application/vnd.ms-office.chartstyle+xml"/>
  <Override PartName="/xl/charts/colors10.xml" ContentType="application/vnd.ms-office.chartcolorstyle+xml"/>
  <Override PartName="/xl/drawings/drawing24.xml" ContentType="application/vnd.openxmlformats-officedocument.drawing+xml"/>
  <Override PartName="/xl/charts/chart22.xml" ContentType="application/vnd.openxmlformats-officedocument.drawingml.chart+xml"/>
  <Override PartName="/xl/charts/style11.xml" ContentType="application/vnd.ms-office.chartstyle+xml"/>
  <Override PartName="/xl/charts/colors11.xml" ContentType="application/vnd.ms-office.chartcolorstyle+xml"/>
  <Override PartName="/xl/charts/chart23.xml" ContentType="application/vnd.openxmlformats-officedocument.drawingml.chart+xml"/>
  <Override PartName="/xl/charts/style12.xml" ContentType="application/vnd.ms-office.chartstyle+xml"/>
  <Override PartName="/xl/charts/colors12.xml" ContentType="application/vnd.ms-office.chartcolorstyle+xml"/>
  <Override PartName="/xl/charts/chart24.xml" ContentType="application/vnd.openxmlformats-officedocument.drawingml.chart+xml"/>
  <Override PartName="/xl/charts/style13.xml" ContentType="application/vnd.ms-office.chartstyle+xml"/>
  <Override PartName="/xl/charts/colors13.xml" ContentType="application/vnd.ms-office.chartcolorstyle+xml"/>
  <Override PartName="/xl/drawings/drawing25.xml" ContentType="application/vnd.openxmlformats-officedocument.drawing+xml"/>
  <Override PartName="/xl/charts/chart25.xml" ContentType="application/vnd.openxmlformats-officedocument.drawingml.chart+xml"/>
  <Override PartName="/xl/charts/style14.xml" ContentType="application/vnd.ms-office.chartstyle+xml"/>
  <Override PartName="/xl/charts/colors14.xml" ContentType="application/vnd.ms-office.chartcolorstyle+xml"/>
  <Override PartName="/xl/charts/chart26.xml" ContentType="application/vnd.openxmlformats-officedocument.drawingml.chart+xml"/>
  <Override PartName="/xl/charts/style15.xml" ContentType="application/vnd.ms-office.chartstyle+xml"/>
  <Override PartName="/xl/charts/colors15.xml" ContentType="application/vnd.ms-office.chartcolorstyle+xml"/>
  <Override PartName="/xl/drawings/drawing26.xml" ContentType="application/vnd.openxmlformats-officedocument.drawing+xml"/>
  <Override PartName="/xl/charts/chart27.xml" ContentType="application/vnd.openxmlformats-officedocument.drawingml.chart+xml"/>
  <Override PartName="/xl/charts/style16.xml" ContentType="application/vnd.ms-office.chartstyle+xml"/>
  <Override PartName="/xl/charts/colors16.xml" ContentType="application/vnd.ms-office.chartcolorstyle+xml"/>
  <Override PartName="/xl/drawings/drawing27.xml" ContentType="application/vnd.openxmlformats-officedocument.drawing+xml"/>
  <Override PartName="/xl/charts/chart28.xml" ContentType="application/vnd.openxmlformats-officedocument.drawingml.chart+xml"/>
  <Override PartName="/xl/charts/style17.xml" ContentType="application/vnd.ms-office.chartstyle+xml"/>
  <Override PartName="/xl/charts/colors17.xml" ContentType="application/vnd.ms-office.chartcolorstyle+xml"/>
  <Override PartName="/xl/charts/chart29.xml" ContentType="application/vnd.openxmlformats-officedocument.drawingml.chart+xml"/>
  <Override PartName="/xl/charts/style18.xml" ContentType="application/vnd.ms-office.chartstyle+xml"/>
  <Override PartName="/xl/charts/colors18.xml" ContentType="application/vnd.ms-office.chartcolorstyle+xml"/>
  <Override PartName="/xl/charts/chart30.xml" ContentType="application/vnd.openxmlformats-officedocument.drawingml.chart+xml"/>
  <Override PartName="/xl/charts/style19.xml" ContentType="application/vnd.ms-office.chartstyle+xml"/>
  <Override PartName="/xl/charts/colors19.xml" ContentType="application/vnd.ms-office.chartcolorstyle+xml"/>
  <Override PartName="/xl/drawings/drawing28.xml" ContentType="application/vnd.openxmlformats-officedocument.drawing+xml"/>
  <Override PartName="/xl/charts/chart31.xml" ContentType="application/vnd.openxmlformats-officedocument.drawingml.chart+xml"/>
  <Override PartName="/xl/charts/style20.xml" ContentType="application/vnd.ms-office.chartstyle+xml"/>
  <Override PartName="/xl/charts/colors20.xml" ContentType="application/vnd.ms-office.chartcolorstyle+xml"/>
  <Override PartName="/xl/charts/chart32.xml" ContentType="application/vnd.openxmlformats-officedocument.drawingml.chart+xml"/>
  <Override PartName="/xl/charts/style21.xml" ContentType="application/vnd.ms-office.chartstyle+xml"/>
  <Override PartName="/xl/charts/colors21.xml" ContentType="application/vnd.ms-office.chartcolorstyle+xml"/>
  <Override PartName="/xl/charts/chart33.xml" ContentType="application/vnd.openxmlformats-officedocument.drawingml.chart+xml"/>
  <Override PartName="/xl/charts/style22.xml" ContentType="application/vnd.ms-office.chartstyle+xml"/>
  <Override PartName="/xl/charts/colors22.xml" ContentType="application/vnd.ms-office.chartcolorstyle+xml"/>
  <Override PartName="/xl/drawings/drawing29.xml" ContentType="application/vnd.openxmlformats-officedocument.drawing+xml"/>
  <Override PartName="/xl/charts/chart34.xml" ContentType="application/vnd.openxmlformats-officedocument.drawingml.chart+xml"/>
  <Override PartName="/xl/charts/style23.xml" ContentType="application/vnd.ms-office.chartstyle+xml"/>
  <Override PartName="/xl/charts/colors23.xml" ContentType="application/vnd.ms-office.chartcolorstyle+xml"/>
  <Override PartName="/xl/drawings/drawing30.xml" ContentType="application/vnd.openxmlformats-officedocument.drawing+xml"/>
  <Override PartName="/xl/charts/chart35.xml" ContentType="application/vnd.openxmlformats-officedocument.drawingml.chart+xml"/>
  <Override PartName="/xl/charts/style24.xml" ContentType="application/vnd.ms-office.chartstyle+xml"/>
  <Override PartName="/xl/charts/colors24.xml" ContentType="application/vnd.ms-office.chartcolorstyle+xml"/>
  <Override PartName="/xl/drawings/drawing31.xml" ContentType="application/vnd.openxmlformats-officedocument.drawing+xml"/>
  <Override PartName="/xl/charts/chart36.xml" ContentType="application/vnd.openxmlformats-officedocument.drawingml.chart+xml"/>
  <Override PartName="/xl/charts/style25.xml" ContentType="application/vnd.ms-office.chartstyle+xml"/>
  <Override PartName="/xl/charts/colors25.xml" ContentType="application/vnd.ms-office.chartcolorstyle+xml"/>
  <Override PartName="/xl/drawings/drawing32.xml" ContentType="application/vnd.openxmlformats-officedocument.drawing+xml"/>
  <Override PartName="/xl/charts/chart37.xml" ContentType="application/vnd.openxmlformats-officedocument.drawingml.chart+xml"/>
  <Override PartName="/xl/charts/style26.xml" ContentType="application/vnd.ms-office.chartstyle+xml"/>
  <Override PartName="/xl/charts/colors26.xml" ContentType="application/vnd.ms-office.chartcolorstyle+xml"/>
  <Override PartName="/xl/drawings/drawing33.xml" ContentType="application/vnd.openxmlformats-officedocument.drawing+xml"/>
  <Override PartName="/xl/charts/chart38.xml" ContentType="application/vnd.openxmlformats-officedocument.drawingml.chart+xml"/>
  <Override PartName="/xl/charts/style27.xml" ContentType="application/vnd.ms-office.chartstyle+xml"/>
  <Override PartName="/xl/charts/colors27.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E:\02. MINEM\6. Instrumentos de Gestión\0. Estadisticas\2. Anuario 2024\2024\VERSIÓN FINAL 27.01.2026\"/>
    </mc:Choice>
  </mc:AlternateContent>
  <bookViews>
    <workbookView xWindow="-120" yWindow="-120" windowWidth="29040" windowHeight="15720" tabRatio="872"/>
  </bookViews>
  <sheets>
    <sheet name="Reservas LARH 2023" sheetId="33" r:id="rId1"/>
    <sheet name="DEEH01" sheetId="34" r:id="rId2"/>
    <sheet name="DEEH02" sheetId="35" r:id="rId3"/>
    <sheet name="DEEH03" sheetId="36" r:id="rId4"/>
    <sheet name="DEEH04" sheetId="37" r:id="rId5"/>
    <sheet name="DEEH05" sheetId="38" r:id="rId6"/>
    <sheet name="DEEH06" sheetId="39" r:id="rId7"/>
    <sheet name="DEEH07-08-09" sheetId="40" r:id="rId8"/>
    <sheet name="DEEH10" sheetId="41" r:id="rId9"/>
    <sheet name="DEEH11" sheetId="42" r:id="rId10"/>
    <sheet name="DEEH12" sheetId="43" r:id="rId11"/>
    <sheet name="DEEH13" sheetId="44" r:id="rId12"/>
    <sheet name="DEEH14" sheetId="45" r:id="rId13"/>
    <sheet name="DEEH15" sheetId="46" r:id="rId14"/>
    <sheet name="DEEH16" sheetId="47" r:id="rId15"/>
    <sheet name="DEEH18" sheetId="48" r:id="rId16"/>
    <sheet name="DEEH19" sheetId="49" r:id="rId17"/>
    <sheet name="DEEH20" sheetId="50" r:id="rId18"/>
    <sheet name="DEEH21" sheetId="51" r:id="rId19"/>
    <sheet name="DEEH22" sheetId="52" r:id="rId20"/>
    <sheet name="DEEH23" sheetId="53" r:id="rId21"/>
    <sheet name="DPTC 24" sheetId="9" r:id="rId22"/>
    <sheet name="DPTC 25" sheetId="10" r:id="rId23"/>
    <sheet name="DPTC 26" sheetId="11" r:id="rId24"/>
    <sheet name="DPTC27" sheetId="12" r:id="rId25"/>
    <sheet name="DPTC 28" sheetId="13" r:id="rId26"/>
    <sheet name="DPTC 29" sheetId="14" r:id="rId27"/>
    <sheet name="DPTC 30" sheetId="15" r:id="rId28"/>
    <sheet name="DPTC 31" sheetId="16" r:id="rId29"/>
    <sheet name="DPTC 32" sheetId="17" r:id="rId30"/>
    <sheet name="DPTC 33" sheetId="18" r:id="rId31"/>
    <sheet name="DPTC 34" sheetId="19" r:id="rId32"/>
    <sheet name="DPTC 35" sheetId="20" r:id="rId33"/>
    <sheet name="DPTC 36" sheetId="21" r:id="rId34"/>
    <sheet name="DPTC 37" sheetId="22" r:id="rId35"/>
    <sheet name="DPTC 38" sheetId="23" r:id="rId36"/>
    <sheet name="DPTC 39" sheetId="24" r:id="rId37"/>
    <sheet name="DPTC 40" sheetId="25" r:id="rId38"/>
    <sheet name="DPTC 41" sheetId="26" r:id="rId39"/>
    <sheet name="DPTC 42" sheetId="27" r:id="rId40"/>
    <sheet name="DPTC 43" sheetId="28" r:id="rId41"/>
    <sheet name="DPTC 44" sheetId="29" r:id="rId42"/>
    <sheet name="DPTC 45" sheetId="30" r:id="rId43"/>
    <sheet name="DPTC 46" sheetId="31" r:id="rId44"/>
    <sheet name="DPTC 47" sheetId="32" r:id="rId45"/>
    <sheet name="DGGN 49" sheetId="1" r:id="rId46"/>
    <sheet name="DGGN 50" sheetId="2" r:id="rId47"/>
    <sheet name="DGGN 51" sheetId="3" r:id="rId48"/>
    <sheet name="DGGN 52-53-54-55" sheetId="4" r:id="rId49"/>
    <sheet name="DGGN 56-57-58-59" sheetId="5" r:id="rId50"/>
    <sheet name="DGGN 60-61-62-63" sheetId="6" r:id="rId51"/>
    <sheet name="DGGN 64-65-66-67" sheetId="7" r:id="rId52"/>
    <sheet name="DGGN 68-69-70-71" sheetId="8" r:id="rId53"/>
  </sheets>
  <externalReferences>
    <externalReference r:id="rId54"/>
    <externalReference r:id="rId55"/>
  </externalReferences>
  <calcPr calcId="162913"/>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K12" i="53" l="1"/>
  <c r="I14" i="53" s="1"/>
  <c r="J12" i="53"/>
  <c r="I12" i="53"/>
  <c r="D35" i="52"/>
  <c r="D32" i="52"/>
  <c r="D30" i="52"/>
  <c r="D25" i="52"/>
  <c r="D19" i="52"/>
  <c r="D12" i="52"/>
  <c r="D36" i="52" s="1"/>
  <c r="K10" i="51"/>
  <c r="L10" i="51" s="1"/>
  <c r="J10" i="51"/>
  <c r="I10" i="51"/>
  <c r="H10" i="51"/>
  <c r="G10" i="51"/>
  <c r="F8" i="51"/>
  <c r="F7" i="51"/>
  <c r="F6" i="51"/>
  <c r="F10" i="51" s="1"/>
  <c r="I14" i="50"/>
  <c r="H14" i="50"/>
  <c r="L13" i="50"/>
  <c r="K13" i="50"/>
  <c r="J13" i="50"/>
  <c r="I13" i="50"/>
  <c r="H13" i="50"/>
  <c r="G12" i="50"/>
  <c r="G13" i="50" s="1"/>
  <c r="F12" i="50"/>
  <c r="F13" i="50" s="1"/>
  <c r="E12" i="50"/>
  <c r="E13" i="50" s="1"/>
  <c r="D12" i="50"/>
  <c r="D13" i="50" s="1"/>
  <c r="C12" i="50"/>
  <c r="C13" i="50" s="1"/>
  <c r="L11" i="50"/>
  <c r="K11" i="50"/>
  <c r="J11" i="50"/>
  <c r="I11" i="50"/>
  <c r="H11" i="50"/>
  <c r="G11" i="50"/>
  <c r="F11" i="50"/>
  <c r="E11" i="50"/>
  <c r="D11" i="50"/>
  <c r="C11" i="50"/>
  <c r="L9" i="50"/>
  <c r="L14" i="50" s="1"/>
  <c r="K9" i="50"/>
  <c r="K14" i="50" s="1"/>
  <c r="J9" i="50"/>
  <c r="J14" i="50" s="1"/>
  <c r="I9" i="50"/>
  <c r="H9" i="50"/>
  <c r="G6" i="50"/>
  <c r="G9" i="50" s="1"/>
  <c r="G14" i="50" s="1"/>
  <c r="F6" i="50"/>
  <c r="F9" i="50" s="1"/>
  <c r="F14" i="50" s="1"/>
  <c r="E6" i="50"/>
  <c r="E9" i="50" s="1"/>
  <c r="E14" i="50" s="1"/>
  <c r="D6" i="50"/>
  <c r="D9" i="50" s="1"/>
  <c r="D14" i="50" s="1"/>
  <c r="C6" i="50"/>
  <c r="C9" i="50" s="1"/>
  <c r="K37" i="49"/>
  <c r="J37" i="49"/>
  <c r="I37" i="49"/>
  <c r="M58" i="48"/>
  <c r="L58" i="48"/>
  <c r="K58" i="48"/>
  <c r="J58" i="48"/>
  <c r="I58" i="48"/>
  <c r="H58" i="48"/>
  <c r="G58" i="48"/>
  <c r="F58" i="48"/>
  <c r="E58" i="48"/>
  <c r="D58" i="48"/>
  <c r="C58" i="48"/>
  <c r="O57" i="48"/>
  <c r="N57" i="48"/>
  <c r="N58" i="48" s="1"/>
  <c r="M57" i="48"/>
  <c r="L57" i="48"/>
  <c r="K57" i="48"/>
  <c r="J57" i="48"/>
  <c r="I57" i="48"/>
  <c r="H57" i="48"/>
  <c r="G57" i="48"/>
  <c r="F57" i="48"/>
  <c r="E57" i="48"/>
  <c r="D57" i="48"/>
  <c r="C57" i="48"/>
  <c r="O56" i="48"/>
  <c r="N55" i="48"/>
  <c r="M55" i="48"/>
  <c r="L55" i="48"/>
  <c r="K55" i="48"/>
  <c r="J55" i="48"/>
  <c r="I55" i="48"/>
  <c r="H55" i="48"/>
  <c r="G55" i="48"/>
  <c r="F55" i="48"/>
  <c r="E55" i="48"/>
  <c r="D55" i="48"/>
  <c r="C55" i="48"/>
  <c r="O54" i="48"/>
  <c r="O53" i="48"/>
  <c r="O52" i="48"/>
  <c r="O55" i="48" s="1"/>
  <c r="O51" i="48"/>
  <c r="O50" i="48"/>
  <c r="O49" i="48"/>
  <c r="O48" i="48"/>
  <c r="N47" i="48"/>
  <c r="M47" i="48"/>
  <c r="L47" i="48"/>
  <c r="K47" i="48"/>
  <c r="J47" i="48"/>
  <c r="I47" i="48"/>
  <c r="H47" i="48"/>
  <c r="G47" i="48"/>
  <c r="F47" i="48"/>
  <c r="E47" i="48"/>
  <c r="D47" i="48"/>
  <c r="C47" i="48"/>
  <c r="O46" i="48"/>
  <c r="O45" i="48"/>
  <c r="O44" i="48"/>
  <c r="O43" i="48"/>
  <c r="O42" i="48"/>
  <c r="O41" i="48"/>
  <c r="O40" i="48"/>
  <c r="O39" i="48"/>
  <c r="O47" i="48" s="1"/>
  <c r="M36" i="48"/>
  <c r="M60" i="48" s="1"/>
  <c r="N35" i="48"/>
  <c r="M35" i="48"/>
  <c r="L35" i="48"/>
  <c r="K35" i="48"/>
  <c r="J35" i="48"/>
  <c r="I35" i="48"/>
  <c r="H35" i="48"/>
  <c r="G35" i="48"/>
  <c r="F35" i="48"/>
  <c r="E35" i="48"/>
  <c r="D35" i="48"/>
  <c r="C35" i="48"/>
  <c r="O34" i="48"/>
  <c r="O33" i="48"/>
  <c r="O32" i="48"/>
  <c r="O35" i="48" s="1"/>
  <c r="O36" i="48" s="1"/>
  <c r="O31" i="48"/>
  <c r="N31" i="48"/>
  <c r="N36" i="48" s="1"/>
  <c r="N60" i="48" s="1"/>
  <c r="M31" i="48"/>
  <c r="L31" i="48"/>
  <c r="K31" i="48"/>
  <c r="J31" i="48"/>
  <c r="I31" i="48"/>
  <c r="H31" i="48"/>
  <c r="G31" i="48"/>
  <c r="G36" i="48" s="1"/>
  <c r="G60" i="48" s="1"/>
  <c r="F31" i="48"/>
  <c r="F36" i="48" s="1"/>
  <c r="F60" i="48" s="1"/>
  <c r="E31" i="48"/>
  <c r="E36" i="48" s="1"/>
  <c r="E60" i="48" s="1"/>
  <c r="D31" i="48"/>
  <c r="D36" i="48" s="1"/>
  <c r="D60" i="48" s="1"/>
  <c r="C31" i="48"/>
  <c r="C36" i="48" s="1"/>
  <c r="C60" i="48" s="1"/>
  <c r="O30" i="48"/>
  <c r="O29" i="48"/>
  <c r="O28" i="48"/>
  <c r="O27" i="48"/>
  <c r="O26" i="48"/>
  <c r="O25" i="48"/>
  <c r="O24" i="48"/>
  <c r="O23" i="48"/>
  <c r="O22" i="48"/>
  <c r="O21" i="48"/>
  <c r="N21" i="48"/>
  <c r="M21" i="48"/>
  <c r="L21" i="48"/>
  <c r="L36" i="48" s="1"/>
  <c r="L60" i="48" s="1"/>
  <c r="K21" i="48"/>
  <c r="K36" i="48" s="1"/>
  <c r="K60" i="48" s="1"/>
  <c r="J21" i="48"/>
  <c r="J36" i="48" s="1"/>
  <c r="J60" i="48" s="1"/>
  <c r="I21" i="48"/>
  <c r="I36" i="48" s="1"/>
  <c r="I60" i="48" s="1"/>
  <c r="H21" i="48"/>
  <c r="H36" i="48" s="1"/>
  <c r="H60" i="48" s="1"/>
  <c r="G21" i="48"/>
  <c r="F21" i="48"/>
  <c r="E21" i="48"/>
  <c r="D21" i="48"/>
  <c r="C21" i="48"/>
  <c r="O20" i="48"/>
  <c r="O19" i="48"/>
  <c r="O18" i="48"/>
  <c r="O17" i="48"/>
  <c r="O16" i="48"/>
  <c r="O15" i="48"/>
  <c r="O14" i="48"/>
  <c r="O13" i="48"/>
  <c r="O12" i="48"/>
  <c r="O11" i="48"/>
  <c r="O10" i="48"/>
  <c r="O9" i="48"/>
  <c r="O8" i="48"/>
  <c r="O7" i="48"/>
  <c r="F8" i="47"/>
  <c r="E8" i="47"/>
  <c r="D8" i="47"/>
  <c r="C8" i="47"/>
  <c r="B8" i="47"/>
  <c r="C5" i="47"/>
  <c r="D5" i="47" s="1"/>
  <c r="E5" i="47" s="1"/>
  <c r="F5" i="47" s="1"/>
  <c r="N38" i="46"/>
  <c r="M38" i="46"/>
  <c r="L38" i="46"/>
  <c r="K38" i="46"/>
  <c r="J38" i="46"/>
  <c r="I38" i="46"/>
  <c r="H38" i="46"/>
  <c r="G38" i="46"/>
  <c r="F38" i="46"/>
  <c r="E38" i="46"/>
  <c r="D38" i="46"/>
  <c r="C38" i="46"/>
  <c r="O37" i="46"/>
  <c r="O36" i="46"/>
  <c r="O35" i="46"/>
  <c r="O34" i="46"/>
  <c r="O33" i="46"/>
  <c r="O32" i="46"/>
  <c r="O31" i="46"/>
  <c r="O30" i="46"/>
  <c r="O29" i="46"/>
  <c r="O28" i="46"/>
  <c r="O27" i="46"/>
  <c r="O26" i="46"/>
  <c r="O25" i="46"/>
  <c r="O24" i="46"/>
  <c r="O23" i="46"/>
  <c r="O22" i="46"/>
  <c r="O21" i="46"/>
  <c r="O20" i="46"/>
  <c r="O19" i="46"/>
  <c r="O18" i="46"/>
  <c r="O38" i="46" s="1"/>
  <c r="O17" i="46"/>
  <c r="O16" i="46"/>
  <c r="O15" i="46"/>
  <c r="O14" i="46"/>
  <c r="O13" i="46"/>
  <c r="O12" i="46"/>
  <c r="O11" i="46"/>
  <c r="O10" i="46"/>
  <c r="O9" i="46"/>
  <c r="O8" i="46"/>
  <c r="O7" i="46"/>
  <c r="O6" i="46"/>
  <c r="K13" i="45"/>
  <c r="J13" i="45"/>
  <c r="I13" i="45"/>
  <c r="H13" i="45"/>
  <c r="G13" i="45"/>
  <c r="F13" i="45"/>
  <c r="E13" i="45"/>
  <c r="D13" i="45"/>
  <c r="C13" i="45"/>
  <c r="B13" i="45"/>
  <c r="K12" i="45"/>
  <c r="J12" i="45"/>
  <c r="I12" i="45"/>
  <c r="H12" i="45"/>
  <c r="G12" i="45"/>
  <c r="F12" i="45"/>
  <c r="E12" i="45"/>
  <c r="D12" i="45"/>
  <c r="C12" i="45"/>
  <c r="B12" i="45"/>
  <c r="K9" i="45"/>
  <c r="M9" i="45" s="1"/>
  <c r="J9" i="45"/>
  <c r="I9" i="45"/>
  <c r="H9" i="45"/>
  <c r="G9" i="45"/>
  <c r="F9" i="45"/>
  <c r="E9" i="45"/>
  <c r="D9" i="45"/>
  <c r="C9" i="45"/>
  <c r="B9" i="45"/>
  <c r="M8" i="45"/>
  <c r="M7" i="45"/>
  <c r="Q87" i="44"/>
  <c r="P87" i="44"/>
  <c r="O87" i="44"/>
  <c r="N87" i="44"/>
  <c r="M87" i="44"/>
  <c r="N85" i="44"/>
  <c r="O85" i="44" s="1"/>
  <c r="P85" i="44" s="1"/>
  <c r="Q85" i="44" s="1"/>
  <c r="L27" i="44"/>
  <c r="L28" i="44" s="1"/>
  <c r="L29" i="44" s="1"/>
  <c r="K27" i="44"/>
  <c r="K28" i="44" s="1"/>
  <c r="K29" i="44" s="1"/>
  <c r="J27" i="44"/>
  <c r="L22" i="44"/>
  <c r="K22" i="44"/>
  <c r="J22" i="44"/>
  <c r="L19" i="44"/>
  <c r="K19" i="44"/>
  <c r="J19" i="44"/>
  <c r="N29" i="43"/>
  <c r="N35" i="43" s="1"/>
  <c r="M29" i="43"/>
  <c r="M35" i="43" s="1"/>
  <c r="L29" i="43"/>
  <c r="L35" i="43" s="1"/>
  <c r="K29" i="43"/>
  <c r="K35" i="43" s="1"/>
  <c r="J29" i="43"/>
  <c r="J35" i="43" s="1"/>
  <c r="I29" i="43"/>
  <c r="I35" i="43" s="1"/>
  <c r="H29" i="43"/>
  <c r="H35" i="43" s="1"/>
  <c r="G29" i="43"/>
  <c r="G35" i="43" s="1"/>
  <c r="E24" i="43"/>
  <c r="D24" i="43"/>
  <c r="N23" i="43"/>
  <c r="M23" i="43"/>
  <c r="L23" i="43"/>
  <c r="K23" i="43"/>
  <c r="J23" i="43"/>
  <c r="I23" i="43"/>
  <c r="H23" i="43"/>
  <c r="G23" i="43"/>
  <c r="F23" i="43"/>
  <c r="F29" i="43" s="1"/>
  <c r="F35" i="43" s="1"/>
  <c r="E23" i="43"/>
  <c r="E29" i="43" s="1"/>
  <c r="E35" i="43" s="1"/>
  <c r="D23" i="43"/>
  <c r="D29" i="43" s="1"/>
  <c r="D35" i="43" s="1"/>
  <c r="C23" i="43"/>
  <c r="C29" i="43" s="1"/>
  <c r="C35" i="43" s="1"/>
  <c r="O22" i="43"/>
  <c r="O21" i="43"/>
  <c r="O20" i="43"/>
  <c r="O19" i="43"/>
  <c r="O23" i="43" s="1"/>
  <c r="O18" i="43"/>
  <c r="N18" i="43"/>
  <c r="N24" i="43" s="1"/>
  <c r="M18" i="43"/>
  <c r="M24" i="43" s="1"/>
  <c r="L18" i="43"/>
  <c r="L24" i="43" s="1"/>
  <c r="K18" i="43"/>
  <c r="K24" i="43" s="1"/>
  <c r="J18" i="43"/>
  <c r="J24" i="43" s="1"/>
  <c r="I18" i="43"/>
  <c r="I24" i="43" s="1"/>
  <c r="H18" i="43"/>
  <c r="H24" i="43" s="1"/>
  <c r="G18" i="43"/>
  <c r="G24" i="43" s="1"/>
  <c r="F18" i="43"/>
  <c r="F24" i="43" s="1"/>
  <c r="E18" i="43"/>
  <c r="D18" i="43"/>
  <c r="C18" i="43"/>
  <c r="O17" i="43"/>
  <c r="N16" i="43"/>
  <c r="N28" i="43" s="1"/>
  <c r="M16" i="43"/>
  <c r="M28" i="43" s="1"/>
  <c r="L16" i="43"/>
  <c r="L28" i="43" s="1"/>
  <c r="K16" i="43"/>
  <c r="K28" i="43" s="1"/>
  <c r="J16" i="43"/>
  <c r="J28" i="43" s="1"/>
  <c r="I16" i="43"/>
  <c r="I28" i="43" s="1"/>
  <c r="H16" i="43"/>
  <c r="H28" i="43" s="1"/>
  <c r="G16" i="43"/>
  <c r="G28" i="43" s="1"/>
  <c r="F16" i="43"/>
  <c r="F28" i="43" s="1"/>
  <c r="E16" i="43"/>
  <c r="E28" i="43" s="1"/>
  <c r="D16" i="43"/>
  <c r="D28" i="43" s="1"/>
  <c r="C16" i="43"/>
  <c r="C24" i="43" s="1"/>
  <c r="O15" i="43"/>
  <c r="O14" i="43"/>
  <c r="O13" i="43"/>
  <c r="O12" i="43"/>
  <c r="O11" i="43"/>
  <c r="O10" i="43"/>
  <c r="O9" i="43"/>
  <c r="O8" i="43"/>
  <c r="O7" i="43"/>
  <c r="O16" i="43" s="1"/>
  <c r="T62" i="42"/>
  <c r="S62" i="42"/>
  <c r="R62" i="42"/>
  <c r="Q62" i="42"/>
  <c r="P62" i="42"/>
  <c r="Q59" i="42"/>
  <c r="R59" i="42" s="1"/>
  <c r="S59" i="42" s="1"/>
  <c r="T59" i="42" s="1"/>
  <c r="I52" i="42"/>
  <c r="I53" i="42" s="1"/>
  <c r="H52" i="42"/>
  <c r="H53" i="42" s="1"/>
  <c r="G52" i="42"/>
  <c r="G53" i="42" s="1"/>
  <c r="L51" i="42"/>
  <c r="L52" i="42" s="1"/>
  <c r="L53" i="42" s="1"/>
  <c r="K51" i="42"/>
  <c r="K52" i="42" s="1"/>
  <c r="K53" i="42" s="1"/>
  <c r="J51" i="42"/>
  <c r="J52" i="42" s="1"/>
  <c r="J53" i="42" s="1"/>
  <c r="I51" i="42"/>
  <c r="H51" i="42"/>
  <c r="G51" i="42"/>
  <c r="L46" i="42"/>
  <c r="K46" i="42"/>
  <c r="J46" i="42"/>
  <c r="I46" i="42"/>
  <c r="H46" i="42"/>
  <c r="G46" i="42"/>
  <c r="L38" i="42"/>
  <c r="L39" i="42" s="1"/>
  <c r="K38" i="42"/>
  <c r="K39" i="42" s="1"/>
  <c r="J38" i="42"/>
  <c r="J39" i="42" s="1"/>
  <c r="I38" i="42"/>
  <c r="H38" i="42"/>
  <c r="H39" i="42" s="1"/>
  <c r="G38" i="42"/>
  <c r="G39" i="42" s="1"/>
  <c r="F38" i="42"/>
  <c r="E38" i="42"/>
  <c r="D38" i="42"/>
  <c r="C38" i="42"/>
  <c r="L28" i="42"/>
  <c r="K28" i="42"/>
  <c r="J28" i="42"/>
  <c r="I28" i="42"/>
  <c r="H28" i="42"/>
  <c r="G28" i="42"/>
  <c r="F28" i="42"/>
  <c r="E28" i="42"/>
  <c r="D28" i="42"/>
  <c r="C28" i="42"/>
  <c r="L23" i="42"/>
  <c r="K23" i="42"/>
  <c r="J23" i="42"/>
  <c r="H23" i="42"/>
  <c r="G23" i="42"/>
  <c r="I7" i="42"/>
  <c r="I23" i="42" s="1"/>
  <c r="I39" i="42" s="1"/>
  <c r="J46" i="41"/>
  <c r="I46" i="41"/>
  <c r="N44" i="41"/>
  <c r="M44" i="41"/>
  <c r="L44" i="41"/>
  <c r="K44" i="41"/>
  <c r="J44" i="41"/>
  <c r="I44" i="41"/>
  <c r="H44" i="41"/>
  <c r="G44" i="41"/>
  <c r="F44" i="41"/>
  <c r="E44" i="41"/>
  <c r="D44" i="41"/>
  <c r="C44" i="41"/>
  <c r="O43" i="41"/>
  <c r="O42" i="41"/>
  <c r="O41" i="41"/>
  <c r="O40" i="41"/>
  <c r="O44" i="41" s="1"/>
  <c r="O39" i="41"/>
  <c r="O46" i="41" s="1"/>
  <c r="N39" i="41"/>
  <c r="N46" i="41" s="1"/>
  <c r="M39" i="41"/>
  <c r="M46" i="41" s="1"/>
  <c r="L39" i="41"/>
  <c r="L46" i="41" s="1"/>
  <c r="K39" i="41"/>
  <c r="K46" i="41" s="1"/>
  <c r="J39" i="41"/>
  <c r="I39" i="41"/>
  <c r="H39" i="41"/>
  <c r="H46" i="41" s="1"/>
  <c r="G39" i="41"/>
  <c r="G46" i="41" s="1"/>
  <c r="F39" i="41"/>
  <c r="F46" i="41" s="1"/>
  <c r="E39" i="41"/>
  <c r="E46" i="41" s="1"/>
  <c r="D39" i="41"/>
  <c r="D46" i="41" s="1"/>
  <c r="C39" i="41"/>
  <c r="C46" i="41" s="1"/>
  <c r="O38" i="41"/>
  <c r="O33" i="41"/>
  <c r="T50" i="41" s="1"/>
  <c r="N33" i="41"/>
  <c r="N35" i="41" s="1"/>
  <c r="N48" i="41" s="1"/>
  <c r="M33" i="41"/>
  <c r="M35" i="41" s="1"/>
  <c r="M48" i="41" s="1"/>
  <c r="L33" i="41"/>
  <c r="L35" i="41" s="1"/>
  <c r="L48" i="41" s="1"/>
  <c r="K33" i="41"/>
  <c r="K35" i="41" s="1"/>
  <c r="K48" i="41" s="1"/>
  <c r="J33" i="41"/>
  <c r="J35" i="41" s="1"/>
  <c r="J48" i="41" s="1"/>
  <c r="I33" i="41"/>
  <c r="H33" i="41"/>
  <c r="G33" i="41"/>
  <c r="F33" i="41"/>
  <c r="E33" i="41"/>
  <c r="D33" i="41"/>
  <c r="C33" i="41"/>
  <c r="O32" i="41"/>
  <c r="O31" i="41"/>
  <c r="O30" i="41"/>
  <c r="O29" i="41"/>
  <c r="O28" i="41"/>
  <c r="O27" i="41"/>
  <c r="N26" i="41"/>
  <c r="M26" i="41"/>
  <c r="L26" i="41"/>
  <c r="K26" i="41"/>
  <c r="J26" i="41"/>
  <c r="I26" i="41"/>
  <c r="I35" i="41" s="1"/>
  <c r="I48" i="41" s="1"/>
  <c r="H26" i="41"/>
  <c r="H35" i="41" s="1"/>
  <c r="H48" i="41" s="1"/>
  <c r="G26" i="41"/>
  <c r="G35" i="41" s="1"/>
  <c r="G48" i="41" s="1"/>
  <c r="F26" i="41"/>
  <c r="F35" i="41" s="1"/>
  <c r="F48" i="41" s="1"/>
  <c r="E26" i="41"/>
  <c r="E35" i="41" s="1"/>
  <c r="E48" i="41" s="1"/>
  <c r="D26" i="41"/>
  <c r="D35" i="41" s="1"/>
  <c r="D48" i="41" s="1"/>
  <c r="C26" i="41"/>
  <c r="C35" i="41" s="1"/>
  <c r="C48" i="41" s="1"/>
  <c r="O25" i="41"/>
  <c r="O24" i="41"/>
  <c r="O26" i="41" s="1"/>
  <c r="T49" i="41" s="1"/>
  <c r="O23" i="41"/>
  <c r="N22" i="41"/>
  <c r="M22" i="41"/>
  <c r="L22" i="41"/>
  <c r="K22" i="41"/>
  <c r="J22" i="41"/>
  <c r="I22" i="41"/>
  <c r="H22" i="41"/>
  <c r="G22" i="41"/>
  <c r="F22" i="41"/>
  <c r="E22" i="41"/>
  <c r="D22" i="41"/>
  <c r="C22" i="41"/>
  <c r="O21" i="41"/>
  <c r="O20" i="41"/>
  <c r="O19" i="41"/>
  <c r="O18" i="41"/>
  <c r="O17" i="41"/>
  <c r="O16" i="41"/>
  <c r="O15" i="41"/>
  <c r="O14" i="41"/>
  <c r="O13" i="41"/>
  <c r="O12" i="41"/>
  <c r="O11" i="41"/>
  <c r="O10" i="41"/>
  <c r="O9" i="41"/>
  <c r="O8" i="41"/>
  <c r="O22" i="41" s="1"/>
  <c r="T51" i="41" s="1"/>
  <c r="I35" i="40"/>
  <c r="E42" i="40" s="1"/>
  <c r="I34" i="40"/>
  <c r="E41" i="40" s="1"/>
  <c r="I33" i="40"/>
  <c r="I36" i="40" s="1"/>
  <c r="B37" i="39"/>
  <c r="A34" i="39"/>
  <c r="A35" i="39" s="1"/>
  <c r="A36" i="39" s="1"/>
  <c r="A33" i="39"/>
  <c r="J23" i="39"/>
  <c r="I23" i="39"/>
  <c r="G23" i="39"/>
  <c r="F23" i="39"/>
  <c r="E23" i="39"/>
  <c r="D23" i="39"/>
  <c r="C23" i="39"/>
  <c r="L22" i="39"/>
  <c r="L23" i="39" s="1"/>
  <c r="K22" i="39"/>
  <c r="J22" i="39"/>
  <c r="I22" i="39"/>
  <c r="M21" i="39"/>
  <c r="M20" i="39"/>
  <c r="M19" i="39"/>
  <c r="M18" i="39"/>
  <c r="L17" i="39"/>
  <c r="K17" i="39"/>
  <c r="K23" i="39" s="1"/>
  <c r="J17" i="39"/>
  <c r="I17" i="39"/>
  <c r="M16" i="39"/>
  <c r="L15" i="39"/>
  <c r="K15" i="39"/>
  <c r="J15" i="39"/>
  <c r="I15" i="39"/>
  <c r="E15" i="39"/>
  <c r="M15" i="39" s="1"/>
  <c r="M14" i="39"/>
  <c r="M13" i="39"/>
  <c r="M12" i="39"/>
  <c r="M11" i="39"/>
  <c r="M10" i="39"/>
  <c r="M9" i="39"/>
  <c r="M8" i="39"/>
  <c r="M7" i="39"/>
  <c r="M6" i="39"/>
  <c r="K21" i="37"/>
  <c r="M20" i="37"/>
  <c r="M19" i="37"/>
  <c r="M18" i="37"/>
  <c r="L21" i="36"/>
  <c r="K21" i="36"/>
  <c r="J21" i="36"/>
  <c r="I21" i="36"/>
  <c r="H21" i="36"/>
  <c r="L14" i="36"/>
  <c r="K14" i="36"/>
  <c r="J14" i="36"/>
  <c r="I14" i="36"/>
  <c r="H14" i="36"/>
  <c r="L11" i="36"/>
  <c r="L22" i="36" s="1"/>
  <c r="AB25" i="35"/>
  <c r="I29" i="35" s="1"/>
  <c r="AA25" i="35"/>
  <c r="I28" i="35" s="1"/>
  <c r="Z25" i="35"/>
  <c r="I27" i="35" s="1"/>
  <c r="Y25" i="35"/>
  <c r="I26" i="35" s="1"/>
  <c r="X25" i="35"/>
  <c r="W25" i="35"/>
  <c r="I24" i="35" s="1"/>
  <c r="I25" i="35"/>
  <c r="G25" i="35"/>
  <c r="G26" i="35" s="1"/>
  <c r="G27" i="35" s="1"/>
  <c r="G28" i="35" s="1"/>
  <c r="AB24" i="35"/>
  <c r="G24" i="35"/>
  <c r="AB23" i="35"/>
  <c r="AB22" i="35"/>
  <c r="AB21" i="35"/>
  <c r="AB20" i="35"/>
  <c r="AB19" i="35"/>
  <c r="K14" i="35"/>
  <c r="J14" i="35"/>
  <c r="I14" i="35"/>
  <c r="H14" i="35"/>
  <c r="G14" i="35"/>
  <c r="F14" i="35"/>
  <c r="E14" i="35"/>
  <c r="D14" i="35"/>
  <c r="C14" i="35"/>
  <c r="L13" i="35"/>
  <c r="L11" i="35"/>
  <c r="L7" i="35"/>
  <c r="L14" i="35" s="1"/>
  <c r="T27" i="34"/>
  <c r="I39" i="34" s="1"/>
  <c r="S27" i="34"/>
  <c r="I38" i="34" s="1"/>
  <c r="R27" i="34"/>
  <c r="I37" i="34" s="1"/>
  <c r="Q27" i="34"/>
  <c r="I36" i="34" s="1"/>
  <c r="P27" i="34"/>
  <c r="I35" i="34" s="1"/>
  <c r="I40" i="34" s="1"/>
  <c r="U26" i="34"/>
  <c r="U25" i="34"/>
  <c r="U24" i="34"/>
  <c r="U23" i="34"/>
  <c r="U22" i="34"/>
  <c r="U27" i="34" s="1"/>
  <c r="U21" i="34"/>
  <c r="U20" i="34"/>
  <c r="G15" i="34"/>
  <c r="F15" i="34"/>
  <c r="E15" i="34"/>
  <c r="D15" i="34"/>
  <c r="C15" i="34"/>
  <c r="L14" i="34"/>
  <c r="K14" i="34"/>
  <c r="J14" i="34"/>
  <c r="I14" i="34"/>
  <c r="H14" i="34"/>
  <c r="L10" i="34"/>
  <c r="K10" i="34"/>
  <c r="J10" i="34"/>
  <c r="I10" i="34"/>
  <c r="H10" i="34"/>
  <c r="L8" i="34"/>
  <c r="L15" i="34" s="1"/>
  <c r="K8" i="34"/>
  <c r="K15" i="34" s="1"/>
  <c r="J8" i="34"/>
  <c r="J15" i="34" s="1"/>
  <c r="I8" i="34"/>
  <c r="I15" i="34" s="1"/>
  <c r="H8" i="34"/>
  <c r="H15" i="34" s="1"/>
  <c r="I34" i="34" s="1"/>
  <c r="E14" i="33"/>
  <c r="D14" i="33"/>
  <c r="C14" i="33"/>
  <c r="E13" i="33"/>
  <c r="D13" i="33"/>
  <c r="C13" i="33"/>
  <c r="E12" i="33"/>
  <c r="D12" i="33"/>
  <c r="C12" i="33"/>
  <c r="E11" i="33"/>
  <c r="D11" i="33"/>
  <c r="C11" i="33"/>
  <c r="C14" i="50" l="1"/>
  <c r="O58" i="48"/>
  <c r="O60" i="48"/>
  <c r="N39" i="44"/>
  <c r="D34" i="43"/>
  <c r="D31" i="43"/>
  <c r="D32" i="43" s="1"/>
  <c r="F34" i="43"/>
  <c r="F31" i="43"/>
  <c r="F32" i="43" s="1"/>
  <c r="O24" i="43"/>
  <c r="G34" i="43"/>
  <c r="G31" i="43"/>
  <c r="G32" i="43" s="1"/>
  <c r="I31" i="43"/>
  <c r="I32" i="43" s="1"/>
  <c r="I34" i="43"/>
  <c r="K31" i="43"/>
  <c r="K32" i="43" s="1"/>
  <c r="K34" i="43"/>
  <c r="N34" i="43"/>
  <c r="N31" i="43"/>
  <c r="N32" i="43" s="1"/>
  <c r="H31" i="43"/>
  <c r="H32" i="43" s="1"/>
  <c r="H34" i="43"/>
  <c r="J31" i="43"/>
  <c r="J32" i="43" s="1"/>
  <c r="J34" i="43"/>
  <c r="L31" i="43"/>
  <c r="L32" i="43" s="1"/>
  <c r="L34" i="43"/>
  <c r="E34" i="43"/>
  <c r="E31" i="43"/>
  <c r="E32" i="43" s="1"/>
  <c r="M31" i="43"/>
  <c r="M32" i="43" s="1"/>
  <c r="M34" i="43"/>
  <c r="C28" i="43"/>
  <c r="G55" i="42"/>
  <c r="G40" i="42"/>
  <c r="H55" i="42"/>
  <c r="H56" i="42" s="1"/>
  <c r="H40" i="42"/>
  <c r="J55" i="42"/>
  <c r="J56" i="42" s="1"/>
  <c r="J40" i="42"/>
  <c r="K55" i="42"/>
  <c r="K56" i="42" s="1"/>
  <c r="K40" i="42"/>
  <c r="L55" i="42"/>
  <c r="L56" i="42" s="1"/>
  <c r="L40" i="42"/>
  <c r="U21" i="42" s="1"/>
  <c r="I55" i="42"/>
  <c r="I56" i="42" s="1"/>
  <c r="I40" i="42"/>
  <c r="U43" i="42"/>
  <c r="T52" i="41"/>
  <c r="U52" i="41" s="1"/>
  <c r="O35" i="41"/>
  <c r="O48" i="41" s="1"/>
  <c r="E40" i="40"/>
  <c r="M23" i="39"/>
  <c r="B31" i="39"/>
  <c r="M22" i="39"/>
  <c r="M17" i="39"/>
  <c r="I23" i="35"/>
  <c r="C31" i="43" l="1"/>
  <c r="C32" i="43" s="1"/>
  <c r="C34" i="43"/>
  <c r="U51" i="41"/>
  <c r="U50" i="41"/>
  <c r="U49" i="41"/>
  <c r="E43" i="40"/>
  <c r="F40" i="40"/>
  <c r="F41" i="40" l="1"/>
  <c r="F42" i="40"/>
  <c r="K19" i="32" l="1"/>
  <c r="K20" i="32" s="1"/>
  <c r="L18" i="32"/>
  <c r="L17" i="32"/>
  <c r="L9" i="32"/>
  <c r="L7" i="32"/>
  <c r="K19" i="31"/>
  <c r="J19" i="31"/>
  <c r="I19" i="31"/>
  <c r="H19" i="31"/>
  <c r="G19" i="31"/>
  <c r="F19" i="31"/>
  <c r="D19" i="31"/>
  <c r="C19" i="31"/>
  <c r="K18" i="31"/>
  <c r="J18" i="31"/>
  <c r="I18" i="31"/>
  <c r="H18" i="31"/>
  <c r="G18" i="31"/>
  <c r="F18" i="31"/>
  <c r="E18" i="31"/>
  <c r="D18" i="31"/>
  <c r="C18" i="31"/>
  <c r="B18" i="31"/>
  <c r="K17" i="31"/>
  <c r="J17" i="31"/>
  <c r="I17" i="31"/>
  <c r="H17" i="31"/>
  <c r="G17" i="31"/>
  <c r="F17" i="31"/>
  <c r="E17" i="31"/>
  <c r="D17" i="31"/>
  <c r="C17" i="31"/>
  <c r="B17" i="31"/>
  <c r="K16" i="31"/>
  <c r="J16" i="31"/>
  <c r="I16" i="31"/>
  <c r="H16" i="31"/>
  <c r="G16" i="31"/>
  <c r="F16" i="31"/>
  <c r="E16" i="31"/>
  <c r="D16" i="31"/>
  <c r="C16" i="31"/>
  <c r="B16" i="31"/>
  <c r="K15" i="31"/>
  <c r="J15" i="31"/>
  <c r="I15" i="31"/>
  <c r="H15" i="31"/>
  <c r="G15" i="31"/>
  <c r="F15" i="31"/>
  <c r="E15" i="31"/>
  <c r="D15" i="31"/>
  <c r="C15" i="31"/>
  <c r="B15" i="31"/>
  <c r="K14" i="31"/>
  <c r="J14" i="31"/>
  <c r="I14" i="31"/>
  <c r="H14" i="31"/>
  <c r="G14" i="31"/>
  <c r="F14" i="31"/>
  <c r="E14" i="31"/>
  <c r="D14" i="31"/>
  <c r="C14" i="31"/>
  <c r="B14" i="31"/>
  <c r="K11" i="31"/>
  <c r="K12" i="30"/>
  <c r="K21" i="29"/>
  <c r="J21" i="29"/>
  <c r="I21" i="29"/>
  <c r="H21" i="29"/>
  <c r="G21" i="29"/>
  <c r="F21" i="29"/>
  <c r="E21" i="29"/>
  <c r="D21" i="29"/>
  <c r="C21" i="29"/>
  <c r="B21" i="29"/>
  <c r="K20" i="29"/>
  <c r="J20" i="29"/>
  <c r="I20" i="29"/>
  <c r="H20" i="29"/>
  <c r="G20" i="29"/>
  <c r="F20" i="29"/>
  <c r="E20" i="29"/>
  <c r="D20" i="29"/>
  <c r="C20" i="29"/>
  <c r="B20" i="29"/>
  <c r="K19" i="29"/>
  <c r="J19" i="29"/>
  <c r="I19" i="29"/>
  <c r="H19" i="29"/>
  <c r="G19" i="29"/>
  <c r="F19" i="29"/>
  <c r="E19" i="29"/>
  <c r="D19" i="29"/>
  <c r="C19" i="29"/>
  <c r="B19" i="29"/>
  <c r="K18" i="29"/>
  <c r="J18" i="29"/>
  <c r="I18" i="29"/>
  <c r="H18" i="29"/>
  <c r="G18" i="29"/>
  <c r="F18" i="29"/>
  <c r="E18" i="29"/>
  <c r="D18" i="29"/>
  <c r="C18" i="29"/>
  <c r="B18" i="29"/>
  <c r="G17" i="29"/>
  <c r="E17" i="29"/>
  <c r="D17" i="29"/>
  <c r="C17" i="29"/>
  <c r="B17" i="29"/>
  <c r="K16" i="29"/>
  <c r="J16" i="29"/>
  <c r="I16" i="29"/>
  <c r="H16" i="29"/>
  <c r="G16" i="29"/>
  <c r="F16" i="29"/>
  <c r="E16" i="29"/>
  <c r="D16" i="29"/>
  <c r="C16" i="29"/>
  <c r="B16" i="29"/>
  <c r="K15" i="29"/>
  <c r="J15" i="29"/>
  <c r="I15" i="29"/>
  <c r="H15" i="29"/>
  <c r="G15" i="29"/>
  <c r="F15" i="29"/>
  <c r="E15" i="29"/>
  <c r="D15" i="29"/>
  <c r="C15" i="29"/>
  <c r="B15" i="29"/>
  <c r="M31" i="15"/>
  <c r="M30" i="15"/>
  <c r="X11" i="15"/>
  <c r="P11" i="15"/>
  <c r="R7" i="15" s="1"/>
  <c r="X10" i="15"/>
  <c r="Y10" i="15" s="1"/>
  <c r="S10" i="15"/>
  <c r="T10" i="15" s="1"/>
  <c r="V10" i="15" s="1"/>
  <c r="Q10" i="15"/>
  <c r="P10" i="15"/>
  <c r="R10" i="15" s="1"/>
  <c r="X9" i="15"/>
  <c r="S9" i="15"/>
  <c r="P9" i="15"/>
  <c r="Q9" i="15" s="1"/>
  <c r="X8" i="15"/>
  <c r="S8" i="15"/>
  <c r="U8" i="15" s="1"/>
  <c r="P8" i="15"/>
  <c r="R8" i="15" s="1"/>
  <c r="X7" i="15"/>
  <c r="T7" i="15"/>
  <c r="S7" i="15"/>
  <c r="P7" i="15"/>
  <c r="Q7" i="15" s="1"/>
  <c r="X6" i="15" a="1"/>
  <c r="X6" i="15" s="1"/>
  <c r="S6" i="15"/>
  <c r="P6" i="15"/>
  <c r="R6" i="15" s="1"/>
  <c r="X5" i="15"/>
  <c r="Y5" i="15" s="1"/>
  <c r="S5" i="15"/>
  <c r="T5" i="15" s="1"/>
  <c r="P5" i="15"/>
  <c r="R5" i="15" s="1"/>
  <c r="X4" i="15"/>
  <c r="X12" i="15" s="1"/>
  <c r="T4" i="15"/>
  <c r="S4" i="15"/>
  <c r="S11" i="15" s="1"/>
  <c r="P4" i="15"/>
  <c r="R4" i="15" s="1"/>
  <c r="F79" i="14"/>
  <c r="E79" i="14"/>
  <c r="D79" i="14"/>
  <c r="C79" i="14"/>
  <c r="B79" i="14"/>
  <c r="J32" i="13"/>
  <c r="I32" i="13"/>
  <c r="H32" i="13"/>
  <c r="I30" i="13"/>
  <c r="J29" i="13"/>
  <c r="J30" i="13" s="1"/>
  <c r="J31" i="13" s="1"/>
  <c r="I29" i="13"/>
  <c r="H29" i="13"/>
  <c r="G29" i="13"/>
  <c r="F29" i="13"/>
  <c r="E29" i="13"/>
  <c r="J26" i="13"/>
  <c r="I26" i="13"/>
  <c r="I31" i="13" s="1"/>
  <c r="H26" i="13"/>
  <c r="H30" i="13" s="1"/>
  <c r="G26" i="13"/>
  <c r="G30" i="13" s="1"/>
  <c r="F26" i="13"/>
  <c r="F30" i="13" s="1"/>
  <c r="F31" i="13" s="1"/>
  <c r="E26" i="13"/>
  <c r="E30" i="13" s="1"/>
  <c r="E31" i="13" s="1"/>
  <c r="L24" i="13"/>
  <c r="K24" i="13"/>
  <c r="I24" i="13"/>
  <c r="Q23" i="13"/>
  <c r="Q22" i="13"/>
  <c r="P22" i="13"/>
  <c r="Q20" i="13"/>
  <c r="P20" i="13"/>
  <c r="P19" i="13"/>
  <c r="M19" i="13"/>
  <c r="J19" i="13"/>
  <c r="I19" i="13"/>
  <c r="H19" i="13"/>
  <c r="G19" i="13"/>
  <c r="F19" i="13"/>
  <c r="E19" i="13"/>
  <c r="D19" i="13"/>
  <c r="C19" i="13"/>
  <c r="B19" i="13"/>
  <c r="Q18" i="13"/>
  <c r="P18" i="13"/>
  <c r="P17" i="13"/>
  <c r="U13" i="13"/>
  <c r="U21" i="13" s="1"/>
  <c r="Q13" i="13"/>
  <c r="P13" i="13"/>
  <c r="T13" i="13" s="1"/>
  <c r="T21" i="13" s="1"/>
  <c r="U12" i="13"/>
  <c r="T12" i="13"/>
  <c r="M12" i="13"/>
  <c r="J12" i="13"/>
  <c r="I12" i="13"/>
  <c r="H12" i="13"/>
  <c r="G12" i="13"/>
  <c r="F12" i="13"/>
  <c r="E12" i="13"/>
  <c r="D12" i="13"/>
  <c r="C12" i="13"/>
  <c r="B12" i="13"/>
  <c r="U11" i="13"/>
  <c r="T11" i="13"/>
  <c r="U10" i="13"/>
  <c r="U17" i="13" s="1"/>
  <c r="T10" i="13"/>
  <c r="T17" i="13" s="1"/>
  <c r="Q10" i="13"/>
  <c r="Q9" i="13" s="1"/>
  <c r="U9" i="13" s="1"/>
  <c r="P10" i="13"/>
  <c r="P9" i="13" s="1"/>
  <c r="T9" i="13" s="1"/>
  <c r="M9" i="13"/>
  <c r="J9" i="13"/>
  <c r="I9" i="13"/>
  <c r="H9" i="13"/>
  <c r="G9" i="13"/>
  <c r="F9" i="13"/>
  <c r="E9" i="13"/>
  <c r="E24" i="13" s="1"/>
  <c r="D9" i="13"/>
  <c r="C9" i="13"/>
  <c r="B9" i="13"/>
  <c r="B24" i="13" s="1"/>
  <c r="U8" i="13"/>
  <c r="U22" i="13" s="1"/>
  <c r="Q8" i="13"/>
  <c r="P8" i="13"/>
  <c r="P23" i="13" s="1"/>
  <c r="U7" i="13"/>
  <c r="U20" i="13" s="1"/>
  <c r="Q7" i="13"/>
  <c r="Q21" i="13" s="1"/>
  <c r="P7" i="13"/>
  <c r="T7" i="13" s="1"/>
  <c r="T20" i="13" s="1"/>
  <c r="Q6" i="13"/>
  <c r="U6" i="13" s="1"/>
  <c r="U19" i="13" s="1"/>
  <c r="P6" i="13"/>
  <c r="T6" i="13" s="1"/>
  <c r="T19" i="13" s="1"/>
  <c r="U5" i="13"/>
  <c r="U18" i="13" s="1"/>
  <c r="Q5" i="13"/>
  <c r="Q19" i="13" s="1"/>
  <c r="P5" i="13"/>
  <c r="T5" i="13" s="1"/>
  <c r="T18" i="13" s="1"/>
  <c r="M5" i="13"/>
  <c r="M24" i="13" s="1"/>
  <c r="J5" i="13"/>
  <c r="J24" i="13" s="1"/>
  <c r="I5" i="13"/>
  <c r="H5" i="13"/>
  <c r="H24" i="13" s="1"/>
  <c r="G5" i="13"/>
  <c r="G24" i="13" s="1"/>
  <c r="F5" i="13"/>
  <c r="F24" i="13" s="1"/>
  <c r="E5" i="13"/>
  <c r="D5" i="13"/>
  <c r="D24" i="13" s="1"/>
  <c r="C5" i="13"/>
  <c r="C24" i="13" s="1"/>
  <c r="B5" i="13"/>
  <c r="Q4" i="13"/>
  <c r="H10" i="12"/>
  <c r="G10" i="12"/>
  <c r="F10" i="12"/>
  <c r="E10" i="12"/>
  <c r="D10" i="12"/>
  <c r="C10" i="12"/>
  <c r="B10" i="12"/>
  <c r="I9" i="12"/>
  <c r="I8" i="12"/>
  <c r="I7" i="12"/>
  <c r="I6" i="12"/>
  <c r="I10" i="12" s="1"/>
  <c r="D77" i="10"/>
  <c r="P6" i="10" s="1"/>
  <c r="B76" i="10"/>
  <c r="B75" i="10"/>
  <c r="B74" i="10"/>
  <c r="F73" i="10"/>
  <c r="F77" i="10" s="1"/>
  <c r="R6" i="10" s="1"/>
  <c r="E73" i="10"/>
  <c r="E77" i="10" s="1"/>
  <c r="Q6" i="10" s="1"/>
  <c r="D73" i="10"/>
  <c r="C73" i="10"/>
  <c r="B72" i="10"/>
  <c r="B71" i="10"/>
  <c r="B70" i="10"/>
  <c r="B69" i="10"/>
  <c r="B68" i="10"/>
  <c r="B67" i="10"/>
  <c r="B66" i="10"/>
  <c r="B65" i="10"/>
  <c r="B64" i="10"/>
  <c r="B63" i="10"/>
  <c r="B62" i="10"/>
  <c r="B61" i="10"/>
  <c r="B60" i="10"/>
  <c r="B59" i="10"/>
  <c r="B58" i="10"/>
  <c r="B57" i="10"/>
  <c r="B56" i="10"/>
  <c r="B55" i="10"/>
  <c r="B54" i="10"/>
  <c r="B53" i="10"/>
  <c r="B52" i="10"/>
  <c r="B51" i="10"/>
  <c r="B50" i="10"/>
  <c r="B49" i="10"/>
  <c r="B48" i="10"/>
  <c r="B47" i="10"/>
  <c r="B46" i="10"/>
  <c r="B45" i="10"/>
  <c r="B44" i="10"/>
  <c r="B43" i="10"/>
  <c r="B42" i="10"/>
  <c r="B41" i="10"/>
  <c r="B40" i="10"/>
  <c r="B39" i="10"/>
  <c r="B38" i="10"/>
  <c r="B37" i="10"/>
  <c r="B36" i="10"/>
  <c r="B35" i="10"/>
  <c r="B73" i="10" s="1"/>
  <c r="B77" i="10" s="1"/>
  <c r="N6" i="10" s="1"/>
  <c r="N7" i="10" s="1"/>
  <c r="B34" i="10"/>
  <c r="B33" i="10"/>
  <c r="F31" i="10"/>
  <c r="E31" i="10"/>
  <c r="D31" i="10"/>
  <c r="C31" i="10"/>
  <c r="C77" i="10" s="1"/>
  <c r="O6" i="10" s="1"/>
  <c r="B30" i="10"/>
  <c r="B29" i="10"/>
  <c r="B28" i="10"/>
  <c r="B27" i="10"/>
  <c r="B26" i="10"/>
  <c r="B25" i="10"/>
  <c r="B24" i="10"/>
  <c r="B23" i="10"/>
  <c r="B22" i="10"/>
  <c r="I12" i="10" s="1"/>
  <c r="J12" i="10" s="1"/>
  <c r="B21" i="10"/>
  <c r="B20" i="10"/>
  <c r="I11" i="10" s="1"/>
  <c r="J11" i="10" s="1"/>
  <c r="B19" i="10"/>
  <c r="B18" i="10"/>
  <c r="B17" i="10"/>
  <c r="B16" i="10"/>
  <c r="B15" i="10"/>
  <c r="B14" i="10"/>
  <c r="I9" i="10" s="1"/>
  <c r="J9" i="10" s="1"/>
  <c r="B13" i="10"/>
  <c r="B12" i="10"/>
  <c r="B31" i="10" s="1"/>
  <c r="B11" i="10"/>
  <c r="I10" i="10"/>
  <c r="J10" i="10" s="1"/>
  <c r="B10" i="10"/>
  <c r="B9" i="10"/>
  <c r="J8" i="10"/>
  <c r="I8" i="10"/>
  <c r="B8" i="10"/>
  <c r="I7" i="10" s="1"/>
  <c r="J7" i="10" s="1"/>
  <c r="B7" i="10"/>
  <c r="I6" i="10" s="1"/>
  <c r="E63" i="9"/>
  <c r="J4" i="9" s="1"/>
  <c r="J5" i="9" s="1"/>
  <c r="E62" i="9"/>
  <c r="D62" i="9"/>
  <c r="D63" i="9" s="1"/>
  <c r="I4" i="9" s="1"/>
  <c r="I5" i="9" s="1"/>
  <c r="F61" i="9"/>
  <c r="E61" i="9"/>
  <c r="D61" i="9"/>
  <c r="C61" i="9"/>
  <c r="B61" i="9"/>
  <c r="F46" i="9"/>
  <c r="F62" i="9" s="1"/>
  <c r="E46" i="9"/>
  <c r="D46" i="9"/>
  <c r="C46" i="9"/>
  <c r="C62" i="9" s="1"/>
  <c r="B46" i="9"/>
  <c r="B62" i="9" s="1"/>
  <c r="B63" i="9" s="1"/>
  <c r="L4" i="9" s="1"/>
  <c r="F8" i="9"/>
  <c r="E8" i="9"/>
  <c r="D8" i="9"/>
  <c r="C8" i="9"/>
  <c r="C63" i="9" s="1"/>
  <c r="H4" i="9" s="1"/>
  <c r="H5" i="9" s="1"/>
  <c r="B8" i="9"/>
  <c r="S5" i="9"/>
  <c r="R5" i="9"/>
  <c r="Q5" i="9"/>
  <c r="P5" i="9"/>
  <c r="O5" i="9"/>
  <c r="S4" i="9"/>
  <c r="S6" i="9" s="1"/>
  <c r="R4" i="9"/>
  <c r="Q4" i="9"/>
  <c r="P4" i="9"/>
  <c r="O4" i="9"/>
  <c r="B10" i="8"/>
  <c r="C10" i="8"/>
  <c r="D10" i="8"/>
  <c r="R11" i="15" l="1"/>
  <c r="Y8" i="15"/>
  <c r="U5" i="15"/>
  <c r="U10" i="15"/>
  <c r="U11" i="15"/>
  <c r="U4" i="15"/>
  <c r="T11" i="15"/>
  <c r="U7" i="15"/>
  <c r="V19" i="13"/>
  <c r="O7" i="10"/>
  <c r="O8" i="10"/>
  <c r="U9" i="15"/>
  <c r="Q7" i="10"/>
  <c r="Q8" i="10"/>
  <c r="K9" i="10"/>
  <c r="V17" i="13"/>
  <c r="U23" i="13"/>
  <c r="Y12" i="15"/>
  <c r="Y11" i="15"/>
  <c r="Y4" i="15"/>
  <c r="Y7" i="15"/>
  <c r="Y9" i="15"/>
  <c r="R7" i="10"/>
  <c r="R8" i="10"/>
  <c r="Q14" i="13"/>
  <c r="U14" i="13" s="1"/>
  <c r="V20" i="13"/>
  <c r="P7" i="10"/>
  <c r="P8" i="10"/>
  <c r="V21" i="13"/>
  <c r="V22" i="13"/>
  <c r="V5" i="15"/>
  <c r="J6" i="10"/>
  <c r="K6" i="10" s="1"/>
  <c r="K13" i="10" s="1"/>
  <c r="I13" i="10"/>
  <c r="J13" i="10" s="1"/>
  <c r="K12" i="10"/>
  <c r="U6" i="15"/>
  <c r="K11" i="10"/>
  <c r="K8" i="10"/>
  <c r="T4" i="9"/>
  <c r="T5" i="9"/>
  <c r="K7" i="10"/>
  <c r="Y6" i="15"/>
  <c r="F63" i="9"/>
  <c r="K4" i="9" s="1"/>
  <c r="K5" i="9" s="1"/>
  <c r="K10" i="10"/>
  <c r="V7" i="15"/>
  <c r="V18" i="13"/>
  <c r="Q4" i="15"/>
  <c r="V4" i="15" s="1"/>
  <c r="Q11" i="15"/>
  <c r="U4" i="13"/>
  <c r="G31" i="13"/>
  <c r="T9" i="15"/>
  <c r="V9" i="15" s="1"/>
  <c r="P21" i="13"/>
  <c r="H31" i="13"/>
  <c r="Q6" i="15"/>
  <c r="Q17" i="13"/>
  <c r="F32" i="13"/>
  <c r="T6" i="15"/>
  <c r="V6" i="15" s="1"/>
  <c r="Q8" i="15"/>
  <c r="R9" i="15"/>
  <c r="G32" i="13"/>
  <c r="T8" i="15"/>
  <c r="V8" i="15" s="1"/>
  <c r="Q5" i="15"/>
  <c r="T8" i="13"/>
  <c r="T22" i="13" s="1"/>
  <c r="T23" i="13" s="1"/>
  <c r="P4" i="13"/>
  <c r="C38" i="5"/>
  <c r="D38" i="5"/>
  <c r="E38" i="5"/>
  <c r="F38" i="5"/>
  <c r="G38" i="5"/>
  <c r="H38" i="5"/>
  <c r="I38" i="5"/>
  <c r="J38" i="5"/>
  <c r="K38" i="5"/>
  <c r="L38" i="5"/>
  <c r="M38" i="5"/>
  <c r="P14" i="13" l="1"/>
  <c r="T14" i="13" s="1"/>
  <c r="T4" i="13"/>
  <c r="V11" i="15"/>
  <c r="V23" i="13"/>
  <c r="C32" i="8"/>
  <c r="D32" i="8"/>
  <c r="E32" i="8"/>
  <c r="F32" i="8"/>
  <c r="G32" i="8"/>
  <c r="H32" i="8"/>
  <c r="I32" i="8"/>
  <c r="J32" i="8"/>
  <c r="K32" i="8"/>
  <c r="L32" i="8"/>
  <c r="M32" i="8"/>
  <c r="C42" i="8"/>
  <c r="D42" i="8"/>
  <c r="E42" i="8"/>
  <c r="C21" i="7"/>
  <c r="D21" i="7"/>
  <c r="E21" i="7"/>
  <c r="F21" i="7"/>
  <c r="G21" i="7"/>
  <c r="H21" i="7"/>
  <c r="I21" i="7"/>
  <c r="J21" i="7"/>
  <c r="K21" i="7"/>
  <c r="L21" i="7"/>
  <c r="M21" i="7"/>
  <c r="B21" i="7"/>
  <c r="C10" i="7"/>
  <c r="D10" i="7"/>
  <c r="E10" i="7"/>
  <c r="F10" i="7"/>
  <c r="G10" i="7"/>
  <c r="B10" i="7"/>
  <c r="D25" i="5"/>
  <c r="E25" i="5"/>
  <c r="F25" i="5"/>
  <c r="G25" i="5"/>
  <c r="H25" i="5"/>
  <c r="I25" i="5"/>
  <c r="J25" i="5"/>
  <c r="K25" i="5"/>
  <c r="L25" i="5"/>
  <c r="M25" i="5"/>
  <c r="B38" i="5"/>
  <c r="H21" i="6" l="1"/>
  <c r="L21" i="6"/>
  <c r="D21" i="6"/>
  <c r="C21" i="6"/>
  <c r="G21" i="6"/>
  <c r="I21" i="6"/>
  <c r="J21" i="6"/>
  <c r="F21" i="6"/>
  <c r="E21" i="6"/>
  <c r="K21" i="6"/>
  <c r="M21" i="6"/>
  <c r="C25" i="5"/>
  <c r="B25" i="5"/>
  <c r="M24" i="4" l="1"/>
  <c r="L24" i="4"/>
  <c r="K24" i="4"/>
  <c r="J24" i="4"/>
  <c r="C24" i="4"/>
  <c r="D24" i="4" l="1"/>
  <c r="F24" i="4"/>
  <c r="G24" i="4"/>
  <c r="H24" i="4"/>
  <c r="E24" i="4"/>
  <c r="I24" i="4"/>
  <c r="G11" i="4" l="1"/>
  <c r="F11" i="4"/>
  <c r="E11" i="4"/>
  <c r="D11" i="4"/>
  <c r="C11" i="4"/>
  <c r="B11" i="4"/>
  <c r="D15" i="2" l="1"/>
  <c r="D14" i="2"/>
  <c r="D13" i="2"/>
  <c r="D12" i="2"/>
  <c r="D11" i="2"/>
  <c r="D10" i="2"/>
  <c r="D9" i="2"/>
  <c r="D8" i="2"/>
  <c r="D7" i="2"/>
  <c r="D6" i="2"/>
  <c r="D5" i="2"/>
  <c r="D4" i="2"/>
  <c r="D5" i="1"/>
  <c r="D6" i="1"/>
  <c r="D7" i="1"/>
  <c r="D8" i="1"/>
  <c r="D9" i="1"/>
  <c r="D10" i="1"/>
  <c r="D11" i="1"/>
  <c r="D12" i="1"/>
  <c r="D13" i="1"/>
  <c r="D14" i="1"/>
  <c r="D15" i="1"/>
  <c r="D4" i="1"/>
  <c r="G48" i="4" l="1"/>
  <c r="F48" i="4"/>
  <c r="E48" i="4"/>
  <c r="D48" i="4"/>
  <c r="C48" i="4"/>
  <c r="B48" i="4"/>
  <c r="B24" i="4"/>
  <c r="M37" i="4"/>
  <c r="L37" i="4"/>
  <c r="K37" i="4"/>
  <c r="J37" i="4"/>
  <c r="I37" i="4"/>
  <c r="H37" i="4"/>
  <c r="G37" i="4"/>
  <c r="F37" i="4"/>
  <c r="E37" i="4"/>
  <c r="D37" i="4"/>
  <c r="C37" i="4"/>
  <c r="B37" i="4"/>
  <c r="G12" i="5"/>
  <c r="F12" i="5"/>
  <c r="E12" i="5"/>
  <c r="D12" i="5"/>
  <c r="C12" i="5"/>
  <c r="B12" i="5"/>
  <c r="G50" i="5"/>
  <c r="F50" i="5"/>
  <c r="E50" i="5"/>
  <c r="D50" i="5"/>
  <c r="C50" i="5"/>
  <c r="B50" i="5"/>
  <c r="G10" i="6"/>
  <c r="F10" i="6"/>
  <c r="E10" i="6"/>
  <c r="D10" i="6"/>
  <c r="C10" i="6"/>
  <c r="B10" i="6"/>
  <c r="G42" i="6"/>
  <c r="F42" i="6"/>
  <c r="E42" i="6"/>
  <c r="D42" i="6"/>
  <c r="C42" i="6"/>
  <c r="B42" i="6"/>
  <c r="B21" i="6"/>
  <c r="M32" i="6"/>
  <c r="L32" i="6"/>
  <c r="K32" i="6"/>
  <c r="J32" i="6"/>
  <c r="I32" i="6"/>
  <c r="H32" i="6"/>
  <c r="G32" i="6"/>
  <c r="F32" i="6"/>
  <c r="E32" i="6"/>
  <c r="D32" i="6"/>
  <c r="C32" i="6"/>
  <c r="B32" i="6"/>
  <c r="G42" i="7"/>
  <c r="F42" i="7"/>
  <c r="E42" i="7"/>
  <c r="D42" i="7"/>
  <c r="C42" i="7"/>
  <c r="B42" i="7"/>
  <c r="M32" i="7"/>
  <c r="L32" i="7"/>
  <c r="K32" i="7"/>
  <c r="J32" i="7"/>
  <c r="I32" i="7"/>
  <c r="H32" i="7"/>
  <c r="G32" i="7"/>
  <c r="F32" i="7"/>
  <c r="E32" i="7"/>
  <c r="D32" i="7"/>
  <c r="C32" i="7"/>
  <c r="B32" i="7"/>
  <c r="E10" i="8"/>
  <c r="B42" i="8"/>
  <c r="M21" i="8"/>
  <c r="L21" i="8"/>
  <c r="K21" i="8"/>
  <c r="J21" i="8"/>
  <c r="I21" i="8"/>
  <c r="H21" i="8"/>
  <c r="G21" i="8"/>
  <c r="F21" i="8"/>
  <c r="E21" i="8"/>
  <c r="D21" i="8"/>
  <c r="C21" i="8"/>
  <c r="B21" i="8"/>
  <c r="B32" i="8"/>
  <c r="K11" i="36" l="1"/>
  <c r="J11" i="36"/>
  <c r="H11" i="36"/>
</calcChain>
</file>

<file path=xl/comments1.xml><?xml version="1.0" encoding="utf-8"?>
<comments xmlns="http://schemas.openxmlformats.org/spreadsheetml/2006/main">
  <authors>
    <author>Quinto Ancieta Luis Carlos</author>
  </authors>
  <commentList>
    <comment ref="A2" authorId="0" shapeId="0">
      <text>
        <r>
          <rPr>
            <b/>
            <sz val="9"/>
            <color indexed="81"/>
            <rFont val="Tahoma"/>
            <family val="2"/>
          </rPr>
          <t>Quinto Ancieta Luis Carlos:</t>
        </r>
        <r>
          <rPr>
            <sz val="9"/>
            <color indexed="81"/>
            <rFont val="Tahoma"/>
            <family val="2"/>
          </rPr>
          <t xml:space="preserve">
REVISAR PERIODOS, SE SUGIERE 10 AÑOS)</t>
        </r>
      </text>
    </comment>
  </commentList>
</comments>
</file>

<file path=xl/metadata.xml><?xml version="1.0" encoding="utf-8"?>
<metadata xmlns="http://schemas.openxmlformats.org/spreadsheetml/2006/main">
  <metadataTypes count="1">
    <metadataType name="XLDAPR" minSupportedVersion="120000" copy="1" pasteAll="1" pasteValues="1" merge="1" splitFirst="1" rowColShift="1" clearFormats="1" clearComments="1" assign="1" coerce="1" cellMeta="1"/>
  </metadataTypes>
  <futureMetadata name="XLDAPR" count="1">
    <bk>
      <extLst>
        <ext xmlns:xda="http://schemas.microsoft.com/office/spreadsheetml/2017/dynamicarray"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<sst xmlns="http://schemas.openxmlformats.org/spreadsheetml/2006/main" count="2583" uniqueCount="880">
  <si>
    <t>GASNORP</t>
  </si>
  <si>
    <t>CLIENTES</t>
  </si>
  <si>
    <t>ENE</t>
  </si>
  <si>
    <t>FEB</t>
  </si>
  <si>
    <t>MAR</t>
  </si>
  <si>
    <t>ABR</t>
  </si>
  <si>
    <t>MAY</t>
  </si>
  <si>
    <t>JUN</t>
  </si>
  <si>
    <t>JUL</t>
  </si>
  <si>
    <t>AGO</t>
  </si>
  <si>
    <t>SET</t>
  </si>
  <si>
    <t>OCT</t>
  </si>
  <si>
    <t>NOV</t>
  </si>
  <si>
    <t>DIC</t>
  </si>
  <si>
    <t>RESIDENCIAL</t>
  </si>
  <si>
    <t>COMERCIAL</t>
  </si>
  <si>
    <t>GNV</t>
  </si>
  <si>
    <t>INDUSTRIAL</t>
  </si>
  <si>
    <t>TOTAL</t>
  </si>
  <si>
    <t>PETROPERU</t>
  </si>
  <si>
    <t>QUAVII</t>
  </si>
  <si>
    <t>CONTUGAS</t>
  </si>
  <si>
    <t>GENERACIÓN ELÉCTRICA</t>
  </si>
  <si>
    <t>INSTITUCIONES PÚBLICAS</t>
  </si>
  <si>
    <t>MERCADO INTERNO</t>
  </si>
  <si>
    <t>EXPORTACIÓN</t>
  </si>
  <si>
    <t>Lote 56</t>
  </si>
  <si>
    <t>Lote 88</t>
  </si>
  <si>
    <t>CÁLIDDA</t>
  </si>
  <si>
    <t>Tabla N° 49: Procesamiento de Gas Natural (MMPC), 2024</t>
  </si>
  <si>
    <t>Tabla N° 50: Procesamiento de Líquidos de Gas Natural (BBL), 2024</t>
  </si>
  <si>
    <t>Tabla N° 51: Transporte de Gas Natural (MMPC), 2024</t>
  </si>
  <si>
    <t>Tabla N° 52: Volumen de distribución de Gas Natural en la Concesión de Lima y Callao (MMPC), 2019-2024</t>
  </si>
  <si>
    <t>Tabla N° 53: Volumen de distribución de Gas Natural por sector económico en la Concesión de Lima y Callao (MMPC), 2024</t>
  </si>
  <si>
    <t>Tabla N° 54: Número de Consumidores de Gas Natural, por sector económico, en la Concesión de Lima y Callao, 2024</t>
  </si>
  <si>
    <t>Tabla N° 55: Número de Consumidores de Gas Natural, por sector económico, en la Concesión de Lima y Callao, 2019-2024</t>
  </si>
  <si>
    <t>Tabla N° 57: Volumen de distribución de Gas Natural por sector económico en la Concesión de Ica (MMPC), 2024</t>
  </si>
  <si>
    <t>Tabla N° 56: Volumen de distribución de Gas Natural en la Concesión de Ica (MMPC), 2019-2024</t>
  </si>
  <si>
    <t>Tabla N° 58: Número de Consumidores de Gas Natural, por sector económico, en la Concesión de Ica, 2024</t>
  </si>
  <si>
    <t>Tabla N° 59: Número de Consumidores de Gas Natural por sector económico en la Concesión de Ica, 2019-2024</t>
  </si>
  <si>
    <t>Tabla N° 61: Volumen de distribución de Gas Natural por sector económico en la Concesión Norte (MMPC), 2024</t>
  </si>
  <si>
    <t>Tabla N° 60: Volumen de distribución de Gas Natural por sector econímico en la Concesión Norte (MMPC), 2019-2024</t>
  </si>
  <si>
    <t>Tabla N° 62: Número de Consumidores de Gas Natural por sector económico en la Concesión Norte, 2024</t>
  </si>
  <si>
    <t>Tabla N° 63: Número de Consumidores de Gas Natural por sector económico en la Concesión Norte, 2019-2024</t>
  </si>
  <si>
    <t>Tabla N° 65: Volumen de Distribución de Gas Natural por sector económico en la Concesión Sur Oeste (MMPC), 2024</t>
  </si>
  <si>
    <t>Tabla N° 64: Volumen de distribución de Gas Natural por sector económico en la Concesión Sur Oeste (MMPC), 2019-2024</t>
  </si>
  <si>
    <t>Tabla N° 66: Número de Consumidores de Gas Natural por sector económico en la Concesión Sur Oeste, 2024</t>
  </si>
  <si>
    <t>Tabla N° 67: Número de Consumidores de Gas Natural por sector económico en la Concesión Sur Oeste, 2019-2024</t>
  </si>
  <si>
    <t>Tabla N° 68: Volumen de distribución de Gas Natural por sector económico en la Concesión de Piura, 2019-2024</t>
  </si>
  <si>
    <t>Tabla N° 69: Volumen de distribución de Gas Natural por sector económico en la Concesión Piura (MMPC), 2024</t>
  </si>
  <si>
    <t>Tabla N° 70: Número de Consumidores de Gas Natural por sector económico en la Concesión Piura, 2024</t>
  </si>
  <si>
    <t>Tabla N° 71: Número de Consumidores de Gas Natural por sector económico en la Concesión Piura, 2019-2024</t>
  </si>
  <si>
    <t>Tabla Nº 24: Cargas en Refinerías (MBLS), 2024</t>
  </si>
  <si>
    <t>CARGAS EN REFINERÍAS (MBLS), 2024</t>
  </si>
  <si>
    <t>Talara</t>
  </si>
  <si>
    <t>Iquitos</t>
  </si>
  <si>
    <t>Conchan</t>
  </si>
  <si>
    <t>La Pampila</t>
  </si>
  <si>
    <t xml:space="preserve">Total </t>
  </si>
  <si>
    <t>CARGAS</t>
  </si>
  <si>
    <t xml:space="preserve"> TOTAL</t>
  </si>
  <si>
    <t xml:space="preserve"> TALARA</t>
  </si>
  <si>
    <t xml:space="preserve"> IQUITOS</t>
  </si>
  <si>
    <t>CONCHAN</t>
  </si>
  <si>
    <t>PAMPILLA</t>
  </si>
  <si>
    <t>Nacional</t>
  </si>
  <si>
    <t>CARGAS A PROCESO</t>
  </si>
  <si>
    <t>Importado</t>
  </si>
  <si>
    <t xml:space="preserve"> Crudo Nacional</t>
  </si>
  <si>
    <t>Crudo Importado</t>
  </si>
  <si>
    <t>TOTAL, CRUDO PROCESADO</t>
  </si>
  <si>
    <t xml:space="preserve"> OTRAS CARGAS</t>
  </si>
  <si>
    <t xml:space="preserve"> PRODUCTOS EN PROCESO </t>
  </si>
  <si>
    <t>Butano</t>
  </si>
  <si>
    <t>Biodiesel B100</t>
  </si>
  <si>
    <t>Destilados Medio para Mezcla (MDBS)</t>
  </si>
  <si>
    <t>Diesel Ultra Bajo en Azufre (ULSD)</t>
  </si>
  <si>
    <t>Diesel 2</t>
  </si>
  <si>
    <t>Diesel 2 S 50 - Hidrotratada</t>
  </si>
  <si>
    <t>Diesel 2 S 50</t>
  </si>
  <si>
    <t>Diesel Alto Azufre</t>
  </si>
  <si>
    <t>Diesel 2 S-50 UV</t>
  </si>
  <si>
    <t>Etanol</t>
  </si>
  <si>
    <t>Gasolina 95</t>
  </si>
  <si>
    <t>Gasolina 90</t>
  </si>
  <si>
    <t>Gasolina</t>
  </si>
  <si>
    <t>Gasolina obtenido por blending (HOGBS)</t>
  </si>
  <si>
    <t xml:space="preserve">Gasóleo Liviano de FCK </t>
  </si>
  <si>
    <t>Gasóleo Pesado</t>
  </si>
  <si>
    <t xml:space="preserve">Gasóleo Pesado de FCK </t>
  </si>
  <si>
    <t>Gas Natural</t>
  </si>
  <si>
    <t>Material de corte</t>
  </si>
  <si>
    <t>Nafta Reformada</t>
  </si>
  <si>
    <t>Nafta Primaria</t>
  </si>
  <si>
    <t>Nafta Craqueada</t>
  </si>
  <si>
    <t>Nafta Estabilizada de RG2</t>
  </si>
  <si>
    <t>Nafta Liviana Hidrotatada</t>
  </si>
  <si>
    <t xml:space="preserve">Nafta Estabilizada </t>
  </si>
  <si>
    <t>Nafta Pesada</t>
  </si>
  <si>
    <t>Nafta Pesada Hidrotatada</t>
  </si>
  <si>
    <t xml:space="preserve">Nafta Liviana </t>
  </si>
  <si>
    <t>Nafta Liviana</t>
  </si>
  <si>
    <t>Nafta Craqueada Hidrotratada</t>
  </si>
  <si>
    <t>Nafta Liviana de FCK</t>
  </si>
  <si>
    <t>Residual de Primaria</t>
  </si>
  <si>
    <t>Residuo de Vacío</t>
  </si>
  <si>
    <t>Slop</t>
  </si>
  <si>
    <t>Turbo A-1</t>
  </si>
  <si>
    <t>SUB TOTAL </t>
  </si>
  <si>
    <t xml:space="preserve"> PRODUCTOS TERMINADOS</t>
  </si>
  <si>
    <t xml:space="preserve"> </t>
  </si>
  <si>
    <t>Diesel B5 - S50</t>
  </si>
  <si>
    <t>Diesel Marino 2</t>
  </si>
  <si>
    <t>Asfalto Líquido MC-30</t>
  </si>
  <si>
    <t>Asfalto Sólido 120/150 PEN</t>
  </si>
  <si>
    <t>Combustible Residual Intermedio - 380 (IFO - 380)</t>
  </si>
  <si>
    <t>Gasolina Regular</t>
  </si>
  <si>
    <t>Gasolina Premium</t>
  </si>
  <si>
    <t>Gasolina 84</t>
  </si>
  <si>
    <t>Petroleo Industrial 6</t>
  </si>
  <si>
    <t>Petróleo Industrial 500</t>
  </si>
  <si>
    <t>Solvente 1</t>
  </si>
  <si>
    <t>Solvente 3</t>
  </si>
  <si>
    <t>SUB TOTAL</t>
  </si>
  <si>
    <t>TOTAL, OTRAS CARGAS PROCESADAS</t>
  </si>
  <si>
    <t xml:space="preserve"> CARGA TOTAL PROCESADA</t>
  </si>
  <si>
    <t>Tabla Nº 25: Producción de Combustibles en Refinería (MBLS), 2024</t>
  </si>
  <si>
    <t>PRODUCCIÓN DE COMBUSTIBLES EN REFINERÍA (MBLS), 2024</t>
  </si>
  <si>
    <t xml:space="preserve">PRODUCCIÓN EN REFINERÍA </t>
  </si>
  <si>
    <t>TALARA</t>
  </si>
  <si>
    <t>IQUITOS</t>
  </si>
  <si>
    <t>PRODUCTO</t>
  </si>
  <si>
    <t>TOTAL (MBLS)</t>
  </si>
  <si>
    <t>TOTAL (MBPD)</t>
  </si>
  <si>
    <t>%</t>
  </si>
  <si>
    <t xml:space="preserve">Conchan </t>
  </si>
  <si>
    <t>Pampilla</t>
  </si>
  <si>
    <t xml:space="preserve">PRODUCTOS TERMINADOS </t>
  </si>
  <si>
    <t>GLP</t>
  </si>
  <si>
    <t>TOTAL DE PRODUCTOS EN REFINERÍA (MBLS)</t>
  </si>
  <si>
    <t xml:space="preserve">Gas Licuado de Petróleo </t>
  </si>
  <si>
    <t>Gasolinas/Gasoholes</t>
  </si>
  <si>
    <t>TOTAL DE PRODUCTOS EN REFINERÍA (MBPD)</t>
  </si>
  <si>
    <t>Gasohol Premium</t>
  </si>
  <si>
    <t>Turbo</t>
  </si>
  <si>
    <t>Gasohol Regular</t>
  </si>
  <si>
    <t>Diesel</t>
  </si>
  <si>
    <t>Residuales</t>
  </si>
  <si>
    <t>IFO/Diesel Marino</t>
  </si>
  <si>
    <t xml:space="preserve">Gasolina 84 </t>
  </si>
  <si>
    <t>Otros</t>
  </si>
  <si>
    <t>Total</t>
  </si>
  <si>
    <t>Diesel B5</t>
  </si>
  <si>
    <t xml:space="preserve">Diesel Marino 2 </t>
  </si>
  <si>
    <t>Petroleo Industrial 500</t>
  </si>
  <si>
    <t>N° 6 Fuel Oil</t>
  </si>
  <si>
    <t>Asfalto Líquido</t>
  </si>
  <si>
    <t>Asfalto Líquido RC-250</t>
  </si>
  <si>
    <t>Asfalto Sólido</t>
  </si>
  <si>
    <t>Asfalto Sólido 10/20 PEN</t>
  </si>
  <si>
    <t>Asfalto Sólido 60/70 PEN</t>
  </si>
  <si>
    <t>Asfalto Sólido 85/100 PEN</t>
  </si>
  <si>
    <t>Sub Total</t>
  </si>
  <si>
    <t xml:space="preserve">PRODUCTOS EN PROCESO </t>
  </si>
  <si>
    <t>Diesel Hidrotratado</t>
  </si>
  <si>
    <t>Acido Sulfurico</t>
  </si>
  <si>
    <t>Azufre</t>
  </si>
  <si>
    <t>Butano de RG2</t>
  </si>
  <si>
    <t>Combustibles Uso Propio</t>
  </si>
  <si>
    <t>Destilados medio para mezcla</t>
  </si>
  <si>
    <t>Diesel 2 - S50</t>
  </si>
  <si>
    <t>Flexigas</t>
  </si>
  <si>
    <t>Fuel Gas</t>
  </si>
  <si>
    <t>Fuel Oil Bajo Azufre</t>
  </si>
  <si>
    <t>Gas Combustible</t>
  </si>
  <si>
    <t>Gas Gastado a DV3</t>
  </si>
  <si>
    <t xml:space="preserve">Gas Unidad de Destilación al Vacío </t>
  </si>
  <si>
    <t>Gas Unidad de Destilación Primaria</t>
  </si>
  <si>
    <t>Gasoleo Liviano de FCK</t>
  </si>
  <si>
    <t>Gasoleo Pesado</t>
  </si>
  <si>
    <t>Gasoleo Pesado de FCK</t>
  </si>
  <si>
    <t xml:space="preserve">Gasolina 90 </t>
  </si>
  <si>
    <t xml:space="preserve">Gasolina 95 </t>
  </si>
  <si>
    <t>GLP de FCK</t>
  </si>
  <si>
    <t>GLP de uso propio</t>
  </si>
  <si>
    <t>GLP RCA/GLP RG1</t>
  </si>
  <si>
    <t>Material de Corte</t>
  </si>
  <si>
    <t>Nafta Craqueada Hidrotatada</t>
  </si>
  <si>
    <t>Nafta de uso propio</t>
  </si>
  <si>
    <t>Nafta Liviana Hidrotratado</t>
  </si>
  <si>
    <t>Nafta Pesada hidrotratado</t>
  </si>
  <si>
    <t>PSA OFFGAS</t>
  </si>
  <si>
    <t>Recuperaciòn de Productos</t>
  </si>
  <si>
    <t>Mermas</t>
  </si>
  <si>
    <t>Pèrdidas y Ganancias</t>
  </si>
  <si>
    <t>TOTAL DE PRODUCTOS EN REFINERÍA</t>
  </si>
  <si>
    <t>Tabla Nº 26: Producción de combustibles en Refinería, 2013-2024</t>
  </si>
  <si>
    <t>PRODUCCIÓN EN REFINERÍA (MILES DE BARRILES POR DÍA), 2013-2023</t>
  </si>
  <si>
    <t>GASOHOLES/ GASOLINAS</t>
  </si>
  <si>
    <t>TURBO</t>
  </si>
  <si>
    <t>DIESEL</t>
  </si>
  <si>
    <t>RESIDUAL</t>
  </si>
  <si>
    <t>IFO/DIESEL MARINO</t>
  </si>
  <si>
    <t>OTROS</t>
  </si>
  <si>
    <t>Tabla Nº 27: Producción en Plantas de Procesamiento (MBLS), 2024</t>
  </si>
  <si>
    <t>PRODUCCIÓN DE LÍQUIDOS DE GAS NATURAL (MILES DE BARRILES), 2024</t>
  </si>
  <si>
    <t>EMPRESA</t>
  </si>
  <si>
    <t>CONDENSADOS DE GAS NATURAL</t>
  </si>
  <si>
    <t>GASOLINA NATURAL</t>
  </si>
  <si>
    <t>PROPANO/BUTANO</t>
  </si>
  <si>
    <t>DESTILADOS MEDIOS</t>
  </si>
  <si>
    <t>DIESEL B5 S50</t>
  </si>
  <si>
    <t>DIESEL 2</t>
  </si>
  <si>
    <t>UNNA</t>
  </si>
  <si>
    <t>AGUAYTÍA</t>
  </si>
  <si>
    <t>-</t>
  </si>
  <si>
    <t>PLUSPETROL</t>
  </si>
  <si>
    <t>SAVIA</t>
  </si>
  <si>
    <t>Tabla Nº 28: Producción en Plantas de Procesamiento (MBLS), 2013-2024</t>
  </si>
  <si>
    <t>PRODUCCIÓN DE LÍQUIDOS DE GAS NATURAL (MILES DE BARRILES)</t>
  </si>
  <si>
    <t>Producto (MBLS)</t>
  </si>
  <si>
    <t>Producto (MBPD)</t>
  </si>
  <si>
    <t>Proceso</t>
  </si>
  <si>
    <t>UNNA ENERGÍA</t>
  </si>
  <si>
    <t>Gasolina Natural</t>
  </si>
  <si>
    <t>Condensado de Gas Natural</t>
  </si>
  <si>
    <t>PROPANO / BUTANO</t>
  </si>
  <si>
    <t xml:space="preserve"> AGUAYTÍA </t>
  </si>
  <si>
    <t>Terminado</t>
  </si>
  <si>
    <t>Propano</t>
  </si>
  <si>
    <t xml:space="preserve">PLUSPETROL PERÚ CORPORATION </t>
  </si>
  <si>
    <t>SLOP</t>
  </si>
  <si>
    <t xml:space="preserve">GLP / Propano / Butano </t>
  </si>
  <si>
    <t xml:space="preserve">Propano / Butano </t>
  </si>
  <si>
    <t xml:space="preserve">Gasolina Natural </t>
  </si>
  <si>
    <t xml:space="preserve">Condensados de Gas Natural </t>
  </si>
  <si>
    <t xml:space="preserve">Destilados medios </t>
  </si>
  <si>
    <t>Diesel B5 S50</t>
  </si>
  <si>
    <t xml:space="preserve"> Diesel 2</t>
  </si>
  <si>
    <t>Tabla Nº 29: Inventario de Combustibles (MBLS), 2024</t>
  </si>
  <si>
    <t>INVENTARIO DE COMBUSTIBLES AL 31.12.2024 (MILES DE BARRILES)</t>
  </si>
  <si>
    <t>EL MILAGRO</t>
  </si>
  <si>
    <t>TOTAL NACIONAL</t>
  </si>
  <si>
    <t>Crudo</t>
  </si>
  <si>
    <t>Nafta Virgen</t>
  </si>
  <si>
    <t>Gas Seco</t>
  </si>
  <si>
    <t>Diesel Hidrotatado</t>
  </si>
  <si>
    <t>Fuel Oil Alto Azufre</t>
  </si>
  <si>
    <t>Gasóleo de Vacío</t>
  </si>
  <si>
    <t>Gasóleo Liviano</t>
  </si>
  <si>
    <t>Gasolinas no terminadas</t>
  </si>
  <si>
    <t>Slop Wax</t>
  </si>
  <si>
    <t>Ac. Ciclico Ligero</t>
  </si>
  <si>
    <t xml:space="preserve">Ac. Ciclico Pesado </t>
  </si>
  <si>
    <t>Aceite Clarificado</t>
  </si>
  <si>
    <t>Acido Nafténico 250</t>
  </si>
  <si>
    <t>Diesel 2 S50</t>
  </si>
  <si>
    <t>Gasóleo Liviano de FCK</t>
  </si>
  <si>
    <t>Petroleo Industrial 5</t>
  </si>
  <si>
    <t>Residual Marino 80 - IFO 80</t>
  </si>
  <si>
    <t>Nº 06 Fuel Oil</t>
  </si>
  <si>
    <t>Tabla Nº 30: Ventas de combustibles al Mercado Interno (MBLS), 2013 - 2024</t>
  </si>
  <si>
    <t>VENTAS DE COMBUSTIBLES, 2013-2024 (MILES DE BARRILES)</t>
  </si>
  <si>
    <t>Productos</t>
  </si>
  <si>
    <t>MBLS</t>
  </si>
  <si>
    <t>MBPD</t>
  </si>
  <si>
    <t xml:space="preserve">PRODUCTO </t>
  </si>
  <si>
    <t>GAS LICUADO DE PETRÓLEO</t>
  </si>
  <si>
    <t>GASOLINA 98</t>
  </si>
  <si>
    <t xml:space="preserve"> -   </t>
  </si>
  <si>
    <t>Gasolina/Gasohol</t>
  </si>
  <si>
    <t>GASOLINA 97</t>
  </si>
  <si>
    <t>GASOLINA 95</t>
  </si>
  <si>
    <t>GASOLINA 90</t>
  </si>
  <si>
    <t>Asfalto</t>
  </si>
  <si>
    <t>GASOLINA 84</t>
  </si>
  <si>
    <t xml:space="preserve">Combustibles Marinos </t>
  </si>
  <si>
    <t>GASOHOL 98</t>
  </si>
  <si>
    <t>GASOHOL 97</t>
  </si>
  <si>
    <t>GASOHOL 95</t>
  </si>
  <si>
    <t>GASOHOL 90</t>
  </si>
  <si>
    <t xml:space="preserve">GASOHOL 84 </t>
  </si>
  <si>
    <t>GASOLINA PREMIUM</t>
  </si>
  <si>
    <t>GASOLINA REGULAR</t>
  </si>
  <si>
    <t>GASOHOL PREMIUM</t>
  </si>
  <si>
    <t>GASOHOL REGULAR</t>
  </si>
  <si>
    <t>TURBO A-1/ JP-5/ GASOLINA AVIACIÓN</t>
  </si>
  <si>
    <t>DIESEL B-5</t>
  </si>
  <si>
    <t>DIESEL B-5 S-50</t>
  </si>
  <si>
    <t>PETROLEO INDUSTRIAL Nº 6</t>
  </si>
  <si>
    <t xml:space="preserve">PETROLEO INDUSTRIAL 500 </t>
  </si>
  <si>
    <t>DIESEL MARINO/ I.F.O. / M.G.O.</t>
  </si>
  <si>
    <t>ASFALTO LÍQUIDO</t>
  </si>
  <si>
    <t>ASFALTO SÓLIDO</t>
  </si>
  <si>
    <t xml:space="preserve">TOTAL (MBPD) </t>
  </si>
  <si>
    <t>Tabla Nº 31: Precios Finales de combustibles en Lima Metropolitana y Callao, 2024</t>
  </si>
  <si>
    <t>GASOHOL</t>
  </si>
  <si>
    <t>DIESEL B5-S50 UV</t>
  </si>
  <si>
    <t>GLP (VEHICULAR)</t>
  </si>
  <si>
    <t>REGULAR</t>
  </si>
  <si>
    <t>PREMIUM</t>
  </si>
  <si>
    <t>(BALÓN DE 10 KG)</t>
  </si>
  <si>
    <t>(GALÓN)</t>
  </si>
  <si>
    <t>(M3)</t>
  </si>
  <si>
    <t>ENERO</t>
  </si>
  <si>
    <t>FEBRERO</t>
  </si>
  <si>
    <t>MARZO</t>
  </si>
  <si>
    <t>ABRIL</t>
  </si>
  <si>
    <t>MAYO</t>
  </si>
  <si>
    <t>JUNIO</t>
  </si>
  <si>
    <t>JULIO</t>
  </si>
  <si>
    <t>AGOSTO</t>
  </si>
  <si>
    <t>SETIEMBRE</t>
  </si>
  <si>
    <t>OCTUBRE</t>
  </si>
  <si>
    <t>NOVIEMBRE</t>
  </si>
  <si>
    <t>DICIEMBRE</t>
  </si>
  <si>
    <t>Lima</t>
  </si>
  <si>
    <t>Tabla Nº 32: Precios Finales de combustibles en Arequipa, 2024</t>
  </si>
  <si>
    <t>DIESEL B5 S50 UV</t>
  </si>
  <si>
    <t>Arequipa</t>
  </si>
  <si>
    <t>Tabla Nº 33: Precios Finales de combustibles en Chiclayo, 2024</t>
  </si>
  <si>
    <t>Chiclayo</t>
  </si>
  <si>
    <t>Tabla Nº 34: Precios Finales de combustibles en Chimbote, 2024</t>
  </si>
  <si>
    <t>Chimbote</t>
  </si>
  <si>
    <t>Tabla Nº 35: Precios Finales de combustibles en Cusco, 2024</t>
  </si>
  <si>
    <t xml:space="preserve">GASOHOL </t>
  </si>
  <si>
    <t>Cusco</t>
  </si>
  <si>
    <t>Tabla Nº 36: Precios Finales de combustibles en Huancayo, 2024</t>
  </si>
  <si>
    <t>Huancayo</t>
  </si>
  <si>
    <t>Tabla Nº 37: Precios Finales de combustibles en Ica, 2024</t>
  </si>
  <si>
    <t>Ica</t>
  </si>
  <si>
    <t>Tabla Nº 38: Precios Finales de combustibles en Moquegua, 2024</t>
  </si>
  <si>
    <t>Moquegua</t>
  </si>
  <si>
    <t>Tabla Nº 39: Precios Finales de combustibles en Piura, 2024</t>
  </si>
  <si>
    <t>Piura</t>
  </si>
  <si>
    <t>Tabla Nº 40: Precios Finales de combustibles en Puno, 2024</t>
  </si>
  <si>
    <t>Puno</t>
  </si>
  <si>
    <t>Tabla Nº 41: Precios Finales de combustibles en Tacna, 2024</t>
  </si>
  <si>
    <t>Tacna</t>
  </si>
  <si>
    <t>Tabla Nº 42: Precios Finales de combustibles en Trujillo, 2024</t>
  </si>
  <si>
    <t>DIESEL B5</t>
  </si>
  <si>
    <t>Trujillo</t>
  </si>
  <si>
    <t>Tabla Nº 43: Exportaciones de Hidrocarburos (MBLS), 2015-2024</t>
  </si>
  <si>
    <t>EXPORTACIONES (MILES DE BARRILES), 2015-2024</t>
  </si>
  <si>
    <t>CRUDO</t>
  </si>
  <si>
    <t>GAS NATURAL</t>
  </si>
  <si>
    <t>GLP/PROPANO/ BUTANO</t>
  </si>
  <si>
    <t>GASOLINAS</t>
  </si>
  <si>
    <t>RESIDUALES/IFO/FUEL OIL</t>
  </si>
  <si>
    <t>Tabla Nº 44: Exportaciones de Hidrocarburos (Miles de Dólares), 2015-2024</t>
  </si>
  <si>
    <t>EXPORTACIONES (MILES DE DÓLARES), 2015-2024</t>
  </si>
  <si>
    <t>GAS  NATURAL</t>
  </si>
  <si>
    <t>GLP/PROPANO /BUTANO</t>
  </si>
  <si>
    <t>GLP/Propano/Butano</t>
  </si>
  <si>
    <t>Gasolinas</t>
  </si>
  <si>
    <t>Destilados Medios</t>
  </si>
  <si>
    <t>RESIDUALES/ IFO/ FUEL OIL</t>
  </si>
  <si>
    <t>Residuales/IFO/Fuel Oil</t>
  </si>
  <si>
    <t xml:space="preserve">Otros </t>
  </si>
  <si>
    <t>EXPORTACIONES (MILLONES DE DÓLARES), 2015-2024</t>
  </si>
  <si>
    <t>Tabla Nº 45: Importaciones de Hidrocarburos (MBLS), 2015-2023</t>
  </si>
  <si>
    <t>IMPORTACIONES (MILES DE BARRILES), 2015-2024</t>
  </si>
  <si>
    <t>GLP/PROPANO/BUTANO</t>
  </si>
  <si>
    <t xml:space="preserve">Residuales/IFO/Fuel Oil </t>
  </si>
  <si>
    <t>RESIDUALES/IFO/</t>
  </si>
  <si>
    <t>Tabla Nº 46: Importaciones de Hidrocarburos (Miles de Dólares), 2015-2024</t>
  </si>
  <si>
    <t>IMPORTACIONES (MILES DE DÓLARES), 2015-2024</t>
  </si>
  <si>
    <t>IMPORTACIONES (MILLONES DE DÓLARES), 2015-2024</t>
  </si>
  <si>
    <t>Tabla Nº 47: Importaciones de Biodiesel (MBLS), 2015 - 2024</t>
  </si>
  <si>
    <t>IMPORTACIONES DE BIODIESEL (MILES DE BARRILES), 2015 - 2024</t>
  </si>
  <si>
    <t>PAÍS DE PROCEDENCIA</t>
  </si>
  <si>
    <t>ARGENTINA</t>
  </si>
  <si>
    <t>ALEMANIA</t>
  </si>
  <si>
    <t>BRASIL</t>
  </si>
  <si>
    <t>ECUADOR</t>
  </si>
  <si>
    <t>INDONESIA</t>
  </si>
  <si>
    <t>ESPAÑA</t>
  </si>
  <si>
    <t>MALASIA</t>
  </si>
  <si>
    <t>CANADÁ</t>
  </si>
  <si>
    <t>ESTADOS UNIDOS</t>
  </si>
  <si>
    <t>CHINA</t>
  </si>
  <si>
    <t>JAPÓN</t>
  </si>
  <si>
    <t>BÉLGICA</t>
  </si>
  <si>
    <t>PAÍSES BAJOS</t>
  </si>
  <si>
    <t>URUGUAY</t>
  </si>
  <si>
    <t>PETRÓLEO (MSTB)</t>
  </si>
  <si>
    <t>LGN (MSTB)</t>
  </si>
  <si>
    <t>GAS NATURAL (TCF/M)</t>
  </si>
  <si>
    <t>RESERVAS PROBADAS</t>
  </si>
  <si>
    <t>RESERVAS TOTALES</t>
  </si>
  <si>
    <t>RECURSOS CONTINGENTES</t>
  </si>
  <si>
    <t>RECURSOS PROSPECTIVOS</t>
  </si>
  <si>
    <t>PETRÓLEO (MMSTB)</t>
  </si>
  <si>
    <t>LGN (MMSTB)</t>
  </si>
  <si>
    <t>GAS NATURAL (TCF)</t>
  </si>
  <si>
    <t>Fuente LARH 2023</t>
  </si>
  <si>
    <t>Gráfico N° 01: Recursos de Hidrocarburos en el Perú</t>
  </si>
  <si>
    <t>Fuente: Libro de Reservas de Hidrocarburos 2023</t>
  </si>
  <si>
    <t>Elaboración: DGH – MINEM</t>
  </si>
  <si>
    <t>Tabla N°01: Sísmica 2D registrada en áreas de exploración (KM) 2015 -2024</t>
  </si>
  <si>
    <t>SÍSMICA 2D REGISTRADA EN ÁREAS EN EXPLORACIÓN (KM), 2015 - 2024</t>
  </si>
  <si>
    <t>Compañía</t>
  </si>
  <si>
    <t>Lote</t>
  </si>
  <si>
    <t>GOLD OIL</t>
  </si>
  <si>
    <t>XXI</t>
  </si>
  <si>
    <t>OLIMPYC</t>
  </si>
  <si>
    <t>XIII</t>
  </si>
  <si>
    <t xml:space="preserve">TOTAL  COSTA </t>
  </si>
  <si>
    <t>CONVENIO GX-T</t>
  </si>
  <si>
    <t>Otros (*)</t>
  </si>
  <si>
    <t xml:space="preserve">TOTAL  ZÓCALO </t>
  </si>
  <si>
    <t>PETROLÍFERA</t>
  </si>
  <si>
    <t>CNPC</t>
  </si>
  <si>
    <t>TOTAL  SELVA</t>
  </si>
  <si>
    <t>TOTAL PAÍS</t>
  </si>
  <si>
    <t xml:space="preserve">Fuente: Perupetro S.A. </t>
  </si>
  <si>
    <t>EXPLORACIÓN</t>
  </si>
  <si>
    <t>PROYECCION DE SISMICA 2D KM</t>
  </si>
  <si>
    <t>TOTAL
2D KM</t>
  </si>
  <si>
    <t>XXIII</t>
  </si>
  <si>
    <t>XXVII</t>
  </si>
  <si>
    <t>Z-61</t>
  </si>
  <si>
    <t>Z-62</t>
  </si>
  <si>
    <t>Z-63</t>
  </si>
  <si>
    <t>Notas:</t>
  </si>
  <si>
    <t>Lotes Z-61, Z-62, Z-63: Evaluando adquirir sísmica marina 3D en la temporada de otoño 2024 (marzo-junio).</t>
  </si>
  <si>
    <t>Gráfico N° 02: Proyección de sísmica 2D (Km), 2025-2029</t>
  </si>
  <si>
    <t>Acum. (2020-2024)</t>
  </si>
  <si>
    <t>Acum. (2025-2029)</t>
  </si>
  <si>
    <t>En el periodo 2024-2028 no se tiene previsto ninguna sísmica 2D</t>
  </si>
  <si>
    <t>La compañía Anadarko Peru BV, Sucursal del Perú (Lotes Z-61 y Z-63) tiene programado la ejecución de 3,000 Km de sísmica 2D en el periodo 2023- 2027.</t>
  </si>
  <si>
    <r>
      <t>Tabla N°02: Sísmica 3D registrada en áreas de exploración (KM</t>
    </r>
    <r>
      <rPr>
        <b/>
        <vertAlign val="superscript"/>
        <sz val="10"/>
        <rFont val="Arial"/>
        <family val="2"/>
      </rPr>
      <t>2</t>
    </r>
    <r>
      <rPr>
        <b/>
        <sz val="10"/>
        <rFont val="Arial"/>
        <family val="2"/>
      </rPr>
      <t>) 2015 -2024</t>
    </r>
  </si>
  <si>
    <t xml:space="preserve"> SÍSMICA 3D REGISTRADA EN ÁREAS EN EXPLORACIÓN (KM2) 2015 - 2024</t>
  </si>
  <si>
    <t>OLYMPIC</t>
  </si>
  <si>
    <t>ANADARKO</t>
  </si>
  <si>
    <t>31-C</t>
  </si>
  <si>
    <r>
      <t>PROYECCION DE SISMICA 3D KM</t>
    </r>
    <r>
      <rPr>
        <b/>
        <vertAlign val="superscript"/>
        <sz val="9"/>
        <color theme="1"/>
        <rFont val="Arial"/>
        <family val="2"/>
      </rPr>
      <t>2</t>
    </r>
  </si>
  <si>
    <r>
      <t>TOTAL 3D KM</t>
    </r>
    <r>
      <rPr>
        <b/>
        <vertAlign val="superscript"/>
        <sz val="9"/>
        <color theme="1"/>
        <rFont val="Arial"/>
        <family val="2"/>
      </rPr>
      <t>2</t>
    </r>
  </si>
  <si>
    <r>
      <t>Gráfico N° 03: Proyección de sísmica 3D (Km</t>
    </r>
    <r>
      <rPr>
        <b/>
        <vertAlign val="superscript"/>
        <sz val="9"/>
        <color theme="1"/>
        <rFont val="Arial"/>
        <family val="2"/>
      </rPr>
      <t>2</t>
    </r>
    <r>
      <rPr>
        <b/>
        <sz val="9"/>
        <color theme="1"/>
        <rFont val="Arial"/>
        <family val="2"/>
      </rPr>
      <t>), 2025-2029</t>
    </r>
  </si>
  <si>
    <t>En el periodo 2024-2028 no se tiene previsto ninguna sísmica 3D</t>
  </si>
  <si>
    <t>Tabla N°03: Número de Pozos Exploratorios Perforados, 2015 -2024</t>
  </si>
  <si>
    <t>POZOS EXPLORATORIOS PERFORADOS (Número),  2015 - 2024</t>
  </si>
  <si>
    <t>UNNA ENERGIA</t>
  </si>
  <si>
    <t>IV</t>
  </si>
  <si>
    <t>III</t>
  </si>
  <si>
    <t>X</t>
  </si>
  <si>
    <t>UPLAND</t>
  </si>
  <si>
    <t>VIGO ENERGY S.R.L.</t>
  </si>
  <si>
    <t>Z-1</t>
  </si>
  <si>
    <t>KEI (PERU Z-38)</t>
  </si>
  <si>
    <t>Z-38</t>
  </si>
  <si>
    <t>REPSOL</t>
  </si>
  <si>
    <t>HUNT OIL</t>
  </si>
  <si>
    <t>PETROTAL</t>
  </si>
  <si>
    <t>UCAWA ENERGY</t>
  </si>
  <si>
    <t>Tabla N°04: Contratos en Exploración Vigentes, 2024</t>
  </si>
  <si>
    <t xml:space="preserve">CONTRATOS EN EXPLORACIÓN VIGENTES </t>
  </si>
  <si>
    <t>AL 31/12/2024</t>
  </si>
  <si>
    <t>Zona</t>
  </si>
  <si>
    <t>Compañías/ Consorcios</t>
  </si>
  <si>
    <t xml:space="preserve">Decreto </t>
  </si>
  <si>
    <t>Fecha</t>
  </si>
  <si>
    <t>Tipo</t>
  </si>
  <si>
    <t>Supremo</t>
  </si>
  <si>
    <t>D.S.</t>
  </si>
  <si>
    <t>Suscripción</t>
  </si>
  <si>
    <t>Contrato</t>
  </si>
  <si>
    <t>Selva Central</t>
  </si>
  <si>
    <t>PETROLÍFERA PETROLEUM  DEL PERU S.A.C.( 100%)</t>
  </si>
  <si>
    <t>029-2005-EM</t>
  </si>
  <si>
    <t>LICENCIA</t>
  </si>
  <si>
    <t xml:space="preserve">050-2010-EM </t>
  </si>
  <si>
    <t xml:space="preserve"> 009-2015-EM</t>
  </si>
  <si>
    <t>002-2017- EM</t>
  </si>
  <si>
    <t>034-2018-EM</t>
  </si>
  <si>
    <t>Noroeste</t>
  </si>
  <si>
    <t>UPLAND OIL &amp; GAS LLC (100%)</t>
  </si>
  <si>
    <t>062-2007-EM</t>
  </si>
  <si>
    <t>016-2016-EM</t>
  </si>
  <si>
    <t>Zócalo</t>
  </si>
  <si>
    <t>ANADARKO PERÚ B.V., SUCURSAL DEL PERÚ (100%)</t>
  </si>
  <si>
    <t>029-2017-EM</t>
  </si>
  <si>
    <t>030-2017-EM</t>
  </si>
  <si>
    <t>006-2024-EM</t>
  </si>
  <si>
    <t>Contratos vigentes en exploración</t>
  </si>
  <si>
    <t>031-2017-EM</t>
  </si>
  <si>
    <t>018-2024-EM</t>
  </si>
  <si>
    <t>TOTAL CONTRATOS EXPLORACIÓN</t>
  </si>
  <si>
    <t>Gráfico N° 04: Contratos en Fase de Exploración,
según zona geográfica, 2024</t>
  </si>
  <si>
    <t>El 80% de los Contratos de Exploración que se encuentran en fase de Exploración se ubican en Zócalo y Noroeste.</t>
  </si>
  <si>
    <t>Tabla N°05: Contratos Terminados, 2024</t>
  </si>
  <si>
    <t>CONTRATOS TERMINADOS AL 31.12.2024</t>
  </si>
  <si>
    <t>ZONA</t>
  </si>
  <si>
    <t>LOTE</t>
  </si>
  <si>
    <t>OPERADOR</t>
  </si>
  <si>
    <t>FASE</t>
  </si>
  <si>
    <t>ÚLTIMO DÍA DE VIGENCIA</t>
  </si>
  <si>
    <t>NOROESTE</t>
  </si>
  <si>
    <t>CNPC PERU S.A.(100%)</t>
  </si>
  <si>
    <t>Explotación</t>
  </si>
  <si>
    <t>PETRO BAYOVAR INC., SUCURSAL DEL PERU (100%)</t>
  </si>
  <si>
    <t>Exploración</t>
  </si>
  <si>
    <t>Tabla N°06: Pozos de Desarrollo Perforados, 2015 - 2024</t>
  </si>
  <si>
    <t>POZOS DE DESARROLLO PERFORADOS (Número), 2015 – 2024</t>
  </si>
  <si>
    <t>PETROPERÚ</t>
  </si>
  <si>
    <t>I</t>
  </si>
  <si>
    <t>PETROMONT</t>
  </si>
  <si>
    <t>II</t>
  </si>
  <si>
    <t>UNNA Energía</t>
  </si>
  <si>
    <t>V</t>
  </si>
  <si>
    <t>SAPET</t>
  </si>
  <si>
    <t>VII/VI</t>
  </si>
  <si>
    <t>XV</t>
  </si>
  <si>
    <t>PERENCO</t>
  </si>
  <si>
    <t>TOTAL PAIS</t>
  </si>
  <si>
    <t>Fuente: Perupetro S.A. Elaboración: DGH - MINEM</t>
  </si>
  <si>
    <t>Gráfico N° 05: Proyección del número de Pozos de Desarrollo, 2025 - 2029</t>
  </si>
  <si>
    <t>Entre el 2025 y 2029, se estima realizar la perforación de 919 pozos de desarrollo</t>
  </si>
  <si>
    <t>Tabla N°07-08-09: Contrato en Explotación Vigentes, 2024</t>
  </si>
  <si>
    <t>CONTRATOS EN EXPLOTACIÓN VIGENTES AL 31/12/2024</t>
  </si>
  <si>
    <t>% Participación Contractual</t>
  </si>
  <si>
    <t>Tipo de Contrato</t>
  </si>
  <si>
    <t>Fecha Efectiva</t>
  </si>
  <si>
    <t>Fecha de Termino</t>
  </si>
  <si>
    <t>UPLAND OIL AND GAS L.L.C, SURCURSAL DEL PERÚ</t>
  </si>
  <si>
    <t>Licencia Temporal</t>
  </si>
  <si>
    <t xml:space="preserve">08.07.2024
D.S. 010-2024-EM (22.06.2024)
</t>
  </si>
  <si>
    <t>04.11.2024</t>
  </si>
  <si>
    <t>03.11.2028</t>
  </si>
  <si>
    <t>Selva</t>
  </si>
  <si>
    <t>AGUAYTIA ENERGY DEL PERÚ S.R.L.</t>
  </si>
  <si>
    <t>Licencia</t>
  </si>
  <si>
    <t xml:space="preserve">30.03.1994
D.S 021-1994-EM (30.03.1994)
</t>
  </si>
  <si>
    <t>30.03.1994</t>
  </si>
  <si>
    <t>18.05.2025(**)</t>
  </si>
  <si>
    <t>PERENCO PERU PETROLEUM LIMITED, SUCURSAL DEL PERÚ. (OP)
PERENCO PERU BLOCK 39 LIMITED, SUCURSAL DEL PERÚ.
PERENCO PERU PETROIL LIMITED, SUCURSAL DEL PERÚ
PVEP PERU, SUCURSAL PERUANA.</t>
  </si>
  <si>
    <t>23.63
11.23
30.14
35</t>
  </si>
  <si>
    <t xml:space="preserve">09.09.1999
D.S 028-1999-EM (07.07.1999)
</t>
  </si>
  <si>
    <t>09.09.1999</t>
  </si>
  <si>
    <t>01.02.2044</t>
  </si>
  <si>
    <t>PLUSPETROL LOTE 56 S.A.
PLUSPETROL PERU CORPORATION S.A. (OP)
TECPETROL BLOQUE 56 S.A.C.
REPSOL EXPLORACIÓN PERÚ, SUCURSAL DEL PERÚ
HUNT OIL COMPANY OF PERU L.L.C., SUCURSAL DEL PERÚ
SONATRACH PERU CORPORATION S.A.C.
SK ENERGY, SUCURSAL PERUANA</t>
  </si>
  <si>
    <t>25
2.2
10
10
25.2
10
17.6</t>
  </si>
  <si>
    <t xml:space="preserve">07.09.2004
D.S 033-2004-EM (27.08.2004)
</t>
  </si>
  <si>
    <t>07.09.2004</t>
  </si>
  <si>
    <t>06.09.2044</t>
  </si>
  <si>
    <t>REPSOL EXPLORACIÓN PERÚ, SUCURSAL DEL PERÚ (OP)
CNPC PERU S.A.</t>
  </si>
  <si>
    <t>53.84
46.16</t>
  </si>
  <si>
    <t xml:space="preserve">27.01.2004
D.S 043-2003-EM (18.12.2003)
</t>
  </si>
  <si>
    <t>27.01.2004</t>
  </si>
  <si>
    <t>26.01.2044</t>
  </si>
  <si>
    <t>CNPC PERU S.A.</t>
  </si>
  <si>
    <t xml:space="preserve">12.07.2005
D.S 017-2005-EM (23.06.2005)
</t>
  </si>
  <si>
    <t>09.09.2005</t>
  </si>
  <si>
    <t>08.09.2045</t>
  </si>
  <si>
    <t>PETRÓLEOS DEL PERÚ – PETROPERÚ S.A.</t>
  </si>
  <si>
    <t xml:space="preserve">07.12.1995
D.S 033-1995-EM (03.11.1995)
</t>
  </si>
  <si>
    <t>07.12.1995</t>
  </si>
  <si>
    <t>14.06.2039</t>
  </si>
  <si>
    <t>PVEP-PERENCO PERU LIMITED, SUCURSAL DEL PERÚ.
PERENCO PERU PETROLEUM LIMITED, SUCURSAL DEL PERÚ. (OP)</t>
  </si>
  <si>
    <t>95
5</t>
  </si>
  <si>
    <t xml:space="preserve">13.12.1995
D.S 038-95-EM (07.12.1995)
</t>
  </si>
  <si>
    <t>13.12.1995</t>
  </si>
  <si>
    <t>12.02.2031</t>
  </si>
  <si>
    <t>PLUSPETROL CAMISEA S.A.
PLUSPETROL PERU CORPORATION S.A. (OP)
TECPETROL DEL PERÚ S.A.C
REPSOL EXPLORACIÓN PERÚ, SUCURSAL DEL PERÚ
HUNT OIL COMPANY OF PERU L.L.C., SUCURSAL DEL PERÚ
SONATRACH PERU CORPORATION S.A.C.
SK INNOVATION, SUCURSAL PERUANA</t>
  </si>
  <si>
    <t xml:space="preserve">09.12.2000
D.S 021-2000-EM (06.12.2000)
</t>
  </si>
  <si>
    <t>09.12.2000</t>
  </si>
  <si>
    <t>08.12.2040</t>
  </si>
  <si>
    <t>PETROTAL PERÚ S.R.L.</t>
  </si>
  <si>
    <t xml:space="preserve">07.04.2005
D.S 010-2005-EM (17.03.2005)
</t>
  </si>
  <si>
    <t>05.06.2005</t>
  </si>
  <si>
    <t>30.11.2041</t>
  </si>
  <si>
    <t>UCAWA ENERGY S.A.C</t>
  </si>
  <si>
    <t xml:space="preserve">21.11.2007
D.S. 075-2007-EM (20.11.2007)
</t>
  </si>
  <si>
    <t>19.01.2008</t>
  </si>
  <si>
    <t>18.01.2038</t>
  </si>
  <si>
    <t>ALTAMESA ENERGY PERÚ S.A.C.
PETROLEOS DEL PERÚ – PETROPERÚ S.A.</t>
  </si>
  <si>
    <t>61
39</t>
  </si>
  <si>
    <t xml:space="preserve">28.02.2023
D.S 009-2022-EM (23.07.2022)
</t>
  </si>
  <si>
    <t>25.10.2023</t>
  </si>
  <si>
    <t>24.10.2053</t>
  </si>
  <si>
    <t>PETROLEOS DEL PERÚ-PETROPERU S.A.</t>
  </si>
  <si>
    <t xml:space="preserve">22.10.2023
D.S 022-2023-EM (22.10.2023)
</t>
  </si>
  <si>
    <t>22.10.2023</t>
  </si>
  <si>
    <t>21.10.2025(*)</t>
  </si>
  <si>
    <t>PETROLERA MONTERRICO S.A.</t>
  </si>
  <si>
    <t xml:space="preserve">05.01.1996
D.S 039-1995-EM (07.12.1995)
</t>
  </si>
  <si>
    <t>05.01.1996</t>
  </si>
  <si>
    <t>04.01.2026</t>
  </si>
  <si>
    <t>UNNA ENERGIA S.A.</t>
  </si>
  <si>
    <t xml:space="preserve">31.03.2015
D.S. 004-2015-EM (31.03.2015)
</t>
  </si>
  <si>
    <t>05.04.2015</t>
  </si>
  <si>
    <t>04.04.2045</t>
  </si>
  <si>
    <t xml:space="preserve">31.03.2015
D.S 005-2015-EM (31.03.2015)
</t>
  </si>
  <si>
    <t>CORPORACIÓN DEL SUR S.A. – SUCURSAL PERÚ y GTG PETROLEUM S.A.C (en adelante, el CONTRATISTA)</t>
  </si>
  <si>
    <t xml:space="preserve">09.10.2023
D.S 020-2023-EM (08.10.2023)
</t>
  </si>
  <si>
    <t>10.10.2023</t>
  </si>
  <si>
    <t>10.10.2053</t>
  </si>
  <si>
    <t>VI</t>
  </si>
  <si>
    <t xml:space="preserve">21.10.2023
D.S 023-2023-EM (21.10.2023)
</t>
  </si>
  <si>
    <t>21.10.2025</t>
  </si>
  <si>
    <t>VII</t>
  </si>
  <si>
    <t>OLYMPIC PERU INC., SUCURSAL DEL PERÚ.</t>
  </si>
  <si>
    <t xml:space="preserve">21.10.2023
D.S N024-2023-EM (21.10.2023)
</t>
  </si>
  <si>
    <t>21.10.2053</t>
  </si>
  <si>
    <t>IX</t>
  </si>
  <si>
    <t>UNIENERGÍA ABC S.A.C.</t>
  </si>
  <si>
    <t xml:space="preserve">Licencia </t>
  </si>
  <si>
    <t xml:space="preserve">16.06.2015
D.S 014-2015-EM (15.06.2015)
</t>
  </si>
  <si>
    <t>17.06.2015</t>
  </si>
  <si>
    <t>16.06.2045</t>
  </si>
  <si>
    <t>OIG PERÚ S.A.C.(OP)
AGUAYTÍA ENERGY DEL PERÚ S.R.L.
TERMOSELVA S.R.L.
PETRÓLEOS DEL PERÚ – PETROPERÚ S.A.</t>
  </si>
  <si>
    <t>27.83
21.29
10.88
40</t>
  </si>
  <si>
    <t xml:space="preserve">19.05.2024
D.S. 008-2024-EM (19.05.2024)
</t>
  </si>
  <si>
    <t>20.05.2024</t>
  </si>
  <si>
    <t>19.05.2054</t>
  </si>
  <si>
    <t xml:space="preserve">30.05.1996
D.S 015-1996-EM (23.03.1996)
</t>
  </si>
  <si>
    <t>30.07.1996</t>
  </si>
  <si>
    <t>18.12.2036 gas
18.12.2026 petróleo</t>
  </si>
  <si>
    <t>26.05.1998
D.S 013-1998-EM (16.04.1998)</t>
  </si>
  <si>
    <t>26.05.1998</t>
  </si>
  <si>
    <t>25.05.2028</t>
  </si>
  <si>
    <t>XX</t>
  </si>
  <si>
    <t>19.01.2006
D.S 001-2006-EM (04.01.2006)</t>
  </si>
  <si>
    <t>19.01.2006</t>
  </si>
  <si>
    <t>18.01.2036</t>
  </si>
  <si>
    <t>30.11.2001
D.S 052-2001-EM (14.11.2001)</t>
  </si>
  <si>
    <t>29.01.2002</t>
  </si>
  <si>
    <t>28.01.2032</t>
  </si>
  <si>
    <t>Z-6</t>
  </si>
  <si>
    <t>SAVIA PERÚ S.A.</t>
  </si>
  <si>
    <t>20.03.2002
D.S 005-2022-EM (18.02.2002)</t>
  </si>
  <si>
    <t>20.03.2002</t>
  </si>
  <si>
    <t>19.03.2032</t>
  </si>
  <si>
    <t>Z-69</t>
  </si>
  <si>
    <t>PETRÓLEO DEL PERÚ – PETROPERÚ S.A.</t>
  </si>
  <si>
    <t xml:space="preserve">15.11.2023
D.S 027-2023-EM (13.11.2023)
</t>
  </si>
  <si>
    <t>16.11.2023</t>
  </si>
  <si>
    <t>15.11.2025</t>
  </si>
  <si>
    <t>(*) De acuerdo a Contrato, o hasta la fecha efectiva de un nuevo contrato para la Explotación de Hidrocarburos, lo que ocurra primero</t>
  </si>
  <si>
    <t># C. Costa</t>
  </si>
  <si>
    <t>(**) Cabe mencionar que cuando se haga efectiva la extensión por 10 años adicionales del plazo del Contrato, la fecha de término será el 29.03.2034.</t>
  </si>
  <si>
    <t># C. Zócalo</t>
  </si>
  <si>
    <t># C. Selva</t>
  </si>
  <si>
    <t xml:space="preserve">Costa </t>
  </si>
  <si>
    <t>Gráfico N° 06: Contratos en fase de explotación según zona geográfica, 2024</t>
  </si>
  <si>
    <t>El 44% de los Contratos de Exploración y Explotación de hidrocarburos que se encuentran en Fase de explotación se ubican en la zona Selva, mientras que el 45% en la zona Costa. Asimismo el 11% se ubica en el Zócalo.</t>
  </si>
  <si>
    <t>Reporte de Producción Fiscalizada al 31.12.2024 - PERUPETRO</t>
  </si>
  <si>
    <t>Tabla N°10: Producción Fiscalizada Mensual de Hidrocarburos Líquidos (BLS), 2024</t>
  </si>
  <si>
    <t>PRODUCCIÓN FISCALIZADA MENSUAL DE HIDROCARBUROS LÍQUIDOS (BLS)</t>
  </si>
  <si>
    <t>Enero</t>
  </si>
  <si>
    <t>Febrero</t>
  </si>
  <si>
    <t>Marzo</t>
  </si>
  <si>
    <t>Abril</t>
  </si>
  <si>
    <t>Mayo</t>
  </si>
  <si>
    <t>Junio</t>
  </si>
  <si>
    <t>Julio</t>
  </si>
  <si>
    <t>Agosto</t>
  </si>
  <si>
    <t>Septiembre</t>
  </si>
  <si>
    <t>Octubre</t>
  </si>
  <si>
    <t>Noviembre</t>
  </si>
  <si>
    <t>Diciembre</t>
  </si>
  <si>
    <t>  PETRÓLEO</t>
  </si>
  <si>
    <t>Gráfico N° 07: Evolución de la producción fiscalizada mensual de Hidrocarburos Líquidos 2024 (BLS)</t>
  </si>
  <si>
    <t>I(TT)</t>
  </si>
  <si>
    <t>PET. MONTERRICO</t>
  </si>
  <si>
    <t>CORPORACION DEL SUR</t>
  </si>
  <si>
    <t>V(T)</t>
  </si>
  <si>
    <t>VI/VII</t>
  </si>
  <si>
    <t>VI (T)</t>
  </si>
  <si>
    <t>UNIENERGÍA</t>
  </si>
  <si>
    <t>OIG PERÚ</t>
  </si>
  <si>
    <t>X.</t>
  </si>
  <si>
    <t xml:space="preserve">TOTAL COSTA </t>
  </si>
  <si>
    <t>Z-69 (T)</t>
  </si>
  <si>
    <t>TOTAL  ZÓCALO</t>
  </si>
  <si>
    <t>PLUSPETROL NORTE</t>
  </si>
  <si>
    <t>UPLAND OIL</t>
  </si>
  <si>
    <t>8.</t>
  </si>
  <si>
    <t>Gráfico N° 08: Producción de Hidrocarburos Líquidos, según zona geográfica, 2024</t>
  </si>
  <si>
    <t>La producción de Hidrocarburos Líquidos se concentra principalmente en la Región Selva (81%).</t>
  </si>
  <si>
    <t>TOTAL SELVA</t>
  </si>
  <si>
    <t>TOTAL PAÍS PETROLEO</t>
  </si>
  <si>
    <t>LÍQUIDOS DEL GAS NATURAL</t>
  </si>
  <si>
    <t>TOTAL ZÓCALO</t>
  </si>
  <si>
    <t xml:space="preserve">AGUAYTIA  </t>
  </si>
  <si>
    <t xml:space="preserve">TOTAL SELVA </t>
  </si>
  <si>
    <t>TOTAL PAIS LÍQUIDOS DEL GAS NATURAL</t>
  </si>
  <si>
    <t>TOTAL PAIS HIDROCARBUROS LIQUIDOS (BLS)</t>
  </si>
  <si>
    <t>ZÓCALO</t>
  </si>
  <si>
    <t>SELVA</t>
  </si>
  <si>
    <t>COSTA</t>
  </si>
  <si>
    <t>Tabla N°11: Producción Fiscalizada Anual de Hidrocarburos Líquidos (BLS), 2015 - 2024</t>
  </si>
  <si>
    <t>PRODUCCIÓN FISCALIZADA ANUAL DE HIDROCARBUROS LÍQUIDOS (MBLS),  2015-2024</t>
  </si>
  <si>
    <r>
      <t>PETRÓLEO</t>
    </r>
    <r>
      <rPr>
        <b/>
        <sz val="8"/>
        <color rgb="FF000000"/>
        <rFont val="Arial"/>
        <family val="2"/>
      </rPr>
      <t> </t>
    </r>
  </si>
  <si>
    <t>I (T)</t>
  </si>
  <si>
    <t>I (TT)</t>
  </si>
  <si>
    <t xml:space="preserve">II </t>
  </si>
  <si>
    <t>Gráfico N°09: Evolución de la producción fiscalizada de petróleo (MBPD), 2015-2024</t>
  </si>
  <si>
    <t>VII-VI</t>
  </si>
  <si>
    <t>En el 2024, la producción fiscalizada promedio de petróleo aumento en 5%  con respecto al 2023.</t>
  </si>
  <si>
    <t xml:space="preserve">Z-2B  </t>
  </si>
  <si>
    <t xml:space="preserve">TOTAL ZÓCALO </t>
  </si>
  <si>
    <t>1-AB</t>
  </si>
  <si>
    <t>PLUSPETROL  NORTE</t>
  </si>
  <si>
    <t>Gráfico N°10: Evolución de la producción fiscalizada de Líquidos de Gas Natural (MBPD), 2015-2024</t>
  </si>
  <si>
    <t>MAPLE</t>
  </si>
  <si>
    <t>31 B / D</t>
  </si>
  <si>
    <t xml:space="preserve">31-E  </t>
  </si>
  <si>
    <t>CEPSA</t>
  </si>
  <si>
    <t>TOTAL PETRÓLEO (MBLS)</t>
  </si>
  <si>
    <t>TOTAL PETRÓLEO (MBPD))</t>
  </si>
  <si>
    <t>LÍQUIDOS DE GAS NATURAL</t>
  </si>
  <si>
    <t>En el 2024, la producción fiscalizada promedio de líquidos de gas natural aumento en 2.3% con respecto al 2023.</t>
  </si>
  <si>
    <t>AGUAYTIA</t>
  </si>
  <si>
    <t>31 C</t>
  </si>
  <si>
    <t>TOTAL LÍQUIDOS DE GAS NATURAL (MBLS)</t>
  </si>
  <si>
    <t>TOTAL LÍQUIDOS DE GAS NATURAL (MBPD)</t>
  </si>
  <si>
    <t>TOTAL HIDROCARBUROS LÍQUIDOS (MBLS)</t>
  </si>
  <si>
    <t>TOTAL HIDROCARBUROS LÍQUIDOS (MBPD)</t>
  </si>
  <si>
    <t>Gráfico N°11: Proyección de la Producción Fiscalizada Promedio de
Petróleo y Líquidos de Gas Natural, 2025-2029</t>
  </si>
  <si>
    <t>Petróleo</t>
  </si>
  <si>
    <t>Líquidos de Gas Natural</t>
  </si>
  <si>
    <t>Tabla N°10: Producción Fiscalizada de Gas Natural (MPC), 2024</t>
  </si>
  <si>
    <t>PRODUCCIÓN FISCALIZADA MENSUAL DE GAS NATURAL (MPC), 2024</t>
  </si>
  <si>
    <t xml:space="preserve">TOTAL ZOCALO </t>
  </si>
  <si>
    <t xml:space="preserve">PLUSPETROL </t>
  </si>
  <si>
    <t>Total Costa y Zócalo</t>
  </si>
  <si>
    <t xml:space="preserve">Total Selva </t>
  </si>
  <si>
    <t>Total (MMPC)</t>
  </si>
  <si>
    <t>Gráfico N°12: Producción fiscalizada de Gas Natural (MMPC) en el 2024</t>
  </si>
  <si>
    <t>Tabla N°13: Producción Fiscalizada Anual de Gas Natural (MMPC), 2015 - 2024</t>
  </si>
  <si>
    <t>PRODUCCIÓN FISCALIZADA ANUAL DE GAS NATURAL  (MMPC), 2015-2024</t>
  </si>
  <si>
    <t>I(T)</t>
  </si>
  <si>
    <t>VI / VII</t>
  </si>
  <si>
    <t>Z-2B</t>
  </si>
  <si>
    <t>TOTAL PAIS (MMPCD)</t>
  </si>
  <si>
    <t>Gráfico N°13: Evolución de la Producción Fiscalizada de Gas Natural (MMPCD), 2015-2024</t>
  </si>
  <si>
    <t>En el 2024, la producción fiscalizada promedio de gas natural disminuyo en 1.4% con respecto al 2023.</t>
  </si>
  <si>
    <t>Gráfico N°14: Proyección de la producción fiscalizada de Gas Natural (MMPCD), 2025 - 2029</t>
  </si>
  <si>
    <t>MMPCD</t>
  </si>
  <si>
    <t>MPCD</t>
  </si>
  <si>
    <t>Tabla N°14: Inversiones en Exploración y Explotación, 2015 - 2024</t>
  </si>
  <si>
    <t>INVERSIONES EN EXPLORACIÓN Y EXPLOTACIÓN ANUALIZADAS (US$ MILLONES), 2015 - 2024</t>
  </si>
  <si>
    <t>EXPLOTACIÓN</t>
  </si>
  <si>
    <t>Gráfico N°15: Evolución de las Inversiones en Exploración y Explotación de Hidrocarburos (US$ Millones), 2015 - 2024</t>
  </si>
  <si>
    <t>En el 2024, las inversiones en Exploración aumentaron en 1620% y las inversiones en Explotación aumentaron en 63% con respecto al 2023.</t>
  </si>
  <si>
    <t>Tabla N°14: Inversiones en Exploración y Explotación por contratista, 2024</t>
  </si>
  <si>
    <t>INVERSIONES EN EXPLORACIÓN Y EXPLOTACIÓN POR CONTRATISTA (US$ MILLONES), 2024</t>
  </si>
  <si>
    <t>CONTRATISTA</t>
  </si>
  <si>
    <t>Ene</t>
  </si>
  <si>
    <t>Feb</t>
  </si>
  <si>
    <t>Mar</t>
  </si>
  <si>
    <t>Abr</t>
  </si>
  <si>
    <t>May</t>
  </si>
  <si>
    <t>Jun</t>
  </si>
  <si>
    <t>Jul</t>
  </si>
  <si>
    <t>Ago</t>
  </si>
  <si>
    <t>Sep</t>
  </si>
  <si>
    <t>Oct</t>
  </si>
  <si>
    <t>Nov</t>
  </si>
  <si>
    <t>Dic</t>
  </si>
  <si>
    <t>ANADARKO PERU B.V. SUCURSAL PERUANA</t>
  </si>
  <si>
    <t>OIG PERU S.A.C.</t>
  </si>
  <si>
    <t>CORPORACION DEL SUR S.A. - SUCURSAL PERU</t>
  </si>
  <si>
    <t>V.</t>
  </si>
  <si>
    <t>EMPRESA DE RECURSOS ENERGETICOS UNIENERGIA ABC S.A.C.</t>
  </si>
  <si>
    <t>OLYMPIC PERU INC., SUCURSAL DEL PERÚ S.A.</t>
  </si>
  <si>
    <t>VII.</t>
  </si>
  <si>
    <t>PERENCO PERU PETROLEUM LIMITED, SUCURSAL DEL PERÚ</t>
  </si>
  <si>
    <t>PETROLEOS DEL PERU - PETROPERU S.A.</t>
  </si>
  <si>
    <t>PETROLERA MONTERICO S.A.</t>
  </si>
  <si>
    <t>UPLAND OIL AND GAS L.L.C., SUCURSAL DEL PERU</t>
  </si>
  <si>
    <t>PETROLÍFERA PETROLEUM DEL PERÚ S.R.L.</t>
  </si>
  <si>
    <t>PETROTAL PERU S.R.L.</t>
  </si>
  <si>
    <t>PLUSPETROL PERU CORPORATION S.A.</t>
  </si>
  <si>
    <t>REPSOL EXPLORACION PERU, SUCURSAL DEL PERU</t>
  </si>
  <si>
    <t>SAVIA PERU S.A.</t>
  </si>
  <si>
    <t>Tabla N°16: Inversiones en Exploración y Explotación, 2025 - 2029</t>
  </si>
  <si>
    <t>INVERSIONES EN EXPLORACIÓN Y EXPLOTACIÓN (US$ MILLONES), 2025-2029</t>
  </si>
  <si>
    <t>Fase</t>
  </si>
  <si>
    <t>Gráfico N° 16: Proyección de las Inversiones en Exploración y Explotación de Hidrocarburos (US$ Millones), 2025 – 2029</t>
  </si>
  <si>
    <t>Tabla N°19: Regalías cobradas por el Estado, 2024</t>
  </si>
  <si>
    <t>REGALÍAS COBRADAS POR EL ESTADO (US$ Miles), 2024</t>
  </si>
  <si>
    <t>HIDROCARBUROS LÍQUIDOS</t>
  </si>
  <si>
    <t>IV.</t>
  </si>
  <si>
    <t>UNIPETRO</t>
  </si>
  <si>
    <t>VI-VII</t>
  </si>
  <si>
    <t>TOTAL NORTE</t>
  </si>
  <si>
    <t>UPLAND OIL AND GAS</t>
  </si>
  <si>
    <t xml:space="preserve">AGUAYTIA </t>
  </si>
  <si>
    <t>VIGO ENERGY</t>
  </si>
  <si>
    <t xml:space="preserve"> TOTAL H.L.</t>
  </si>
  <si>
    <t>GAS NATURAL </t>
  </si>
  <si>
    <t>VI(T)</t>
  </si>
  <si>
    <t>III.</t>
  </si>
  <si>
    <t>88 P. Melchorita</t>
  </si>
  <si>
    <t>88 P. Pisco</t>
  </si>
  <si>
    <t>56 Mercado ext.</t>
  </si>
  <si>
    <t>TOTAL G.N.</t>
  </si>
  <si>
    <t>TOTAL REGALÍAS</t>
  </si>
  <si>
    <t>Tabla N°19: Regalías (MMUS$), 2015 - 2024</t>
  </si>
  <si>
    <t>REGALÍAS (MMUS$), 2015 - 2024</t>
  </si>
  <si>
    <t>LOTES/ AÑO</t>
  </si>
  <si>
    <t xml:space="preserve"> II </t>
  </si>
  <si>
    <t xml:space="preserve"> III </t>
  </si>
  <si>
    <t xml:space="preserve"> IV </t>
  </si>
  <si>
    <t xml:space="preserve"> IX. </t>
  </si>
  <si>
    <t xml:space="preserve"> VII_VI </t>
  </si>
  <si>
    <t xml:space="preserve"> X </t>
  </si>
  <si>
    <t xml:space="preserve"> XIII </t>
  </si>
  <si>
    <t xml:space="preserve"> XV </t>
  </si>
  <si>
    <t xml:space="preserve"> XX </t>
  </si>
  <si>
    <t xml:space="preserve"> 31B Y 31D </t>
  </si>
  <si>
    <t xml:space="preserve">                -   </t>
  </si>
  <si>
    <t xml:space="preserve">                    -   </t>
  </si>
  <si>
    <t xml:space="preserve"> 31-C </t>
  </si>
  <si>
    <t xml:space="preserve"> 31-E </t>
  </si>
  <si>
    <t xml:space="preserve"> 1-AB </t>
  </si>
  <si>
    <t xml:space="preserve"> Z-1</t>
  </si>
  <si>
    <t xml:space="preserve"> Z-6</t>
  </si>
  <si>
    <t xml:space="preserve"> Z-69</t>
  </si>
  <si>
    <t xml:space="preserve"> TOTAL (MMUS$) </t>
  </si>
  <si>
    <t>Tabla N°20: Retribuciones, 2015 - 2024</t>
  </si>
  <si>
    <t>RETRIBUCIONES (US$ Millones), 2015-2024</t>
  </si>
  <si>
    <t>NORTE</t>
  </si>
  <si>
    <t>ZOCALO</t>
  </si>
  <si>
    <t xml:space="preserve">TOTAL </t>
  </si>
  <si>
    <t>Tabla N°18: Ingresos al Estado por Tipo de Hidrocarburos, 2015 - 2024</t>
  </si>
  <si>
    <t xml:space="preserve"> INGRESOS AL ESTADO POR TIPO DE HIDROCARBURO (US$ Millones), 2015 - 2024</t>
  </si>
  <si>
    <t xml:space="preserve">Gas Natural </t>
  </si>
  <si>
    <t>Condensados</t>
  </si>
  <si>
    <t>TOTAL INGRESOS</t>
  </si>
  <si>
    <t>Gráfico N°17: Evolución de los ingresos del Estado por Contratos de Licencia y de Servicio (US$ Millones)</t>
  </si>
  <si>
    <t>Tabla N°22: Distribución de canon y sobrecanon de hidrocarburos, 2024</t>
  </si>
  <si>
    <t>DISTRIBUCIÓN DEL CANON DE HIDROCARBUROS (Soles) - 2024</t>
  </si>
  <si>
    <t>Región</t>
  </si>
  <si>
    <t>Entidad</t>
  </si>
  <si>
    <t>%        Participación</t>
  </si>
  <si>
    <t>Transferencias de Canon y sobrecanon</t>
  </si>
  <si>
    <t xml:space="preserve"> LORETO (D. LEY Nº 21678/D.U. 027-98)</t>
  </si>
  <si>
    <t>GOBIERNO REGIONAL (vía PCM)</t>
  </si>
  <si>
    <t xml:space="preserve">GOB. REG. - INST.TECNOLOGICOS NACIONALES </t>
  </si>
  <si>
    <t>UNIVERSIDAD NAC. AMAZONIA</t>
  </si>
  <si>
    <t>UNIVERSIDAD NAC. AUTONOMA ALTO AMAZONAS</t>
  </si>
  <si>
    <t>INSTITUTO PERUANO AMAZONÍA</t>
  </si>
  <si>
    <t>MUNICIPALIDADES (vía PCM)</t>
  </si>
  <si>
    <t>TOTAL LORETO</t>
  </si>
  <si>
    <t>UCAYALI (D. LEY Nº 23350/D.U. 027-98)</t>
  </si>
  <si>
    <t>GOBIERNO REGIONAL (Vía PCM)</t>
  </si>
  <si>
    <t>52% / 20%</t>
  </si>
  <si>
    <t>GOBIERNO REGIONAL-INSTITUTOS</t>
  </si>
  <si>
    <t>0% / 3%</t>
  </si>
  <si>
    <t>UNIVERSIDAD NACIONAL DE UCAYALI</t>
  </si>
  <si>
    <t>U. N. INTERCULTURAL DE LA AMAZONÍA</t>
  </si>
  <si>
    <t>3% - 2%</t>
  </si>
  <si>
    <t xml:space="preserve">40% / 70% </t>
  </si>
  <si>
    <t>TOTAL UCAYALI</t>
  </si>
  <si>
    <t>PIURA(D. LEY Nº 23630)</t>
  </si>
  <si>
    <t>INSTITUTOS TECNOLÓGICOS</t>
  </si>
  <si>
    <t>UNIVERSIDAD NACIONAL  DE FRONTERA</t>
  </si>
  <si>
    <t>UNIVERSIDAD NACIONAL  DE PIURA</t>
  </si>
  <si>
    <t>TOTAL PIURA</t>
  </si>
  <si>
    <t>TUMBES(D. LEY Nº 23871)</t>
  </si>
  <si>
    <t>20% / 40%</t>
  </si>
  <si>
    <t>UNIVERSIDAD NACIONAL</t>
  </si>
  <si>
    <t>70% / 50%</t>
  </si>
  <si>
    <t>TOTAL TUMBES</t>
  </si>
  <si>
    <t>PUERTO INCA - HUANUCO (Provincia)</t>
  </si>
  <si>
    <t>TOTAL PUERTO INCA HUANUCO</t>
  </si>
  <si>
    <t>CUZCO(D. LEY Nº 27506)</t>
  </si>
  <si>
    <t>TOTAL CUSCO</t>
  </si>
  <si>
    <r>
      <t>Tabla N°23: Canon y Sobre</t>
    </r>
    <r>
      <rPr>
        <b/>
        <sz val="9"/>
        <rFont val="Arial"/>
        <family val="2"/>
      </rPr>
      <t>canon de Hidrocarburos (MM Soles), 2015 - 2024</t>
    </r>
  </si>
  <si>
    <t>DISTRIBUCIÓN DEL CANON DE HIDROCARBUROS (Millones Soles) 2015 - 2024</t>
  </si>
  <si>
    <t>REGIONES / AÑO</t>
  </si>
  <si>
    <t>Tumbes</t>
  </si>
  <si>
    <t>Prov. Puerto Inca - Huánuco</t>
  </si>
  <si>
    <t>Loreto</t>
  </si>
  <si>
    <t>Ucayali</t>
  </si>
  <si>
    <t>Total General en MM S/</t>
  </si>
  <si>
    <t>GRÁFICO 18: DISTRIBUCIÓN DE CANON Y SOBRECANON POR REGION 2024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</si>
</sst>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4">
    <numFmt numFmtId="44" formatCode="_-&quot;S/&quot;\ * #,##0.00_-;\-&quot;S/&quot;\ * #,##0.00_-;_-&quot;S/&quot;\ * &quot;-&quot;??_-;_-@_-"/>
    <numFmt numFmtId="43" formatCode="_-* #,##0.00_-;\-* #,##0.00_-;_-* &quot;-&quot;??_-;_-@_-"/>
    <numFmt numFmtId="164" formatCode="_ * #,##0.00_ ;_ * \-#,##0.00_ ;_ * &quot;-&quot;??_ ;_ @_ "/>
    <numFmt numFmtId="165" formatCode="0.0%"/>
    <numFmt numFmtId="166" formatCode="_ * #,##0.0_ ;_ * \-#,##0.0_ ;_ * &quot;-&quot;??_ ;_ @_ "/>
    <numFmt numFmtId="167" formatCode="0.000"/>
    <numFmt numFmtId="168" formatCode="_ * #,##0.00_ ;_ * \-#,##0.00_ ;_ * &quot;-&quot;_ ;_ @_ "/>
    <numFmt numFmtId="169" formatCode="#,##0.0"/>
    <numFmt numFmtId="170" formatCode="0.0"/>
    <numFmt numFmtId="171" formatCode="_-* #,##0_-;\-* #,##0_-;_-* &quot;-&quot;??_-;_-@_-"/>
    <numFmt numFmtId="172" formatCode="_-* #,##0.000_-;\-* #,##0.000_-;_-* &quot;-&quot;??_-;_-@_-"/>
    <numFmt numFmtId="173" formatCode="_ * #,##0_ ;_ * \-#,##0_ ;_ * &quot;-&quot;??_ ;_ @_ "/>
    <numFmt numFmtId="174" formatCode="0.0000"/>
    <numFmt numFmtId="175" formatCode="_-&quot;S/&quot;\ * #,##0.000000_-;\-&quot;S/&quot;\ * #,##0.000000_-;_-&quot;S/&quot;\ * &quot;-&quot;??_-;_-@_-"/>
  </numFmts>
  <fonts count="91">
    <font>
      <sz val="11"/>
      <color theme="1"/>
      <name val="Calibri"/>
      <family val="2"/>
      <scheme val="minor"/>
    </font>
    <font>
      <sz val="11"/>
      <color theme="1"/>
      <name val="Calibri"/>
      <family val="2"/>
      <scheme val="minor"/>
    </font>
    <font>
      <sz val="11"/>
      <color theme="1"/>
      <name val="Avenir Next LT Pro"/>
      <family val="2"/>
    </font>
    <font>
      <b/>
      <sz val="10"/>
      <color theme="1"/>
      <name val="Avenir Next LT Pro"/>
      <family val="2"/>
    </font>
    <font>
      <b/>
      <sz val="8.5"/>
      <color rgb="FFFFFFFF"/>
      <name val="Avenir Next LT Pro"/>
      <family val="2"/>
    </font>
    <font>
      <sz val="8.5"/>
      <color rgb="FF404040"/>
      <name val="Avenir Next LT Pro"/>
      <family val="2"/>
    </font>
    <font>
      <b/>
      <sz val="10"/>
      <name val="Avenir Next LT Pro"/>
      <family val="2"/>
    </font>
    <font>
      <sz val="8"/>
      <name val="Avenir Next LT Pro"/>
      <family val="2"/>
    </font>
    <font>
      <b/>
      <sz val="10"/>
      <name val="Arial"/>
      <family val="2"/>
    </font>
    <font>
      <sz val="8"/>
      <name val="Arial"/>
      <family val="2"/>
    </font>
    <font>
      <b/>
      <sz val="8"/>
      <color rgb="FFFFFFFF"/>
      <name val="Arial"/>
      <family val="2"/>
    </font>
    <font>
      <sz val="8"/>
      <color theme="1"/>
      <name val="Calibri"/>
      <family val="2"/>
      <scheme val="minor"/>
    </font>
    <font>
      <sz val="8.5"/>
      <color theme="1"/>
      <name val="Avenir Next LT Pro"/>
      <family val="2"/>
    </font>
    <font>
      <b/>
      <sz val="8.5"/>
      <color theme="1"/>
      <name val="Avenir Next LT Pro"/>
      <family val="2"/>
    </font>
    <font>
      <b/>
      <sz val="8.5"/>
      <color rgb="FF161616"/>
      <name val="Avenir Next LT Pro"/>
      <family val="2"/>
    </font>
    <font>
      <b/>
      <sz val="8.5"/>
      <name val="Avenir Next LT Pro"/>
      <family val="2"/>
    </font>
    <font>
      <sz val="8.5"/>
      <name val="Avenir Next LT Pro"/>
      <family val="2"/>
    </font>
    <font>
      <sz val="8.5"/>
      <color rgb="FF000000"/>
      <name val="Avenir Next LT Pro"/>
      <family val="2"/>
    </font>
    <font>
      <sz val="8.5"/>
      <color theme="1"/>
      <name val="Calibri"/>
      <family val="2"/>
      <scheme val="minor"/>
    </font>
    <font>
      <sz val="11"/>
      <color theme="1"/>
      <name val="Avenir Next LT Pro"/>
    </font>
    <font>
      <b/>
      <sz val="11"/>
      <color theme="1"/>
      <name val="Avenir Next LT Pro"/>
    </font>
    <font>
      <b/>
      <sz val="8.5"/>
      <color rgb="FFFFFFFF"/>
      <name val="Avenir Next LT Pro"/>
    </font>
    <font>
      <b/>
      <sz val="8"/>
      <color rgb="FFFFFFFF"/>
      <name val="Avenir Next LT Pro"/>
    </font>
    <font>
      <sz val="8.5"/>
      <color rgb="FF404040"/>
      <name val="Avenir Next LT Pro"/>
    </font>
    <font>
      <sz val="8"/>
      <color rgb="FF000000"/>
      <name val="Avenir Next LT Pro"/>
    </font>
    <font>
      <b/>
      <sz val="16"/>
      <color theme="0"/>
      <name val="Avenir Next LT Pro"/>
    </font>
    <font>
      <b/>
      <sz val="8.5"/>
      <color theme="0"/>
      <name val="Avenir Next LT Pro"/>
      <family val="2"/>
    </font>
    <font>
      <sz val="8.5"/>
      <color theme="1"/>
      <name val="Avenir Next LT Pro"/>
    </font>
    <font>
      <b/>
      <sz val="8.5"/>
      <color theme="1"/>
      <name val="Avenir Next LT Pro"/>
    </font>
    <font>
      <i/>
      <sz val="8.5"/>
      <color theme="1"/>
      <name val="Avenir Next LT Pro"/>
    </font>
    <font>
      <b/>
      <sz val="11"/>
      <color theme="1"/>
      <name val="Calibri"/>
      <family val="2"/>
      <scheme val="minor"/>
    </font>
    <font>
      <b/>
      <sz val="9"/>
      <color theme="1"/>
      <name val="Avenir Next LT Pro"/>
      <family val="2"/>
    </font>
    <font>
      <b/>
      <sz val="8"/>
      <color rgb="FFFFFFFF"/>
      <name val="Avenir Next LT Pro"/>
      <family val="2"/>
    </font>
    <font>
      <b/>
      <sz val="10"/>
      <color theme="0"/>
      <name val="Avenir Next LT Pro"/>
      <family val="2"/>
    </font>
    <font>
      <b/>
      <sz val="8.5"/>
      <color rgb="FF404040"/>
      <name val="Avenir Next LT Pro"/>
      <family val="2"/>
    </font>
    <font>
      <sz val="8"/>
      <color theme="1"/>
      <name val="Avenir Next LT Pro"/>
      <family val="2"/>
    </font>
    <font>
      <b/>
      <sz val="8"/>
      <name val="Avenir Next LT Pro"/>
      <family val="2"/>
    </font>
    <font>
      <b/>
      <sz val="8"/>
      <color rgb="FF404040"/>
      <name val="Avenir Next LT Pro"/>
      <family val="2"/>
    </font>
    <font>
      <sz val="8"/>
      <color rgb="FF404040"/>
      <name val="Avenir Next LT Pro"/>
      <family val="2"/>
    </font>
    <font>
      <b/>
      <sz val="9"/>
      <name val="Avenir Next LT Pro"/>
      <family val="2"/>
    </font>
    <font>
      <b/>
      <sz val="11"/>
      <color theme="1"/>
      <name val="Avenir Next LT Pro"/>
      <family val="2"/>
    </font>
    <font>
      <b/>
      <sz val="7.5"/>
      <color rgb="FFFFFFFF"/>
      <name val="Avenir Next LT Pro"/>
      <family val="2"/>
    </font>
    <font>
      <sz val="10"/>
      <color theme="1"/>
      <name val="Avenir Next LT Pro"/>
      <family val="2"/>
    </font>
    <font>
      <sz val="8"/>
      <color rgb="FF000000"/>
      <name val="Avenir Next LT Pro"/>
      <family val="2"/>
    </font>
    <font>
      <b/>
      <sz val="11"/>
      <color theme="0"/>
      <name val="Avenir Next LT Pro"/>
      <family val="2"/>
    </font>
    <font>
      <sz val="10"/>
      <color rgb="FF000000"/>
      <name val="Times New Roman"/>
      <family val="1"/>
    </font>
    <font>
      <sz val="11"/>
      <color rgb="FF000000"/>
      <name val="Avenir Next LT Pro"/>
      <family val="2"/>
    </font>
    <font>
      <sz val="11"/>
      <name val="Avenir Next LT Pro"/>
      <family val="2"/>
    </font>
    <font>
      <b/>
      <sz val="8"/>
      <color theme="1"/>
      <name val="Avenir Next LT Pro"/>
      <family val="2"/>
    </font>
    <font>
      <b/>
      <sz val="8"/>
      <color theme="1"/>
      <name val="Calibri"/>
      <family val="2"/>
      <scheme val="minor"/>
    </font>
    <font>
      <sz val="7.5"/>
      <color rgb="FF404040"/>
      <name val="Avenir Next LT Pro"/>
      <family val="2"/>
    </font>
    <font>
      <b/>
      <sz val="11"/>
      <color theme="0"/>
      <name val="Calibri"/>
      <family val="2"/>
      <scheme val="minor"/>
    </font>
    <font>
      <b/>
      <sz val="11"/>
      <color theme="1"/>
      <name val="Arial"/>
      <family val="2"/>
    </font>
    <font>
      <sz val="8"/>
      <color theme="1"/>
      <name val="Arial"/>
      <family val="2"/>
    </font>
    <font>
      <b/>
      <sz val="11"/>
      <color theme="0"/>
      <name val="Arial"/>
      <family val="2"/>
    </font>
    <font>
      <b/>
      <sz val="10"/>
      <color theme="1"/>
      <name val="Arial"/>
      <family val="2"/>
    </font>
    <font>
      <sz val="8"/>
      <color rgb="FF000000"/>
      <name val="Arial"/>
      <family val="2"/>
    </font>
    <font>
      <b/>
      <sz val="8"/>
      <color rgb="FF000000"/>
      <name val="Arial"/>
      <family val="2"/>
    </font>
    <font>
      <b/>
      <sz val="9"/>
      <color theme="1"/>
      <name val="Arial"/>
      <family val="2"/>
    </font>
    <font>
      <sz val="9"/>
      <color theme="1"/>
      <name val="Arial"/>
      <family val="2"/>
    </font>
    <font>
      <b/>
      <sz val="9"/>
      <color theme="1"/>
      <name val="Calibri"/>
      <family val="2"/>
      <scheme val="minor"/>
    </font>
    <font>
      <sz val="9"/>
      <color theme="1"/>
      <name val="Calibri"/>
      <family val="2"/>
      <scheme val="minor"/>
    </font>
    <font>
      <b/>
      <vertAlign val="superscript"/>
      <sz val="10"/>
      <name val="Arial"/>
      <family val="2"/>
    </font>
    <font>
      <b/>
      <sz val="8"/>
      <color theme="0"/>
      <name val="Arial"/>
      <family val="2"/>
    </font>
    <font>
      <b/>
      <vertAlign val="superscript"/>
      <sz val="9"/>
      <color theme="1"/>
      <name val="Arial"/>
      <family val="2"/>
    </font>
    <font>
      <b/>
      <sz val="7"/>
      <color theme="0"/>
      <name val="Arial"/>
      <family val="2"/>
    </font>
    <font>
      <b/>
      <sz val="7"/>
      <color rgb="FFFFFFFF"/>
      <name val="Arial"/>
      <family val="2"/>
    </font>
    <font>
      <sz val="7"/>
      <color rgb="FF000000"/>
      <name val="Arial"/>
      <family val="2"/>
    </font>
    <font>
      <b/>
      <sz val="7"/>
      <color rgb="FF000000"/>
      <name val="Arial"/>
      <family val="2"/>
    </font>
    <font>
      <b/>
      <sz val="9"/>
      <color indexed="81"/>
      <name val="Tahoma"/>
      <family val="2"/>
    </font>
    <font>
      <sz val="9"/>
      <color indexed="81"/>
      <name val="Tahoma"/>
      <family val="2"/>
    </font>
    <font>
      <sz val="7"/>
      <color theme="1"/>
      <name val="Arial"/>
      <family val="2"/>
    </font>
    <font>
      <b/>
      <sz val="9"/>
      <name val="Arial"/>
      <family val="2"/>
    </font>
    <font>
      <sz val="11"/>
      <color theme="1"/>
      <name val="Arial"/>
      <family val="2"/>
    </font>
    <font>
      <b/>
      <sz val="8"/>
      <color theme="1"/>
      <name val="Arial"/>
      <family val="2"/>
    </font>
    <font>
      <sz val="10"/>
      <name val="Arial"/>
      <family val="2"/>
    </font>
    <font>
      <sz val="10"/>
      <name val="Arial Narrow"/>
      <family val="2"/>
    </font>
    <font>
      <b/>
      <sz val="10"/>
      <name val="Calibri"/>
      <family val="2"/>
      <scheme val="minor"/>
    </font>
    <font>
      <b/>
      <sz val="9"/>
      <name val="Calibri"/>
      <family val="2"/>
      <scheme val="minor"/>
    </font>
    <font>
      <sz val="7"/>
      <name val="Arial"/>
      <family val="2"/>
    </font>
    <font>
      <sz val="7"/>
      <color theme="1"/>
      <name val="Calibri"/>
      <family val="2"/>
      <scheme val="minor"/>
    </font>
    <font>
      <b/>
      <sz val="10"/>
      <color theme="1"/>
      <name val="Calibri"/>
      <family val="2"/>
      <scheme val="minor"/>
    </font>
    <font>
      <b/>
      <sz val="10"/>
      <name val="Arial Narrow"/>
      <family val="2"/>
    </font>
    <font>
      <sz val="10"/>
      <color theme="1"/>
      <name val="Arial Narrow"/>
      <family val="2"/>
    </font>
    <font>
      <b/>
      <sz val="7"/>
      <color theme="1"/>
      <name val="Arial"/>
      <family val="2"/>
    </font>
    <font>
      <sz val="8"/>
      <color rgb="FFFFFFFF"/>
      <name val="Arial"/>
      <family val="2"/>
    </font>
    <font>
      <b/>
      <sz val="8"/>
      <color rgb="FFFFFFFF"/>
      <name val="Arial Narrow"/>
      <family val="2"/>
    </font>
    <font>
      <b/>
      <sz val="7"/>
      <name val="Arial"/>
      <family val="2"/>
    </font>
    <font>
      <sz val="8"/>
      <name val="Calibri"/>
      <family val="2"/>
      <scheme val="minor"/>
    </font>
    <font>
      <b/>
      <sz val="8"/>
      <name val="Arial"/>
      <family val="2"/>
    </font>
    <font>
      <b/>
      <sz val="9"/>
      <color rgb="FFFFFFFF"/>
      <name val="Arial"/>
      <family val="2"/>
    </font>
  </fonts>
  <fills count="30">
    <fill>
      <patternFill patternType="none"/>
    </fill>
    <fill>
      <patternFill patternType="gray125"/>
    </fill>
    <fill>
      <patternFill patternType="solid">
        <fgColor rgb="FF1A4B63"/>
        <bgColor indexed="64"/>
      </patternFill>
    </fill>
    <fill>
      <patternFill patternType="solid">
        <fgColor rgb="FF6DA8CD"/>
        <bgColor indexed="64"/>
      </patternFill>
    </fill>
    <fill>
      <patternFill patternType="solid">
        <fgColor rgb="FF1F4E78"/>
        <bgColor indexed="64"/>
      </patternFill>
    </fill>
    <fill>
      <patternFill patternType="solid">
        <fgColor rgb="FF0070C0"/>
        <bgColor indexed="64"/>
      </patternFill>
    </fill>
    <fill>
      <patternFill patternType="solid">
        <fgColor theme="4" tint="0.79998168889431442"/>
        <bgColor indexed="64"/>
      </patternFill>
    </fill>
    <fill>
      <patternFill patternType="solid">
        <fgColor rgb="FFD9D9D9"/>
        <bgColor indexed="64"/>
      </patternFill>
    </fill>
    <fill>
      <patternFill patternType="solid">
        <fgColor rgb="FF264478"/>
        <bgColor indexed="64"/>
      </patternFill>
    </fill>
    <fill>
      <patternFill patternType="solid">
        <fgColor theme="8" tint="-0.249977111117893"/>
        <bgColor indexed="64"/>
      </patternFill>
    </fill>
    <fill>
      <patternFill patternType="solid">
        <fgColor rgb="FFC00000"/>
        <bgColor indexed="64"/>
      </patternFill>
    </fill>
    <fill>
      <patternFill patternType="solid">
        <fgColor rgb="FF00638D"/>
        <bgColor indexed="64"/>
      </patternFill>
    </fill>
    <fill>
      <patternFill patternType="solid">
        <fgColor rgb="FFD2E0DE"/>
        <bgColor indexed="64"/>
      </patternFill>
    </fill>
    <fill>
      <patternFill patternType="solid">
        <fgColor rgb="FFC6E2F0"/>
        <bgColor indexed="64"/>
      </patternFill>
    </fill>
    <fill>
      <patternFill patternType="solid">
        <fgColor theme="8" tint="-0.499984740745262"/>
        <bgColor indexed="64"/>
      </patternFill>
    </fill>
    <fill>
      <patternFill patternType="solid">
        <fgColor theme="8" tint="0.79998168889431442"/>
        <bgColor indexed="64"/>
      </patternFill>
    </fill>
    <fill>
      <patternFill patternType="solid">
        <fgColor theme="0"/>
        <bgColor indexed="64"/>
      </patternFill>
    </fill>
    <fill>
      <patternFill patternType="solid">
        <fgColor theme="6" tint="0.59999389629810485"/>
        <bgColor indexed="64"/>
      </patternFill>
    </fill>
    <fill>
      <patternFill patternType="solid">
        <fgColor rgb="FF92D050"/>
        <bgColor indexed="64"/>
      </patternFill>
    </fill>
    <fill>
      <patternFill patternType="solid">
        <fgColor theme="0" tint="-0.14999847407452621"/>
        <bgColor indexed="64"/>
      </patternFill>
    </fill>
    <fill>
      <patternFill patternType="solid">
        <fgColor rgb="FFBFBFBF"/>
        <bgColor indexed="64"/>
      </patternFill>
    </fill>
    <fill>
      <patternFill patternType="solid">
        <fgColor rgb="FF595959"/>
        <bgColor indexed="64"/>
      </patternFill>
    </fill>
    <fill>
      <patternFill patternType="solid">
        <fgColor rgb="FFFFFF00"/>
        <bgColor indexed="64"/>
      </patternFill>
    </fill>
    <fill>
      <patternFill patternType="solid">
        <fgColor theme="0" tint="-0.249977111117893"/>
        <bgColor indexed="64"/>
      </patternFill>
    </fill>
    <fill>
      <patternFill patternType="solid">
        <fgColor theme="0" tint="-0.34998626667073579"/>
        <bgColor indexed="64"/>
      </patternFill>
    </fill>
    <fill>
      <patternFill patternType="solid">
        <fgColor rgb="FFFFFFFF"/>
        <bgColor indexed="64"/>
      </patternFill>
    </fill>
    <fill>
      <patternFill patternType="solid">
        <fgColor theme="9" tint="0.79998168889431442"/>
        <bgColor indexed="64"/>
      </patternFill>
    </fill>
    <fill>
      <patternFill patternType="solid">
        <fgColor theme="2" tint="-9.9978637043366805E-2"/>
        <bgColor indexed="64"/>
      </patternFill>
    </fill>
    <fill>
      <patternFill patternType="solid">
        <fgColor theme="8" tint="0.39997558519241921"/>
        <bgColor indexed="64"/>
      </patternFill>
    </fill>
    <fill>
      <patternFill patternType="solid">
        <fgColor theme="8" tint="0.59999389629810485"/>
        <bgColor indexed="64"/>
      </patternFill>
    </fill>
  </fills>
  <borders count="47">
    <border>
      <left/>
      <right/>
      <top/>
      <bottom/>
      <diagonal/>
    </border>
    <border>
      <left style="medium">
        <color rgb="FFF2F2F2"/>
      </left>
      <right style="medium">
        <color rgb="FFF2F2F2"/>
      </right>
      <top style="medium">
        <color rgb="FFF2F2F2"/>
      </top>
      <bottom/>
      <diagonal/>
    </border>
    <border>
      <left/>
      <right style="medium">
        <color rgb="FFF2F2F2"/>
      </right>
      <top style="medium">
        <color rgb="FFF2F2F2"/>
      </top>
      <bottom style="medium">
        <color rgb="FFF2F2F2"/>
      </bottom>
      <diagonal/>
    </border>
    <border>
      <left style="medium">
        <color rgb="FFF2F2F2"/>
      </left>
      <right style="medium">
        <color rgb="FFF2F2F2"/>
      </right>
      <top/>
      <bottom style="medium">
        <color rgb="FFF2F2F2"/>
      </bottom>
      <diagonal/>
    </border>
    <border>
      <left/>
      <right style="medium">
        <color rgb="FFF2F2F2"/>
      </right>
      <top/>
      <bottom style="medium">
        <color rgb="FFF2F2F2"/>
      </bottom>
      <diagonal/>
    </border>
    <border>
      <left/>
      <right/>
      <top style="medium">
        <color rgb="FFF2F2F2"/>
      </top>
      <bottom/>
      <diagonal/>
    </border>
    <border>
      <left style="medium">
        <color rgb="FFF2F2F2"/>
      </left>
      <right style="medium">
        <color rgb="FFF2F2F2"/>
      </right>
      <top style="medium">
        <color rgb="FFF2F2F2"/>
      </top>
      <bottom style="medium">
        <color rgb="FFF2F2F2"/>
      </bottom>
      <diagonal/>
    </border>
    <border>
      <left/>
      <right/>
      <top/>
      <bottom style="medium">
        <color rgb="FFF2F2F2"/>
      </bottom>
      <diagonal/>
    </border>
    <border>
      <left style="thin">
        <color theme="0" tint="-4.9989318521683403E-2"/>
      </left>
      <right/>
      <top/>
      <bottom style="thin">
        <color theme="0" tint="-4.9989318521683403E-2"/>
      </bottom>
      <diagonal/>
    </border>
    <border>
      <left/>
      <right/>
      <top/>
      <bottom style="thin">
        <color theme="0" tint="-4.9989318521683403E-2"/>
      </bottom>
      <diagonal/>
    </border>
    <border>
      <left style="thin">
        <color indexed="64"/>
      </left>
      <right style="thin">
        <color indexed="64"/>
      </right>
      <top style="thin">
        <color indexed="64"/>
      </top>
      <bottom style="thin">
        <color indexed="64"/>
      </bottom>
      <diagonal/>
    </border>
    <border>
      <left style="thin">
        <color theme="0" tint="-4.9989318521683403E-2"/>
      </left>
      <right/>
      <top style="thin">
        <color theme="0" tint="-4.9989318521683403E-2"/>
      </top>
      <bottom style="medium">
        <color rgb="FFF2F2F2"/>
      </bottom>
      <diagonal/>
    </border>
    <border>
      <left style="thin">
        <color theme="0" tint="-4.9989318521683403E-2"/>
      </left>
      <right style="thin">
        <color theme="0" tint="-4.9989318521683403E-2"/>
      </right>
      <top style="thin">
        <color theme="0" tint="-4.9989318521683403E-2"/>
      </top>
      <bottom style="thin">
        <color theme="0" tint="-4.9989318521683403E-2"/>
      </bottom>
      <diagonal/>
    </border>
    <border>
      <left style="medium">
        <color rgb="FFF2F2F2"/>
      </left>
      <right/>
      <top style="medium">
        <color rgb="FFF2F2F2"/>
      </top>
      <bottom style="medium">
        <color rgb="FFF2F2F2"/>
      </bottom>
      <diagonal/>
    </border>
    <border>
      <left/>
      <right/>
      <top style="medium">
        <color rgb="FFF2F2F2"/>
      </top>
      <bottom style="medium">
        <color rgb="FFF2F2F2"/>
      </bottom>
      <diagonal/>
    </border>
    <border>
      <left style="medium">
        <color rgb="FFF2F2F2"/>
      </left>
      <right/>
      <top/>
      <bottom/>
      <diagonal/>
    </border>
    <border>
      <left style="medium">
        <color rgb="FFF2F2F2"/>
      </left>
      <right/>
      <top/>
      <bottom style="medium">
        <color rgb="FFF2F2F2"/>
      </bottom>
      <diagonal/>
    </border>
    <border>
      <left style="thin">
        <color indexed="64"/>
      </left>
      <right style="thin">
        <color indexed="64"/>
      </right>
      <top/>
      <bottom/>
      <diagonal/>
    </border>
    <border>
      <left style="medium">
        <color rgb="FFF2F2F2"/>
      </left>
      <right/>
      <top style="medium">
        <color rgb="FFF2F2F2"/>
      </top>
      <bottom/>
      <diagonal/>
    </border>
    <border>
      <left/>
      <right style="medium">
        <color rgb="FFF2F2F2"/>
      </right>
      <top style="medium">
        <color rgb="FFF2F2F2"/>
      </top>
      <bottom/>
      <diagonal/>
    </border>
    <border>
      <left style="medium">
        <color rgb="FFF2F2F2"/>
      </left>
      <right style="medium">
        <color rgb="FFF2F2F2"/>
      </right>
      <top/>
      <bottom/>
      <diagonal/>
    </border>
    <border>
      <left/>
      <right style="medium">
        <color rgb="FFF2F2F2"/>
      </right>
      <top/>
      <bottom/>
      <diagonal/>
    </border>
    <border>
      <left style="thin">
        <color theme="0" tint="-4.9989318521683403E-2"/>
      </left>
      <right/>
      <top style="thin">
        <color theme="0" tint="-4.9989318521683403E-2"/>
      </top>
      <bottom style="thin">
        <color theme="0" tint="-4.9989318521683403E-2"/>
      </bottom>
      <diagonal/>
    </border>
    <border>
      <left/>
      <right style="thin">
        <color theme="0" tint="-4.9989318521683403E-2"/>
      </right>
      <top style="thin">
        <color theme="0" tint="-4.9989318521683403E-2"/>
      </top>
      <bottom style="thin">
        <color theme="0" tint="-4.9989318521683403E-2"/>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thin">
        <color indexed="64"/>
      </left>
      <right/>
      <top style="medium">
        <color indexed="64"/>
      </top>
      <bottom style="thin">
        <color indexed="64"/>
      </bottom>
      <diagonal/>
    </border>
    <border>
      <left style="medium">
        <color indexed="64"/>
      </left>
      <right style="medium">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medium">
        <color indexed="64"/>
      </left>
      <right style="medium">
        <color indexed="64"/>
      </right>
      <top/>
      <bottom style="medium">
        <color indexed="64"/>
      </bottom>
      <diagonal/>
    </border>
    <border>
      <left style="thin">
        <color indexed="64"/>
      </left>
      <right style="thin">
        <color indexed="64"/>
      </right>
      <top/>
      <bottom style="medium">
        <color indexed="64"/>
      </bottom>
      <diagonal/>
    </border>
    <border>
      <left style="thin">
        <color theme="0" tint="-4.9989318521683403E-2"/>
      </left>
      <right/>
      <top/>
      <bottom/>
      <diagonal/>
    </border>
    <border>
      <left style="thin">
        <color theme="0" tint="-4.9989318521683403E-2"/>
      </left>
      <right style="thin">
        <color theme="0" tint="-4.9989318521683403E-2"/>
      </right>
      <top style="thin">
        <color theme="0" tint="-4.9989318521683403E-2"/>
      </top>
      <bottom/>
      <diagonal/>
    </border>
    <border>
      <left style="thin">
        <color theme="0" tint="-4.9989318521683403E-2"/>
      </left>
      <right style="thin">
        <color theme="0" tint="-4.9989318521683403E-2"/>
      </right>
      <top/>
      <bottom/>
      <diagonal/>
    </border>
    <border>
      <left style="thin">
        <color theme="0" tint="-4.9989318521683403E-2"/>
      </left>
      <right style="thin">
        <color theme="0" tint="-4.9989318521683403E-2"/>
      </right>
      <top/>
      <bottom style="thin">
        <color theme="0" tint="-4.9989318521683403E-2"/>
      </bottom>
      <diagonal/>
    </border>
    <border>
      <left/>
      <right/>
      <top style="thin">
        <color theme="0" tint="-4.9989318521683403E-2"/>
      </top>
      <bottom style="thin">
        <color theme="0" tint="-4.9989318521683403E-2"/>
      </bottom>
      <diagonal/>
    </border>
    <border>
      <left style="thin">
        <color theme="0" tint="-0.14996795556505021"/>
      </left>
      <right/>
      <top/>
      <bottom/>
      <diagonal/>
    </border>
    <border>
      <left style="thin">
        <color theme="0" tint="-0.14996795556505021"/>
      </left>
      <right style="thin">
        <color theme="0" tint="-0.14996795556505021"/>
      </right>
      <top style="thin">
        <color theme="0" tint="-0.14996795556505021"/>
      </top>
      <bottom style="thin">
        <color theme="0" tint="-0.14996795556505021"/>
      </bottom>
      <diagonal/>
    </border>
    <border>
      <left style="thin">
        <color theme="2"/>
      </left>
      <right style="thin">
        <color theme="2"/>
      </right>
      <top style="thin">
        <color theme="2"/>
      </top>
      <bottom style="thin">
        <color theme="2"/>
      </bottom>
      <diagonal/>
    </border>
    <border>
      <left style="thin">
        <color theme="2"/>
      </left>
      <right style="thin">
        <color theme="2"/>
      </right>
      <top style="thin">
        <color theme="2"/>
      </top>
      <bottom/>
      <diagonal/>
    </border>
    <border>
      <left style="thin">
        <color theme="2"/>
      </left>
      <right style="thin">
        <color theme="2"/>
      </right>
      <top/>
      <bottom/>
      <diagonal/>
    </border>
    <border>
      <left style="thin">
        <color theme="2"/>
      </left>
      <right style="thin">
        <color theme="2"/>
      </right>
      <top/>
      <bottom style="thin">
        <color theme="2"/>
      </bottom>
      <diagonal/>
    </border>
  </borders>
  <cellStyleXfs count="8">
    <xf numFmtId="0" fontId="0" fillId="0" borderId="0"/>
    <xf numFmtId="43" fontId="1" fillId="0" borderId="0" applyFont="0" applyFill="0" applyBorder="0" applyAlignment="0" applyProtection="0"/>
    <xf numFmtId="164" fontId="1" fillId="0" borderId="0" applyFont="0" applyFill="0" applyBorder="0" applyAlignment="0" applyProtection="0"/>
    <xf numFmtId="43" fontId="1" fillId="0" borderId="0" applyFont="0" applyFill="0" applyBorder="0" applyAlignment="0" applyProtection="0"/>
    <xf numFmtId="9" fontId="1" fillId="0" borderId="0" applyFont="0" applyFill="0" applyBorder="0" applyAlignment="0" applyProtection="0"/>
    <xf numFmtId="0" fontId="45" fillId="0" borderId="0"/>
    <xf numFmtId="44" fontId="1" fillId="0" borderId="0" applyFont="0" applyFill="0" applyBorder="0" applyAlignment="0" applyProtection="0"/>
    <xf numFmtId="0" fontId="75" fillId="0" borderId="0"/>
  </cellStyleXfs>
  <cellXfs count="626">
    <xf numFmtId="0" fontId="0" fillId="0" borderId="0" xfId="0"/>
    <xf numFmtId="0" fontId="2" fillId="0" borderId="0" xfId="0" applyFont="1" applyAlignment="1">
      <alignment horizontal="left"/>
    </xf>
    <xf numFmtId="0" fontId="2" fillId="0" borderId="0" xfId="0" applyFont="1"/>
    <xf numFmtId="3" fontId="5" fillId="0" borderId="1" xfId="0" applyNumberFormat="1" applyFont="1" applyBorder="1" applyAlignment="1">
      <alignment horizontal="right" vertical="center" wrapText="1"/>
    </xf>
    <xf numFmtId="0" fontId="5" fillId="0" borderId="1" xfId="0" applyFont="1" applyBorder="1" applyAlignment="1">
      <alignment horizontal="right" vertical="center" wrapText="1"/>
    </xf>
    <xf numFmtId="0" fontId="7" fillId="0" borderId="0" xfId="0" applyFont="1" applyAlignment="1">
      <alignment wrapText="1"/>
    </xf>
    <xf numFmtId="4" fontId="5" fillId="0" borderId="1" xfId="0" applyNumberFormat="1" applyFont="1" applyBorder="1" applyAlignment="1">
      <alignment horizontal="right" vertical="center" wrapText="1"/>
    </xf>
    <xf numFmtId="3" fontId="5" fillId="0" borderId="4" xfId="0" applyNumberFormat="1" applyFont="1" applyBorder="1" applyAlignment="1">
      <alignment horizontal="right" vertical="center" wrapText="1"/>
    </xf>
    <xf numFmtId="0" fontId="5" fillId="0" borderId="4" xfId="0" applyFont="1" applyBorder="1" applyAlignment="1">
      <alignment horizontal="right" vertical="center" wrapText="1"/>
    </xf>
    <xf numFmtId="0" fontId="6" fillId="0" borderId="0" xfId="0" applyFont="1"/>
    <xf numFmtId="0" fontId="0" fillId="0" borderId="0" xfId="0" applyAlignment="1">
      <alignment horizontal="left"/>
    </xf>
    <xf numFmtId="0" fontId="9" fillId="0" borderId="0" xfId="0" applyFont="1" applyAlignment="1">
      <alignment wrapText="1"/>
    </xf>
    <xf numFmtId="0" fontId="11" fillId="0" borderId="0" xfId="0" applyFont="1"/>
    <xf numFmtId="4" fontId="5" fillId="0" borderId="4" xfId="0" applyNumberFormat="1" applyFont="1" applyBorder="1" applyAlignment="1">
      <alignment horizontal="right" vertical="center" wrapText="1"/>
    </xf>
    <xf numFmtId="0" fontId="6" fillId="0" borderId="0" xfId="0" applyFont="1" applyAlignment="1">
      <alignment vertical="center"/>
    </xf>
    <xf numFmtId="0" fontId="12" fillId="0" borderId="0" xfId="0" applyFont="1"/>
    <xf numFmtId="0" fontId="14" fillId="0" borderId="0" xfId="0" applyFont="1" applyAlignment="1">
      <alignment wrapText="1" readingOrder="1"/>
    </xf>
    <xf numFmtId="0" fontId="16" fillId="0" borderId="0" xfId="0" applyFont="1" applyAlignment="1">
      <alignment wrapText="1"/>
    </xf>
    <xf numFmtId="0" fontId="4" fillId="0" borderId="0" xfId="0" applyFont="1" applyAlignment="1">
      <alignment horizontal="right" wrapText="1" readingOrder="1"/>
    </xf>
    <xf numFmtId="3" fontId="4" fillId="0" borderId="0" xfId="0" applyNumberFormat="1" applyFont="1" applyAlignment="1">
      <alignment horizontal="right" wrapText="1" readingOrder="1"/>
    </xf>
    <xf numFmtId="43" fontId="17" fillId="0" borderId="0" xfId="1" applyFont="1" applyFill="1" applyAlignment="1">
      <alignment horizontal="right" wrapText="1" readingOrder="1"/>
    </xf>
    <xf numFmtId="43" fontId="4" fillId="0" borderId="0" xfId="1" applyFont="1" applyFill="1" applyAlignment="1">
      <alignment horizontal="right" wrapText="1" readingOrder="1"/>
    </xf>
    <xf numFmtId="0" fontId="18" fillId="0" borderId="0" xfId="0" applyFont="1"/>
    <xf numFmtId="4" fontId="10" fillId="0" borderId="0" xfId="0" applyNumberFormat="1" applyFont="1" applyAlignment="1">
      <alignment horizontal="right" vertical="center" wrapText="1"/>
    </xf>
    <xf numFmtId="3" fontId="4" fillId="2" borderId="4" xfId="0" applyNumberFormat="1" applyFont="1" applyFill="1" applyBorder="1" applyAlignment="1">
      <alignment horizontal="right" vertical="center" wrapText="1"/>
    </xf>
    <xf numFmtId="0" fontId="4" fillId="3" borderId="3" xfId="0" applyFont="1" applyFill="1" applyBorder="1" applyAlignment="1">
      <alignment horizontal="left" vertical="center" wrapText="1"/>
    </xf>
    <xf numFmtId="4" fontId="4" fillId="2" borderId="4" xfId="0" applyNumberFormat="1" applyFont="1" applyFill="1" applyBorder="1" applyAlignment="1">
      <alignment horizontal="right" vertical="center" wrapText="1"/>
    </xf>
    <xf numFmtId="0" fontId="19" fillId="0" borderId="0" xfId="0" applyFont="1"/>
    <xf numFmtId="0" fontId="20" fillId="0" borderId="0" xfId="0" applyFont="1" applyAlignment="1">
      <alignment horizontal="left"/>
    </xf>
    <xf numFmtId="0" fontId="21" fillId="2" borderId="6" xfId="0" applyFont="1" applyFill="1" applyBorder="1" applyAlignment="1">
      <alignment horizontal="left" vertical="center" wrapText="1"/>
    </xf>
    <xf numFmtId="0" fontId="21" fillId="2" borderId="2" xfId="0" applyFont="1" applyFill="1" applyBorder="1" applyAlignment="1">
      <alignment horizontal="center" vertical="center" wrapText="1"/>
    </xf>
    <xf numFmtId="0" fontId="22" fillId="0" borderId="0" xfId="0" applyFont="1" applyAlignment="1">
      <alignment horizontal="right" wrapText="1" readingOrder="1"/>
    </xf>
    <xf numFmtId="0" fontId="21" fillId="3" borderId="3" xfId="0" applyFont="1" applyFill="1" applyBorder="1" applyAlignment="1">
      <alignment horizontal="left" vertical="center" wrapText="1"/>
    </xf>
    <xf numFmtId="3" fontId="23" fillId="0" borderId="4" xfId="0" applyNumberFormat="1" applyFont="1" applyBorder="1" applyAlignment="1">
      <alignment horizontal="right" vertical="center" wrapText="1"/>
    </xf>
    <xf numFmtId="0" fontId="23" fillId="0" borderId="4" xfId="0" applyFont="1" applyBorder="1" applyAlignment="1">
      <alignment horizontal="right" vertical="center" wrapText="1"/>
    </xf>
    <xf numFmtId="3" fontId="21" fillId="2" borderId="4" xfId="0" applyNumberFormat="1" applyFont="1" applyFill="1" applyBorder="1" applyAlignment="1">
      <alignment horizontal="right" vertical="center" wrapText="1"/>
    </xf>
    <xf numFmtId="0" fontId="21" fillId="3" borderId="3" xfId="0" applyFont="1" applyFill="1" applyBorder="1" applyAlignment="1">
      <alignment horizontal="center" vertical="center" wrapText="1"/>
    </xf>
    <xf numFmtId="4" fontId="23" fillId="0" borderId="4" xfId="0" applyNumberFormat="1" applyFont="1" applyBorder="1" applyAlignment="1">
      <alignment horizontal="right" vertical="center" wrapText="1"/>
    </xf>
    <xf numFmtId="43" fontId="24" fillId="0" borderId="0" xfId="3" applyFont="1" applyFill="1" applyAlignment="1">
      <alignment horizontal="left" wrapText="1" readingOrder="1"/>
    </xf>
    <xf numFmtId="4" fontId="21" fillId="2" borderId="4" xfId="0" applyNumberFormat="1" applyFont="1" applyFill="1" applyBorder="1" applyAlignment="1">
      <alignment horizontal="right" vertical="center" wrapText="1"/>
    </xf>
    <xf numFmtId="164" fontId="22" fillId="0" borderId="0" xfId="2" applyFont="1" applyFill="1" applyAlignment="1">
      <alignment horizontal="right" wrapText="1" readingOrder="1"/>
    </xf>
    <xf numFmtId="4" fontId="19" fillId="0" borderId="0" xfId="0" applyNumberFormat="1" applyFont="1"/>
    <xf numFmtId="0" fontId="21" fillId="2" borderId="6" xfId="0" applyFont="1" applyFill="1" applyBorder="1" applyAlignment="1">
      <alignment horizontal="center" vertical="center" wrapText="1"/>
    </xf>
    <xf numFmtId="0" fontId="26" fillId="3" borderId="3" xfId="0" applyFont="1" applyFill="1" applyBorder="1" applyAlignment="1">
      <alignment horizontal="left" vertical="center" wrapText="1"/>
    </xf>
    <xf numFmtId="0" fontId="0" fillId="0" borderId="0" xfId="0" applyAlignment="1">
      <alignment horizontal="center" vertical="center"/>
    </xf>
    <xf numFmtId="4" fontId="23" fillId="0" borderId="4" xfId="0" applyNumberFormat="1" applyFont="1" applyBorder="1" applyAlignment="1">
      <alignment horizontal="center" vertical="center" wrapText="1"/>
    </xf>
    <xf numFmtId="0" fontId="27" fillId="0" borderId="0" xfId="0" applyFont="1" applyAlignment="1">
      <alignment horizontal="center" vertical="center"/>
    </xf>
    <xf numFmtId="0" fontId="27" fillId="0" borderId="0" xfId="0" applyFont="1"/>
    <xf numFmtId="0" fontId="27" fillId="0" borderId="0" xfId="0" applyFont="1" applyAlignment="1">
      <alignment horizontal="left" vertical="center"/>
    </xf>
    <xf numFmtId="0" fontId="28" fillId="0" borderId="0" xfId="0" applyFont="1" applyAlignment="1">
      <alignment horizontal="left" vertical="center"/>
    </xf>
    <xf numFmtId="4" fontId="21" fillId="0" borderId="0" xfId="0" applyNumberFormat="1" applyFont="1" applyAlignment="1">
      <alignment horizontal="right" vertical="center" wrapText="1"/>
    </xf>
    <xf numFmtId="0" fontId="29" fillId="0" borderId="0" xfId="0" applyFont="1" applyAlignment="1">
      <alignment vertical="center"/>
    </xf>
    <xf numFmtId="0" fontId="29" fillId="0" borderId="0" xfId="0" applyFont="1" applyAlignment="1">
      <alignment horizontal="justify" vertical="center"/>
    </xf>
    <xf numFmtId="0" fontId="29" fillId="0" borderId="0" xfId="0" applyFont="1" applyAlignment="1">
      <alignment horizontal="left" vertical="center" wrapText="1"/>
    </xf>
    <xf numFmtId="0" fontId="28" fillId="0" borderId="0" xfId="0" applyFont="1"/>
    <xf numFmtId="0" fontId="21" fillId="2" borderId="1" xfId="0" applyFont="1" applyFill="1" applyBorder="1" applyAlignment="1">
      <alignment vertical="center" wrapText="1"/>
    </xf>
    <xf numFmtId="0" fontId="21" fillId="2" borderId="3" xfId="0" applyFont="1" applyFill="1" applyBorder="1" applyAlignment="1">
      <alignment horizontal="center" vertical="center" wrapText="1"/>
    </xf>
    <xf numFmtId="0" fontId="4" fillId="2" borderId="1" xfId="0" applyFont="1" applyFill="1" applyBorder="1" applyAlignment="1">
      <alignment vertical="center" wrapText="1"/>
    </xf>
    <xf numFmtId="0" fontId="6" fillId="0" borderId="5" xfId="0" applyFont="1" applyBorder="1"/>
    <xf numFmtId="0" fontId="4" fillId="2" borderId="3" xfId="0" applyFont="1" applyFill="1" applyBorder="1" applyAlignment="1">
      <alignment horizontal="center" vertical="center" wrapText="1"/>
    </xf>
    <xf numFmtId="0" fontId="8" fillId="0" borderId="0" xfId="0" applyFont="1" applyAlignment="1">
      <alignment readingOrder="1"/>
    </xf>
    <xf numFmtId="9" fontId="2" fillId="0" borderId="0" xfId="4" applyFont="1"/>
    <xf numFmtId="4" fontId="2" fillId="0" borderId="0" xfId="0" applyNumberFormat="1" applyFont="1"/>
    <xf numFmtId="0" fontId="33" fillId="4" borderId="10" xfId="0" applyFont="1" applyFill="1" applyBorder="1" applyAlignment="1">
      <alignment horizontal="center" vertical="center"/>
    </xf>
    <xf numFmtId="0" fontId="32" fillId="5" borderId="11" xfId="0" applyFont="1" applyFill="1" applyBorder="1" applyAlignment="1">
      <alignment vertical="center" wrapText="1" readingOrder="1"/>
    </xf>
    <xf numFmtId="0" fontId="32" fillId="5" borderId="12" xfId="0" applyFont="1" applyFill="1" applyBorder="1" applyAlignment="1">
      <alignment horizontal="center" vertical="center" wrapText="1" readingOrder="1"/>
    </xf>
    <xf numFmtId="3" fontId="32" fillId="5" borderId="12" xfId="0" applyNumberFormat="1" applyFont="1" applyFill="1" applyBorder="1" applyAlignment="1">
      <alignment horizontal="center" vertical="center" wrapText="1" readingOrder="1"/>
    </xf>
    <xf numFmtId="0" fontId="5" fillId="0" borderId="13" xfId="0" applyFont="1" applyBorder="1" applyAlignment="1">
      <alignment vertical="center" wrapText="1"/>
    </xf>
    <xf numFmtId="0" fontId="34" fillId="6" borderId="13" xfId="0" applyFont="1" applyFill="1" applyBorder="1" applyAlignment="1">
      <alignment vertical="center" wrapText="1"/>
    </xf>
    <xf numFmtId="4" fontId="5" fillId="0" borderId="13" xfId="0" applyNumberFormat="1" applyFont="1" applyBorder="1" applyAlignment="1">
      <alignment horizontal="right" vertical="center" wrapText="1"/>
    </xf>
    <xf numFmtId="164" fontId="2" fillId="0" borderId="0" xfId="0" applyNumberFormat="1" applyFont="1"/>
    <xf numFmtId="0" fontId="5" fillId="0" borderId="13" xfId="0" applyFont="1" applyBorder="1" applyAlignment="1">
      <alignment horizontal="right" vertical="center" wrapText="1"/>
    </xf>
    <xf numFmtId="0" fontId="34" fillId="7" borderId="13" xfId="0" applyFont="1" applyFill="1" applyBorder="1" applyAlignment="1">
      <alignment vertical="center" wrapText="1"/>
    </xf>
    <xf numFmtId="4" fontId="5" fillId="7" borderId="4" xfId="0" applyNumberFormat="1" applyFont="1" applyFill="1" applyBorder="1" applyAlignment="1">
      <alignment horizontal="right" vertical="center" wrapText="1"/>
    </xf>
    <xf numFmtId="0" fontId="34" fillId="6" borderId="4" xfId="0" applyFont="1" applyFill="1" applyBorder="1" applyAlignment="1">
      <alignment horizontal="right" vertical="center" wrapText="1"/>
    </xf>
    <xf numFmtId="0" fontId="34" fillId="6" borderId="13" xfId="0" applyFont="1" applyFill="1" applyBorder="1" applyAlignment="1">
      <alignment horizontal="right" vertical="center" wrapText="1"/>
    </xf>
    <xf numFmtId="0" fontId="2" fillId="6" borderId="4" xfId="0" applyFont="1" applyFill="1" applyBorder="1" applyAlignment="1">
      <alignment horizontal="right" vertical="center" wrapText="1"/>
    </xf>
    <xf numFmtId="0" fontId="2" fillId="6" borderId="13" xfId="0" applyFont="1" applyFill="1" applyBorder="1" applyAlignment="1">
      <alignment horizontal="right" vertical="center" wrapText="1"/>
    </xf>
    <xf numFmtId="0" fontId="2" fillId="6" borderId="13" xfId="0" applyFont="1" applyFill="1" applyBorder="1" applyAlignment="1">
      <alignment horizontal="right" vertical="center"/>
    </xf>
    <xf numFmtId="0" fontId="4" fillId="4" borderId="13" xfId="0" applyFont="1" applyFill="1" applyBorder="1" applyAlignment="1">
      <alignment vertical="center" wrapText="1"/>
    </xf>
    <xf numFmtId="4" fontId="4" fillId="4" borderId="4" xfId="0" applyNumberFormat="1" applyFont="1" applyFill="1" applyBorder="1" applyAlignment="1">
      <alignment horizontal="right" vertical="center" wrapText="1"/>
    </xf>
    <xf numFmtId="0" fontId="7" fillId="0" borderId="0" xfId="0" applyFont="1" applyAlignment="1">
      <alignment horizontal="left"/>
    </xf>
    <xf numFmtId="0" fontId="35" fillId="0" borderId="0" xfId="0" applyFont="1" applyAlignment="1">
      <alignment horizontal="right"/>
    </xf>
    <xf numFmtId="0" fontId="36" fillId="0" borderId="0" xfId="0" applyFont="1" applyAlignment="1">
      <alignment horizontal="center" vertical="center"/>
    </xf>
    <xf numFmtId="0" fontId="35" fillId="0" borderId="0" xfId="0" applyFont="1"/>
    <xf numFmtId="0" fontId="35" fillId="0" borderId="0" xfId="0" applyFont="1" applyAlignment="1">
      <alignment horizontal="left"/>
    </xf>
    <xf numFmtId="0" fontId="32" fillId="5" borderId="13" xfId="0" applyFont="1" applyFill="1" applyBorder="1" applyAlignment="1">
      <alignment horizontal="left" vertical="center" wrapText="1"/>
    </xf>
    <xf numFmtId="0" fontId="32" fillId="5" borderId="13" xfId="0" applyFont="1" applyFill="1" applyBorder="1" applyAlignment="1">
      <alignment horizontal="center" vertical="center" wrapText="1"/>
    </xf>
    <xf numFmtId="0" fontId="32" fillId="8" borderId="13" xfId="0" applyFont="1" applyFill="1" applyBorder="1" applyAlignment="1">
      <alignment horizontal="left" vertical="center" wrapText="1"/>
    </xf>
    <xf numFmtId="0" fontId="32" fillId="8" borderId="13" xfId="0" applyFont="1" applyFill="1" applyBorder="1" applyAlignment="1">
      <alignment horizontal="center" vertical="center" wrapText="1"/>
    </xf>
    <xf numFmtId="0" fontId="37" fillId="6" borderId="14" xfId="0" applyFont="1" applyFill="1" applyBorder="1" applyAlignment="1">
      <alignment vertical="center" wrapText="1"/>
    </xf>
    <xf numFmtId="0" fontId="7" fillId="0" borderId="10" xfId="0" applyFont="1" applyBorder="1" applyAlignment="1">
      <alignment horizontal="center"/>
    </xf>
    <xf numFmtId="164" fontId="35" fillId="0" borderId="10" xfId="0" applyNumberFormat="1" applyFont="1" applyBorder="1" applyAlignment="1">
      <alignment horizontal="center"/>
    </xf>
    <xf numFmtId="164" fontId="35" fillId="0" borderId="10" xfId="1" applyNumberFormat="1" applyFont="1" applyBorder="1"/>
    <xf numFmtId="9" fontId="35" fillId="0" borderId="10" xfId="4" applyFont="1" applyBorder="1"/>
    <xf numFmtId="4" fontId="32" fillId="9" borderId="6" xfId="0" applyNumberFormat="1" applyFont="1" applyFill="1" applyBorder="1" applyAlignment="1">
      <alignment horizontal="left" vertical="center" wrapText="1"/>
    </xf>
    <xf numFmtId="4" fontId="32" fillId="9" borderId="6" xfId="0" applyNumberFormat="1" applyFont="1" applyFill="1" applyBorder="1" applyAlignment="1">
      <alignment horizontal="center" vertical="center" wrapText="1"/>
    </xf>
    <xf numFmtId="0" fontId="38" fillId="0" borderId="13" xfId="0" applyFont="1" applyBorder="1" applyAlignment="1">
      <alignment horizontal="left" vertical="center"/>
    </xf>
    <xf numFmtId="4" fontId="38" fillId="0" borderId="13" xfId="0" applyNumberFormat="1" applyFont="1" applyBorder="1" applyAlignment="1">
      <alignment horizontal="right" vertical="center"/>
    </xf>
    <xf numFmtId="0" fontId="35" fillId="0" borderId="10" xfId="0" applyFont="1" applyBorder="1" applyAlignment="1">
      <alignment horizontal="center"/>
    </xf>
    <xf numFmtId="9" fontId="35" fillId="0" borderId="0" xfId="4" applyFont="1"/>
    <xf numFmtId="165" fontId="35" fillId="0" borderId="10" xfId="4" applyNumberFormat="1" applyFont="1" applyBorder="1"/>
    <xf numFmtId="4" fontId="35" fillId="0" borderId="0" xfId="0" applyNumberFormat="1" applyFont="1"/>
    <xf numFmtId="0" fontId="36" fillId="0" borderId="10" xfId="0" applyFont="1" applyBorder="1" applyAlignment="1">
      <alignment horizontal="center"/>
    </xf>
    <xf numFmtId="164" fontId="36" fillId="0" borderId="10" xfId="0" applyNumberFormat="1" applyFont="1" applyBorder="1" applyAlignment="1">
      <alignment horizontal="center"/>
    </xf>
    <xf numFmtId="164" fontId="36" fillId="0" borderId="10" xfId="1" applyNumberFormat="1" applyFont="1" applyBorder="1"/>
    <xf numFmtId="9" fontId="36" fillId="0" borderId="10" xfId="4" applyFont="1" applyBorder="1" applyAlignment="1">
      <alignment horizontal="right"/>
    </xf>
    <xf numFmtId="43" fontId="35" fillId="0" borderId="0" xfId="0" applyNumberFormat="1" applyFont="1"/>
    <xf numFmtId="4" fontId="38" fillId="7" borderId="6" xfId="0" applyNumberFormat="1" applyFont="1" applyFill="1" applyBorder="1" applyAlignment="1">
      <alignment horizontal="left" vertical="center" wrapText="1"/>
    </xf>
    <xf numFmtId="4" fontId="38" fillId="7" borderId="6" xfId="0" applyNumberFormat="1" applyFont="1" applyFill="1" applyBorder="1" applyAlignment="1">
      <alignment vertical="center" wrapText="1"/>
    </xf>
    <xf numFmtId="4" fontId="32" fillId="4" borderId="6" xfId="0" applyNumberFormat="1" applyFont="1" applyFill="1" applyBorder="1" applyAlignment="1">
      <alignment horizontal="left" vertical="center" wrapText="1"/>
    </xf>
    <xf numFmtId="4" fontId="32" fillId="4" borderId="6" xfId="0" applyNumberFormat="1" applyFont="1" applyFill="1" applyBorder="1" applyAlignment="1">
      <alignment horizontal="center" vertical="center" wrapText="1"/>
    </xf>
    <xf numFmtId="4" fontId="35" fillId="0" borderId="0" xfId="0" applyNumberFormat="1" applyFont="1" applyAlignment="1">
      <alignment horizontal="right"/>
    </xf>
    <xf numFmtId="9" fontId="35" fillId="0" borderId="0" xfId="0" applyNumberFormat="1" applyFont="1" applyAlignment="1">
      <alignment horizontal="right"/>
    </xf>
    <xf numFmtId="165" fontId="35" fillId="0" borderId="0" xfId="4" applyNumberFormat="1" applyFont="1" applyAlignment="1">
      <alignment horizontal="right"/>
    </xf>
    <xf numFmtId="165" fontId="35" fillId="0" borderId="0" xfId="0" applyNumberFormat="1" applyFont="1" applyAlignment="1">
      <alignment horizontal="right"/>
    </xf>
    <xf numFmtId="0" fontId="40" fillId="0" borderId="0" xfId="0" applyFont="1" applyAlignment="1">
      <alignment horizontal="center"/>
    </xf>
    <xf numFmtId="0" fontId="4" fillId="4" borderId="0" xfId="0" applyFont="1" applyFill="1" applyAlignment="1">
      <alignment horizontal="center" vertical="center" wrapText="1"/>
    </xf>
    <xf numFmtId="0" fontId="4" fillId="5" borderId="3" xfId="0" applyFont="1" applyFill="1" applyBorder="1" applyAlignment="1">
      <alignment horizontal="center" vertical="center" wrapText="1"/>
    </xf>
    <xf numFmtId="0" fontId="4" fillId="5" borderId="4" xfId="0" applyFont="1" applyFill="1" applyBorder="1" applyAlignment="1">
      <alignment horizontal="center" vertical="center" wrapText="1"/>
    </xf>
    <xf numFmtId="4" fontId="5" fillId="0" borderId="13" xfId="0" applyNumberFormat="1" applyFont="1" applyBorder="1" applyAlignment="1">
      <alignment horizontal="left" vertical="center"/>
    </xf>
    <xf numFmtId="4" fontId="5" fillId="0" borderId="13" xfId="0" applyNumberFormat="1" applyFont="1" applyBorder="1" applyAlignment="1">
      <alignment horizontal="right" vertical="center"/>
    </xf>
    <xf numFmtId="165" fontId="2" fillId="0" borderId="0" xfId="4" applyNumberFormat="1" applyFont="1"/>
    <xf numFmtId="0" fontId="4" fillId="4" borderId="2" xfId="0" applyFont="1" applyFill="1" applyBorder="1" applyAlignment="1">
      <alignment horizontal="center" vertical="center" wrapText="1"/>
    </xf>
    <xf numFmtId="0" fontId="4" fillId="5" borderId="1" xfId="0" applyFont="1" applyFill="1" applyBorder="1" applyAlignment="1">
      <alignment horizontal="center" vertical="center" wrapText="1"/>
    </xf>
    <xf numFmtId="0" fontId="41" fillId="5" borderId="1" xfId="0" applyFont="1" applyFill="1" applyBorder="1" applyAlignment="1">
      <alignment horizontal="center" vertical="center" wrapText="1"/>
    </xf>
    <xf numFmtId="0" fontId="5" fillId="0" borderId="3" xfId="0" applyFont="1" applyBorder="1" applyAlignment="1">
      <alignment vertical="center" wrapText="1"/>
    </xf>
    <xf numFmtId="4" fontId="5" fillId="0" borderId="4" xfId="0" applyNumberFormat="1" applyFont="1" applyBorder="1" applyAlignment="1">
      <alignment horizontal="right" vertical="center"/>
    </xf>
    <xf numFmtId="0" fontId="4" fillId="4" borderId="3" xfId="0" applyFont="1" applyFill="1" applyBorder="1" applyAlignment="1">
      <alignment horizontal="center" vertical="center" wrapText="1"/>
    </xf>
    <xf numFmtId="0" fontId="31" fillId="0" borderId="0" xfId="0" applyFont="1"/>
    <xf numFmtId="0" fontId="39" fillId="0" borderId="0" xfId="0" applyFont="1" applyAlignment="1">
      <alignment vertical="center"/>
    </xf>
    <xf numFmtId="0" fontId="33" fillId="10" borderId="10" xfId="0" applyFont="1" applyFill="1" applyBorder="1" applyAlignment="1">
      <alignment horizontal="center" vertical="center"/>
    </xf>
    <xf numFmtId="0" fontId="4" fillId="5" borderId="1" xfId="0" applyFont="1" applyFill="1" applyBorder="1" applyAlignment="1">
      <alignment horizontal="left" vertical="center" wrapText="1"/>
    </xf>
    <xf numFmtId="0" fontId="33" fillId="11" borderId="10" xfId="0" applyFont="1" applyFill="1" applyBorder="1" applyAlignment="1">
      <alignment horizontal="center" vertical="center"/>
    </xf>
    <xf numFmtId="164" fontId="33" fillId="11" borderId="10" xfId="0" applyNumberFormat="1" applyFont="1" applyFill="1" applyBorder="1" applyAlignment="1">
      <alignment horizontal="right" vertical="center"/>
    </xf>
    <xf numFmtId="0" fontId="5" fillId="12" borderId="6" xfId="0" applyFont="1" applyFill="1" applyBorder="1" applyAlignment="1">
      <alignment vertical="center" wrapText="1"/>
    </xf>
    <xf numFmtId="4" fontId="34" fillId="12" borderId="14" xfId="0" applyNumberFormat="1" applyFont="1" applyFill="1" applyBorder="1" applyAlignment="1">
      <alignment vertical="center" wrapText="1"/>
    </xf>
    <xf numFmtId="4" fontId="34" fillId="12" borderId="0" xfId="0" applyNumberFormat="1" applyFont="1" applyFill="1" applyAlignment="1">
      <alignment vertical="center" wrapText="1"/>
    </xf>
    <xf numFmtId="0" fontId="42" fillId="0" borderId="10" xfId="0" applyFont="1" applyBorder="1" applyAlignment="1">
      <alignment horizontal="left" indent="1"/>
    </xf>
    <xf numFmtId="164" fontId="42" fillId="0" borderId="10" xfId="0" applyNumberFormat="1" applyFont="1" applyBorder="1"/>
    <xf numFmtId="2" fontId="5" fillId="0" borderId="0" xfId="0" applyNumberFormat="1" applyFont="1" applyAlignment="1">
      <alignment horizontal="right" vertical="center" wrapText="1"/>
    </xf>
    <xf numFmtId="2" fontId="35" fillId="0" borderId="0" xfId="0" applyNumberFormat="1" applyFont="1"/>
    <xf numFmtId="0" fontId="5" fillId="12" borderId="3" xfId="0" applyFont="1" applyFill="1" applyBorder="1" applyAlignment="1">
      <alignment vertical="center" wrapText="1"/>
    </xf>
    <xf numFmtId="4" fontId="5" fillId="0" borderId="0" xfId="0" applyNumberFormat="1" applyFont="1" applyAlignment="1">
      <alignment horizontal="right" vertical="center" wrapText="1"/>
    </xf>
    <xf numFmtId="0" fontId="2" fillId="0" borderId="10" xfId="0" applyFont="1" applyBorder="1"/>
    <xf numFmtId="0" fontId="5" fillId="0" borderId="0" xfId="0" applyFont="1" applyAlignment="1">
      <alignment horizontal="right" vertical="center" wrapText="1"/>
    </xf>
    <xf numFmtId="0" fontId="2" fillId="0" borderId="17" xfId="0" applyFont="1" applyBorder="1"/>
    <xf numFmtId="166" fontId="35" fillId="0" borderId="0" xfId="0" applyNumberFormat="1" applyFont="1"/>
    <xf numFmtId="164" fontId="35" fillId="0" borderId="0" xfId="0" applyNumberFormat="1" applyFont="1"/>
    <xf numFmtId="0" fontId="32" fillId="4" borderId="0" xfId="0" applyFont="1" applyFill="1" applyAlignment="1">
      <alignment horizontal="left" vertical="center" wrapText="1"/>
    </xf>
    <xf numFmtId="4" fontId="32" fillId="4" borderId="0" xfId="1" applyNumberFormat="1" applyFont="1" applyFill="1" applyAlignment="1">
      <alignment horizontal="center" vertical="center" wrapText="1"/>
    </xf>
    <xf numFmtId="167" fontId="35" fillId="0" borderId="0" xfId="0" applyNumberFormat="1" applyFont="1"/>
    <xf numFmtId="43" fontId="43" fillId="7" borderId="0" xfId="1" applyFont="1" applyFill="1" applyAlignment="1">
      <alignment horizontal="right" wrapText="1"/>
    </xf>
    <xf numFmtId="43" fontId="2" fillId="7" borderId="0" xfId="1" applyFont="1" applyFill="1" applyAlignment="1">
      <alignment horizontal="right" wrapText="1"/>
    </xf>
    <xf numFmtId="0" fontId="31" fillId="0" borderId="0" xfId="0" applyFont="1" applyAlignment="1">
      <alignment horizontal="center" vertical="center"/>
    </xf>
    <xf numFmtId="0" fontId="38" fillId="12" borderId="6" xfId="0" applyFont="1" applyFill="1" applyBorder="1" applyAlignment="1">
      <alignment vertical="center" wrapText="1"/>
    </xf>
    <xf numFmtId="4" fontId="5" fillId="12" borderId="6" xfId="0" applyNumberFormat="1" applyFont="1" applyFill="1" applyBorder="1" applyAlignment="1">
      <alignment horizontal="right" vertical="center" wrapText="1"/>
    </xf>
    <xf numFmtId="0" fontId="38" fillId="0" borderId="3" xfId="0" applyFont="1" applyBorder="1" applyAlignment="1">
      <alignment vertical="center" wrapText="1"/>
    </xf>
    <xf numFmtId="0" fontId="38" fillId="12" borderId="3" xfId="0" applyFont="1" applyFill="1" applyBorder="1" applyAlignment="1">
      <alignment vertical="center" wrapText="1"/>
    </xf>
    <xf numFmtId="4" fontId="32" fillId="4" borderId="0" xfId="0" applyNumberFormat="1" applyFont="1" applyFill="1" applyAlignment="1">
      <alignment horizontal="right" vertical="center" wrapText="1"/>
    </xf>
    <xf numFmtId="0" fontId="44" fillId="10" borderId="10" xfId="0" applyFont="1" applyFill="1" applyBorder="1" applyAlignment="1">
      <alignment horizontal="center" vertical="center"/>
    </xf>
    <xf numFmtId="0" fontId="4" fillId="5" borderId="3" xfId="0" applyFont="1" applyFill="1" applyBorder="1" applyAlignment="1">
      <alignment vertical="center" wrapText="1"/>
    </xf>
    <xf numFmtId="0" fontId="46" fillId="0" borderId="10" xfId="5" applyFont="1" applyBorder="1" applyAlignment="1">
      <alignment horizontal="center" vertical="center"/>
    </xf>
    <xf numFmtId="168" fontId="46" fillId="0" borderId="10" xfId="5" applyNumberFormat="1" applyFont="1" applyBorder="1" applyAlignment="1">
      <alignment vertical="center"/>
    </xf>
    <xf numFmtId="165" fontId="47" fillId="0" borderId="10" xfId="4" applyNumberFormat="1" applyFont="1" applyFill="1" applyBorder="1" applyAlignment="1">
      <alignment horizontal="center" vertical="center"/>
    </xf>
    <xf numFmtId="9" fontId="42" fillId="0" borderId="0" xfId="4" applyFont="1" applyAlignment="1">
      <alignment horizontal="center" vertical="center"/>
    </xf>
    <xf numFmtId="0" fontId="5" fillId="0" borderId="3" xfId="0" applyFont="1" applyBorder="1" applyAlignment="1">
      <alignment horizontal="left" vertical="center" wrapText="1"/>
    </xf>
    <xf numFmtId="0" fontId="2" fillId="0" borderId="4" xfId="0" applyFont="1" applyBorder="1" applyAlignment="1">
      <alignment horizontal="right" vertical="center" wrapText="1"/>
    </xf>
    <xf numFmtId="4" fontId="41" fillId="5" borderId="4" xfId="0" applyNumberFormat="1" applyFont="1" applyFill="1" applyBorder="1" applyAlignment="1">
      <alignment horizontal="right" vertical="center" wrapText="1"/>
    </xf>
    <xf numFmtId="0" fontId="4" fillId="4" borderId="4" xfId="0" applyFont="1" applyFill="1" applyBorder="1" applyAlignment="1">
      <alignment horizontal="right" vertical="center" wrapText="1"/>
    </xf>
    <xf numFmtId="2" fontId="4" fillId="4" borderId="4" xfId="0" applyNumberFormat="1" applyFont="1" applyFill="1" applyBorder="1" applyAlignment="1">
      <alignment horizontal="right" vertical="center" wrapText="1"/>
    </xf>
    <xf numFmtId="165" fontId="35" fillId="0" borderId="0" xfId="4" applyNumberFormat="1" applyFont="1"/>
    <xf numFmtId="0" fontId="32" fillId="0" borderId="0" xfId="0" applyFont="1" applyAlignment="1">
      <alignment horizontal="center" vertical="center" wrapText="1"/>
    </xf>
    <xf numFmtId="4" fontId="5" fillId="0" borderId="4" xfId="0" applyNumberFormat="1" applyFont="1" applyBorder="1" applyAlignment="1">
      <alignment horizontal="center" vertical="center" wrapText="1"/>
    </xf>
    <xf numFmtId="43" fontId="43" fillId="0" borderId="0" xfId="1" applyFont="1" applyFill="1" applyBorder="1" applyAlignment="1">
      <alignment horizontal="center" vertical="center" wrapText="1"/>
    </xf>
    <xf numFmtId="0" fontId="48" fillId="0" borderId="0" xfId="0" applyFont="1"/>
    <xf numFmtId="0" fontId="49" fillId="0" borderId="0" xfId="0" applyFont="1"/>
    <xf numFmtId="2" fontId="11" fillId="0" borderId="0" xfId="0" applyNumberFormat="1" applyFont="1"/>
    <xf numFmtId="2" fontId="5" fillId="0" borderId="4" xfId="0" applyNumberFormat="1" applyFont="1" applyBorder="1" applyAlignment="1">
      <alignment horizontal="center" vertical="center" wrapText="1"/>
    </xf>
    <xf numFmtId="0" fontId="30" fillId="0" borderId="0" xfId="0" applyFont="1"/>
    <xf numFmtId="0" fontId="4" fillId="5" borderId="3" xfId="0" applyFont="1" applyFill="1" applyBorder="1" applyAlignment="1">
      <alignment horizontal="left" vertical="center" wrapText="1"/>
    </xf>
    <xf numFmtId="3" fontId="5" fillId="0" borderId="6" xfId="0" applyNumberFormat="1" applyFont="1" applyBorder="1" applyAlignment="1">
      <alignment horizontal="right" vertical="center" wrapText="1"/>
    </xf>
    <xf numFmtId="3" fontId="5" fillId="0" borderId="2" xfId="0" applyNumberFormat="1" applyFont="1" applyBorder="1" applyAlignment="1">
      <alignment horizontal="right" vertical="center" wrapText="1"/>
    </xf>
    <xf numFmtId="3" fontId="5" fillId="0" borderId="3" xfId="0" applyNumberFormat="1" applyFont="1" applyBorder="1" applyAlignment="1">
      <alignment horizontal="right" vertical="center" wrapText="1"/>
    </xf>
    <xf numFmtId="0" fontId="11" fillId="0" borderId="0" xfId="0" applyFont="1" applyAlignment="1">
      <alignment horizontal="left" wrapText="1"/>
    </xf>
    <xf numFmtId="0" fontId="4" fillId="5" borderId="0" xfId="0" applyFont="1" applyFill="1" applyAlignment="1">
      <alignment horizontal="center" vertical="center" wrapText="1"/>
    </xf>
    <xf numFmtId="4" fontId="50" fillId="0" borderId="4" xfId="0" applyNumberFormat="1" applyFont="1" applyBorder="1" applyAlignment="1">
      <alignment horizontal="right" vertical="center" wrapText="1"/>
    </xf>
    <xf numFmtId="0" fontId="5" fillId="0" borderId="1" xfId="0" applyFont="1" applyBorder="1" applyAlignment="1">
      <alignment vertical="center" wrapText="1"/>
    </xf>
    <xf numFmtId="4" fontId="50" fillId="0" borderId="1" xfId="0" applyNumberFormat="1" applyFont="1" applyBorder="1" applyAlignment="1">
      <alignment vertical="center" wrapText="1"/>
    </xf>
    <xf numFmtId="4" fontId="50" fillId="0" borderId="20" xfId="0" applyNumberFormat="1" applyFont="1" applyBorder="1" applyAlignment="1">
      <alignment vertical="center" wrapText="1"/>
    </xf>
    <xf numFmtId="0" fontId="50" fillId="0" borderId="1" xfId="0" applyFont="1" applyBorder="1" applyAlignment="1">
      <alignment vertical="center" wrapText="1"/>
    </xf>
    <xf numFmtId="0" fontId="50" fillId="0" borderId="20" xfId="0" applyFont="1" applyBorder="1" applyAlignment="1">
      <alignment vertical="center" wrapText="1"/>
    </xf>
    <xf numFmtId="0" fontId="5" fillId="0" borderId="0" xfId="0" applyFont="1" applyAlignment="1">
      <alignment horizontal="left" vertical="center" wrapText="1"/>
    </xf>
    <xf numFmtId="4" fontId="50" fillId="0" borderId="0" xfId="0" applyNumberFormat="1" applyFont="1" applyAlignment="1">
      <alignment horizontal="right" vertical="center" wrapText="1"/>
    </xf>
    <xf numFmtId="3" fontId="50" fillId="0" borderId="4" xfId="0" applyNumberFormat="1" applyFont="1" applyBorder="1" applyAlignment="1">
      <alignment horizontal="center" vertical="center" wrapText="1"/>
    </xf>
    <xf numFmtId="3" fontId="50" fillId="0" borderId="1" xfId="0" applyNumberFormat="1" applyFont="1" applyBorder="1" applyAlignment="1">
      <alignment horizontal="center" vertical="center" wrapText="1"/>
    </xf>
    <xf numFmtId="0" fontId="4" fillId="0" borderId="0" xfId="0" applyFont="1" applyAlignment="1">
      <alignment vertical="center" wrapText="1"/>
    </xf>
    <xf numFmtId="0" fontId="17" fillId="0" borderId="3" xfId="0" applyFont="1" applyBorder="1" applyAlignment="1">
      <alignment vertical="center" wrapText="1"/>
    </xf>
    <xf numFmtId="3" fontId="43" fillId="0" borderId="4" xfId="0" applyNumberFormat="1" applyFont="1" applyBorder="1" applyAlignment="1">
      <alignment horizontal="right" vertical="center" wrapText="1"/>
    </xf>
    <xf numFmtId="0" fontId="17" fillId="0" borderId="20" xfId="0" applyFont="1" applyBorder="1" applyAlignment="1">
      <alignment vertical="center" wrapText="1"/>
    </xf>
    <xf numFmtId="3" fontId="43" fillId="0" borderId="21" xfId="0" applyNumberFormat="1" applyFont="1" applyBorder="1" applyAlignment="1">
      <alignment horizontal="right" vertical="center" wrapText="1"/>
    </xf>
    <xf numFmtId="3" fontId="11" fillId="0" borderId="0" xfId="0" applyNumberFormat="1" applyFont="1"/>
    <xf numFmtId="169" fontId="38" fillId="0" borderId="4" xfId="0" applyNumberFormat="1" applyFont="1" applyBorder="1" applyAlignment="1">
      <alignment horizontal="right" vertical="center" wrapText="1"/>
    </xf>
    <xf numFmtId="169" fontId="38" fillId="0" borderId="1" xfId="0" applyNumberFormat="1" applyFont="1" applyBorder="1" applyAlignment="1">
      <alignment horizontal="right" vertical="center" wrapText="1"/>
    </xf>
    <xf numFmtId="169" fontId="11" fillId="0" borderId="0" xfId="0" applyNumberFormat="1" applyFont="1"/>
    <xf numFmtId="3" fontId="38" fillId="0" borderId="4" xfId="0" applyNumberFormat="1" applyFont="1" applyBorder="1" applyAlignment="1">
      <alignment horizontal="right" vertical="center" wrapText="1"/>
    </xf>
    <xf numFmtId="0" fontId="5" fillId="0" borderId="3" xfId="0" applyFont="1" applyBorder="1" applyAlignment="1">
      <alignment vertical="center"/>
    </xf>
    <xf numFmtId="0" fontId="5" fillId="0" borderId="4" xfId="0" applyFont="1" applyBorder="1" applyAlignment="1">
      <alignment horizontal="right" vertical="center"/>
    </xf>
    <xf numFmtId="2" fontId="5" fillId="0" borderId="4" xfId="0" applyNumberFormat="1" applyFont="1" applyBorder="1" applyAlignment="1">
      <alignment horizontal="right" vertical="center" wrapText="1"/>
    </xf>
    <xf numFmtId="9" fontId="0" fillId="0" borderId="0" xfId="4" applyFont="1"/>
    <xf numFmtId="0" fontId="34" fillId="7" borderId="3" xfId="0" applyFont="1" applyFill="1" applyBorder="1" applyAlignment="1">
      <alignment vertical="center" wrapText="1"/>
    </xf>
    <xf numFmtId="4" fontId="34" fillId="7" borderId="4" xfId="0" applyNumberFormat="1" applyFont="1" applyFill="1" applyBorder="1" applyAlignment="1">
      <alignment horizontal="right" vertical="center" wrapText="1"/>
    </xf>
    <xf numFmtId="0" fontId="34" fillId="7" borderId="4" xfId="0" applyFont="1" applyFill="1" applyBorder="1" applyAlignment="1">
      <alignment horizontal="right" vertical="center" wrapText="1"/>
    </xf>
    <xf numFmtId="2" fontId="34" fillId="7" borderId="4" xfId="0" applyNumberFormat="1" applyFont="1" applyFill="1" applyBorder="1" applyAlignment="1">
      <alignment horizontal="right" vertical="center" wrapText="1"/>
    </xf>
    <xf numFmtId="2" fontId="0" fillId="0" borderId="0" xfId="0" applyNumberFormat="1"/>
    <xf numFmtId="0" fontId="2" fillId="13" borderId="0" xfId="0" applyFont="1" applyFill="1"/>
    <xf numFmtId="0" fontId="0" fillId="0" borderId="10" xfId="0" applyBorder="1"/>
    <xf numFmtId="4" fontId="0" fillId="0" borderId="10" xfId="0" applyNumberFormat="1" applyBorder="1"/>
    <xf numFmtId="3" fontId="0" fillId="0" borderId="10" xfId="0" applyNumberFormat="1" applyBorder="1"/>
    <xf numFmtId="170" fontId="0" fillId="0" borderId="0" xfId="0" applyNumberFormat="1"/>
    <xf numFmtId="0" fontId="52" fillId="0" borderId="0" xfId="0" applyFont="1" applyAlignment="1">
      <alignment horizontal="left" vertical="center"/>
    </xf>
    <xf numFmtId="0" fontId="53" fillId="0" borderId="0" xfId="0" applyFont="1" applyAlignment="1">
      <alignment horizontal="left" vertical="center"/>
    </xf>
    <xf numFmtId="0" fontId="53" fillId="0" borderId="0" xfId="0" applyFont="1" applyAlignment="1">
      <alignment horizontal="center" vertical="center"/>
    </xf>
    <xf numFmtId="0" fontId="53" fillId="0" borderId="0" xfId="0" applyFont="1" applyAlignment="1">
      <alignment horizontal="right" vertical="center"/>
    </xf>
    <xf numFmtId="1" fontId="53" fillId="0" borderId="0" xfId="0" applyNumberFormat="1" applyFont="1" applyAlignment="1">
      <alignment horizontal="right" vertical="center"/>
    </xf>
    <xf numFmtId="0" fontId="53" fillId="0" borderId="0" xfId="0" applyFont="1" applyAlignment="1">
      <alignment horizontal="right"/>
    </xf>
    <xf numFmtId="0" fontId="54" fillId="10" borderId="0" xfId="0" applyFont="1" applyFill="1" applyAlignment="1">
      <alignment horizontal="center"/>
    </xf>
    <xf numFmtId="0" fontId="55" fillId="0" borderId="0" xfId="0" applyFont="1" applyAlignment="1">
      <alignment horizontal="center" vertical="center"/>
    </xf>
    <xf numFmtId="0" fontId="53" fillId="0" borderId="0" xfId="0" applyFont="1" applyAlignment="1">
      <alignment horizontal="center"/>
    </xf>
    <xf numFmtId="0" fontId="10" fillId="5" borderId="12" xfId="0" applyFont="1" applyFill="1" applyBorder="1" applyAlignment="1">
      <alignment horizontal="center" vertical="center" wrapText="1" readingOrder="1"/>
    </xf>
    <xf numFmtId="1" fontId="10" fillId="5" borderId="12" xfId="0" applyNumberFormat="1" applyFont="1" applyFill="1" applyBorder="1" applyAlignment="1">
      <alignment horizontal="center" vertical="center" wrapText="1" readingOrder="1"/>
    </xf>
    <xf numFmtId="0" fontId="56" fillId="0" borderId="12" xfId="0" applyFont="1" applyBorder="1" applyAlignment="1">
      <alignment horizontal="left" vertical="center" wrapText="1" readingOrder="1"/>
    </xf>
    <xf numFmtId="0" fontId="56" fillId="0" borderId="12" xfId="0" applyFont="1" applyBorder="1" applyAlignment="1">
      <alignment horizontal="center" vertical="center" wrapText="1" readingOrder="1"/>
    </xf>
    <xf numFmtId="171" fontId="56" fillId="0" borderId="12" xfId="1" applyNumberFormat="1" applyFont="1" applyBorder="1" applyAlignment="1">
      <alignment horizontal="center" vertical="center" wrapText="1" readingOrder="1"/>
    </xf>
    <xf numFmtId="0" fontId="53" fillId="0" borderId="0" xfId="0" applyFont="1" applyAlignment="1">
      <alignment horizontal="left"/>
    </xf>
    <xf numFmtId="0" fontId="57" fillId="15" borderId="12" xfId="0" applyFont="1" applyFill="1" applyBorder="1" applyAlignment="1">
      <alignment horizontal="left" vertical="center" wrapText="1" readingOrder="1"/>
    </xf>
    <xf numFmtId="171" fontId="57" fillId="15" borderId="12" xfId="1" applyNumberFormat="1" applyFont="1" applyFill="1" applyBorder="1" applyAlignment="1">
      <alignment horizontal="center" vertical="center" wrapText="1" readingOrder="1"/>
    </xf>
    <xf numFmtId="0" fontId="10" fillId="14" borderId="12" xfId="0" applyFont="1" applyFill="1" applyBorder="1" applyAlignment="1">
      <alignment horizontal="left" vertical="center" wrapText="1" readingOrder="1"/>
    </xf>
    <xf numFmtId="171" fontId="10" fillId="14" borderId="12" xfId="1" applyNumberFormat="1" applyFont="1" applyFill="1" applyBorder="1" applyAlignment="1">
      <alignment horizontal="center" vertical="center" wrapText="1" readingOrder="1"/>
    </xf>
    <xf numFmtId="0" fontId="58" fillId="0" borderId="0" xfId="0" applyFont="1"/>
    <xf numFmtId="0" fontId="59" fillId="0" borderId="0" xfId="0" applyFont="1"/>
    <xf numFmtId="0" fontId="59" fillId="0" borderId="27" xfId="0" applyFont="1" applyBorder="1" applyAlignment="1">
      <alignment horizontal="center" vertical="center"/>
    </xf>
    <xf numFmtId="0" fontId="58" fillId="0" borderId="28" xfId="0" applyFont="1" applyBorder="1" applyAlignment="1">
      <alignment horizontal="center" vertical="center"/>
    </xf>
    <xf numFmtId="0" fontId="58" fillId="0" borderId="29" xfId="0" applyFont="1" applyBorder="1" applyAlignment="1">
      <alignment horizontal="center" vertical="center" wrapText="1"/>
    </xf>
    <xf numFmtId="0" fontId="59" fillId="16" borderId="29" xfId="0" applyFont="1" applyFill="1" applyBorder="1" applyAlignment="1">
      <alignment horizontal="center" vertical="center"/>
    </xf>
    <xf numFmtId="3" fontId="59" fillId="16" borderId="30" xfId="0" applyNumberFormat="1" applyFont="1" applyFill="1" applyBorder="1" applyAlignment="1">
      <alignment horizontal="center" vertical="center"/>
    </xf>
    <xf numFmtId="3" fontId="59" fillId="16" borderId="10" xfId="0" applyNumberFormat="1" applyFont="1" applyFill="1" applyBorder="1" applyAlignment="1">
      <alignment horizontal="center" vertical="center"/>
    </xf>
    <xf numFmtId="3" fontId="59" fillId="16" borderId="29" xfId="0" applyNumberFormat="1" applyFont="1" applyFill="1" applyBorder="1" applyAlignment="1">
      <alignment horizontal="center" vertical="center"/>
    </xf>
    <xf numFmtId="0" fontId="59" fillId="16" borderId="31" xfId="0" applyFont="1" applyFill="1" applyBorder="1" applyAlignment="1">
      <alignment horizontal="center" vertical="center"/>
    </xf>
    <xf numFmtId="3" fontId="59" fillId="16" borderId="31" xfId="0" applyNumberFormat="1" applyFont="1" applyFill="1" applyBorder="1" applyAlignment="1">
      <alignment horizontal="center" vertical="center"/>
    </xf>
    <xf numFmtId="0" fontId="59" fillId="16" borderId="32" xfId="0" applyFont="1" applyFill="1" applyBorder="1" applyAlignment="1">
      <alignment horizontal="center" vertical="center"/>
    </xf>
    <xf numFmtId="3" fontId="59" fillId="16" borderId="33" xfId="0" applyNumberFormat="1" applyFont="1" applyFill="1" applyBorder="1" applyAlignment="1">
      <alignment horizontal="center" vertical="center"/>
    </xf>
    <xf numFmtId="3" fontId="59" fillId="16" borderId="32" xfId="0" applyNumberFormat="1" applyFont="1" applyFill="1" applyBorder="1" applyAlignment="1">
      <alignment horizontal="center" vertical="center"/>
    </xf>
    <xf numFmtId="0" fontId="59" fillId="0" borderId="34" xfId="0" applyFont="1" applyBorder="1" applyAlignment="1">
      <alignment horizontal="center" vertical="center"/>
    </xf>
    <xf numFmtId="3" fontId="59" fillId="0" borderId="35" xfId="0" applyNumberFormat="1" applyFont="1" applyBorder="1" applyAlignment="1">
      <alignment horizontal="center" vertical="center"/>
    </xf>
    <xf numFmtId="3" fontId="59" fillId="0" borderId="34" xfId="0" applyNumberFormat="1" applyFont="1" applyBorder="1" applyAlignment="1">
      <alignment horizontal="center" vertical="center"/>
    </xf>
    <xf numFmtId="0" fontId="60" fillId="16" borderId="0" xfId="0" applyFont="1" applyFill="1"/>
    <xf numFmtId="0" fontId="61" fillId="16" borderId="0" xfId="0" applyFont="1" applyFill="1"/>
    <xf numFmtId="0" fontId="58" fillId="0" borderId="0" xfId="0" applyFont="1" applyAlignment="1">
      <alignment horizontal="center"/>
    </xf>
    <xf numFmtId="0" fontId="58" fillId="0" borderId="0" xfId="0" applyFont="1" applyAlignment="1">
      <alignment horizontal="center" vertical="center"/>
    </xf>
    <xf numFmtId="171" fontId="53" fillId="0" borderId="0" xfId="1" applyNumberFormat="1" applyFont="1" applyAlignment="1">
      <alignment horizontal="right" vertical="center"/>
    </xf>
    <xf numFmtId="0" fontId="53" fillId="17" borderId="0" xfId="0" applyFont="1" applyFill="1" applyAlignment="1">
      <alignment horizontal="center" vertical="center" wrapText="1"/>
    </xf>
    <xf numFmtId="0" fontId="8" fillId="0" borderId="0" xfId="0" applyFont="1" applyAlignment="1">
      <alignment vertical="center"/>
    </xf>
    <xf numFmtId="0" fontId="55" fillId="0" borderId="0" xfId="0" applyFont="1" applyAlignment="1">
      <alignment vertical="center"/>
    </xf>
    <xf numFmtId="0" fontId="0" fillId="0" borderId="0" xfId="0" applyAlignment="1">
      <alignment horizontal="center"/>
    </xf>
    <xf numFmtId="3" fontId="56" fillId="0" borderId="12" xfId="0" applyNumberFormat="1" applyFont="1" applyBorder="1" applyAlignment="1">
      <alignment horizontal="right" vertical="center" wrapText="1" readingOrder="1"/>
    </xf>
    <xf numFmtId="3" fontId="57" fillId="15" borderId="12" xfId="0" applyNumberFormat="1" applyFont="1" applyFill="1" applyBorder="1" applyAlignment="1">
      <alignment horizontal="right" vertical="center" wrapText="1" readingOrder="1"/>
    </xf>
    <xf numFmtId="3" fontId="57" fillId="0" borderId="12" xfId="0" applyNumberFormat="1" applyFont="1" applyBorder="1" applyAlignment="1">
      <alignment horizontal="right" vertical="center" wrapText="1" readingOrder="1"/>
    </xf>
    <xf numFmtId="3" fontId="10" fillId="14" borderId="12" xfId="0" applyNumberFormat="1" applyFont="1" applyFill="1" applyBorder="1" applyAlignment="1">
      <alignment horizontal="right" vertical="center" wrapText="1" readingOrder="1"/>
    </xf>
    <xf numFmtId="3" fontId="53" fillId="0" borderId="0" xfId="0" applyNumberFormat="1" applyFont="1" applyAlignment="1">
      <alignment horizontal="right" vertical="center"/>
    </xf>
    <xf numFmtId="0" fontId="58" fillId="0" borderId="29" xfId="0" applyFont="1" applyBorder="1" applyAlignment="1">
      <alignment horizontal="center" vertical="center"/>
    </xf>
    <xf numFmtId="3" fontId="53" fillId="0" borderId="0" xfId="1" applyNumberFormat="1" applyFont="1" applyAlignment="1">
      <alignment horizontal="right" vertical="center"/>
    </xf>
    <xf numFmtId="0" fontId="53" fillId="18" borderId="0" xfId="0" applyFont="1" applyFill="1" applyAlignment="1">
      <alignment horizontal="left" vertical="center"/>
    </xf>
    <xf numFmtId="0" fontId="0" fillId="18" borderId="0" xfId="0" applyFill="1"/>
    <xf numFmtId="0" fontId="66" fillId="5" borderId="12" xfId="0" applyFont="1" applyFill="1" applyBorder="1" applyAlignment="1">
      <alignment horizontal="center" vertical="center" wrapText="1" readingOrder="1"/>
    </xf>
    <xf numFmtId="0" fontId="67" fillId="0" borderId="12" xfId="0" applyFont="1" applyBorder="1" applyAlignment="1">
      <alignment horizontal="left" vertical="center" wrapText="1" readingOrder="1"/>
    </xf>
    <xf numFmtId="0" fontId="67" fillId="0" borderId="12" xfId="0" applyFont="1" applyBorder="1" applyAlignment="1">
      <alignment horizontal="center" vertical="center" wrapText="1" readingOrder="1"/>
    </xf>
    <xf numFmtId="0" fontId="68" fillId="15" borderId="12" xfId="0" applyFont="1" applyFill="1" applyBorder="1" applyAlignment="1">
      <alignment horizontal="left" vertical="center" wrapText="1" readingOrder="1"/>
    </xf>
    <xf numFmtId="0" fontId="68" fillId="15" borderId="12" xfId="0" applyFont="1" applyFill="1" applyBorder="1" applyAlignment="1">
      <alignment horizontal="center" vertical="center" wrapText="1" readingOrder="1"/>
    </xf>
    <xf numFmtId="0" fontId="66" fillId="14" borderId="12" xfId="0" applyFont="1" applyFill="1" applyBorder="1" applyAlignment="1">
      <alignment horizontal="left" vertical="center" wrapText="1" readingOrder="1"/>
    </xf>
    <xf numFmtId="0" fontId="66" fillId="14" borderId="12" xfId="0" applyFont="1" applyFill="1" applyBorder="1" applyAlignment="1">
      <alignment horizontal="center" vertical="center" wrapText="1" readingOrder="1"/>
    </xf>
    <xf numFmtId="0" fontId="51" fillId="10" borderId="0" xfId="0" applyFont="1" applyFill="1"/>
    <xf numFmtId="14" fontId="67" fillId="0" borderId="12" xfId="0" applyNumberFormat="1" applyFont="1" applyBorder="1" applyAlignment="1">
      <alignment horizontal="center" vertical="center" wrapText="1" readingOrder="1"/>
    </xf>
    <xf numFmtId="0" fontId="71" fillId="0" borderId="12" xfId="0" applyFont="1" applyBorder="1" applyAlignment="1">
      <alignment horizontal="center" vertical="center" wrapText="1" readingOrder="1"/>
    </xf>
    <xf numFmtId="9" fontId="0" fillId="0" borderId="0" xfId="0" applyNumberFormat="1" applyAlignment="1">
      <alignment horizontal="center"/>
    </xf>
    <xf numFmtId="0" fontId="58" fillId="0" borderId="0" xfId="0" applyFont="1" applyAlignment="1">
      <alignment horizontal="center" vertical="center" wrapText="1"/>
    </xf>
    <xf numFmtId="0" fontId="71" fillId="16" borderId="12" xfId="0" applyFont="1" applyFill="1" applyBorder="1" applyAlignment="1">
      <alignment vertical="center"/>
    </xf>
    <xf numFmtId="14" fontId="67" fillId="0" borderId="12" xfId="0" applyNumberFormat="1" applyFont="1" applyBorder="1" applyAlignment="1">
      <alignment horizontal="right" vertical="center" wrapText="1" readingOrder="1"/>
    </xf>
    <xf numFmtId="0" fontId="66" fillId="14" borderId="12" xfId="0" applyFont="1" applyFill="1" applyBorder="1" applyAlignment="1">
      <alignment horizontal="center" wrapText="1" readingOrder="1"/>
    </xf>
    <xf numFmtId="0" fontId="67" fillId="14" borderId="12" xfId="0" applyFont="1" applyFill="1" applyBorder="1" applyAlignment="1">
      <alignment horizontal="right" wrapText="1" readingOrder="1"/>
    </xf>
    <xf numFmtId="0" fontId="67" fillId="14" borderId="12" xfId="0" applyFont="1" applyFill="1" applyBorder="1" applyAlignment="1">
      <alignment horizontal="right" vertical="center" wrapText="1" readingOrder="1"/>
    </xf>
    <xf numFmtId="0" fontId="72" fillId="0" borderId="0" xfId="0" applyFont="1" applyAlignment="1">
      <alignment horizontal="center"/>
    </xf>
    <xf numFmtId="0" fontId="10" fillId="5" borderId="12" xfId="0" applyFont="1" applyFill="1" applyBorder="1" applyAlignment="1">
      <alignment horizontal="left" vertical="center" wrapText="1" readingOrder="1"/>
    </xf>
    <xf numFmtId="0" fontId="57" fillId="15" borderId="12" xfId="0" applyFont="1" applyFill="1" applyBorder="1" applyAlignment="1">
      <alignment horizontal="center" vertical="center" wrapText="1" readingOrder="1"/>
    </xf>
    <xf numFmtId="9" fontId="53" fillId="0" borderId="0" xfId="4" applyFont="1" applyAlignment="1">
      <alignment horizontal="right" vertical="center"/>
    </xf>
    <xf numFmtId="0" fontId="56" fillId="15" borderId="12" xfId="0" applyFont="1" applyFill="1" applyBorder="1" applyAlignment="1">
      <alignment horizontal="center" vertical="center" wrapText="1" readingOrder="1"/>
    </xf>
    <xf numFmtId="0" fontId="10" fillId="14" borderId="12" xfId="0" applyFont="1" applyFill="1" applyBorder="1" applyAlignment="1">
      <alignment horizontal="center" vertical="center" wrapText="1" readingOrder="1"/>
    </xf>
    <xf numFmtId="0" fontId="58" fillId="0" borderId="0" xfId="0" applyFont="1" applyAlignment="1">
      <alignment horizontal="left"/>
    </xf>
    <xf numFmtId="0" fontId="66" fillId="5" borderId="37" xfId="0" applyFont="1" applyFill="1" applyBorder="1" applyAlignment="1">
      <alignment horizontal="center" vertical="center" wrapText="1" readingOrder="1"/>
    </xf>
    <xf numFmtId="0" fontId="66" fillId="5" borderId="37" xfId="0" applyFont="1" applyFill="1" applyBorder="1" applyAlignment="1">
      <alignment horizontal="left" vertical="center" wrapText="1" readingOrder="1"/>
    </xf>
    <xf numFmtId="0" fontId="66" fillId="5" borderId="38" xfId="0" applyFont="1" applyFill="1" applyBorder="1" applyAlignment="1">
      <alignment horizontal="center" vertical="center" wrapText="1"/>
    </xf>
    <xf numFmtId="0" fontId="66" fillId="5" borderId="37" xfId="0" applyFont="1" applyFill="1" applyBorder="1" applyAlignment="1">
      <alignment horizontal="center" vertical="center" wrapText="1"/>
    </xf>
    <xf numFmtId="0" fontId="71" fillId="16" borderId="10" xfId="0" applyFont="1" applyFill="1" applyBorder="1" applyAlignment="1">
      <alignment horizontal="center" vertical="center" wrapText="1" readingOrder="1"/>
    </xf>
    <xf numFmtId="0" fontId="71" fillId="16" borderId="10" xfId="0" applyFont="1" applyFill="1" applyBorder="1" applyAlignment="1">
      <alignment horizontal="left" vertical="center" wrapText="1" readingOrder="1"/>
    </xf>
    <xf numFmtId="0" fontId="71" fillId="16" borderId="10" xfId="0" applyFont="1" applyFill="1" applyBorder="1" applyAlignment="1">
      <alignment horizontal="center" vertical="center" wrapText="1"/>
    </xf>
    <xf numFmtId="0" fontId="67" fillId="16" borderId="10" xfId="0" applyFont="1" applyFill="1" applyBorder="1" applyAlignment="1">
      <alignment horizontal="center" vertical="center" wrapText="1"/>
    </xf>
    <xf numFmtId="14" fontId="67" fillId="16" borderId="10" xfId="0" applyNumberFormat="1" applyFont="1" applyFill="1" applyBorder="1" applyAlignment="1">
      <alignment horizontal="center" vertical="center" wrapText="1"/>
    </xf>
    <xf numFmtId="0" fontId="73" fillId="0" borderId="10" xfId="0" applyFont="1" applyBorder="1" applyAlignment="1">
      <alignment horizontal="center" vertical="center"/>
    </xf>
    <xf numFmtId="9" fontId="53" fillId="0" borderId="0" xfId="4" applyFont="1" applyAlignment="1">
      <alignment horizontal="center" vertical="center"/>
    </xf>
    <xf numFmtId="0" fontId="58" fillId="0" borderId="0" xfId="0" applyFont="1" applyAlignment="1">
      <alignment vertical="center"/>
    </xf>
    <xf numFmtId="1" fontId="53" fillId="0" borderId="0" xfId="0" applyNumberFormat="1" applyFont="1" applyAlignment="1">
      <alignment horizontal="center" vertical="center"/>
    </xf>
    <xf numFmtId="0" fontId="53" fillId="0" borderId="0" xfId="0" applyFont="1"/>
    <xf numFmtId="0" fontId="63" fillId="10" borderId="0" xfId="0" applyFont="1" applyFill="1"/>
    <xf numFmtId="0" fontId="74" fillId="10" borderId="0" xfId="0" applyFont="1" applyFill="1"/>
    <xf numFmtId="0" fontId="53" fillId="10" borderId="0" xfId="0" applyFont="1" applyFill="1"/>
    <xf numFmtId="0" fontId="10" fillId="5" borderId="0" xfId="0" applyFont="1" applyFill="1" applyAlignment="1">
      <alignment horizontal="center" vertical="center" wrapText="1" readingOrder="1"/>
    </xf>
    <xf numFmtId="0" fontId="56" fillId="0" borderId="0" xfId="0" applyFont="1" applyAlignment="1">
      <alignment horizontal="left" vertical="center" wrapText="1" readingOrder="1"/>
    </xf>
    <xf numFmtId="0" fontId="56" fillId="0" borderId="0" xfId="0" applyFont="1" applyAlignment="1">
      <alignment horizontal="center" vertical="center" wrapText="1" readingOrder="1"/>
    </xf>
    <xf numFmtId="3" fontId="53" fillId="0" borderId="0" xfId="0" applyNumberFormat="1" applyFont="1"/>
    <xf numFmtId="3" fontId="56" fillId="0" borderId="0" xfId="0" applyNumberFormat="1" applyFont="1" applyAlignment="1">
      <alignment horizontal="right" vertical="center" wrapText="1" readingOrder="1"/>
    </xf>
    <xf numFmtId="3" fontId="57" fillId="0" borderId="0" xfId="0" applyNumberFormat="1" applyFont="1" applyAlignment="1">
      <alignment horizontal="right" vertical="center" wrapText="1" readingOrder="1"/>
    </xf>
    <xf numFmtId="0" fontId="56" fillId="0" borderId="0" xfId="0" applyFont="1" applyAlignment="1">
      <alignment horizontal="right" vertical="center" wrapText="1" readingOrder="1"/>
    </xf>
    <xf numFmtId="0" fontId="57" fillId="19" borderId="0" xfId="0" applyFont="1" applyFill="1" applyAlignment="1">
      <alignment horizontal="left" vertical="center" wrapText="1" readingOrder="1"/>
    </xf>
    <xf numFmtId="3" fontId="57" fillId="19" borderId="0" xfId="0" applyNumberFormat="1" applyFont="1" applyFill="1" applyAlignment="1">
      <alignment horizontal="right" vertical="center" wrapText="1" readingOrder="1"/>
    </xf>
    <xf numFmtId="0" fontId="56" fillId="0" borderId="0" xfId="0" quotePrefix="1" applyFont="1" applyAlignment="1">
      <alignment horizontal="center" vertical="center" wrapText="1" readingOrder="1"/>
    </xf>
    <xf numFmtId="0" fontId="58" fillId="0" borderId="0" xfId="0" applyFont="1" applyAlignment="1">
      <alignment horizontal="center" wrapText="1"/>
    </xf>
    <xf numFmtId="171" fontId="56" fillId="0" borderId="0" xfId="1" applyNumberFormat="1" applyFont="1" applyAlignment="1">
      <alignment horizontal="right" vertical="center" wrapText="1" readingOrder="1"/>
    </xf>
    <xf numFmtId="0" fontId="53" fillId="0" borderId="0" xfId="0" applyFont="1" applyAlignment="1">
      <alignment vertical="center" wrapText="1"/>
    </xf>
    <xf numFmtId="0" fontId="57" fillId="20" borderId="0" xfId="0" applyFont="1" applyFill="1" applyAlignment="1">
      <alignment horizontal="left" vertical="center" wrapText="1" readingOrder="1"/>
    </xf>
    <xf numFmtId="3" fontId="57" fillId="20" borderId="0" xfId="0" applyNumberFormat="1" applyFont="1" applyFill="1" applyAlignment="1">
      <alignment horizontal="right" vertical="center" wrapText="1" readingOrder="1"/>
    </xf>
    <xf numFmtId="0" fontId="9" fillId="0" borderId="0" xfId="0" applyFont="1" applyAlignment="1">
      <alignment horizontal="center" vertical="center" wrapText="1"/>
    </xf>
    <xf numFmtId="3" fontId="10" fillId="21" borderId="0" xfId="0" applyNumberFormat="1" applyFont="1" applyFill="1" applyAlignment="1">
      <alignment horizontal="right" vertical="center" wrapText="1" readingOrder="1"/>
    </xf>
    <xf numFmtId="171" fontId="53" fillId="0" borderId="0" xfId="1" applyNumberFormat="1" applyFont="1"/>
    <xf numFmtId="0" fontId="57" fillId="0" borderId="0" xfId="0" applyFont="1" applyAlignment="1">
      <alignment horizontal="center" vertical="center" wrapText="1" readingOrder="1"/>
    </xf>
    <xf numFmtId="0" fontId="57" fillId="0" borderId="0" xfId="0" applyFont="1" applyAlignment="1">
      <alignment horizontal="right" vertical="center" wrapText="1" readingOrder="1"/>
    </xf>
    <xf numFmtId="0" fontId="56" fillId="0" borderId="0" xfId="0" applyFont="1" applyAlignment="1">
      <alignment horizontal="center" wrapText="1" readingOrder="1"/>
    </xf>
    <xf numFmtId="0" fontId="57" fillId="19" borderId="0" xfId="0" applyFont="1" applyFill="1" applyAlignment="1">
      <alignment horizontal="center" wrapText="1" readingOrder="1"/>
    </xf>
    <xf numFmtId="3" fontId="56" fillId="19" borderId="0" xfId="0" applyNumberFormat="1" applyFont="1" applyFill="1" applyAlignment="1">
      <alignment horizontal="right" vertical="center" wrapText="1" readingOrder="1"/>
    </xf>
    <xf numFmtId="3" fontId="10" fillId="14" borderId="0" xfId="0" applyNumberFormat="1" applyFont="1" applyFill="1" applyAlignment="1">
      <alignment horizontal="right" vertical="center" wrapText="1" readingOrder="1"/>
    </xf>
    <xf numFmtId="0" fontId="76" fillId="16" borderId="0" xfId="7" applyFont="1" applyFill="1" applyProtection="1">
      <protection locked="0"/>
    </xf>
    <xf numFmtId="3" fontId="76" fillId="16" borderId="0" xfId="7" applyNumberFormat="1" applyFont="1" applyFill="1" applyProtection="1">
      <protection locked="0"/>
    </xf>
    <xf numFmtId="9" fontId="53" fillId="0" borderId="0" xfId="0" applyNumberFormat="1" applyFont="1"/>
    <xf numFmtId="43" fontId="53" fillId="0" borderId="0" xfId="1" applyFont="1"/>
    <xf numFmtId="0" fontId="74" fillId="15" borderId="12" xfId="0" applyFont="1" applyFill="1" applyBorder="1" applyAlignment="1">
      <alignment horizontal="center" vertical="center" wrapText="1" readingOrder="1"/>
    </xf>
    <xf numFmtId="0" fontId="56" fillId="0" borderId="12" xfId="0" applyFont="1" applyBorder="1" applyAlignment="1">
      <alignment horizontal="center" wrapText="1" readingOrder="1"/>
    </xf>
    <xf numFmtId="43" fontId="56" fillId="0" borderId="12" xfId="0" applyNumberFormat="1" applyFont="1" applyBorder="1" applyAlignment="1">
      <alignment horizontal="center" vertical="center" wrapText="1" readingOrder="1"/>
    </xf>
    <xf numFmtId="43" fontId="56" fillId="0" borderId="12" xfId="1" applyFont="1" applyBorder="1" applyAlignment="1">
      <alignment horizontal="center" vertical="center" wrapText="1" readingOrder="1"/>
    </xf>
    <xf numFmtId="165" fontId="49" fillId="22" borderId="0" xfId="4" applyNumberFormat="1" applyFont="1" applyFill="1"/>
    <xf numFmtId="43" fontId="57" fillId="15" borderId="12" xfId="0" applyNumberFormat="1" applyFont="1" applyFill="1" applyBorder="1" applyAlignment="1">
      <alignment horizontal="center" vertical="center" wrapText="1" readingOrder="1"/>
    </xf>
    <xf numFmtId="43" fontId="57" fillId="15" borderId="12" xfId="1" applyFont="1" applyFill="1" applyBorder="1" applyAlignment="1">
      <alignment horizontal="center" vertical="center" wrapText="1" readingOrder="1"/>
    </xf>
    <xf numFmtId="43" fontId="53" fillId="0" borderId="12" xfId="0" applyNumberFormat="1" applyFont="1" applyBorder="1" applyAlignment="1">
      <alignment horizontal="center" readingOrder="1"/>
    </xf>
    <xf numFmtId="43" fontId="74" fillId="24" borderId="12" xfId="0" applyNumberFormat="1" applyFont="1" applyFill="1" applyBorder="1" applyAlignment="1">
      <alignment horizontal="center" vertical="center" wrapText="1" readingOrder="1"/>
    </xf>
    <xf numFmtId="43" fontId="74" fillId="24" borderId="12" xfId="1" applyFont="1" applyFill="1" applyBorder="1" applyAlignment="1">
      <alignment horizontal="center" vertical="center" wrapText="1" readingOrder="1"/>
    </xf>
    <xf numFmtId="2" fontId="74" fillId="24" borderId="12" xfId="0" applyNumberFormat="1" applyFont="1" applyFill="1" applyBorder="1" applyAlignment="1">
      <alignment horizontal="center" vertical="center" wrapText="1" readingOrder="1"/>
    </xf>
    <xf numFmtId="2" fontId="74" fillId="24" borderId="12" xfId="1" applyNumberFormat="1" applyFont="1" applyFill="1" applyBorder="1" applyAlignment="1">
      <alignment horizontal="center" vertical="center" wrapText="1" readingOrder="1"/>
    </xf>
    <xf numFmtId="43" fontId="80" fillId="0" borderId="12" xfId="1" applyFont="1" applyBorder="1"/>
    <xf numFmtId="0" fontId="10" fillId="5" borderId="0" xfId="0" applyFont="1" applyFill="1" applyAlignment="1">
      <alignment horizontal="center" wrapText="1" readingOrder="1"/>
    </xf>
    <xf numFmtId="165" fontId="60" fillId="22" borderId="0" xfId="4" applyNumberFormat="1" applyFont="1" applyFill="1"/>
    <xf numFmtId="0" fontId="56" fillId="15" borderId="12" xfId="0" applyFont="1" applyFill="1" applyBorder="1" applyAlignment="1">
      <alignment horizontal="center" wrapText="1" readingOrder="1"/>
    </xf>
    <xf numFmtId="0" fontId="9" fillId="25" borderId="12" xfId="0" applyFont="1" applyFill="1" applyBorder="1" applyAlignment="1">
      <alignment horizontal="center" vertical="center" wrapText="1"/>
    </xf>
    <xf numFmtId="43" fontId="9" fillId="25" borderId="12" xfId="1" applyFont="1" applyFill="1" applyBorder="1" applyAlignment="1">
      <alignment horizontal="center" vertical="center" wrapText="1"/>
    </xf>
    <xf numFmtId="43" fontId="11" fillId="0" borderId="0" xfId="0" applyNumberFormat="1" applyFont="1"/>
    <xf numFmtId="4" fontId="10" fillId="14" borderId="12" xfId="0" applyNumberFormat="1" applyFont="1" applyFill="1" applyBorder="1" applyAlignment="1">
      <alignment horizontal="center" vertical="center" wrapText="1" readingOrder="1"/>
    </xf>
    <xf numFmtId="43" fontId="10" fillId="14" borderId="12" xfId="1" applyFont="1" applyFill="1" applyBorder="1" applyAlignment="1">
      <alignment horizontal="center" vertical="center" wrapText="1" readingOrder="1"/>
    </xf>
    <xf numFmtId="4" fontId="11" fillId="0" borderId="0" xfId="0" applyNumberFormat="1" applyFont="1"/>
    <xf numFmtId="0" fontId="76" fillId="16" borderId="0" xfId="7" applyFont="1" applyFill="1"/>
    <xf numFmtId="0" fontId="82" fillId="26" borderId="0" xfId="7" applyFont="1" applyFill="1"/>
    <xf numFmtId="170" fontId="76" fillId="26" borderId="0" xfId="7" applyNumberFormat="1" applyFont="1" applyFill="1"/>
    <xf numFmtId="170" fontId="83" fillId="0" borderId="0" xfId="0" applyNumberFormat="1" applyFont="1"/>
    <xf numFmtId="0" fontId="61" fillId="0" borderId="0" xfId="0" applyFont="1"/>
    <xf numFmtId="0" fontId="53" fillId="10" borderId="0" xfId="0" applyFont="1" applyFill="1" applyAlignment="1">
      <alignment horizontal="right" vertical="center"/>
    </xf>
    <xf numFmtId="0" fontId="75" fillId="0" borderId="0" xfId="7"/>
    <xf numFmtId="17" fontId="75" fillId="0" borderId="0" xfId="7" applyNumberFormat="1"/>
    <xf numFmtId="169" fontId="79" fillId="0" borderId="0" xfId="7" applyNumberFormat="1" applyFont="1"/>
    <xf numFmtId="0" fontId="79" fillId="0" borderId="0" xfId="7" applyFont="1"/>
    <xf numFmtId="3" fontId="79" fillId="0" borderId="0" xfId="7" applyNumberFormat="1" applyFont="1"/>
    <xf numFmtId="0" fontId="11" fillId="0" borderId="0" xfId="0" applyFont="1" applyAlignment="1">
      <alignment horizontal="left" vertical="center"/>
    </xf>
    <xf numFmtId="0" fontId="11" fillId="0" borderId="0" xfId="0" applyFont="1" applyAlignment="1">
      <alignment horizontal="center" vertical="center"/>
    </xf>
    <xf numFmtId="0" fontId="11" fillId="0" borderId="0" xfId="0" applyFont="1" applyAlignment="1">
      <alignment horizontal="right" vertical="center"/>
    </xf>
    <xf numFmtId="0" fontId="66" fillId="5" borderId="12" xfId="0" applyFont="1" applyFill="1" applyBorder="1" applyAlignment="1">
      <alignment horizontal="left" vertical="center" wrapText="1" readingOrder="1"/>
    </xf>
    <xf numFmtId="3" fontId="67" fillId="0" borderId="12" xfId="0" applyNumberFormat="1" applyFont="1" applyBorder="1" applyAlignment="1">
      <alignment horizontal="right" vertical="center" wrapText="1" readingOrder="1"/>
    </xf>
    <xf numFmtId="3" fontId="68" fillId="15" borderId="12" xfId="0" applyNumberFormat="1" applyFont="1" applyFill="1" applyBorder="1" applyAlignment="1">
      <alignment horizontal="right" vertical="center" wrapText="1" readingOrder="1"/>
    </xf>
    <xf numFmtId="0" fontId="84" fillId="24" borderId="12" xfId="0" applyFont="1" applyFill="1" applyBorder="1" applyAlignment="1">
      <alignment horizontal="left" vertical="center" wrapText="1" readingOrder="1"/>
    </xf>
    <xf numFmtId="0" fontId="84" fillId="24" borderId="12" xfId="0" applyFont="1" applyFill="1" applyBorder="1" applyAlignment="1">
      <alignment horizontal="center" vertical="center" wrapText="1" readingOrder="1"/>
    </xf>
    <xf numFmtId="3" fontId="84" fillId="24" borderId="12" xfId="0" applyNumberFormat="1" applyFont="1" applyFill="1" applyBorder="1" applyAlignment="1">
      <alignment horizontal="right" vertical="center" wrapText="1" readingOrder="1"/>
    </xf>
    <xf numFmtId="3" fontId="66" fillId="14" borderId="12" xfId="0" applyNumberFormat="1" applyFont="1" applyFill="1" applyBorder="1" applyAlignment="1">
      <alignment horizontal="right" vertical="center" wrapText="1" readingOrder="1"/>
    </xf>
    <xf numFmtId="0" fontId="72" fillId="0" borderId="0" xfId="0" applyFont="1" applyAlignment="1">
      <alignment horizontal="left"/>
    </xf>
    <xf numFmtId="165" fontId="81" fillId="22" borderId="0" xfId="4" applyNumberFormat="1" applyFont="1" applyFill="1" applyAlignment="1">
      <alignment horizontal="right" vertical="center"/>
    </xf>
    <xf numFmtId="0" fontId="81" fillId="0" borderId="0" xfId="0" applyFont="1" applyAlignment="1">
      <alignment horizontal="left" vertical="center"/>
    </xf>
    <xf numFmtId="1" fontId="8" fillId="26" borderId="0" xfId="7" applyNumberFormat="1" applyFont="1" applyFill="1"/>
    <xf numFmtId="3" fontId="11" fillId="0" borderId="0" xfId="0" applyNumberFormat="1" applyFont="1" applyAlignment="1">
      <alignment horizontal="right" vertical="center"/>
    </xf>
    <xf numFmtId="173" fontId="8" fillId="26" borderId="0" xfId="1" applyNumberFormat="1" applyFont="1" applyFill="1"/>
    <xf numFmtId="0" fontId="85" fillId="5" borderId="12" xfId="0" applyFont="1" applyFill="1" applyBorder="1" applyAlignment="1">
      <alignment horizontal="center" vertical="center" wrapText="1" readingOrder="1"/>
    </xf>
    <xf numFmtId="0" fontId="56" fillId="0" borderId="12" xfId="0" applyFont="1" applyBorder="1" applyAlignment="1">
      <alignment horizontal="right" vertical="center" wrapText="1" readingOrder="1"/>
    </xf>
    <xf numFmtId="43" fontId="56" fillId="0" borderId="12" xfId="1" applyFont="1" applyBorder="1" applyAlignment="1">
      <alignment horizontal="right" vertical="center" wrapText="1" readingOrder="1"/>
    </xf>
    <xf numFmtId="165" fontId="11" fillId="0" borderId="0" xfId="4" applyNumberFormat="1" applyFont="1" applyAlignment="1">
      <alignment horizontal="right" vertical="center"/>
    </xf>
    <xf numFmtId="0" fontId="86" fillId="14" borderId="12" xfId="0" applyFont="1" applyFill="1" applyBorder="1" applyAlignment="1">
      <alignment horizontal="right" vertical="center" wrapText="1" readingOrder="1"/>
    </xf>
    <xf numFmtId="4" fontId="86" fillId="14" borderId="12" xfId="0" applyNumberFormat="1" applyFont="1" applyFill="1" applyBorder="1" applyAlignment="1">
      <alignment horizontal="right" vertical="center" wrapText="1" readingOrder="1"/>
    </xf>
    <xf numFmtId="1" fontId="56" fillId="0" borderId="0" xfId="0" applyNumberFormat="1" applyFont="1" applyAlignment="1">
      <alignment horizontal="right" vertical="center" wrapText="1" readingOrder="1"/>
    </xf>
    <xf numFmtId="0" fontId="60" fillId="0" borderId="0" xfId="0" applyFont="1" applyAlignment="1">
      <alignment vertical="center" wrapText="1"/>
    </xf>
    <xf numFmtId="0" fontId="60" fillId="0" borderId="0" xfId="0" applyFont="1" applyAlignment="1">
      <alignment horizontal="center" vertical="center" wrapText="1"/>
    </xf>
    <xf numFmtId="0" fontId="11" fillId="0" borderId="0" xfId="0" applyFont="1" applyAlignment="1">
      <alignment vertical="center" wrapText="1"/>
    </xf>
    <xf numFmtId="0" fontId="74" fillId="0" borderId="0" xfId="0" applyFont="1" applyAlignment="1">
      <alignment horizontal="right" vertical="center"/>
    </xf>
    <xf numFmtId="0" fontId="79" fillId="0" borderId="12" xfId="0" applyFont="1" applyBorder="1" applyAlignment="1">
      <alignment vertical="center" wrapText="1" readingOrder="1"/>
    </xf>
    <xf numFmtId="0" fontId="79" fillId="0" borderId="12" xfId="0" applyFont="1" applyBorder="1" applyAlignment="1">
      <alignment horizontal="center" vertical="center" wrapText="1" readingOrder="1"/>
    </xf>
    <xf numFmtId="43" fontId="79" fillId="0" borderId="12" xfId="1" applyFont="1" applyBorder="1" applyAlignment="1">
      <alignment horizontal="right" vertical="center" wrapText="1" readingOrder="1"/>
    </xf>
    <xf numFmtId="43" fontId="87" fillId="0" borderId="12" xfId="1" applyFont="1" applyBorder="1" applyAlignment="1">
      <alignment horizontal="right" vertical="center" wrapText="1" readingOrder="1"/>
    </xf>
    <xf numFmtId="0" fontId="79" fillId="0" borderId="37" xfId="0" applyFont="1" applyBorder="1" applyAlignment="1">
      <alignment vertical="center" wrapText="1" readingOrder="1"/>
    </xf>
    <xf numFmtId="43" fontId="79" fillId="0" borderId="12" xfId="1" applyFont="1" applyFill="1" applyBorder="1" applyAlignment="1">
      <alignment horizontal="right" vertical="center" wrapText="1" readingOrder="1"/>
    </xf>
    <xf numFmtId="0" fontId="79" fillId="0" borderId="39" xfId="0" applyFont="1" applyBorder="1" applyAlignment="1">
      <alignment horizontal="left" vertical="center" wrapText="1" readingOrder="1"/>
    </xf>
    <xf numFmtId="0" fontId="79" fillId="0" borderId="12" xfId="0" quotePrefix="1" applyFont="1" applyBorder="1" applyAlignment="1">
      <alignment horizontal="center" vertical="center" wrapText="1" readingOrder="1"/>
    </xf>
    <xf numFmtId="0" fontId="66" fillId="14" borderId="12" xfId="0" applyFont="1" applyFill="1" applyBorder="1" applyAlignment="1">
      <alignment vertical="center" wrapText="1" readingOrder="1"/>
    </xf>
    <xf numFmtId="43" fontId="66" fillId="14" borderId="12" xfId="0" applyNumberFormat="1" applyFont="1" applyFill="1" applyBorder="1" applyAlignment="1">
      <alignment horizontal="right" vertical="center" wrapText="1" readingOrder="1"/>
    </xf>
    <xf numFmtId="0" fontId="59" fillId="0" borderId="0" xfId="0" applyFont="1" applyAlignment="1">
      <alignment horizontal="right" vertical="center"/>
    </xf>
    <xf numFmtId="171" fontId="53" fillId="0" borderId="0" xfId="1" applyNumberFormat="1" applyFont="1" applyFill="1" applyAlignment="1">
      <alignment horizontal="right" vertical="center"/>
    </xf>
    <xf numFmtId="171" fontId="74" fillId="0" borderId="0" xfId="1" applyNumberFormat="1" applyFont="1" applyAlignment="1">
      <alignment horizontal="right" vertical="center"/>
    </xf>
    <xf numFmtId="0" fontId="10" fillId="4" borderId="12" xfId="0" applyFont="1" applyFill="1" applyBorder="1" applyAlignment="1">
      <alignment horizontal="center" vertical="center" wrapText="1" readingOrder="1"/>
    </xf>
    <xf numFmtId="1" fontId="56" fillId="0" borderId="12" xfId="0" applyNumberFormat="1" applyFont="1" applyBorder="1" applyAlignment="1">
      <alignment horizontal="center" vertical="center" wrapText="1" readingOrder="1"/>
    </xf>
    <xf numFmtId="1" fontId="56" fillId="0" borderId="12" xfId="0" applyNumberFormat="1" applyFont="1" applyBorder="1" applyAlignment="1">
      <alignment horizontal="center" wrapText="1" readingOrder="1"/>
    </xf>
    <xf numFmtId="0" fontId="10" fillId="4" borderId="12" xfId="0" applyFont="1" applyFill="1" applyBorder="1" applyAlignment="1">
      <alignment horizontal="center" wrapText="1" readingOrder="1"/>
    </xf>
    <xf numFmtId="1" fontId="10" fillId="4" borderId="12" xfId="0" applyNumberFormat="1" applyFont="1" applyFill="1" applyBorder="1" applyAlignment="1">
      <alignment horizontal="center" wrapText="1" readingOrder="1"/>
    </xf>
    <xf numFmtId="0" fontId="58" fillId="0" borderId="0" xfId="0" applyFont="1" applyAlignment="1">
      <alignment wrapText="1"/>
    </xf>
    <xf numFmtId="0" fontId="11" fillId="0" borderId="0" xfId="0" applyFont="1" applyAlignment="1">
      <alignment horizontal="left"/>
    </xf>
    <xf numFmtId="0" fontId="11" fillId="0" borderId="0" xfId="0" applyFont="1" applyAlignment="1">
      <alignment horizontal="right"/>
    </xf>
    <xf numFmtId="0" fontId="11" fillId="0" borderId="0" xfId="0" applyFont="1" applyAlignment="1">
      <alignment horizontal="center"/>
    </xf>
    <xf numFmtId="0" fontId="66" fillId="5" borderId="0" xfId="0" applyFont="1" applyFill="1" applyAlignment="1">
      <alignment horizontal="center" vertical="center" wrapText="1" readingOrder="1"/>
    </xf>
    <xf numFmtId="0" fontId="66" fillId="5" borderId="0" xfId="0" applyFont="1" applyFill="1" applyAlignment="1">
      <alignment horizontal="center" vertical="center" wrapText="1"/>
    </xf>
    <xf numFmtId="0" fontId="79" fillId="0" borderId="0" xfId="0" applyFont="1" applyAlignment="1">
      <alignment horizontal="left" wrapText="1" readingOrder="1"/>
    </xf>
    <xf numFmtId="0" fontId="79" fillId="0" borderId="0" xfId="0" applyFont="1" applyAlignment="1">
      <alignment horizontal="center" wrapText="1" readingOrder="1"/>
    </xf>
    <xf numFmtId="43" fontId="79" fillId="0" borderId="0" xfId="1" applyFont="1" applyAlignment="1">
      <alignment horizontal="center" vertical="center" wrapText="1"/>
    </xf>
    <xf numFmtId="0" fontId="79" fillId="0" borderId="0" xfId="0" applyFont="1" applyAlignment="1">
      <alignment horizontal="center" vertical="center" wrapText="1" readingOrder="1"/>
    </xf>
    <xf numFmtId="0" fontId="88" fillId="0" borderId="0" xfId="0" applyFont="1" applyAlignment="1">
      <alignment horizontal="right"/>
    </xf>
    <xf numFmtId="43" fontId="87" fillId="29" borderId="0" xfId="1" applyFont="1" applyFill="1" applyAlignment="1">
      <alignment horizontal="center" vertical="center" wrapText="1"/>
    </xf>
    <xf numFmtId="0" fontId="79" fillId="0" borderId="0" xfId="0" quotePrefix="1" applyFont="1" applyAlignment="1">
      <alignment horizontal="center" vertical="center" wrapText="1" readingOrder="1"/>
    </xf>
    <xf numFmtId="43" fontId="87" fillId="27" borderId="0" xfId="1" applyFont="1" applyFill="1" applyAlignment="1">
      <alignment horizontal="center" vertical="center" wrapText="1"/>
    </xf>
    <xf numFmtId="0" fontId="79" fillId="0" borderId="0" xfId="0" applyFont="1" applyAlignment="1">
      <alignment horizontal="left" vertical="center" wrapText="1"/>
    </xf>
    <xf numFmtId="0" fontId="67" fillId="0" borderId="0" xfId="0" applyFont="1" applyAlignment="1">
      <alignment horizontal="right" wrapText="1" readingOrder="1"/>
    </xf>
    <xf numFmtId="0" fontId="79" fillId="0" borderId="0" xfId="0" applyFont="1" applyAlignment="1">
      <alignment horizontal="center" vertical="center" wrapText="1"/>
    </xf>
    <xf numFmtId="43" fontId="68" fillId="29" borderId="0" xfId="1" applyFont="1" applyFill="1" applyAlignment="1">
      <alignment horizontal="center" vertical="center" wrapText="1"/>
    </xf>
    <xf numFmtId="43" fontId="87" fillId="19" borderId="0" xfId="1" applyFont="1" applyFill="1" applyAlignment="1">
      <alignment horizontal="center" vertical="center" wrapText="1"/>
    </xf>
    <xf numFmtId="43" fontId="66" fillId="4" borderId="0" xfId="1" applyFont="1" applyFill="1" applyAlignment="1">
      <alignment horizontal="center" vertical="center" wrapText="1"/>
    </xf>
    <xf numFmtId="0" fontId="60" fillId="0" borderId="0" xfId="0" applyFont="1" applyAlignment="1">
      <alignment horizontal="right"/>
    </xf>
    <xf numFmtId="171" fontId="11" fillId="0" borderId="0" xfId="1" applyNumberFormat="1" applyFont="1" applyAlignment="1">
      <alignment horizontal="center"/>
    </xf>
    <xf numFmtId="171" fontId="11" fillId="0" borderId="0" xfId="1" applyNumberFormat="1" applyFont="1" applyAlignment="1">
      <alignment horizontal="right"/>
    </xf>
    <xf numFmtId="172" fontId="11" fillId="0" borderId="0" xfId="1" applyNumberFormat="1" applyFont="1" applyAlignment="1">
      <alignment horizontal="center"/>
    </xf>
    <xf numFmtId="174" fontId="11" fillId="0" borderId="0" xfId="0" applyNumberFormat="1" applyFont="1" applyAlignment="1">
      <alignment horizontal="center"/>
    </xf>
    <xf numFmtId="175" fontId="11" fillId="0" borderId="0" xfId="6" applyNumberFormat="1" applyFont="1" applyAlignment="1">
      <alignment horizontal="center"/>
    </xf>
    <xf numFmtId="0" fontId="10" fillId="0" borderId="0" xfId="0" applyFont="1" applyAlignment="1">
      <alignment vertical="center" wrapText="1" readingOrder="1"/>
    </xf>
    <xf numFmtId="0" fontId="89" fillId="0" borderId="12" xfId="0" applyFont="1" applyBorder="1" applyAlignment="1">
      <alignment horizontal="center" vertical="center" wrapText="1" readingOrder="1"/>
    </xf>
    <xf numFmtId="43" fontId="9" fillId="0" borderId="12" xfId="1" applyFont="1" applyFill="1" applyBorder="1" applyAlignment="1">
      <alignment vertical="center"/>
    </xf>
    <xf numFmtId="0" fontId="9" fillId="0" borderId="12" xfId="0" applyFont="1" applyBorder="1" applyAlignment="1">
      <alignment vertical="center"/>
    </xf>
    <xf numFmtId="0" fontId="89" fillId="0" borderId="12" xfId="0" quotePrefix="1" applyFont="1" applyBorder="1" applyAlignment="1">
      <alignment horizontal="center" vertical="center" wrapText="1" readingOrder="1"/>
    </xf>
    <xf numFmtId="43" fontId="10" fillId="4" borderId="12" xfId="1" applyFont="1" applyFill="1" applyBorder="1" applyAlignment="1">
      <alignment horizontal="center" vertical="center" wrapText="1" readingOrder="1"/>
    </xf>
    <xf numFmtId="0" fontId="10" fillId="5" borderId="42" xfId="0" applyFont="1" applyFill="1" applyBorder="1" applyAlignment="1">
      <alignment horizontal="left" vertical="center" wrapText="1" readingOrder="1"/>
    </xf>
    <xf numFmtId="0" fontId="10" fillId="5" borderId="42" xfId="0" applyFont="1" applyFill="1" applyBorder="1" applyAlignment="1">
      <alignment horizontal="center" vertical="center" wrapText="1" readingOrder="1"/>
    </xf>
    <xf numFmtId="0" fontId="9" fillId="0" borderId="42" xfId="0" applyFont="1" applyBorder="1" applyAlignment="1">
      <alignment horizontal="center" vertical="center" wrapText="1" readingOrder="1"/>
    </xf>
    <xf numFmtId="43" fontId="9" fillId="0" borderId="42" xfId="1" applyFont="1" applyBorder="1" applyAlignment="1">
      <alignment horizontal="right" vertical="center" wrapText="1" readingOrder="1"/>
    </xf>
    <xf numFmtId="43" fontId="89" fillId="29" borderId="42" xfId="1" applyFont="1" applyFill="1" applyBorder="1" applyAlignment="1">
      <alignment horizontal="right" vertical="center" wrapText="1" readingOrder="1"/>
    </xf>
    <xf numFmtId="43" fontId="57" fillId="29" borderId="42" xfId="1" applyFont="1" applyFill="1" applyBorder="1" applyAlignment="1">
      <alignment horizontal="right" vertical="center" wrapText="1" readingOrder="1"/>
    </xf>
    <xf numFmtId="43" fontId="10" fillId="4" borderId="42" xfId="1" applyFont="1" applyFill="1" applyBorder="1" applyAlignment="1">
      <alignment horizontal="right" vertical="center" wrapText="1" readingOrder="1"/>
    </xf>
    <xf numFmtId="43" fontId="59" fillId="0" borderId="0" xfId="1" applyFont="1" applyAlignment="1">
      <alignment horizontal="right" vertical="center"/>
    </xf>
    <xf numFmtId="43" fontId="56" fillId="0" borderId="12" xfId="1" applyFont="1" applyFill="1" applyBorder="1" applyAlignment="1">
      <alignment horizontal="right" vertical="center" wrapText="1" readingOrder="1"/>
    </xf>
    <xf numFmtId="0" fontId="10" fillId="11" borderId="12" xfId="0" applyFont="1" applyFill="1" applyBorder="1" applyAlignment="1">
      <alignment horizontal="left" vertical="center" wrapText="1" readingOrder="1"/>
    </xf>
    <xf numFmtId="43" fontId="10" fillId="11" borderId="12" xfId="1" applyFont="1" applyFill="1" applyBorder="1" applyAlignment="1">
      <alignment horizontal="right" vertical="center" wrapText="1" readingOrder="1"/>
    </xf>
    <xf numFmtId="165" fontId="53" fillId="0" borderId="0" xfId="4" applyNumberFormat="1" applyFont="1" applyAlignment="1">
      <alignment horizontal="right" vertical="center"/>
    </xf>
    <xf numFmtId="43" fontId="53" fillId="0" borderId="0" xfId="1" applyFont="1" applyAlignment="1">
      <alignment horizontal="right" vertical="center"/>
    </xf>
    <xf numFmtId="0" fontId="0" fillId="0" borderId="0" xfId="0" applyAlignment="1">
      <alignment horizontal="right" vertical="center"/>
    </xf>
    <xf numFmtId="0" fontId="10" fillId="5" borderId="43" xfId="0" applyFont="1" applyFill="1" applyBorder="1" applyAlignment="1">
      <alignment horizontal="center" vertical="center" wrapText="1" readingOrder="1"/>
    </xf>
    <xf numFmtId="0" fontId="56" fillId="0" borderId="43" xfId="0" applyFont="1" applyBorder="1" applyAlignment="1">
      <alignment horizontal="left" vertical="center" wrapText="1" readingOrder="1"/>
    </xf>
    <xf numFmtId="9" fontId="56" fillId="0" borderId="43" xfId="4" applyFont="1" applyBorder="1" applyAlignment="1">
      <alignment horizontal="right" vertical="center" wrapText="1" readingOrder="1"/>
    </xf>
    <xf numFmtId="4" fontId="56" fillId="0" borderId="43" xfId="0" applyNumberFormat="1" applyFont="1" applyBorder="1" applyAlignment="1">
      <alignment horizontal="right" vertical="center" wrapText="1" readingOrder="1"/>
    </xf>
    <xf numFmtId="0" fontId="57" fillId="27" borderId="43" xfId="0" applyFont="1" applyFill="1" applyBorder="1" applyAlignment="1">
      <alignment horizontal="left" vertical="center" wrapText="1" readingOrder="1"/>
    </xf>
    <xf numFmtId="9" fontId="57" fillId="27" borderId="43" xfId="0" applyNumberFormat="1" applyFont="1" applyFill="1" applyBorder="1" applyAlignment="1">
      <alignment horizontal="right" vertical="center" wrapText="1" readingOrder="1"/>
    </xf>
    <xf numFmtId="4" fontId="57" fillId="27" borderId="43" xfId="0" applyNumberFormat="1" applyFont="1" applyFill="1" applyBorder="1" applyAlignment="1">
      <alignment horizontal="right" vertical="center" wrapText="1" readingOrder="1"/>
    </xf>
    <xf numFmtId="0" fontId="56" fillId="0" borderId="43" xfId="0" applyFont="1" applyBorder="1" applyAlignment="1">
      <alignment horizontal="right" vertical="center" wrapText="1" readingOrder="1"/>
    </xf>
    <xf numFmtId="43" fontId="56" fillId="0" borderId="43" xfId="1" applyFont="1" applyFill="1" applyBorder="1" applyAlignment="1">
      <alignment horizontal="right" vertical="center" wrapText="1" readingOrder="1"/>
    </xf>
    <xf numFmtId="49" fontId="56" fillId="0" borderId="43" xfId="0" applyNumberFormat="1" applyFont="1" applyBorder="1" applyAlignment="1">
      <alignment horizontal="right" vertical="center" wrapText="1" readingOrder="1"/>
    </xf>
    <xf numFmtId="0" fontId="57" fillId="27" borderId="43" xfId="0" applyFont="1" applyFill="1" applyBorder="1" applyAlignment="1">
      <alignment horizontal="right" vertical="center" wrapText="1" readingOrder="1"/>
    </xf>
    <xf numFmtId="165" fontId="56" fillId="0" borderId="43" xfId="4" applyNumberFormat="1" applyFont="1" applyBorder="1" applyAlignment="1">
      <alignment horizontal="right" vertical="center" wrapText="1" readingOrder="1"/>
    </xf>
    <xf numFmtId="0" fontId="57" fillId="7" borderId="43" xfId="0" applyFont="1" applyFill="1" applyBorder="1" applyAlignment="1">
      <alignment horizontal="left" vertical="center" wrapText="1" readingOrder="1"/>
    </xf>
    <xf numFmtId="0" fontId="56" fillId="7" borderId="43" xfId="0" applyFont="1" applyFill="1" applyBorder="1" applyAlignment="1">
      <alignment horizontal="right" vertical="center" wrapText="1" readingOrder="1"/>
    </xf>
    <xf numFmtId="4" fontId="57" fillId="7" borderId="43" xfId="0" applyNumberFormat="1" applyFont="1" applyFill="1" applyBorder="1" applyAlignment="1">
      <alignment horizontal="right" vertical="center" wrapText="1" readingOrder="1"/>
    </xf>
    <xf numFmtId="0" fontId="57" fillId="7" borderId="43" xfId="0" applyFont="1" applyFill="1" applyBorder="1" applyAlignment="1">
      <alignment horizontal="right" vertical="center" wrapText="1" readingOrder="1"/>
    </xf>
    <xf numFmtId="4" fontId="90" fillId="4" borderId="39" xfId="0" applyNumberFormat="1" applyFont="1" applyFill="1" applyBorder="1" applyAlignment="1">
      <alignment horizontal="right" vertical="center" wrapText="1" readingOrder="1"/>
    </xf>
    <xf numFmtId="0" fontId="9" fillId="0" borderId="12" xfId="0" applyFont="1" applyBorder="1" applyAlignment="1">
      <alignment horizontal="center" vertical="center" wrapText="1" readingOrder="1"/>
    </xf>
    <xf numFmtId="43" fontId="67" fillId="0" borderId="12" xfId="1" applyFont="1" applyBorder="1" applyAlignment="1">
      <alignment horizontal="center" vertical="center"/>
    </xf>
    <xf numFmtId="43" fontId="67" fillId="0" borderId="12" xfId="1" applyFont="1" applyBorder="1" applyAlignment="1">
      <alignment vertical="center"/>
    </xf>
    <xf numFmtId="43" fontId="10" fillId="4" borderId="12" xfId="1" applyFont="1" applyFill="1" applyBorder="1" applyAlignment="1">
      <alignment vertical="center" wrapText="1" readingOrder="1"/>
    </xf>
    <xf numFmtId="165" fontId="0" fillId="0" borderId="0" xfId="0" applyNumberFormat="1"/>
    <xf numFmtId="0" fontId="58" fillId="0" borderId="24" xfId="0" applyFont="1" applyBorder="1" applyAlignment="1">
      <alignment horizontal="center"/>
    </xf>
    <xf numFmtId="0" fontId="58" fillId="0" borderId="25" xfId="0" applyFont="1" applyBorder="1" applyAlignment="1">
      <alignment horizontal="center"/>
    </xf>
    <xf numFmtId="0" fontId="58" fillId="0" borderId="26" xfId="0" applyFont="1" applyBorder="1" applyAlignment="1">
      <alignment horizontal="center"/>
    </xf>
    <xf numFmtId="0" fontId="58" fillId="0" borderId="0" xfId="0" applyFont="1" applyAlignment="1">
      <alignment horizontal="center" vertical="center"/>
    </xf>
    <xf numFmtId="0" fontId="59" fillId="16" borderId="0" xfId="0" applyFont="1" applyFill="1" applyAlignment="1">
      <alignment horizontal="left" vertical="center"/>
    </xf>
    <xf numFmtId="0" fontId="53" fillId="17" borderId="0" xfId="0" applyFont="1" applyFill="1" applyAlignment="1">
      <alignment horizontal="center" vertical="center" wrapText="1"/>
    </xf>
    <xf numFmtId="0" fontId="10" fillId="14" borderId="12" xfId="0" applyFont="1" applyFill="1" applyBorder="1" applyAlignment="1">
      <alignment horizontal="left" vertical="center" wrapText="1" readingOrder="1"/>
    </xf>
    <xf numFmtId="0" fontId="55" fillId="0" borderId="0" xfId="0" applyFont="1" applyAlignment="1">
      <alignment horizontal="center" vertical="center"/>
    </xf>
    <xf numFmtId="0" fontId="10" fillId="14" borderId="8" xfId="0" applyFont="1" applyFill="1" applyBorder="1" applyAlignment="1">
      <alignment horizontal="center" vertical="center" wrapText="1" readingOrder="1"/>
    </xf>
    <xf numFmtId="0" fontId="10" fillId="14" borderId="9" xfId="0" applyFont="1" applyFill="1" applyBorder="1" applyAlignment="1">
      <alignment horizontal="center" vertical="center" wrapText="1" readingOrder="1"/>
    </xf>
    <xf numFmtId="0" fontId="57" fillId="15" borderId="12" xfId="0" applyFont="1" applyFill="1" applyBorder="1" applyAlignment="1">
      <alignment horizontal="left" vertical="center" wrapText="1" readingOrder="1"/>
    </xf>
    <xf numFmtId="0" fontId="57" fillId="15" borderId="22" xfId="0" applyFont="1" applyFill="1" applyBorder="1" applyAlignment="1">
      <alignment horizontal="left" vertical="center" wrapText="1" readingOrder="1"/>
    </xf>
    <xf numFmtId="0" fontId="57" fillId="15" borderId="23" xfId="0" applyFont="1" applyFill="1" applyBorder="1" applyAlignment="1">
      <alignment horizontal="left" vertical="center" wrapText="1" readingOrder="1"/>
    </xf>
    <xf numFmtId="0" fontId="63" fillId="14" borderId="8" xfId="0" applyFont="1" applyFill="1" applyBorder="1" applyAlignment="1">
      <alignment horizontal="center" vertical="center" wrapText="1" readingOrder="1"/>
    </xf>
    <xf numFmtId="0" fontId="63" fillId="14" borderId="9" xfId="0" applyFont="1" applyFill="1" applyBorder="1" applyAlignment="1">
      <alignment horizontal="center" vertical="center" wrapText="1" readingOrder="1"/>
    </xf>
    <xf numFmtId="0" fontId="66" fillId="14" borderId="12" xfId="0" applyFont="1" applyFill="1" applyBorder="1" applyAlignment="1">
      <alignment horizontal="left" vertical="center" wrapText="1" readingOrder="1"/>
    </xf>
    <xf numFmtId="0" fontId="8" fillId="0" borderId="0" xfId="0" applyFont="1" applyAlignment="1">
      <alignment horizontal="center" vertical="center"/>
    </xf>
    <xf numFmtId="0" fontId="65" fillId="14" borderId="36" xfId="0" applyFont="1" applyFill="1" applyBorder="1" applyAlignment="1">
      <alignment horizontal="center" vertical="center" wrapText="1" readingOrder="1"/>
    </xf>
    <xf numFmtId="0" fontId="65" fillId="14" borderId="0" xfId="0" applyFont="1" applyFill="1" applyAlignment="1">
      <alignment horizontal="center" vertical="center" wrapText="1" readingOrder="1"/>
    </xf>
    <xf numFmtId="0" fontId="68" fillId="15" borderId="12" xfId="0" applyFont="1" applyFill="1" applyBorder="1" applyAlignment="1">
      <alignment horizontal="left" vertical="center" wrapText="1" readingOrder="1"/>
    </xf>
    <xf numFmtId="0" fontId="66" fillId="14" borderId="12" xfId="0" applyFont="1" applyFill="1" applyBorder="1" applyAlignment="1">
      <alignment horizontal="center" vertical="center" wrapText="1" readingOrder="1"/>
    </xf>
    <xf numFmtId="0" fontId="58" fillId="0" borderId="0" xfId="0" applyFont="1" applyAlignment="1">
      <alignment horizontal="center" vertical="center" wrapText="1"/>
    </xf>
    <xf numFmtId="0" fontId="67" fillId="0" borderId="37" xfId="0" applyFont="1" applyBorder="1" applyAlignment="1">
      <alignment horizontal="center" vertical="center" wrapText="1" readingOrder="1"/>
    </xf>
    <xf numFmtId="0" fontId="67" fillId="0" borderId="38" xfId="0" applyFont="1" applyBorder="1" applyAlignment="1">
      <alignment horizontal="center" vertical="center" wrapText="1" readingOrder="1"/>
    </xf>
    <xf numFmtId="0" fontId="67" fillId="0" borderId="39" xfId="0" applyFont="1" applyBorder="1" applyAlignment="1">
      <alignment horizontal="center" vertical="center" wrapText="1" readingOrder="1"/>
    </xf>
    <xf numFmtId="0" fontId="67" fillId="0" borderId="12" xfId="0" applyFont="1" applyBorder="1" applyAlignment="1">
      <alignment horizontal="center" vertical="center" wrapText="1" readingOrder="1"/>
    </xf>
    <xf numFmtId="0" fontId="67" fillId="0" borderId="12" xfId="0" applyFont="1" applyBorder="1" applyAlignment="1">
      <alignment horizontal="left" vertical="center" wrapText="1" readingOrder="1"/>
    </xf>
    <xf numFmtId="0" fontId="66" fillId="5" borderId="12" xfId="0" applyFont="1" applyFill="1" applyBorder="1" applyAlignment="1">
      <alignment horizontal="center" vertical="center" wrapText="1" readingOrder="1"/>
    </xf>
    <xf numFmtId="0" fontId="58" fillId="0" borderId="0" xfId="0" applyFont="1" applyAlignment="1">
      <alignment horizontal="center"/>
    </xf>
    <xf numFmtId="0" fontId="72" fillId="0" borderId="0" xfId="0" applyFont="1" applyAlignment="1">
      <alignment horizontal="center"/>
    </xf>
    <xf numFmtId="0" fontId="66" fillId="14" borderId="22" xfId="0" applyFont="1" applyFill="1" applyBorder="1" applyAlignment="1">
      <alignment horizontal="center" vertical="center" wrapText="1" readingOrder="1"/>
    </xf>
    <xf numFmtId="0" fontId="66" fillId="14" borderId="40" xfId="0" applyFont="1" applyFill="1" applyBorder="1" applyAlignment="1">
      <alignment horizontal="center" vertical="center" wrapText="1" readingOrder="1"/>
    </xf>
    <xf numFmtId="0" fontId="66" fillId="14" borderId="23" xfId="0" applyFont="1" applyFill="1" applyBorder="1" applyAlignment="1">
      <alignment horizontal="center" vertical="center" wrapText="1" readingOrder="1"/>
    </xf>
    <xf numFmtId="0" fontId="58" fillId="0" borderId="0" xfId="0" applyFont="1" applyAlignment="1">
      <alignment horizontal="center" wrapText="1"/>
    </xf>
    <xf numFmtId="0" fontId="10" fillId="14" borderId="0" xfId="0" applyFont="1" applyFill="1" applyAlignment="1">
      <alignment horizontal="left" vertical="center" wrapText="1" readingOrder="1"/>
    </xf>
    <xf numFmtId="0" fontId="10" fillId="14" borderId="0" xfId="0" applyFont="1" applyFill="1" applyAlignment="1">
      <alignment horizontal="center" wrapText="1" readingOrder="1"/>
    </xf>
    <xf numFmtId="0" fontId="74" fillId="15" borderId="0" xfId="0" applyFont="1" applyFill="1" applyAlignment="1">
      <alignment horizontal="center" vertical="center" wrapText="1" readingOrder="1"/>
    </xf>
    <xf numFmtId="0" fontId="10" fillId="21" borderId="0" xfId="0" applyFont="1" applyFill="1" applyAlignment="1">
      <alignment horizontal="left" vertical="center" wrapText="1" readingOrder="1"/>
    </xf>
    <xf numFmtId="0" fontId="74" fillId="24" borderId="12" xfId="0" applyFont="1" applyFill="1" applyBorder="1" applyAlignment="1">
      <alignment horizontal="left" vertical="center" wrapText="1" readingOrder="1"/>
    </xf>
    <xf numFmtId="0" fontId="9" fillId="25" borderId="12" xfId="0" applyFont="1" applyFill="1" applyBorder="1" applyAlignment="1">
      <alignment vertical="center" wrapText="1"/>
    </xf>
    <xf numFmtId="0" fontId="81" fillId="0" borderId="0" xfId="0" applyFont="1" applyAlignment="1">
      <alignment horizontal="center" wrapText="1"/>
    </xf>
    <xf numFmtId="0" fontId="49" fillId="23" borderId="0" xfId="0" applyFont="1" applyFill="1" applyAlignment="1">
      <alignment horizontal="center" vertical="center" wrapText="1"/>
    </xf>
    <xf numFmtId="0" fontId="78" fillId="0" borderId="0" xfId="0" applyFont="1" applyAlignment="1">
      <alignment horizontal="center" vertical="center" wrapText="1"/>
    </xf>
    <xf numFmtId="0" fontId="63" fillId="14" borderId="36" xfId="0" applyFont="1" applyFill="1" applyBorder="1" applyAlignment="1">
      <alignment horizontal="center" vertical="center" wrapText="1" readingOrder="1"/>
    </xf>
    <xf numFmtId="0" fontId="63" fillId="14" borderId="0" xfId="0" applyFont="1" applyFill="1" applyAlignment="1">
      <alignment horizontal="center" vertical="center" wrapText="1" readingOrder="1"/>
    </xf>
    <xf numFmtId="0" fontId="10" fillId="5" borderId="8" xfId="0" applyFont="1" applyFill="1" applyBorder="1" applyAlignment="1">
      <alignment horizontal="center" wrapText="1" readingOrder="1"/>
    </xf>
    <xf numFmtId="0" fontId="10" fillId="5" borderId="9" xfId="0" applyFont="1" applyFill="1" applyBorder="1" applyAlignment="1">
      <alignment horizontal="center" wrapText="1" readingOrder="1"/>
    </xf>
    <xf numFmtId="0" fontId="77" fillId="0" borderId="0" xfId="0" applyFont="1" applyAlignment="1">
      <alignment horizontal="center" vertical="center" wrapText="1"/>
    </xf>
    <xf numFmtId="0" fontId="79" fillId="0" borderId="12" xfId="0" applyFont="1" applyBorder="1" applyAlignment="1">
      <alignment horizontal="center" wrapText="1"/>
    </xf>
    <xf numFmtId="172" fontId="49" fillId="23" borderId="0" xfId="0" applyNumberFormat="1" applyFont="1" applyFill="1" applyAlignment="1">
      <alignment horizontal="center" vertical="center" wrapText="1"/>
    </xf>
    <xf numFmtId="0" fontId="10" fillId="14" borderId="12" xfId="0" applyFont="1" applyFill="1" applyBorder="1" applyAlignment="1">
      <alignment horizontal="center" vertical="center" wrapText="1" readingOrder="1"/>
    </xf>
    <xf numFmtId="0" fontId="56" fillId="0" borderId="12" xfId="0" applyFont="1" applyBorder="1" applyAlignment="1">
      <alignment horizontal="left" vertical="center" wrapText="1" readingOrder="1"/>
    </xf>
    <xf numFmtId="0" fontId="66" fillId="14" borderId="36" xfId="0" applyFont="1" applyFill="1" applyBorder="1" applyAlignment="1">
      <alignment horizontal="center" vertical="center" wrapText="1" readingOrder="1"/>
    </xf>
    <xf numFmtId="0" fontId="66" fillId="14" borderId="0" xfId="0" applyFont="1" applyFill="1" applyAlignment="1">
      <alignment horizontal="center" vertical="center" wrapText="1" readingOrder="1"/>
    </xf>
    <xf numFmtId="0" fontId="66" fillId="14" borderId="8" xfId="0" applyFont="1" applyFill="1" applyBorder="1" applyAlignment="1">
      <alignment horizontal="center" vertical="center" wrapText="1" readingOrder="1"/>
    </xf>
    <xf numFmtId="0" fontId="66" fillId="14" borderId="9" xfId="0" applyFont="1" applyFill="1" applyBorder="1" applyAlignment="1">
      <alignment horizontal="center" vertical="center" wrapText="1" readingOrder="1"/>
    </xf>
    <xf numFmtId="0" fontId="60" fillId="23" borderId="0" xfId="0" applyFont="1" applyFill="1" applyAlignment="1">
      <alignment horizontal="center" vertical="center" wrapText="1"/>
    </xf>
    <xf numFmtId="0" fontId="10" fillId="14" borderId="36" xfId="0" applyFont="1" applyFill="1" applyBorder="1" applyAlignment="1">
      <alignment horizontal="center" vertical="center" wrapText="1" readingOrder="1"/>
    </xf>
    <xf numFmtId="0" fontId="10" fillId="14" borderId="0" xfId="0" applyFont="1" applyFill="1" applyAlignment="1">
      <alignment horizontal="center" vertical="center" wrapText="1" readingOrder="1"/>
    </xf>
    <xf numFmtId="0" fontId="49" fillId="27" borderId="0" xfId="0" applyFont="1" applyFill="1" applyAlignment="1">
      <alignment horizontal="center" vertical="center" wrapText="1"/>
    </xf>
    <xf numFmtId="0" fontId="79" fillId="0" borderId="37" xfId="0" applyFont="1" applyBorder="1" applyAlignment="1">
      <alignment horizontal="left" vertical="center" wrapText="1" readingOrder="1"/>
    </xf>
    <xf numFmtId="0" fontId="79" fillId="0" borderId="38" xfId="0" applyFont="1" applyBorder="1" applyAlignment="1">
      <alignment horizontal="left" vertical="center" wrapText="1" readingOrder="1"/>
    </xf>
    <xf numFmtId="0" fontId="79" fillId="0" borderId="39" xfId="0" applyFont="1" applyBorder="1" applyAlignment="1">
      <alignment horizontal="left" vertical="center" wrapText="1" readingOrder="1"/>
    </xf>
    <xf numFmtId="0" fontId="79" fillId="0" borderId="37" xfId="0" applyFont="1" applyBorder="1" applyAlignment="1">
      <alignment vertical="center" wrapText="1" readingOrder="1"/>
    </xf>
    <xf numFmtId="0" fontId="79" fillId="0" borderId="39" xfId="0" applyFont="1" applyBorder="1" applyAlignment="1">
      <alignment vertical="center" wrapText="1" readingOrder="1"/>
    </xf>
    <xf numFmtId="0" fontId="79" fillId="0" borderId="38" xfId="0" applyFont="1" applyBorder="1" applyAlignment="1">
      <alignment vertical="center" wrapText="1" readingOrder="1"/>
    </xf>
    <xf numFmtId="0" fontId="10" fillId="4" borderId="12" xfId="0" applyFont="1" applyFill="1" applyBorder="1" applyAlignment="1">
      <alignment horizontal="center" vertical="center" wrapText="1" readingOrder="1"/>
    </xf>
    <xf numFmtId="0" fontId="71" fillId="0" borderId="0" xfId="0" applyFont="1" applyAlignment="1">
      <alignment horizontal="left" vertical="center" wrapText="1"/>
    </xf>
    <xf numFmtId="0" fontId="66" fillId="4" borderId="0" xfId="0" applyFont="1" applyFill="1" applyAlignment="1">
      <alignment horizontal="right" vertical="center" wrapText="1" readingOrder="1"/>
    </xf>
    <xf numFmtId="0" fontId="87" fillId="27" borderId="0" xfId="0" applyFont="1" applyFill="1" applyAlignment="1">
      <alignment horizontal="right" vertical="center" wrapText="1" readingOrder="1"/>
    </xf>
    <xf numFmtId="0" fontId="87" fillId="28" borderId="0" xfId="0" applyFont="1" applyFill="1" applyAlignment="1">
      <alignment horizontal="center" vertical="center" wrapText="1" readingOrder="1"/>
    </xf>
    <xf numFmtId="0" fontId="87" fillId="29" borderId="0" xfId="0" applyFont="1" applyFill="1" applyAlignment="1">
      <alignment horizontal="right" wrapText="1" readingOrder="1"/>
    </xf>
    <xf numFmtId="0" fontId="68" fillId="29" borderId="0" xfId="0" applyFont="1" applyFill="1" applyAlignment="1">
      <alignment horizontal="right" wrapText="1" readingOrder="1"/>
    </xf>
    <xf numFmtId="0" fontId="87" fillId="29" borderId="0" xfId="0" applyFont="1" applyFill="1" applyAlignment="1">
      <alignment horizontal="right" vertical="center" wrapText="1" readingOrder="1"/>
    </xf>
    <xf numFmtId="0" fontId="87" fillId="19" borderId="0" xfId="0" applyFont="1" applyFill="1" applyAlignment="1">
      <alignment horizontal="right" vertical="center" wrapText="1" readingOrder="1"/>
    </xf>
    <xf numFmtId="0" fontId="10" fillId="4" borderId="0" xfId="0" applyFont="1" applyFill="1" applyAlignment="1">
      <alignment horizontal="center" vertical="center" wrapText="1" readingOrder="1"/>
    </xf>
    <xf numFmtId="0" fontId="10" fillId="4" borderId="8" xfId="0" applyFont="1" applyFill="1" applyBorder="1" applyAlignment="1">
      <alignment horizontal="center" vertical="center" wrapText="1" readingOrder="1"/>
    </xf>
    <xf numFmtId="0" fontId="10" fillId="4" borderId="9" xfId="0" applyFont="1" applyFill="1" applyBorder="1" applyAlignment="1">
      <alignment horizontal="center" vertical="center" wrapText="1" readingOrder="1"/>
    </xf>
    <xf numFmtId="0" fontId="10" fillId="4" borderId="42" xfId="0" applyFont="1" applyFill="1" applyBorder="1" applyAlignment="1">
      <alignment horizontal="left" vertical="center" wrapText="1" readingOrder="1"/>
    </xf>
    <xf numFmtId="0" fontId="10" fillId="4" borderId="41" xfId="0" applyFont="1" applyFill="1" applyBorder="1" applyAlignment="1">
      <alignment horizontal="center" vertical="center" wrapText="1" readingOrder="1"/>
    </xf>
    <xf numFmtId="0" fontId="9" fillId="0" borderId="42" xfId="0" applyFont="1" applyBorder="1" applyAlignment="1">
      <alignment horizontal="center" vertical="center" wrapText="1" readingOrder="1"/>
    </xf>
    <xf numFmtId="0" fontId="89" fillId="29" borderId="42" xfId="0" applyFont="1" applyFill="1" applyBorder="1" applyAlignment="1">
      <alignment horizontal="left" vertical="center" wrapText="1" readingOrder="1"/>
    </xf>
    <xf numFmtId="0" fontId="57" fillId="29" borderId="42" xfId="0" applyFont="1" applyFill="1" applyBorder="1" applyAlignment="1">
      <alignment horizontal="left" vertical="center" wrapText="1" readingOrder="1"/>
    </xf>
    <xf numFmtId="0" fontId="10" fillId="4" borderId="36" xfId="0" applyFont="1" applyFill="1" applyBorder="1" applyAlignment="1">
      <alignment horizontal="center" vertical="center" wrapText="1" readingOrder="1"/>
    </xf>
    <xf numFmtId="0" fontId="57" fillId="0" borderId="43" xfId="0" applyFont="1" applyBorder="1" applyAlignment="1">
      <alignment horizontal="center" wrapText="1" readingOrder="1"/>
    </xf>
    <xf numFmtId="0" fontId="57" fillId="0" borderId="43" xfId="0" applyFont="1" applyBorder="1" applyAlignment="1">
      <alignment horizontal="center" vertical="center" wrapText="1" readingOrder="1"/>
    </xf>
    <xf numFmtId="0" fontId="90" fillId="4" borderId="39" xfId="0" applyFont="1" applyFill="1" applyBorder="1" applyAlignment="1">
      <alignment horizontal="right" vertical="center" wrapText="1" readingOrder="1"/>
    </xf>
    <xf numFmtId="0" fontId="10" fillId="5" borderId="43" xfId="0" applyFont="1" applyFill="1" applyBorder="1" applyAlignment="1">
      <alignment horizontal="center" vertical="center" wrapText="1" readingOrder="1"/>
    </xf>
    <xf numFmtId="0" fontId="57" fillId="0" borderId="44" xfId="0" applyFont="1" applyBorder="1" applyAlignment="1">
      <alignment horizontal="center" vertical="center" wrapText="1" readingOrder="1"/>
    </xf>
    <xf numFmtId="0" fontId="57" fillId="0" borderId="45" xfId="0" applyFont="1" applyBorder="1" applyAlignment="1">
      <alignment horizontal="center" vertical="center" wrapText="1" readingOrder="1"/>
    </xf>
    <xf numFmtId="0" fontId="57" fillId="0" borderId="46" xfId="0" applyFont="1" applyBorder="1" applyAlignment="1">
      <alignment horizontal="center" vertical="center" wrapText="1" readingOrder="1"/>
    </xf>
    <xf numFmtId="0" fontId="31" fillId="0" borderId="0" xfId="0" applyFont="1" applyAlignment="1">
      <alignment horizontal="center"/>
    </xf>
    <xf numFmtId="0" fontId="32" fillId="4" borderId="8" xfId="0" applyFont="1" applyFill="1" applyBorder="1" applyAlignment="1">
      <alignment horizontal="center" vertical="center" wrapText="1" readingOrder="1"/>
    </xf>
    <xf numFmtId="0" fontId="32" fillId="4" borderId="9" xfId="0" applyFont="1" applyFill="1" applyBorder="1" applyAlignment="1">
      <alignment horizontal="center" vertical="center" wrapText="1" readingOrder="1"/>
    </xf>
    <xf numFmtId="0" fontId="34" fillId="6" borderId="13" xfId="0" applyFont="1" applyFill="1" applyBorder="1" applyAlignment="1">
      <alignment vertical="center" wrapText="1"/>
    </xf>
    <xf numFmtId="0" fontId="34" fillId="6" borderId="14" xfId="0" applyFont="1" applyFill="1" applyBorder="1" applyAlignment="1">
      <alignment vertical="center" wrapText="1"/>
    </xf>
    <xf numFmtId="0" fontId="32" fillId="4" borderId="13" xfId="0" applyFont="1" applyFill="1" applyBorder="1" applyAlignment="1">
      <alignment horizontal="center" vertical="center" wrapText="1"/>
    </xf>
    <xf numFmtId="0" fontId="32" fillId="4" borderId="14" xfId="0" applyFont="1" applyFill="1" applyBorder="1" applyAlignment="1">
      <alignment horizontal="center" vertical="center" wrapText="1"/>
    </xf>
    <xf numFmtId="0" fontId="37" fillId="6" borderId="14" xfId="0" applyFont="1" applyFill="1" applyBorder="1" applyAlignment="1">
      <alignment horizontal="left" vertical="center" wrapText="1"/>
    </xf>
    <xf numFmtId="0" fontId="39" fillId="0" borderId="0" xfId="0" applyFont="1" applyAlignment="1">
      <alignment horizontal="center" vertical="center"/>
    </xf>
    <xf numFmtId="0" fontId="4" fillId="4" borderId="15" xfId="0" applyFont="1" applyFill="1" applyBorder="1" applyAlignment="1">
      <alignment horizontal="center" vertical="center" wrapText="1"/>
    </xf>
    <xf numFmtId="0" fontId="4" fillId="4" borderId="0" xfId="0" applyFont="1" applyFill="1" applyAlignment="1">
      <alignment horizontal="center" vertical="center" wrapText="1"/>
    </xf>
    <xf numFmtId="0" fontId="4" fillId="5" borderId="1" xfId="0" applyFont="1" applyFill="1" applyBorder="1" applyAlignment="1">
      <alignment horizontal="center" vertical="center" wrapText="1"/>
    </xf>
    <xf numFmtId="0" fontId="4" fillId="5" borderId="3" xfId="0" applyFont="1" applyFill="1" applyBorder="1" applyAlignment="1">
      <alignment horizontal="center" vertical="center" wrapText="1"/>
    </xf>
    <xf numFmtId="0" fontId="4" fillId="4" borderId="13" xfId="0" applyFont="1" applyFill="1" applyBorder="1" applyAlignment="1">
      <alignment horizontal="center" vertical="center" wrapText="1"/>
    </xf>
    <xf numFmtId="0" fontId="4" fillId="4" borderId="14" xfId="0" applyFont="1" applyFill="1" applyBorder="1" applyAlignment="1">
      <alignment horizontal="center" vertical="center" wrapText="1"/>
    </xf>
    <xf numFmtId="0" fontId="4" fillId="4" borderId="2" xfId="0" applyFont="1" applyFill="1" applyBorder="1" applyAlignment="1">
      <alignment horizontal="center" vertical="center" wrapText="1"/>
    </xf>
    <xf numFmtId="0" fontId="41" fillId="5" borderId="1" xfId="0" applyFont="1" applyFill="1" applyBorder="1" applyAlignment="1">
      <alignment horizontal="center" vertical="center" wrapText="1"/>
    </xf>
    <xf numFmtId="0" fontId="41" fillId="5" borderId="3" xfId="0" applyFont="1" applyFill="1" applyBorder="1" applyAlignment="1">
      <alignment horizontal="center" vertical="center" wrapText="1"/>
    </xf>
    <xf numFmtId="0" fontId="4" fillId="4" borderId="16" xfId="0" applyFont="1" applyFill="1" applyBorder="1" applyAlignment="1">
      <alignment horizontal="center" vertical="center" wrapText="1"/>
    </xf>
    <xf numFmtId="0" fontId="4" fillId="4" borderId="7" xfId="0" applyFont="1" applyFill="1" applyBorder="1" applyAlignment="1">
      <alignment horizontal="center" vertical="center" wrapText="1"/>
    </xf>
    <xf numFmtId="0" fontId="31" fillId="0" borderId="0" xfId="0" applyFont="1" applyAlignment="1">
      <alignment horizontal="center" vertical="center"/>
    </xf>
    <xf numFmtId="0" fontId="32" fillId="4" borderId="7" xfId="0" applyFont="1" applyFill="1" applyBorder="1" applyAlignment="1">
      <alignment horizontal="center" vertical="center" wrapText="1"/>
    </xf>
    <xf numFmtId="4" fontId="5" fillId="0" borderId="1" xfId="0" applyNumberFormat="1" applyFont="1" applyBorder="1" applyAlignment="1">
      <alignment horizontal="right" vertical="center" wrapText="1"/>
    </xf>
    <xf numFmtId="4" fontId="5" fillId="0" borderId="3" xfId="0" applyNumberFormat="1" applyFont="1" applyBorder="1" applyAlignment="1">
      <alignment horizontal="right" vertical="center" wrapText="1"/>
    </xf>
    <xf numFmtId="0" fontId="5" fillId="0" borderId="1" xfId="0" applyFont="1" applyBorder="1" applyAlignment="1">
      <alignment horizontal="left" vertical="center" wrapText="1"/>
    </xf>
    <xf numFmtId="0" fontId="5" fillId="0" borderId="3" xfId="0" applyFont="1" applyBorder="1" applyAlignment="1">
      <alignment horizontal="left" vertical="center" wrapText="1"/>
    </xf>
    <xf numFmtId="0" fontId="4" fillId="4" borderId="1" xfId="0" applyFont="1" applyFill="1" applyBorder="1" applyAlignment="1">
      <alignment horizontal="center" vertical="center" wrapText="1"/>
    </xf>
    <xf numFmtId="0" fontId="4" fillId="4" borderId="3" xfId="0" applyFont="1" applyFill="1" applyBorder="1" applyAlignment="1">
      <alignment horizontal="center" vertical="center" wrapText="1"/>
    </xf>
    <xf numFmtId="0" fontId="4" fillId="4" borderId="18" xfId="0" applyFont="1" applyFill="1" applyBorder="1" applyAlignment="1">
      <alignment horizontal="center" vertical="center" wrapText="1"/>
    </xf>
    <xf numFmtId="0" fontId="4" fillId="4" borderId="19" xfId="0" applyFont="1" applyFill="1" applyBorder="1" applyAlignment="1">
      <alignment horizontal="center" vertical="center" wrapText="1"/>
    </xf>
    <xf numFmtId="0" fontId="4" fillId="4" borderId="5" xfId="0" applyFont="1" applyFill="1" applyBorder="1" applyAlignment="1">
      <alignment horizontal="center" vertical="center" wrapText="1"/>
    </xf>
    <xf numFmtId="0" fontId="3" fillId="0" borderId="0" xfId="0" applyFont="1" applyAlignment="1">
      <alignment horizontal="center"/>
    </xf>
    <xf numFmtId="0" fontId="29" fillId="0" borderId="0" xfId="0" applyFont="1" applyAlignment="1">
      <alignment horizontal="center" vertical="center"/>
    </xf>
    <xf numFmtId="0" fontId="28" fillId="0" borderId="0" xfId="0" applyFont="1" applyAlignment="1">
      <alignment horizontal="left"/>
    </xf>
    <xf numFmtId="0" fontId="21" fillId="2" borderId="7" xfId="0" applyFont="1" applyFill="1" applyBorder="1" applyAlignment="1">
      <alignment horizontal="center" vertical="center" wrapText="1"/>
    </xf>
    <xf numFmtId="0" fontId="21" fillId="2" borderId="4" xfId="0" applyFont="1" applyFill="1" applyBorder="1" applyAlignment="1">
      <alignment horizontal="center" vertical="center" wrapText="1"/>
    </xf>
    <xf numFmtId="0" fontId="20" fillId="0" borderId="0" xfId="0" applyFont="1" applyAlignment="1">
      <alignment horizontal="left"/>
    </xf>
    <xf numFmtId="0" fontId="25" fillId="2" borderId="0" xfId="0" applyFont="1" applyFill="1" applyAlignment="1">
      <alignment horizontal="center" vertical="center"/>
    </xf>
    <xf numFmtId="0" fontId="15" fillId="0" borderId="0" xfId="0" applyFont="1" applyAlignment="1">
      <alignment horizontal="left" vertical="center" wrapText="1"/>
    </xf>
    <xf numFmtId="0" fontId="15" fillId="0" borderId="0" xfId="0" applyFont="1" applyAlignment="1">
      <alignment horizontal="left" vertical="center" wrapText="1" readingOrder="1"/>
    </xf>
    <xf numFmtId="0" fontId="4" fillId="0" borderId="0" xfId="0" applyFont="1" applyAlignment="1">
      <alignment horizontal="left" vertical="center" wrapText="1" readingOrder="1"/>
    </xf>
    <xf numFmtId="0" fontId="13" fillId="0" borderId="0" xfId="0" applyFont="1" applyAlignment="1">
      <alignment horizontal="left" vertical="center"/>
    </xf>
    <xf numFmtId="0" fontId="3" fillId="0" borderId="0" xfId="0" applyFont="1" applyAlignment="1">
      <alignment horizontal="left" vertical="center"/>
    </xf>
    <xf numFmtId="0" fontId="6" fillId="0" borderId="0" xfId="0" applyFont="1" applyAlignment="1">
      <alignment horizontal="left" wrapText="1"/>
    </xf>
    <xf numFmtId="0" fontId="8" fillId="0" borderId="0" xfId="0" applyFont="1" applyAlignment="1">
      <alignment horizontal="left" vertical="center" wrapText="1" readingOrder="1"/>
    </xf>
    <xf numFmtId="0" fontId="6" fillId="0" borderId="0" xfId="0" applyFont="1" applyAlignment="1">
      <alignment horizontal="left" vertical="center" wrapText="1"/>
    </xf>
  </cellXfs>
  <cellStyles count="8">
    <cellStyle name="Comma 2" xfId="3"/>
    <cellStyle name="Comma 3" xfId="2"/>
    <cellStyle name="Millares" xfId="1" builtinId="3"/>
    <cellStyle name="Moneda" xfId="6" builtinId="4"/>
    <cellStyle name="Normal" xfId="0" builtinId="0"/>
    <cellStyle name="Normal 2 2 2" xfId="7"/>
    <cellStyle name="Normal 3 2" xfId="5"/>
    <cellStyle name="Porcentaje" xfId="4" builtinId="5"/>
  </cellStyles>
  <dxfs count="0"/>
  <tableStyles count="0" defaultTableStyle="TableStyleMedium2" defaultPivotStyle="PivotStyleLight16"/>
  <colors>
    <mruColors>
      <color rgb="FFC6E2F0"/>
      <color rgb="FF10979E"/>
      <color rgb="FF3495C6"/>
      <color rgb="FFE4BC19"/>
      <color rgb="FF4690BF"/>
      <color rgb="FF65737C"/>
      <color rgb="FF043E5E"/>
      <color rgb="FF404040"/>
      <color rgb="FFD2D2D3"/>
      <color rgb="FF1A4B6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worksheet" Target="worksheets/sheet47.xml"/><Relationship Id="rId50" Type="http://schemas.openxmlformats.org/officeDocument/2006/relationships/worksheet" Target="worksheets/sheet50.xml"/><Relationship Id="rId55" Type="http://schemas.openxmlformats.org/officeDocument/2006/relationships/externalLink" Target="externalLinks/externalLink2.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worksheet" Target="worksheets/sheet53.xml"/><Relationship Id="rId58" Type="http://schemas.openxmlformats.org/officeDocument/2006/relationships/sharedStrings" Target="sharedStrings.xml"/><Relationship Id="rId5" Type="http://schemas.openxmlformats.org/officeDocument/2006/relationships/worksheet" Target="worksheets/sheet5.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theme" Target="theme/theme1.xml"/><Relationship Id="rId8" Type="http://schemas.openxmlformats.org/officeDocument/2006/relationships/worksheet" Target="worksheets/sheet8.xml"/><Relationship Id="rId51" Type="http://schemas.openxmlformats.org/officeDocument/2006/relationships/worksheet" Target="worksheets/sheet51.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sheetMetadata" Target="metadata.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styles" Target="styles.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3" Type="http://schemas.openxmlformats.org/officeDocument/2006/relationships/chartUserShapes" Target="../drawings/drawing3.xml"/><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3" Type="http://schemas.openxmlformats.org/officeDocument/2006/relationships/chartUserShapes" Target="../drawings/drawing5.xml"/><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3" Type="http://schemas.openxmlformats.org/officeDocument/2006/relationships/chartUserShapes" Target="../drawings/drawing8.xml"/><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9.xml.rels><?xml version="1.0" encoding="UTF-8" standalone="yes"?>
<Relationships xmlns="http://schemas.openxmlformats.org/package/2006/relationships"><Relationship Id="rId1" Type="http://schemas.openxmlformats.org/officeDocument/2006/relationships/chartUserShapes" Target="../drawings/drawing12.xml"/></Relationships>
</file>

<file path=xl/charts/_rels/chart10.xml.rels><?xml version="1.0" encoding="UTF-8" standalone="yes"?>
<Relationships xmlns="http://schemas.openxmlformats.org/package/2006/relationships"><Relationship Id="rId1" Type="http://schemas.openxmlformats.org/officeDocument/2006/relationships/chartUserShapes" Target="../drawings/drawing13.xml"/></Relationships>
</file>

<file path=xl/charts/_rels/chart11.xml.rels><?xml version="1.0" encoding="UTF-8" standalone="yes"?>
<Relationships xmlns="http://schemas.openxmlformats.org/package/2006/relationships"><Relationship Id="rId1" Type="http://schemas.openxmlformats.org/officeDocument/2006/relationships/chartUserShapes" Target="../drawings/drawing14.xml"/></Relationships>
</file>

<file path=xl/charts/_rels/chart13.xml.rels><?xml version="1.0" encoding="UTF-8" standalone="yes"?>
<Relationships xmlns="http://schemas.openxmlformats.org/package/2006/relationships"><Relationship Id="rId1" Type="http://schemas.openxmlformats.org/officeDocument/2006/relationships/chartUserShapes" Target="../drawings/drawing17.xml"/></Relationships>
</file>

<file path=xl/charts/_rels/chart17.xml.rels><?xml version="1.0" encoding="UTF-8" standalone="yes"?>
<Relationships xmlns="http://schemas.openxmlformats.org/package/2006/relationships"><Relationship Id="rId1" Type="http://schemas.openxmlformats.org/officeDocument/2006/relationships/chartUserShapes" Target="../drawings/drawing21.xml"/></Relationships>
</file>

<file path=xl/charts/_rels/chart18.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19.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20.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21.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22.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23.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24.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25.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26.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27.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28.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29.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30.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31.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32.xml.rels><?xml version="1.0" encoding="UTF-8" standalone="yes"?>
<Relationships xmlns="http://schemas.openxmlformats.org/package/2006/relationships"><Relationship Id="rId2" Type="http://schemas.microsoft.com/office/2011/relationships/chartColorStyle" Target="colors21.xml"/><Relationship Id="rId1" Type="http://schemas.microsoft.com/office/2011/relationships/chartStyle" Target="style21.xml"/></Relationships>
</file>

<file path=xl/charts/_rels/chart33.xml.rels><?xml version="1.0" encoding="UTF-8" standalone="yes"?>
<Relationships xmlns="http://schemas.openxmlformats.org/package/2006/relationships"><Relationship Id="rId2" Type="http://schemas.microsoft.com/office/2011/relationships/chartColorStyle" Target="colors22.xml"/><Relationship Id="rId1" Type="http://schemas.microsoft.com/office/2011/relationships/chartStyle" Target="style22.xml"/></Relationships>
</file>

<file path=xl/charts/_rels/chart34.xml.rels><?xml version="1.0" encoding="UTF-8" standalone="yes"?>
<Relationships xmlns="http://schemas.openxmlformats.org/package/2006/relationships"><Relationship Id="rId2" Type="http://schemas.microsoft.com/office/2011/relationships/chartColorStyle" Target="colors23.xml"/><Relationship Id="rId1" Type="http://schemas.microsoft.com/office/2011/relationships/chartStyle" Target="style23.xml"/></Relationships>
</file>

<file path=xl/charts/_rels/chart35.xml.rels><?xml version="1.0" encoding="UTF-8" standalone="yes"?>
<Relationships xmlns="http://schemas.openxmlformats.org/package/2006/relationships"><Relationship Id="rId2" Type="http://schemas.microsoft.com/office/2011/relationships/chartColorStyle" Target="colors24.xml"/><Relationship Id="rId1" Type="http://schemas.microsoft.com/office/2011/relationships/chartStyle" Target="style24.xml"/></Relationships>
</file>

<file path=xl/charts/_rels/chart36.xml.rels><?xml version="1.0" encoding="UTF-8" standalone="yes"?>
<Relationships xmlns="http://schemas.openxmlformats.org/package/2006/relationships"><Relationship Id="rId2" Type="http://schemas.microsoft.com/office/2011/relationships/chartColorStyle" Target="colors25.xml"/><Relationship Id="rId1" Type="http://schemas.microsoft.com/office/2011/relationships/chartStyle" Target="style25.xml"/></Relationships>
</file>

<file path=xl/charts/_rels/chart37.xml.rels><?xml version="1.0" encoding="UTF-8" standalone="yes"?>
<Relationships xmlns="http://schemas.openxmlformats.org/package/2006/relationships"><Relationship Id="rId2" Type="http://schemas.microsoft.com/office/2011/relationships/chartColorStyle" Target="colors26.xml"/><Relationship Id="rId1" Type="http://schemas.microsoft.com/office/2011/relationships/chartStyle" Target="style26.xml"/></Relationships>
</file>

<file path=xl/charts/_rels/chart38.xml.rels><?xml version="1.0" encoding="UTF-8" standalone="yes"?>
<Relationships xmlns="http://schemas.openxmlformats.org/package/2006/relationships"><Relationship Id="rId2" Type="http://schemas.microsoft.com/office/2011/relationships/chartColorStyle" Target="colors27.xml"/><Relationship Id="rId1" Type="http://schemas.microsoft.com/office/2011/relationships/chartStyle" Target="style2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'[1]Reservas LARH 2023'!$C$10</c:f>
              <c:strCache>
                <c:ptCount val="1"/>
                <c:pt idx="0">
                  <c:v>PETRÓLEO (MMSTB)</c:v>
                </c:pt>
              </c:strCache>
            </c:strRef>
          </c:tx>
          <c:spPr>
            <a:solidFill>
              <a:schemeClr val="accent5">
                <a:lumMod val="20000"/>
                <a:lumOff val="8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s-PE"/>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'[1]Reservas LARH 2023'!$B$11:$B$14</c:f>
              <c:strCache>
                <c:ptCount val="4"/>
                <c:pt idx="0">
                  <c:v>RESERVAS PROBADAS</c:v>
                </c:pt>
                <c:pt idx="1">
                  <c:v>RESERVAS TOTALES</c:v>
                </c:pt>
                <c:pt idx="2">
                  <c:v>RECURSOS CONTINGENTES</c:v>
                </c:pt>
                <c:pt idx="3">
                  <c:v>RECURSOS PROSPECTIVOS</c:v>
                </c:pt>
              </c:strCache>
            </c:strRef>
          </c:cat>
          <c:val>
            <c:numRef>
              <c:f>'[1]Reservas LARH 2023'!$C$11:$C$14</c:f>
              <c:numCache>
                <c:formatCode>General</c:formatCode>
                <c:ptCount val="4"/>
                <c:pt idx="0">
                  <c:v>324.904</c:v>
                </c:pt>
                <c:pt idx="1">
                  <c:v>679.05200000000002</c:v>
                </c:pt>
                <c:pt idx="2">
                  <c:v>465.44799999999998</c:v>
                </c:pt>
                <c:pt idx="3">
                  <c:v>33271.133999999998</c:v>
                </c:pt>
              </c:numCache>
            </c:numRef>
          </c:val>
          <c:extLst>
            <c:ext xmlns:c16="http://schemas.microsoft.com/office/drawing/2014/chart" uri="{C3380CC4-5D6E-409C-BE32-E72D297353CC}">
              <c16:uniqueId val="{00000000-D756-4F2E-A585-DCAD4D890AA0}"/>
            </c:ext>
          </c:extLst>
        </c:ser>
        <c:ser>
          <c:idx val="1"/>
          <c:order val="1"/>
          <c:tx>
            <c:strRef>
              <c:f>'[1]Reservas LARH 2023'!$D$10</c:f>
              <c:strCache>
                <c:ptCount val="1"/>
                <c:pt idx="0">
                  <c:v>LGN (MMSTB)</c:v>
                </c:pt>
              </c:strCache>
            </c:strRef>
          </c:tx>
          <c:spPr>
            <a:solidFill>
              <a:schemeClr val="accent5">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s-PE"/>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'[1]Reservas LARH 2023'!$B$11:$B$14</c:f>
              <c:strCache>
                <c:ptCount val="4"/>
                <c:pt idx="0">
                  <c:v>RESERVAS PROBADAS</c:v>
                </c:pt>
                <c:pt idx="1">
                  <c:v>RESERVAS TOTALES</c:v>
                </c:pt>
                <c:pt idx="2">
                  <c:v>RECURSOS CONTINGENTES</c:v>
                </c:pt>
                <c:pt idx="3">
                  <c:v>RECURSOS PROSPECTIVOS</c:v>
                </c:pt>
              </c:strCache>
            </c:strRef>
          </c:cat>
          <c:val>
            <c:numRef>
              <c:f>'[1]Reservas LARH 2023'!$D$11:$D$14</c:f>
              <c:numCache>
                <c:formatCode>General</c:formatCode>
                <c:ptCount val="4"/>
                <c:pt idx="0">
                  <c:v>348.49299999999999</c:v>
                </c:pt>
                <c:pt idx="1">
                  <c:v>476.43700000000001</c:v>
                </c:pt>
                <c:pt idx="2">
                  <c:v>303.57499999999999</c:v>
                </c:pt>
                <c:pt idx="3">
                  <c:v>527.98900000000003</c:v>
                </c:pt>
              </c:numCache>
            </c:numRef>
          </c:val>
          <c:extLst>
            <c:ext xmlns:c16="http://schemas.microsoft.com/office/drawing/2014/chart" uri="{C3380CC4-5D6E-409C-BE32-E72D297353CC}">
              <c16:uniqueId val="{00000001-D756-4F2E-A585-DCAD4D890AA0}"/>
            </c:ext>
          </c:extLst>
        </c:ser>
        <c:ser>
          <c:idx val="2"/>
          <c:order val="2"/>
          <c:tx>
            <c:strRef>
              <c:f>'[1]Reservas LARH 2023'!$E$10</c:f>
              <c:strCache>
                <c:ptCount val="1"/>
                <c:pt idx="0">
                  <c:v>GAS NATURAL (TCF)</c:v>
                </c:pt>
              </c:strCache>
            </c:strRef>
          </c:tx>
          <c:spPr>
            <a:solidFill>
              <a:srgbClr val="1F4E78"/>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s-PE"/>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'[1]Reservas LARH 2023'!$B$11:$B$14</c:f>
              <c:strCache>
                <c:ptCount val="4"/>
                <c:pt idx="0">
                  <c:v>RESERVAS PROBADAS</c:v>
                </c:pt>
                <c:pt idx="1">
                  <c:v>RESERVAS TOTALES</c:v>
                </c:pt>
                <c:pt idx="2">
                  <c:v>RECURSOS CONTINGENTES</c:v>
                </c:pt>
                <c:pt idx="3">
                  <c:v>RECURSOS PROSPECTIVOS</c:v>
                </c:pt>
              </c:strCache>
            </c:strRef>
          </c:cat>
          <c:val>
            <c:numRef>
              <c:f>'[1]Reservas LARH 2023'!$E$11:$E$14</c:f>
              <c:numCache>
                <c:formatCode>General</c:formatCode>
                <c:ptCount val="4"/>
                <c:pt idx="0">
                  <c:v>7.8760000000000003</c:v>
                </c:pt>
                <c:pt idx="1">
                  <c:v>10.343</c:v>
                </c:pt>
                <c:pt idx="2">
                  <c:v>6.91</c:v>
                </c:pt>
                <c:pt idx="3">
                  <c:v>43.234999999999999</c:v>
                </c:pt>
              </c:numCache>
            </c:numRef>
          </c:val>
          <c:extLst>
            <c:ext xmlns:c16="http://schemas.microsoft.com/office/drawing/2014/chart" uri="{C3380CC4-5D6E-409C-BE32-E72D297353CC}">
              <c16:uniqueId val="{00000002-D756-4F2E-A585-DCAD4D890AA0}"/>
            </c:ext>
          </c:extLst>
        </c:ser>
        <c:dLbls>
          <c:dLblPos val="outEnd"/>
          <c:showLegendKey val="0"/>
          <c:showVal val="1"/>
          <c:showCatName val="0"/>
          <c:showSerName val="0"/>
          <c:showPercent val="0"/>
          <c:showBubbleSize val="0"/>
        </c:dLbls>
        <c:gapWidth val="219"/>
        <c:overlap val="-10"/>
        <c:axId val="485092464"/>
        <c:axId val="485097712"/>
      </c:barChart>
      <c:catAx>
        <c:axId val="4850924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PE"/>
          </a:p>
        </c:txPr>
        <c:crossAx val="485097712"/>
        <c:crosses val="autoZero"/>
        <c:auto val="1"/>
        <c:lblAlgn val="ctr"/>
        <c:lblOffset val="100"/>
        <c:noMultiLvlLbl val="0"/>
      </c:catAx>
      <c:valAx>
        <c:axId val="485097712"/>
        <c:scaling>
          <c:logBase val="10"/>
          <c:orientation val="minMax"/>
        </c:scaling>
        <c:delete val="1"/>
        <c:axPos val="l"/>
        <c:numFmt formatCode="General" sourceLinked="1"/>
        <c:majorTickMark val="none"/>
        <c:minorTickMark val="none"/>
        <c:tickLblPos val="nextTo"/>
        <c:crossAx val="485092464"/>
        <c:crosses val="autoZero"/>
        <c:crossBetween val="between"/>
      </c:valAx>
      <c:spPr>
        <a:noFill/>
        <a:ln>
          <a:noFill/>
        </a:ln>
        <a:effectLst/>
      </c:spPr>
    </c:plotArea>
    <c:legend>
      <c:legendPos val="b"/>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PE"/>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PE"/>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9.8150481189851271E-2"/>
          <c:y val="0.16666666666666666"/>
          <c:w val="0.87129396325459318"/>
          <c:h val="0.67507728200641581"/>
        </c:manualLayout>
      </c:layout>
      <c:barChart>
        <c:barDir val="col"/>
        <c:grouping val="clustered"/>
        <c:varyColors val="0"/>
        <c:ser>
          <c:idx val="0"/>
          <c:order val="0"/>
          <c:spPr>
            <a:solidFill>
              <a:schemeClr val="accent1">
                <a:lumMod val="75000"/>
              </a:schemeClr>
            </a:solidFill>
            <a:ln>
              <a:noFill/>
            </a:ln>
            <a:effectLst/>
          </c:spPr>
          <c:invertIfNegative val="0"/>
          <c:dPt>
            <c:idx val="0"/>
            <c:invertIfNegative val="0"/>
            <c:bubble3D val="0"/>
            <c:spPr>
              <a:solidFill>
                <a:srgbClr val="00CC99"/>
              </a:solidFill>
              <a:ln>
                <a:noFill/>
              </a:ln>
              <a:effectLst/>
            </c:spPr>
            <c:extLst>
              <c:ext xmlns:c16="http://schemas.microsoft.com/office/drawing/2014/chart" uri="{C3380CC4-5D6E-409C-BE32-E72D297353CC}">
                <c16:uniqueId val="{00000001-4087-411E-BE65-BB71C3DF9D68}"/>
              </c:ext>
            </c:extLst>
          </c:dPt>
          <c:dPt>
            <c:idx val="6"/>
            <c:invertIfNegative val="0"/>
            <c:bubble3D val="0"/>
            <c:spPr>
              <a:solidFill>
                <a:srgbClr val="00CC99"/>
              </a:solidFill>
              <a:ln>
                <a:noFill/>
              </a:ln>
              <a:effectLst/>
            </c:spPr>
            <c:extLst>
              <c:ext xmlns:c16="http://schemas.microsoft.com/office/drawing/2014/chart" uri="{C3380CC4-5D6E-409C-BE32-E72D297353CC}">
                <c16:uniqueId val="{00000003-4087-411E-BE65-BB71C3DF9D68}"/>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s-PE"/>
              </a:p>
            </c:txP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[1]DEEH01!$G$34:$G$40</c:f>
              <c:strCache>
                <c:ptCount val="7"/>
                <c:pt idx="0">
                  <c:v>Acum. (2020-2024)</c:v>
                </c:pt>
                <c:pt idx="1">
                  <c:v>2025</c:v>
                </c:pt>
                <c:pt idx="2">
                  <c:v>2026</c:v>
                </c:pt>
                <c:pt idx="3">
                  <c:v>2027</c:v>
                </c:pt>
                <c:pt idx="4">
                  <c:v>2028</c:v>
                </c:pt>
                <c:pt idx="5">
                  <c:v>2029</c:v>
                </c:pt>
                <c:pt idx="6">
                  <c:v>Acum. (2025-2029)</c:v>
                </c:pt>
              </c:strCache>
            </c:strRef>
          </c:cat>
          <c:val>
            <c:numRef>
              <c:f>[1]DEEH01!$I$34:$I$40</c:f>
              <c:numCache>
                <c:formatCode>General</c:formatCode>
                <c:ptCount val="7"/>
                <c:pt idx="0">
                  <c:v>331.95</c:v>
                </c:pt>
                <c:pt idx="1">
                  <c:v>0</c:v>
                </c:pt>
                <c:pt idx="2">
                  <c:v>0</c:v>
                </c:pt>
                <c:pt idx="3">
                  <c:v>0</c:v>
                </c:pt>
                <c:pt idx="4">
                  <c:v>0</c:v>
                </c:pt>
                <c:pt idx="5">
                  <c:v>0</c:v>
                </c:pt>
                <c:pt idx="6">
                  <c:v>0</c:v>
                </c:pt>
              </c:numCache>
            </c:numRef>
          </c:val>
          <c:extLst>
            <c:ext xmlns:c16="http://schemas.microsoft.com/office/drawing/2014/chart" uri="{C3380CC4-5D6E-409C-BE32-E72D297353CC}">
              <c16:uniqueId val="{00000004-4087-411E-BE65-BB71C3DF9D68}"/>
            </c:ext>
          </c:extLst>
        </c:ser>
        <c:dLbls>
          <c:showLegendKey val="0"/>
          <c:showVal val="0"/>
          <c:showCatName val="0"/>
          <c:showSerName val="0"/>
          <c:showPercent val="0"/>
          <c:showBubbleSize val="0"/>
        </c:dLbls>
        <c:gapWidth val="219"/>
        <c:overlap val="-27"/>
        <c:axId val="94236672"/>
        <c:axId val="94238208"/>
      </c:barChart>
      <c:catAx>
        <c:axId val="94236672"/>
        <c:scaling>
          <c:orientation val="minMax"/>
        </c:scaling>
        <c:delete val="0"/>
        <c:axPos val="b"/>
        <c:numFmt formatCode="General" sourceLinked="1"/>
        <c:majorTickMark val="out"/>
        <c:minorTickMark val="none"/>
        <c:tickLblPos val="nextTo"/>
        <c:spPr>
          <a:noFill/>
          <a:ln w="9525" cap="flat" cmpd="sng" algn="ctr">
            <a:solidFill>
              <a:schemeClr val="tx1"/>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s-PE"/>
          </a:p>
        </c:txPr>
        <c:crossAx val="94238208"/>
        <c:crosses val="autoZero"/>
        <c:auto val="1"/>
        <c:lblAlgn val="ctr"/>
        <c:lblOffset val="100"/>
        <c:noMultiLvlLbl val="0"/>
      </c:catAx>
      <c:valAx>
        <c:axId val="94238208"/>
        <c:scaling>
          <c:orientation val="minMax"/>
        </c:scaling>
        <c:delete val="0"/>
        <c:axPos val="l"/>
        <c:numFmt formatCode="General" sourceLinked="1"/>
        <c:majorTickMark val="out"/>
        <c:minorTickMark val="none"/>
        <c:tickLblPos val="nextTo"/>
        <c:spPr>
          <a:noFill/>
          <a:ln>
            <a:solidFill>
              <a:schemeClr val="tx1"/>
            </a:solid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s-PE"/>
          </a:p>
        </c:txPr>
        <c:crossAx val="9423667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sz="900">
          <a:solidFill>
            <a:sysClr val="windowText" lastClr="000000"/>
          </a:solidFill>
        </a:defRPr>
      </a:pPr>
      <a:endParaRPr lang="es-PE"/>
    </a:p>
  </c:txPr>
  <c:printSettings>
    <c:headerFooter/>
    <c:pageMargins b="0.75" l="0.7" r="0.7" t="0.75" header="0.3" footer="0.3"/>
    <c:pageSetup/>
  </c:printSettings>
  <c:userShapes r:id="rId3"/>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317199392311913"/>
          <c:y val="0.10803472980449096"/>
          <c:w val="0.79016764728363109"/>
          <c:h val="0.66530512844780021"/>
        </c:manualLayout>
      </c:layout>
      <c:barChart>
        <c:barDir val="col"/>
        <c:grouping val="clustered"/>
        <c:varyColors val="0"/>
        <c:ser>
          <c:idx val="0"/>
          <c:order val="0"/>
          <c:spPr>
            <a:solidFill>
              <a:schemeClr val="accent1"/>
            </a:solidFill>
            <a:ln>
              <a:noFill/>
            </a:ln>
            <a:effectLst/>
          </c:spPr>
          <c:invertIfNegative val="0"/>
          <c:dPt>
            <c:idx val="3"/>
            <c:invertIfNegative val="0"/>
            <c:bubble3D val="0"/>
            <c:spPr>
              <a:solidFill>
                <a:schemeClr val="accent1">
                  <a:lumMod val="75000"/>
                </a:schemeClr>
              </a:solidFill>
              <a:ln>
                <a:noFill/>
              </a:ln>
              <a:effectLst/>
            </c:spPr>
            <c:extLst>
              <c:ext xmlns:c16="http://schemas.microsoft.com/office/drawing/2014/chart" uri="{C3380CC4-5D6E-409C-BE32-E72D297353CC}">
                <c16:uniqueId val="{00000001-7617-4A40-A48C-84E2D06C2248}"/>
              </c:ext>
            </c:extLst>
          </c:dPt>
          <c:dPt>
            <c:idx val="6"/>
            <c:invertIfNegative val="0"/>
            <c:bubble3D val="0"/>
            <c:spPr>
              <a:solidFill>
                <a:srgbClr val="00CC99"/>
              </a:solidFill>
              <a:ln>
                <a:noFill/>
              </a:ln>
              <a:effectLst/>
            </c:spPr>
            <c:extLst>
              <c:ext xmlns:c16="http://schemas.microsoft.com/office/drawing/2014/chart" uri="{C3380CC4-5D6E-409C-BE32-E72D297353CC}">
                <c16:uniqueId val="{00000003-7617-4A40-A48C-84E2D06C2248}"/>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s-PE"/>
              </a:p>
            </c:txP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[1]DEEH02!$G$23:$G$29</c:f>
              <c:strCache>
                <c:ptCount val="7"/>
                <c:pt idx="0">
                  <c:v>Acum. (2020-2024)</c:v>
                </c:pt>
                <c:pt idx="1">
                  <c:v>2025</c:v>
                </c:pt>
                <c:pt idx="2">
                  <c:v>2026</c:v>
                </c:pt>
                <c:pt idx="3">
                  <c:v>2027</c:v>
                </c:pt>
                <c:pt idx="4">
                  <c:v>2028</c:v>
                </c:pt>
                <c:pt idx="5">
                  <c:v>2029</c:v>
                </c:pt>
                <c:pt idx="6">
                  <c:v>Acum. (2025-2029)</c:v>
                </c:pt>
              </c:strCache>
            </c:strRef>
          </c:cat>
          <c:val>
            <c:numRef>
              <c:f>[1]DEEH02!$I$23:$I$29</c:f>
              <c:numCache>
                <c:formatCode>General</c:formatCode>
                <c:ptCount val="7"/>
                <c:pt idx="0">
                  <c:v>6163</c:v>
                </c:pt>
                <c:pt idx="1">
                  <c:v>0</c:v>
                </c:pt>
                <c:pt idx="2">
                  <c:v>0</c:v>
                </c:pt>
                <c:pt idx="3">
                  <c:v>0</c:v>
                </c:pt>
                <c:pt idx="4">
                  <c:v>0</c:v>
                </c:pt>
                <c:pt idx="5">
                  <c:v>0</c:v>
                </c:pt>
                <c:pt idx="6">
                  <c:v>0</c:v>
                </c:pt>
              </c:numCache>
            </c:numRef>
          </c:val>
          <c:extLst>
            <c:ext xmlns:c16="http://schemas.microsoft.com/office/drawing/2014/chart" uri="{C3380CC4-5D6E-409C-BE32-E72D297353CC}">
              <c16:uniqueId val="{00000004-7617-4A40-A48C-84E2D06C2248}"/>
            </c:ext>
          </c:extLst>
        </c:ser>
        <c:dLbls>
          <c:showLegendKey val="0"/>
          <c:showVal val="0"/>
          <c:showCatName val="0"/>
          <c:showSerName val="0"/>
          <c:showPercent val="0"/>
          <c:showBubbleSize val="0"/>
        </c:dLbls>
        <c:gapWidth val="219"/>
        <c:overlap val="-27"/>
        <c:axId val="94274688"/>
        <c:axId val="94276224"/>
      </c:barChart>
      <c:catAx>
        <c:axId val="94274688"/>
        <c:scaling>
          <c:orientation val="minMax"/>
        </c:scaling>
        <c:delete val="0"/>
        <c:axPos val="b"/>
        <c:numFmt formatCode="General" sourceLinked="1"/>
        <c:majorTickMark val="out"/>
        <c:minorTickMark val="none"/>
        <c:tickLblPos val="nextTo"/>
        <c:spPr>
          <a:noFill/>
          <a:ln w="9525" cap="flat" cmpd="sng" algn="ctr">
            <a:solidFill>
              <a:schemeClr val="tx1"/>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s-PE"/>
          </a:p>
        </c:txPr>
        <c:crossAx val="94276224"/>
        <c:crosses val="autoZero"/>
        <c:auto val="1"/>
        <c:lblAlgn val="ctr"/>
        <c:lblOffset val="100"/>
        <c:noMultiLvlLbl val="0"/>
      </c:catAx>
      <c:valAx>
        <c:axId val="94276224"/>
        <c:scaling>
          <c:orientation val="minMax"/>
        </c:scaling>
        <c:delete val="0"/>
        <c:axPos val="l"/>
        <c:numFmt formatCode="General" sourceLinked="1"/>
        <c:majorTickMark val="out"/>
        <c:minorTickMark val="none"/>
        <c:tickLblPos val="nextTo"/>
        <c:spPr>
          <a:noFill/>
          <a:ln>
            <a:solidFill>
              <a:schemeClr val="tx1"/>
            </a:solid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s-PE"/>
          </a:p>
        </c:txPr>
        <c:crossAx val="9427468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sz="900">
          <a:solidFill>
            <a:sysClr val="windowText" lastClr="000000"/>
          </a:solidFill>
        </a:defRPr>
      </a:pPr>
      <a:endParaRPr lang="es-PE"/>
    </a:p>
  </c:txPr>
  <c:printSettings>
    <c:headerFooter/>
    <c:pageMargins b="0.75" l="0.7" r="0.7" t="0.75" header="0.3" footer="0.3"/>
    <c:pageSetup/>
  </c:printSettings>
  <c:userShapes r:id="rId3"/>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dPt>
            <c:idx val="0"/>
            <c:bubble3D val="0"/>
            <c:spPr>
              <a:solidFill>
                <a:schemeClr val="accent3">
                  <a:lumMod val="40000"/>
                  <a:lumOff val="60000"/>
                </a:schemeClr>
              </a:solidFill>
              <a:ln w="19050">
                <a:solidFill>
                  <a:schemeClr val="lt1"/>
                </a:solidFill>
              </a:ln>
              <a:effectLst/>
            </c:spPr>
            <c:extLst>
              <c:ext xmlns:c16="http://schemas.microsoft.com/office/drawing/2014/chart" uri="{C3380CC4-5D6E-409C-BE32-E72D297353CC}">
                <c16:uniqueId val="{00000001-91EB-43F7-B79A-04C265CBEC75}"/>
              </c:ext>
            </c:extLst>
          </c:dPt>
          <c:dPt>
            <c:idx val="1"/>
            <c:bubble3D val="0"/>
            <c:spPr>
              <a:solidFill>
                <a:srgbClr val="00CC99"/>
              </a:solidFill>
              <a:ln w="19050">
                <a:solidFill>
                  <a:schemeClr val="lt1"/>
                </a:solidFill>
              </a:ln>
              <a:effectLst/>
            </c:spPr>
            <c:extLst>
              <c:ext xmlns:c16="http://schemas.microsoft.com/office/drawing/2014/chart" uri="{C3380CC4-5D6E-409C-BE32-E72D297353CC}">
                <c16:uniqueId val="{00000003-91EB-43F7-B79A-04C265CBEC75}"/>
              </c:ext>
            </c:extLst>
          </c:dPt>
          <c:dPt>
            <c:idx val="2"/>
            <c:bubble3D val="0"/>
            <c:spPr>
              <a:solidFill>
                <a:schemeClr val="accent1">
                  <a:lumMod val="75000"/>
                </a:schemeClr>
              </a:solidFill>
              <a:ln w="19050">
                <a:solidFill>
                  <a:schemeClr val="lt1"/>
                </a:solidFill>
              </a:ln>
              <a:effectLst/>
            </c:spPr>
            <c:extLst>
              <c:ext xmlns:c16="http://schemas.microsoft.com/office/drawing/2014/chart" uri="{C3380CC4-5D6E-409C-BE32-E72D297353CC}">
                <c16:uniqueId val="{00000005-91EB-43F7-B79A-04C265CBEC75}"/>
              </c:ext>
            </c:extLst>
          </c:dPt>
          <c:dLbls>
            <c:dLbl>
              <c:idx val="0"/>
              <c:layout>
                <c:manualLayout>
                  <c:x val="8.611111111111111E-2"/>
                  <c:y val="-9.2592592592592587E-2"/>
                </c:manualLayout>
              </c:layout>
              <c:showLegendKey val="1"/>
              <c:showVal val="0"/>
              <c:showCatName val="1"/>
              <c:showSerName val="0"/>
              <c:showPercent val="1"/>
              <c:showBubbleSize val="0"/>
              <c:separator>
</c:separator>
              <c:extLst>
                <c:ext xmlns:c15="http://schemas.microsoft.com/office/drawing/2012/chart" uri="{CE6537A1-D6FC-4f65-9D91-7224C49458BB}">
                  <c15:layout/>
                </c:ext>
                <c:ext xmlns:c16="http://schemas.microsoft.com/office/drawing/2014/chart" uri="{C3380CC4-5D6E-409C-BE32-E72D297353CC}">
                  <c16:uniqueId val="{00000001-91EB-43F7-B79A-04C265CBEC75}"/>
                </c:ext>
              </c:extLst>
            </c:dLbl>
            <c:dLbl>
              <c:idx val="1"/>
              <c:layout>
                <c:manualLayout>
                  <c:x val="0.14166666666666677"/>
                  <c:y val="-6.481481481481477E-2"/>
                </c:manualLayout>
              </c:layout>
              <c:showLegendKey val="1"/>
              <c:showVal val="0"/>
              <c:showCatName val="1"/>
              <c:showSerName val="0"/>
              <c:showPercent val="1"/>
              <c:showBubbleSize val="0"/>
              <c:separator>
</c:separator>
              <c:extLst>
                <c:ext xmlns:c15="http://schemas.microsoft.com/office/drawing/2012/chart" uri="{CE6537A1-D6FC-4f65-9D91-7224C49458BB}">
                  <c15:layout/>
                </c:ext>
                <c:ext xmlns:c16="http://schemas.microsoft.com/office/drawing/2014/chart" uri="{C3380CC4-5D6E-409C-BE32-E72D297353CC}">
                  <c16:uniqueId val="{00000003-91EB-43F7-B79A-04C265CBEC75}"/>
                </c:ext>
              </c:extLst>
            </c:dLbl>
            <c:dLbl>
              <c:idx val="2"/>
              <c:layout>
                <c:manualLayout>
                  <c:x val="-0.15555555555555556"/>
                  <c:y val="-2.7777777777777776E-2"/>
                </c:manualLayout>
              </c:layout>
              <c:showLegendKey val="1"/>
              <c:showVal val="0"/>
              <c:showCatName val="1"/>
              <c:showSerName val="0"/>
              <c:showPercent val="1"/>
              <c:showBubbleSize val="0"/>
              <c:separator>
</c:separator>
              <c:extLst>
                <c:ext xmlns:c15="http://schemas.microsoft.com/office/drawing/2012/chart" uri="{CE6537A1-D6FC-4f65-9D91-7224C49458BB}">
                  <c15:layout/>
                </c:ext>
                <c:ext xmlns:c16="http://schemas.microsoft.com/office/drawing/2014/chart" uri="{C3380CC4-5D6E-409C-BE32-E72D297353CC}">
                  <c16:uniqueId val="{00000005-91EB-43F7-B79A-04C265CBEC75}"/>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s-PE"/>
              </a:p>
            </c:txPr>
            <c:showLegendKey val="1"/>
            <c:showVal val="0"/>
            <c:showCatName val="1"/>
            <c:showSerName val="0"/>
            <c:showPercent val="1"/>
            <c:showBubbleSize val="0"/>
            <c:separator>
</c:separator>
            <c:showLeaderLines val="0"/>
            <c:extLst>
              <c:ext xmlns:c15="http://schemas.microsoft.com/office/drawing/2012/chart" uri="{CE6537A1-D6FC-4f65-9D91-7224C49458BB}"/>
            </c:extLst>
          </c:dLbls>
          <c:cat>
            <c:strRef>
              <c:f>[1]DEEH04!$J$18:$J$20</c:f>
              <c:strCache>
                <c:ptCount val="3"/>
                <c:pt idx="0">
                  <c:v>Selva Central</c:v>
                </c:pt>
                <c:pt idx="1">
                  <c:v>Noroeste</c:v>
                </c:pt>
                <c:pt idx="2">
                  <c:v>Zócalo</c:v>
                </c:pt>
              </c:strCache>
            </c:strRef>
          </c:cat>
          <c:val>
            <c:numRef>
              <c:f>[1]DEEH04!$K$18:$K$20</c:f>
              <c:numCache>
                <c:formatCode>General</c:formatCode>
                <c:ptCount val="3"/>
                <c:pt idx="0">
                  <c:v>1</c:v>
                </c:pt>
                <c:pt idx="1">
                  <c:v>1</c:v>
                </c:pt>
                <c:pt idx="2">
                  <c:v>3</c:v>
                </c:pt>
              </c:numCache>
            </c:numRef>
          </c:val>
          <c:extLst>
            <c:ext xmlns:c16="http://schemas.microsoft.com/office/drawing/2014/chart" uri="{C3380CC4-5D6E-409C-BE32-E72D297353CC}">
              <c16:uniqueId val="{00000006-91EB-43F7-B79A-04C265CBEC75}"/>
            </c:ext>
          </c:extLst>
        </c:ser>
        <c:dLbls>
          <c:showLegendKey val="0"/>
          <c:showVal val="0"/>
          <c:showCatName val="0"/>
          <c:showSerName val="0"/>
          <c:showPercent val="0"/>
          <c:showBubbleSize val="0"/>
          <c:showLeaderLines val="0"/>
        </c:dLbls>
        <c:firstSliceAng val="0"/>
        <c:holeSize val="59"/>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PE"/>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317199392311913"/>
          <c:y val="0.16345343351338301"/>
          <c:w val="0.79016764728363109"/>
          <c:h val="0.60988653743915411"/>
        </c:manualLayout>
      </c:layout>
      <c:barChart>
        <c:barDir val="col"/>
        <c:grouping val="clustered"/>
        <c:varyColors val="0"/>
        <c:ser>
          <c:idx val="0"/>
          <c:order val="0"/>
          <c:spPr>
            <a:solidFill>
              <a:schemeClr val="accent1"/>
            </a:solidFill>
            <a:ln>
              <a:noFill/>
            </a:ln>
            <a:effectLst/>
          </c:spPr>
          <c:invertIfNegative val="0"/>
          <c:dPt>
            <c:idx val="0"/>
            <c:invertIfNegative val="0"/>
            <c:bubble3D val="0"/>
            <c:spPr>
              <a:solidFill>
                <a:srgbClr val="00CC99"/>
              </a:solidFill>
              <a:ln>
                <a:noFill/>
              </a:ln>
              <a:effectLst/>
            </c:spPr>
            <c:extLst>
              <c:ext xmlns:c16="http://schemas.microsoft.com/office/drawing/2014/chart" uri="{C3380CC4-5D6E-409C-BE32-E72D297353CC}">
                <c16:uniqueId val="{00000001-ABF9-42A9-8FDC-5FDE3DA9BDBD}"/>
              </c:ext>
            </c:extLst>
          </c:dPt>
          <c:dPt>
            <c:idx val="6"/>
            <c:invertIfNegative val="0"/>
            <c:bubble3D val="0"/>
            <c:spPr>
              <a:solidFill>
                <a:srgbClr val="00CC99"/>
              </a:solidFill>
              <a:ln>
                <a:noFill/>
              </a:ln>
              <a:effectLst/>
            </c:spPr>
            <c:extLst>
              <c:ext xmlns:c16="http://schemas.microsoft.com/office/drawing/2014/chart" uri="{C3380CC4-5D6E-409C-BE32-E72D297353CC}">
                <c16:uniqueId val="{00000003-ABF9-42A9-8FDC-5FDE3DA9BDBD}"/>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s-PE"/>
              </a:p>
            </c:txP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[1]DEEH02!$G$23:$G$29</c:f>
              <c:strCache>
                <c:ptCount val="7"/>
                <c:pt idx="0">
                  <c:v>Acum. (2020-2024)</c:v>
                </c:pt>
                <c:pt idx="1">
                  <c:v>2025</c:v>
                </c:pt>
                <c:pt idx="2">
                  <c:v>2026</c:v>
                </c:pt>
                <c:pt idx="3">
                  <c:v>2027</c:v>
                </c:pt>
                <c:pt idx="4">
                  <c:v>2028</c:v>
                </c:pt>
                <c:pt idx="5">
                  <c:v>2029</c:v>
                </c:pt>
                <c:pt idx="6">
                  <c:v>Acum. (2025-2029)</c:v>
                </c:pt>
              </c:strCache>
            </c:strRef>
          </c:cat>
          <c:val>
            <c:numRef>
              <c:f>[1]DEEH06!$B$31:$B$37</c:f>
              <c:numCache>
                <c:formatCode>General</c:formatCode>
                <c:ptCount val="7"/>
                <c:pt idx="0">
                  <c:v>337</c:v>
                </c:pt>
                <c:pt idx="1">
                  <c:v>67</c:v>
                </c:pt>
                <c:pt idx="2">
                  <c:v>224</c:v>
                </c:pt>
                <c:pt idx="3">
                  <c:v>284</c:v>
                </c:pt>
                <c:pt idx="4">
                  <c:v>187</c:v>
                </c:pt>
                <c:pt idx="5">
                  <c:v>157</c:v>
                </c:pt>
                <c:pt idx="6">
                  <c:v>919</c:v>
                </c:pt>
              </c:numCache>
            </c:numRef>
          </c:val>
          <c:extLst>
            <c:ext xmlns:c16="http://schemas.microsoft.com/office/drawing/2014/chart" uri="{C3380CC4-5D6E-409C-BE32-E72D297353CC}">
              <c16:uniqueId val="{00000004-ABF9-42A9-8FDC-5FDE3DA9BDBD}"/>
            </c:ext>
          </c:extLst>
        </c:ser>
        <c:dLbls>
          <c:showLegendKey val="0"/>
          <c:showVal val="0"/>
          <c:showCatName val="0"/>
          <c:showSerName val="0"/>
          <c:showPercent val="0"/>
          <c:showBubbleSize val="0"/>
        </c:dLbls>
        <c:gapWidth val="219"/>
        <c:overlap val="-27"/>
        <c:axId val="97483008"/>
        <c:axId val="97488896"/>
      </c:barChart>
      <c:catAx>
        <c:axId val="97483008"/>
        <c:scaling>
          <c:orientation val="minMax"/>
        </c:scaling>
        <c:delete val="0"/>
        <c:axPos val="b"/>
        <c:numFmt formatCode="General" sourceLinked="1"/>
        <c:majorTickMark val="out"/>
        <c:minorTickMark val="none"/>
        <c:tickLblPos val="nextTo"/>
        <c:spPr>
          <a:noFill/>
          <a:ln w="9525" cap="flat" cmpd="sng" algn="ctr">
            <a:solidFill>
              <a:schemeClr val="tx1"/>
            </a:solidFill>
            <a:round/>
          </a:ln>
          <a:effectLst/>
        </c:spPr>
        <c:txPr>
          <a:bodyPr rot="-6000000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s-PE"/>
          </a:p>
        </c:txPr>
        <c:crossAx val="97488896"/>
        <c:crosses val="autoZero"/>
        <c:auto val="1"/>
        <c:lblAlgn val="ctr"/>
        <c:lblOffset val="100"/>
        <c:noMultiLvlLbl val="0"/>
      </c:catAx>
      <c:valAx>
        <c:axId val="97488896"/>
        <c:scaling>
          <c:orientation val="minMax"/>
        </c:scaling>
        <c:delete val="0"/>
        <c:axPos val="l"/>
        <c:numFmt formatCode="General" sourceLinked="1"/>
        <c:majorTickMark val="out"/>
        <c:minorTickMark val="none"/>
        <c:tickLblPos val="nextTo"/>
        <c:spPr>
          <a:noFill/>
          <a:ln>
            <a:solidFill>
              <a:schemeClr val="tx1"/>
            </a:solidFill>
          </a:ln>
          <a:effectLst/>
        </c:spPr>
        <c:txPr>
          <a:bodyPr rot="-6000000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s-PE"/>
          </a:p>
        </c:txPr>
        <c:crossAx val="9748300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sz="900">
          <a:solidFill>
            <a:sysClr val="windowText" lastClr="000000"/>
          </a:solidFill>
        </a:defRPr>
      </a:pPr>
      <a:endParaRPr lang="es-PE"/>
    </a:p>
  </c:txPr>
  <c:printSettings>
    <c:headerFooter/>
    <c:pageMargins b="0.75" l="0.7" r="0.7" t="0.75" header="0.3" footer="0.3"/>
    <c:pageSetup/>
  </c:printSettings>
  <c:userShapes r:id="rId3"/>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spPr>
            <a:solidFill>
              <a:schemeClr val="bg2">
                <a:lumMod val="75000"/>
              </a:schemeClr>
            </a:solidFill>
          </c:spPr>
          <c:explosion val="8"/>
          <c:dPt>
            <c:idx val="0"/>
            <c:bubble3D val="0"/>
            <c:spPr>
              <a:solidFill>
                <a:srgbClr val="00CC99"/>
              </a:solidFill>
              <a:ln w="19050">
                <a:solidFill>
                  <a:schemeClr val="lt1"/>
                </a:solidFill>
              </a:ln>
              <a:effectLst/>
            </c:spPr>
            <c:extLst>
              <c:ext xmlns:c16="http://schemas.microsoft.com/office/drawing/2014/chart" uri="{C3380CC4-5D6E-409C-BE32-E72D297353CC}">
                <c16:uniqueId val="{00000001-993C-4515-80DA-859F1B5E8040}"/>
              </c:ext>
            </c:extLst>
          </c:dPt>
          <c:dPt>
            <c:idx val="1"/>
            <c:bubble3D val="0"/>
            <c:spPr>
              <a:solidFill>
                <a:schemeClr val="bg2">
                  <a:lumMod val="75000"/>
                </a:schemeClr>
              </a:solidFill>
              <a:ln w="19050">
                <a:solidFill>
                  <a:schemeClr val="lt1"/>
                </a:solidFill>
              </a:ln>
              <a:effectLst/>
            </c:spPr>
            <c:extLst>
              <c:ext xmlns:c16="http://schemas.microsoft.com/office/drawing/2014/chart" uri="{C3380CC4-5D6E-409C-BE32-E72D297353CC}">
                <c16:uniqueId val="{00000003-993C-4515-80DA-859F1B5E8040}"/>
              </c:ext>
            </c:extLst>
          </c:dPt>
          <c:dPt>
            <c:idx val="2"/>
            <c:bubble3D val="0"/>
            <c:spPr>
              <a:solidFill>
                <a:schemeClr val="accent1">
                  <a:lumMod val="75000"/>
                </a:schemeClr>
              </a:solidFill>
              <a:ln w="19050">
                <a:solidFill>
                  <a:schemeClr val="lt1"/>
                </a:solidFill>
              </a:ln>
              <a:effectLst/>
            </c:spPr>
            <c:extLst>
              <c:ext xmlns:c16="http://schemas.microsoft.com/office/drawing/2014/chart" uri="{C3380CC4-5D6E-409C-BE32-E72D297353CC}">
                <c16:uniqueId val="{00000005-993C-4515-80DA-859F1B5E8040}"/>
              </c:ext>
            </c:extLst>
          </c:dPt>
          <c:dLbls>
            <c:dLbl>
              <c:idx val="0"/>
              <c:layout>
                <c:manualLayout>
                  <c:x val="4.9524600234397767E-2"/>
                  <c:y val="-0.27024731357288112"/>
                </c:manualLayout>
              </c:layout>
              <c:showLegendKey val="1"/>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993C-4515-80DA-859F1B5E8040}"/>
                </c:ext>
              </c:extLst>
            </c:dLbl>
            <c:dLbl>
              <c:idx val="1"/>
              <c:layout>
                <c:manualLayout>
                  <c:x val="0.20917302345104008"/>
                  <c:y val="0.1203841014253977"/>
                </c:manualLayout>
              </c:layout>
              <c:showLegendKey val="1"/>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993C-4515-80DA-859F1B5E8040}"/>
                </c:ext>
              </c:extLst>
            </c:dLbl>
            <c:dLbl>
              <c:idx val="2"/>
              <c:layout>
                <c:manualLayout>
                  <c:x val="-0.11029043938050224"/>
                  <c:y val="-0.19660551553323838"/>
                </c:manualLayout>
              </c:layout>
              <c:showLegendKey val="1"/>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5-993C-4515-80DA-859F1B5E8040}"/>
                </c:ext>
              </c:extLst>
            </c:dLbl>
            <c:numFmt formatCode="0.0%" sourceLinked="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es-PE"/>
              </a:p>
            </c:txPr>
            <c:showLegendKey val="1"/>
            <c:showVal val="0"/>
            <c:showCatName val="1"/>
            <c:showSerName val="0"/>
            <c:showPercent val="1"/>
            <c:showBubbleSize val="0"/>
            <c:showLeaderLines val="0"/>
            <c:extLst>
              <c:ext xmlns:c15="http://schemas.microsoft.com/office/drawing/2012/chart" uri="{CE6537A1-D6FC-4f65-9D91-7224C49458BB}"/>
            </c:extLst>
          </c:dLbls>
          <c:cat>
            <c:strRef>
              <c:f>'[1]DEEH07-08-09'!$D$40:$D$42</c:f>
              <c:strCache>
                <c:ptCount val="3"/>
                <c:pt idx="0">
                  <c:v>Costa </c:v>
                </c:pt>
                <c:pt idx="1">
                  <c:v>Zócalo</c:v>
                </c:pt>
                <c:pt idx="2">
                  <c:v>Selva</c:v>
                </c:pt>
              </c:strCache>
            </c:strRef>
          </c:cat>
          <c:val>
            <c:numRef>
              <c:f>'[1]DEEH07-08-09'!$E$40:$E$42</c:f>
              <c:numCache>
                <c:formatCode>General</c:formatCode>
                <c:ptCount val="3"/>
                <c:pt idx="0">
                  <c:v>12</c:v>
                </c:pt>
                <c:pt idx="1">
                  <c:v>3</c:v>
                </c:pt>
                <c:pt idx="2">
                  <c:v>12</c:v>
                </c:pt>
              </c:numCache>
            </c:numRef>
          </c:val>
          <c:extLst>
            <c:ext xmlns:c16="http://schemas.microsoft.com/office/drawing/2014/chart" uri="{C3380CC4-5D6E-409C-BE32-E72D297353CC}">
              <c16:uniqueId val="{00000006-993C-4515-80DA-859F1B5E8040}"/>
            </c:ext>
          </c:extLst>
        </c:ser>
        <c:dLbls>
          <c:showLegendKey val="0"/>
          <c:showVal val="0"/>
          <c:showCatName val="1"/>
          <c:showSerName val="0"/>
          <c:showPercent val="0"/>
          <c:showBubbleSize val="0"/>
          <c:showLeaderLines val="0"/>
        </c:dLbls>
        <c:firstSliceAng val="0"/>
        <c:holeSize val="50"/>
      </c:doughnutChart>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PE"/>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areaChart>
        <c:grouping val="stacked"/>
        <c:varyColors val="0"/>
        <c:ser>
          <c:idx val="0"/>
          <c:order val="0"/>
          <c:tx>
            <c:v>PETRÓLEO</c:v>
          </c:tx>
          <c:spPr>
            <a:solidFill>
              <a:srgbClr val="00CC99"/>
            </a:solidFill>
            <a:scene3d>
              <a:camera prst="orthographicFront"/>
              <a:lightRig rig="threePt" dir="t"/>
            </a:scene3d>
            <a:sp3d>
              <a:bevelT/>
            </a:sp3d>
          </c:spPr>
          <c:cat>
            <c:strRef>
              <c:f>[1]DEEH10!$C$6:$N$6</c:f>
              <c:strCache>
                <c:ptCount val="12"/>
                <c:pt idx="0">
                  <c:v>Enero</c:v>
                </c:pt>
                <c:pt idx="1">
                  <c:v>Febrero</c:v>
                </c:pt>
                <c:pt idx="2">
                  <c:v>Marzo</c:v>
                </c:pt>
                <c:pt idx="3">
                  <c:v>Abril</c:v>
                </c:pt>
                <c:pt idx="4">
                  <c:v>Mayo</c:v>
                </c:pt>
                <c:pt idx="5">
                  <c:v>Junio</c:v>
                </c:pt>
                <c:pt idx="6">
                  <c:v>Julio</c:v>
                </c:pt>
                <c:pt idx="7">
                  <c:v>Agosto</c:v>
                </c:pt>
                <c:pt idx="8">
                  <c:v>Septiembre</c:v>
                </c:pt>
                <c:pt idx="9">
                  <c:v>Octubre</c:v>
                </c:pt>
                <c:pt idx="10">
                  <c:v>Noviembre</c:v>
                </c:pt>
                <c:pt idx="11">
                  <c:v>Diciembre</c:v>
                </c:pt>
              </c:strCache>
            </c:strRef>
          </c:cat>
          <c:val>
            <c:numRef>
              <c:f>[1]DEEH10!$C$35:$N$35</c:f>
              <c:numCache>
                <c:formatCode>General</c:formatCode>
                <c:ptCount val="12"/>
                <c:pt idx="0">
                  <c:v>1333714</c:v>
                </c:pt>
                <c:pt idx="1">
                  <c:v>1190523</c:v>
                </c:pt>
                <c:pt idx="2">
                  <c:v>1271387</c:v>
                </c:pt>
                <c:pt idx="3">
                  <c:v>1220845</c:v>
                </c:pt>
                <c:pt idx="4">
                  <c:v>1169918</c:v>
                </c:pt>
                <c:pt idx="5">
                  <c:v>1256334</c:v>
                </c:pt>
                <c:pt idx="6">
                  <c:v>1307502</c:v>
                </c:pt>
                <c:pt idx="7">
                  <c:v>1195952</c:v>
                </c:pt>
                <c:pt idx="8">
                  <c:v>1044215</c:v>
                </c:pt>
                <c:pt idx="9">
                  <c:v>1153034</c:v>
                </c:pt>
                <c:pt idx="10">
                  <c:v>1354618</c:v>
                </c:pt>
                <c:pt idx="11">
                  <c:v>1372973</c:v>
                </c:pt>
              </c:numCache>
            </c:numRef>
          </c:val>
          <c:extLst>
            <c:ext xmlns:c16="http://schemas.microsoft.com/office/drawing/2014/chart" uri="{C3380CC4-5D6E-409C-BE32-E72D297353CC}">
              <c16:uniqueId val="{00000000-983B-4D4A-AA06-0F64F879568A}"/>
            </c:ext>
          </c:extLst>
        </c:ser>
        <c:ser>
          <c:idx val="1"/>
          <c:order val="1"/>
          <c:tx>
            <c:v>LGN</c:v>
          </c:tx>
          <c:spPr>
            <a:solidFill>
              <a:schemeClr val="accent1">
                <a:lumMod val="75000"/>
              </a:schemeClr>
            </a:solidFill>
            <a:ln w="25400">
              <a:noFill/>
            </a:ln>
          </c:spPr>
          <c:cat>
            <c:strRef>
              <c:f>[1]DEEH10!$C$6:$N$6</c:f>
              <c:strCache>
                <c:ptCount val="12"/>
                <c:pt idx="0">
                  <c:v>Enero</c:v>
                </c:pt>
                <c:pt idx="1">
                  <c:v>Febrero</c:v>
                </c:pt>
                <c:pt idx="2">
                  <c:v>Marzo</c:v>
                </c:pt>
                <c:pt idx="3">
                  <c:v>Abril</c:v>
                </c:pt>
                <c:pt idx="4">
                  <c:v>Mayo</c:v>
                </c:pt>
                <c:pt idx="5">
                  <c:v>Junio</c:v>
                </c:pt>
                <c:pt idx="6">
                  <c:v>Julio</c:v>
                </c:pt>
                <c:pt idx="7">
                  <c:v>Agosto</c:v>
                </c:pt>
                <c:pt idx="8">
                  <c:v>Septiembre</c:v>
                </c:pt>
                <c:pt idx="9">
                  <c:v>Octubre</c:v>
                </c:pt>
                <c:pt idx="10">
                  <c:v>Noviembre</c:v>
                </c:pt>
                <c:pt idx="11">
                  <c:v>Diciembre</c:v>
                </c:pt>
              </c:strCache>
            </c:strRef>
          </c:cat>
          <c:val>
            <c:numRef>
              <c:f>[1]DEEH10!$C$46:$N$46</c:f>
              <c:numCache>
                <c:formatCode>General</c:formatCode>
                <c:ptCount val="12"/>
                <c:pt idx="0">
                  <c:v>2530935</c:v>
                </c:pt>
                <c:pt idx="1">
                  <c:v>2346046</c:v>
                </c:pt>
                <c:pt idx="2">
                  <c:v>2436008</c:v>
                </c:pt>
                <c:pt idx="3">
                  <c:v>2330211</c:v>
                </c:pt>
                <c:pt idx="4">
                  <c:v>2512930</c:v>
                </c:pt>
                <c:pt idx="5">
                  <c:v>2418650</c:v>
                </c:pt>
                <c:pt idx="6">
                  <c:v>2374280</c:v>
                </c:pt>
                <c:pt idx="7">
                  <c:v>2256104</c:v>
                </c:pt>
                <c:pt idx="8">
                  <c:v>2362740</c:v>
                </c:pt>
                <c:pt idx="9">
                  <c:v>2277678</c:v>
                </c:pt>
                <c:pt idx="10">
                  <c:v>2292174</c:v>
                </c:pt>
                <c:pt idx="11">
                  <c:v>2464937</c:v>
                </c:pt>
              </c:numCache>
            </c:numRef>
          </c:val>
          <c:extLst>
            <c:ext xmlns:c16="http://schemas.microsoft.com/office/drawing/2014/chart" uri="{C3380CC4-5D6E-409C-BE32-E72D297353CC}">
              <c16:uniqueId val="{00000001-983B-4D4A-AA06-0F64F879568A}"/>
            </c:ext>
          </c:extLst>
        </c:ser>
        <c:dLbls>
          <c:showLegendKey val="0"/>
          <c:showVal val="0"/>
          <c:showCatName val="0"/>
          <c:showSerName val="0"/>
          <c:showPercent val="0"/>
          <c:showBubbleSize val="0"/>
        </c:dLbls>
        <c:axId val="109492864"/>
        <c:axId val="109498752"/>
      </c:areaChart>
      <c:catAx>
        <c:axId val="109492864"/>
        <c:scaling>
          <c:orientation val="minMax"/>
        </c:scaling>
        <c:delete val="0"/>
        <c:axPos val="b"/>
        <c:numFmt formatCode="General" sourceLinked="0"/>
        <c:majorTickMark val="none"/>
        <c:minorTickMark val="none"/>
        <c:tickLblPos val="nextTo"/>
        <c:crossAx val="109498752"/>
        <c:crosses val="autoZero"/>
        <c:auto val="1"/>
        <c:lblAlgn val="ctr"/>
        <c:lblOffset val="100"/>
        <c:noMultiLvlLbl val="0"/>
      </c:catAx>
      <c:valAx>
        <c:axId val="109498752"/>
        <c:scaling>
          <c:orientation val="minMax"/>
        </c:scaling>
        <c:delete val="0"/>
        <c:axPos val="l"/>
        <c:numFmt formatCode="General" sourceLinked="1"/>
        <c:majorTickMark val="none"/>
        <c:minorTickMark val="none"/>
        <c:tickLblPos val="nextTo"/>
        <c:crossAx val="109492864"/>
        <c:crosses val="autoZero"/>
        <c:crossBetween val="midCat"/>
      </c:valAx>
    </c:plotArea>
    <c:legend>
      <c:legendPos val="t"/>
      <c:overlay val="0"/>
    </c:legend>
    <c:plotVisOnly val="1"/>
    <c:dispBlanksAs val="gap"/>
    <c:showDLblsOverMax val="0"/>
  </c:chart>
  <c:spPr>
    <a:ln>
      <a:noFill/>
    </a:ln>
  </c:sp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15245888013998249"/>
          <c:y val="0"/>
          <c:w val="0.60131014873140853"/>
          <c:h val="1"/>
        </c:manualLayout>
      </c:layout>
      <c:pieChart>
        <c:varyColors val="1"/>
        <c:ser>
          <c:idx val="0"/>
          <c:order val="0"/>
          <c:explosion val="9"/>
          <c:dPt>
            <c:idx val="0"/>
            <c:bubble3D val="0"/>
            <c:spPr>
              <a:solidFill>
                <a:schemeClr val="bg1">
                  <a:lumMod val="75000"/>
                </a:schemeClr>
              </a:solidFill>
            </c:spPr>
            <c:extLst>
              <c:ext xmlns:c16="http://schemas.microsoft.com/office/drawing/2014/chart" uri="{C3380CC4-5D6E-409C-BE32-E72D297353CC}">
                <c16:uniqueId val="{00000001-1839-4C35-BB57-A510C3B36016}"/>
              </c:ext>
            </c:extLst>
          </c:dPt>
          <c:dPt>
            <c:idx val="1"/>
            <c:bubble3D val="0"/>
            <c:spPr>
              <a:solidFill>
                <a:schemeClr val="accent1">
                  <a:lumMod val="75000"/>
                </a:schemeClr>
              </a:solidFill>
            </c:spPr>
            <c:extLst>
              <c:ext xmlns:c16="http://schemas.microsoft.com/office/drawing/2014/chart" uri="{C3380CC4-5D6E-409C-BE32-E72D297353CC}">
                <c16:uniqueId val="{00000003-1839-4C35-BB57-A510C3B36016}"/>
              </c:ext>
            </c:extLst>
          </c:dPt>
          <c:dPt>
            <c:idx val="2"/>
            <c:bubble3D val="0"/>
            <c:spPr>
              <a:solidFill>
                <a:srgbClr val="00CC99"/>
              </a:solidFill>
            </c:spPr>
            <c:extLst>
              <c:ext xmlns:c16="http://schemas.microsoft.com/office/drawing/2014/chart" uri="{C3380CC4-5D6E-409C-BE32-E72D297353CC}">
                <c16:uniqueId val="{00000005-1839-4C35-BB57-A510C3B36016}"/>
              </c:ext>
            </c:extLst>
          </c:dPt>
          <c:dLbls>
            <c:dLbl>
              <c:idx val="0"/>
              <c:layout>
                <c:manualLayout>
                  <c:x val="0.13332417955056036"/>
                  <c:y val="3.9868928542950766E-2"/>
                </c:manualLayout>
              </c:layout>
              <c:dLblPos val="bestFit"/>
              <c:showLegendKey val="1"/>
              <c:showVal val="0"/>
              <c:showCatName val="1"/>
              <c:showSerName val="0"/>
              <c:showPercent val="1"/>
              <c:showBubbleSize val="0"/>
              <c:separator>
</c:separator>
              <c:extLst>
                <c:ext xmlns:c15="http://schemas.microsoft.com/office/drawing/2012/chart" uri="{CE6537A1-D6FC-4f65-9D91-7224C49458BB}"/>
                <c:ext xmlns:c16="http://schemas.microsoft.com/office/drawing/2014/chart" uri="{C3380CC4-5D6E-409C-BE32-E72D297353CC}">
                  <c16:uniqueId val="{00000001-1839-4C35-BB57-A510C3B36016}"/>
                </c:ext>
              </c:extLst>
            </c:dLbl>
            <c:dLbl>
              <c:idx val="1"/>
              <c:layout>
                <c:manualLayout>
                  <c:x val="0.13544043636882308"/>
                  <c:y val="-7.575096423160646E-2"/>
                </c:manualLayout>
              </c:layout>
              <c:dLblPos val="bestFit"/>
              <c:showLegendKey val="1"/>
              <c:showVal val="0"/>
              <c:showCatName val="1"/>
              <c:showSerName val="0"/>
              <c:showPercent val="1"/>
              <c:showBubbleSize val="0"/>
              <c:separator>
</c:separator>
              <c:extLst>
                <c:ext xmlns:c15="http://schemas.microsoft.com/office/drawing/2012/chart" uri="{CE6537A1-D6FC-4f65-9D91-7224C49458BB}"/>
                <c:ext xmlns:c16="http://schemas.microsoft.com/office/drawing/2014/chart" uri="{C3380CC4-5D6E-409C-BE32-E72D297353CC}">
                  <c16:uniqueId val="{00000003-1839-4C35-BB57-A510C3B36016}"/>
                </c:ext>
              </c:extLst>
            </c:dLbl>
            <c:dLbl>
              <c:idx val="2"/>
              <c:layout>
                <c:manualLayout>
                  <c:x val="-6.3487704547885895E-2"/>
                  <c:y val="2.3921357125770461E-2"/>
                </c:manualLayout>
              </c:layout>
              <c:dLblPos val="bestFit"/>
              <c:showLegendKey val="1"/>
              <c:showVal val="0"/>
              <c:showCatName val="1"/>
              <c:showSerName val="0"/>
              <c:showPercent val="1"/>
              <c:showBubbleSize val="0"/>
              <c:separator>
</c:separator>
              <c:extLst>
                <c:ext xmlns:c15="http://schemas.microsoft.com/office/drawing/2012/chart" uri="{CE6537A1-D6FC-4f65-9D91-7224C49458BB}"/>
                <c:ext xmlns:c16="http://schemas.microsoft.com/office/drawing/2014/chart" uri="{C3380CC4-5D6E-409C-BE32-E72D297353CC}">
                  <c16:uniqueId val="{00000005-1839-4C35-BB57-A510C3B36016}"/>
                </c:ext>
              </c:extLst>
            </c:dLbl>
            <c:spPr>
              <a:noFill/>
              <a:ln>
                <a:noFill/>
              </a:ln>
              <a:effectLst/>
            </c:spPr>
            <c:txPr>
              <a:bodyPr wrap="square" lIns="38100" tIns="19050" rIns="38100" bIns="19050" anchor="ctr">
                <a:spAutoFit/>
              </a:bodyPr>
              <a:lstStyle/>
              <a:p>
                <a:pPr>
                  <a:defRPr sz="1050" b="1">
                    <a:solidFill>
                      <a:schemeClr val="tx1"/>
                    </a:solidFill>
                  </a:defRPr>
                </a:pPr>
                <a:endParaRPr lang="es-PE"/>
              </a:p>
            </c:txPr>
            <c:dLblPos val="outEnd"/>
            <c:showLegendKey val="1"/>
            <c:showVal val="0"/>
            <c:showCatName val="1"/>
            <c:showSerName val="0"/>
            <c:showPercent val="1"/>
            <c:showBubbleSize val="0"/>
            <c:separator>
</c:separator>
            <c:showLeaderLines val="0"/>
            <c:extLst>
              <c:ext xmlns:c15="http://schemas.microsoft.com/office/drawing/2012/chart" uri="{CE6537A1-D6FC-4f65-9D91-7224C49458BB}"/>
            </c:extLst>
          </c:dLbls>
          <c:cat>
            <c:strRef>
              <c:f>'[2]3'!$R$71:$R$73</c:f>
              <c:strCache>
                <c:ptCount val="3"/>
                <c:pt idx="0">
                  <c:v>ZÓCALO</c:v>
                </c:pt>
                <c:pt idx="1">
                  <c:v>SELVA</c:v>
                </c:pt>
                <c:pt idx="2">
                  <c:v>COSTA</c:v>
                </c:pt>
              </c:strCache>
            </c:strRef>
          </c:cat>
          <c:val>
            <c:numRef>
              <c:f>[1]DEEH10!$T$49:$T$51</c:f>
              <c:numCache>
                <c:formatCode>General</c:formatCode>
                <c:ptCount val="3"/>
                <c:pt idx="0">
                  <c:v>2062627</c:v>
                </c:pt>
                <c:pt idx="1">
                  <c:v>35094489</c:v>
                </c:pt>
                <c:pt idx="2">
                  <c:v>6316592</c:v>
                </c:pt>
              </c:numCache>
            </c:numRef>
          </c:val>
          <c:extLst>
            <c:ext xmlns:c16="http://schemas.microsoft.com/office/drawing/2014/chart" uri="{C3380CC4-5D6E-409C-BE32-E72D297353CC}">
              <c16:uniqueId val="{00000006-1839-4C35-BB57-A510C3B36016}"/>
            </c:ext>
          </c:extLst>
        </c:ser>
        <c:dLbls>
          <c:showLegendKey val="0"/>
          <c:showVal val="0"/>
          <c:showCatName val="0"/>
          <c:showSerName val="0"/>
          <c:showPercent val="0"/>
          <c:showBubbleSize val="0"/>
          <c:showLeaderLines val="0"/>
        </c:dLbls>
        <c:firstSliceAng val="0"/>
      </c:pieChart>
    </c:plotArea>
    <c:plotVisOnly val="1"/>
    <c:dispBlanksAs val="gap"/>
    <c:showDLblsOverMax val="0"/>
  </c:chart>
  <c:spPr>
    <a:ln>
      <a:noFill/>
    </a:ln>
  </c:sp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9.3085739282589675E-2"/>
          <c:y val="0.1409079846423078"/>
          <c:w val="0.89410277137411054"/>
          <c:h val="0.74311230022665675"/>
        </c:manualLayout>
      </c:layout>
      <c:barChart>
        <c:barDir val="col"/>
        <c:grouping val="clustered"/>
        <c:varyColors val="0"/>
        <c:ser>
          <c:idx val="0"/>
          <c:order val="0"/>
          <c:spPr>
            <a:solidFill>
              <a:schemeClr val="accent1">
                <a:lumMod val="50000"/>
              </a:schemeClr>
            </a:solidFill>
          </c:spPr>
          <c:invertIfNegative val="0"/>
          <c:dLbls>
            <c:spPr>
              <a:noFill/>
              <a:ln>
                <a:noFill/>
              </a:ln>
              <a:effectLst/>
            </c:spPr>
            <c:txPr>
              <a:bodyPr wrap="square" lIns="38100" tIns="19050" rIns="38100" bIns="19050" anchor="ctr">
                <a:spAutoFit/>
              </a:bodyPr>
              <a:lstStyle/>
              <a:p>
                <a:pPr>
                  <a:defRPr b="1"/>
                </a:pPr>
                <a:endParaRPr lang="es-PE"/>
              </a:p>
            </c:txPr>
            <c:showLegendKey val="0"/>
            <c:showVal val="1"/>
            <c:showCatName val="0"/>
            <c:showSerName val="0"/>
            <c:showPercent val="0"/>
            <c:showBubbleSize val="0"/>
            <c:showLeaderLines val="0"/>
            <c:extLst>
              <c:ext xmlns:c15="http://schemas.microsoft.com/office/drawing/2012/chart" uri="{CE6537A1-D6FC-4f65-9D91-7224C49458BB}">
                <c15:layout/>
                <c15:showLeaderLines val="1"/>
              </c:ext>
            </c:extLst>
          </c:dLbls>
          <c:cat>
            <c:numRef>
              <c:f>[1]DEEH11!$C$6:$L$6</c:f>
              <c:numCache>
                <c:formatCode>General</c:formatCode>
                <c:ptCount val="10"/>
                <c:pt idx="0">
                  <c:v>2015</c:v>
                </c:pt>
                <c:pt idx="1">
                  <c:v>2016</c:v>
                </c:pt>
                <c:pt idx="2">
                  <c:v>2017</c:v>
                </c:pt>
                <c:pt idx="3">
                  <c:v>2018</c:v>
                </c:pt>
                <c:pt idx="4">
                  <c:v>2019</c:v>
                </c:pt>
                <c:pt idx="5">
                  <c:v>2020</c:v>
                </c:pt>
                <c:pt idx="6">
                  <c:v>2021</c:v>
                </c:pt>
                <c:pt idx="7">
                  <c:v>2022</c:v>
                </c:pt>
                <c:pt idx="8">
                  <c:v>2023</c:v>
                </c:pt>
                <c:pt idx="9">
                  <c:v>2024</c:v>
                </c:pt>
              </c:numCache>
            </c:numRef>
          </c:cat>
          <c:val>
            <c:numRef>
              <c:f>[1]DEEH11!$C$40:$L$40</c:f>
              <c:numCache>
                <c:formatCode>General</c:formatCode>
                <c:ptCount val="10"/>
                <c:pt idx="0">
                  <c:v>58</c:v>
                </c:pt>
                <c:pt idx="1">
                  <c:v>40.5</c:v>
                </c:pt>
                <c:pt idx="2">
                  <c:v>43.6</c:v>
                </c:pt>
                <c:pt idx="3">
                  <c:v>48.9</c:v>
                </c:pt>
                <c:pt idx="4">
                  <c:v>52.983750684931508</c:v>
                </c:pt>
                <c:pt idx="5">
                  <c:v>39.677158469945354</c:v>
                </c:pt>
                <c:pt idx="6">
                  <c:v>38.390821917808218</c:v>
                </c:pt>
                <c:pt idx="7">
                  <c:v>40.538257534246576</c:v>
                </c:pt>
                <c:pt idx="8">
                  <c:v>38.69537808219178</c:v>
                </c:pt>
                <c:pt idx="9">
                  <c:v>40.631188524590165</c:v>
                </c:pt>
              </c:numCache>
            </c:numRef>
          </c:val>
          <c:extLst>
            <c:ext xmlns:c16="http://schemas.microsoft.com/office/drawing/2014/chart" uri="{C3380CC4-5D6E-409C-BE32-E72D297353CC}">
              <c16:uniqueId val="{00000000-CD60-43DD-844D-6639CDE6E323}"/>
            </c:ext>
          </c:extLst>
        </c:ser>
        <c:dLbls>
          <c:showLegendKey val="0"/>
          <c:showVal val="0"/>
          <c:showCatName val="0"/>
          <c:showSerName val="0"/>
          <c:showPercent val="0"/>
          <c:showBubbleSize val="0"/>
        </c:dLbls>
        <c:gapWidth val="150"/>
        <c:axId val="135136768"/>
        <c:axId val="135138304"/>
      </c:barChart>
      <c:catAx>
        <c:axId val="135136768"/>
        <c:scaling>
          <c:orientation val="minMax"/>
        </c:scaling>
        <c:delete val="0"/>
        <c:axPos val="b"/>
        <c:numFmt formatCode="General" sourceLinked="1"/>
        <c:majorTickMark val="out"/>
        <c:minorTickMark val="none"/>
        <c:tickLblPos val="nextTo"/>
        <c:txPr>
          <a:bodyPr/>
          <a:lstStyle/>
          <a:p>
            <a:pPr>
              <a:defRPr b="1"/>
            </a:pPr>
            <a:endParaRPr lang="es-PE"/>
          </a:p>
        </c:txPr>
        <c:crossAx val="135138304"/>
        <c:crosses val="autoZero"/>
        <c:auto val="1"/>
        <c:lblAlgn val="ctr"/>
        <c:lblOffset val="100"/>
        <c:noMultiLvlLbl val="0"/>
      </c:catAx>
      <c:valAx>
        <c:axId val="135138304"/>
        <c:scaling>
          <c:orientation val="minMax"/>
        </c:scaling>
        <c:delete val="0"/>
        <c:axPos val="l"/>
        <c:numFmt formatCode="General" sourceLinked="1"/>
        <c:majorTickMark val="out"/>
        <c:minorTickMark val="none"/>
        <c:tickLblPos val="nextTo"/>
        <c:txPr>
          <a:bodyPr/>
          <a:lstStyle/>
          <a:p>
            <a:pPr>
              <a:defRPr b="1"/>
            </a:pPr>
            <a:endParaRPr lang="es-PE"/>
          </a:p>
        </c:txPr>
        <c:crossAx val="135136768"/>
        <c:crosses val="autoZero"/>
        <c:crossBetween val="between"/>
      </c:valAx>
    </c:plotArea>
    <c:plotVisOnly val="1"/>
    <c:dispBlanksAs val="gap"/>
    <c:showDLblsOverMax val="0"/>
  </c:chart>
  <c:spPr>
    <a:ln>
      <a:noFill/>
    </a:ln>
  </c:spPr>
  <c:printSettings>
    <c:headerFooter/>
    <c:pageMargins b="0.75" l="0.7" r="0.7" t="0.75" header="0.3" footer="0.3"/>
    <c:pageSetup/>
  </c:printSettings>
  <c:userShapes r:id="rId1"/>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9.3085739282589675E-2"/>
          <c:y val="0.23103841781918638"/>
          <c:w val="0.87635870516185477"/>
          <c:h val="0.65298143983635082"/>
        </c:manualLayout>
      </c:layout>
      <c:barChart>
        <c:barDir val="col"/>
        <c:grouping val="clustered"/>
        <c:varyColors val="0"/>
        <c:ser>
          <c:idx val="0"/>
          <c:order val="0"/>
          <c:spPr>
            <a:solidFill>
              <a:schemeClr val="accent1">
                <a:lumMod val="50000"/>
              </a:schemeClr>
            </a:solidFill>
          </c:spPr>
          <c:invertIfNegative val="0"/>
          <c:dLbls>
            <c:spPr>
              <a:noFill/>
              <a:ln>
                <a:noFill/>
              </a:ln>
              <a:effectLst/>
            </c:spPr>
            <c:txPr>
              <a:bodyPr wrap="square" lIns="38100" tIns="19050" rIns="38100" bIns="19050" anchor="ctr">
                <a:spAutoFit/>
              </a:bodyPr>
              <a:lstStyle/>
              <a:p>
                <a:pPr>
                  <a:defRPr b="1"/>
                </a:pPr>
                <a:endParaRPr lang="es-PE"/>
              </a:p>
            </c:txPr>
            <c:showLegendKey val="0"/>
            <c:showVal val="1"/>
            <c:showCatName val="0"/>
            <c:showSerName val="0"/>
            <c:showPercent val="0"/>
            <c:showBubbleSize val="0"/>
            <c:showLeaderLines val="0"/>
            <c:extLst>
              <c:ext xmlns:c15="http://schemas.microsoft.com/office/drawing/2012/chart" uri="{CE6537A1-D6FC-4f65-9D91-7224C49458BB}">
                <c15:layout/>
                <c15:showLeaderLines val="1"/>
              </c:ext>
            </c:extLst>
          </c:dLbls>
          <c:cat>
            <c:numRef>
              <c:f>[1]DEEH11!$C$6:$L$6</c:f>
              <c:numCache>
                <c:formatCode>General</c:formatCode>
                <c:ptCount val="10"/>
                <c:pt idx="0">
                  <c:v>2015</c:v>
                </c:pt>
                <c:pt idx="1">
                  <c:v>2016</c:v>
                </c:pt>
                <c:pt idx="2">
                  <c:v>2017</c:v>
                </c:pt>
                <c:pt idx="3">
                  <c:v>2018</c:v>
                </c:pt>
                <c:pt idx="4">
                  <c:v>2019</c:v>
                </c:pt>
                <c:pt idx="5">
                  <c:v>2020</c:v>
                </c:pt>
                <c:pt idx="6">
                  <c:v>2021</c:v>
                </c:pt>
                <c:pt idx="7">
                  <c:v>2022</c:v>
                </c:pt>
                <c:pt idx="8">
                  <c:v>2023</c:v>
                </c:pt>
                <c:pt idx="9">
                  <c:v>2024</c:v>
                </c:pt>
              </c:numCache>
            </c:numRef>
          </c:cat>
          <c:val>
            <c:numRef>
              <c:f>[1]DEEH11!$C$53:$L$53</c:f>
              <c:numCache>
                <c:formatCode>General</c:formatCode>
                <c:ptCount val="10"/>
                <c:pt idx="0">
                  <c:v>91.4</c:v>
                </c:pt>
                <c:pt idx="1">
                  <c:v>95</c:v>
                </c:pt>
                <c:pt idx="2">
                  <c:v>90.8</c:v>
                </c:pt>
                <c:pt idx="3">
                  <c:v>85.5</c:v>
                </c:pt>
                <c:pt idx="4">
                  <c:v>86.737424657534248</c:v>
                </c:pt>
                <c:pt idx="5">
                  <c:v>84.944653005464488</c:v>
                </c:pt>
                <c:pt idx="6">
                  <c:v>81.116986301369877</c:v>
                </c:pt>
                <c:pt idx="7">
                  <c:v>76.6662301369863</c:v>
                </c:pt>
                <c:pt idx="8">
                  <c:v>76.412416438356161</c:v>
                </c:pt>
                <c:pt idx="9">
                  <c:v>78.149434426229519</c:v>
                </c:pt>
              </c:numCache>
            </c:numRef>
          </c:val>
          <c:extLst>
            <c:ext xmlns:c16="http://schemas.microsoft.com/office/drawing/2014/chart" uri="{C3380CC4-5D6E-409C-BE32-E72D297353CC}">
              <c16:uniqueId val="{00000000-FB17-4975-AF1C-B25929831E14}"/>
            </c:ext>
          </c:extLst>
        </c:ser>
        <c:dLbls>
          <c:showLegendKey val="0"/>
          <c:showVal val="0"/>
          <c:showCatName val="0"/>
          <c:showSerName val="0"/>
          <c:showPercent val="0"/>
          <c:showBubbleSize val="0"/>
        </c:dLbls>
        <c:gapWidth val="150"/>
        <c:axId val="135163264"/>
        <c:axId val="135197824"/>
      </c:barChart>
      <c:catAx>
        <c:axId val="135163264"/>
        <c:scaling>
          <c:orientation val="minMax"/>
        </c:scaling>
        <c:delete val="0"/>
        <c:axPos val="b"/>
        <c:numFmt formatCode="General" sourceLinked="1"/>
        <c:majorTickMark val="out"/>
        <c:minorTickMark val="none"/>
        <c:tickLblPos val="nextTo"/>
        <c:txPr>
          <a:bodyPr/>
          <a:lstStyle/>
          <a:p>
            <a:pPr>
              <a:defRPr b="1"/>
            </a:pPr>
            <a:endParaRPr lang="es-PE"/>
          </a:p>
        </c:txPr>
        <c:crossAx val="135197824"/>
        <c:crosses val="autoZero"/>
        <c:auto val="1"/>
        <c:lblAlgn val="ctr"/>
        <c:lblOffset val="100"/>
        <c:noMultiLvlLbl val="0"/>
      </c:catAx>
      <c:valAx>
        <c:axId val="135197824"/>
        <c:scaling>
          <c:orientation val="minMax"/>
        </c:scaling>
        <c:delete val="0"/>
        <c:axPos val="l"/>
        <c:numFmt formatCode="General" sourceLinked="1"/>
        <c:majorTickMark val="out"/>
        <c:minorTickMark val="none"/>
        <c:tickLblPos val="nextTo"/>
        <c:txPr>
          <a:bodyPr/>
          <a:lstStyle/>
          <a:p>
            <a:pPr>
              <a:defRPr b="1"/>
            </a:pPr>
            <a:endParaRPr lang="es-PE"/>
          </a:p>
        </c:txPr>
        <c:crossAx val="135163264"/>
        <c:crosses val="autoZero"/>
        <c:crossBetween val="between"/>
      </c:valAx>
    </c:plotArea>
    <c:plotVisOnly val="1"/>
    <c:dispBlanksAs val="gap"/>
    <c:showDLblsOverMax val="0"/>
  </c:chart>
  <c:spPr>
    <a:ln>
      <a:noFill/>
    </a:ln>
  </c:spPr>
  <c:printSettings>
    <c:headerFooter/>
    <c:pageMargins b="0.75" l="0.7" r="0.7" t="0.75" header="0.3" footer="0.3"/>
    <c:pageSetup/>
  </c:printSettings>
  <c:userShapes r:id="rId1"/>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barChart>
        <c:barDir val="col"/>
        <c:grouping val="clustered"/>
        <c:varyColors val="0"/>
        <c:ser>
          <c:idx val="0"/>
          <c:order val="0"/>
          <c:tx>
            <c:strRef>
              <c:f>[1]DEEH11!$O$60</c:f>
              <c:strCache>
                <c:ptCount val="1"/>
                <c:pt idx="0">
                  <c:v>Petróleo</c:v>
                </c:pt>
              </c:strCache>
            </c:strRef>
          </c:tx>
          <c:spPr>
            <a:solidFill>
              <a:srgbClr val="00CC99"/>
            </a:solidFill>
          </c:spPr>
          <c:invertIfNegative val="0"/>
          <c:dLbls>
            <c:spPr>
              <a:noFill/>
              <a:ln>
                <a:noFill/>
              </a:ln>
              <a:effectLst/>
            </c:spPr>
            <c:txPr>
              <a:bodyPr wrap="square" lIns="38100" tIns="19050" rIns="38100" bIns="19050" anchor="ctr">
                <a:spAutoFit/>
              </a:bodyPr>
              <a:lstStyle/>
              <a:p>
                <a:pPr>
                  <a:defRPr b="1"/>
                </a:pPr>
                <a:endParaRPr lang="es-PE"/>
              </a:p>
            </c:tx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numRef>
              <c:f>[1]DEEH11!$P$59:$T$59</c:f>
              <c:numCache>
                <c:formatCode>General</c:formatCode>
                <c:ptCount val="5"/>
                <c:pt idx="0">
                  <c:v>2025</c:v>
                </c:pt>
                <c:pt idx="1">
                  <c:v>2026</c:v>
                </c:pt>
                <c:pt idx="2">
                  <c:v>2027</c:v>
                </c:pt>
                <c:pt idx="3">
                  <c:v>2028</c:v>
                </c:pt>
                <c:pt idx="4">
                  <c:v>2029</c:v>
                </c:pt>
              </c:numCache>
            </c:numRef>
          </c:cat>
          <c:val>
            <c:numRef>
              <c:f>[1]DEEH11!$P$60:$T$60</c:f>
              <c:numCache>
                <c:formatCode>General</c:formatCode>
                <c:ptCount val="5"/>
                <c:pt idx="0">
                  <c:v>49.22</c:v>
                </c:pt>
                <c:pt idx="1">
                  <c:v>45.12</c:v>
                </c:pt>
                <c:pt idx="2">
                  <c:v>44.65</c:v>
                </c:pt>
                <c:pt idx="3">
                  <c:v>42.13</c:v>
                </c:pt>
                <c:pt idx="4">
                  <c:v>25.88</c:v>
                </c:pt>
              </c:numCache>
            </c:numRef>
          </c:val>
          <c:extLst>
            <c:ext xmlns:c16="http://schemas.microsoft.com/office/drawing/2014/chart" uri="{C3380CC4-5D6E-409C-BE32-E72D297353CC}">
              <c16:uniqueId val="{00000000-16D0-4FA1-9240-71137D0DCA3C}"/>
            </c:ext>
          </c:extLst>
        </c:ser>
        <c:ser>
          <c:idx val="1"/>
          <c:order val="1"/>
          <c:tx>
            <c:strRef>
              <c:f>[1]DEEH11!$O$61</c:f>
              <c:strCache>
                <c:ptCount val="1"/>
                <c:pt idx="0">
                  <c:v>Líquidos de Gas Natural</c:v>
                </c:pt>
              </c:strCache>
            </c:strRef>
          </c:tx>
          <c:spPr>
            <a:solidFill>
              <a:schemeClr val="accent1">
                <a:lumMod val="75000"/>
              </a:schemeClr>
            </a:solidFill>
          </c:spPr>
          <c:invertIfNegative val="0"/>
          <c:dLbls>
            <c:spPr>
              <a:noFill/>
              <a:ln>
                <a:noFill/>
              </a:ln>
              <a:effectLst/>
            </c:spPr>
            <c:txPr>
              <a:bodyPr wrap="square" lIns="38100" tIns="19050" rIns="38100" bIns="19050" anchor="ctr">
                <a:spAutoFit/>
              </a:bodyPr>
              <a:lstStyle/>
              <a:p>
                <a:pPr>
                  <a:defRPr b="1"/>
                </a:pPr>
                <a:endParaRPr lang="es-PE"/>
              </a:p>
            </c:tx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numRef>
              <c:f>[1]DEEH11!$P$59:$T$59</c:f>
              <c:numCache>
                <c:formatCode>General</c:formatCode>
                <c:ptCount val="5"/>
                <c:pt idx="0">
                  <c:v>2025</c:v>
                </c:pt>
                <c:pt idx="1">
                  <c:v>2026</c:v>
                </c:pt>
                <c:pt idx="2">
                  <c:v>2027</c:v>
                </c:pt>
                <c:pt idx="3">
                  <c:v>2028</c:v>
                </c:pt>
                <c:pt idx="4">
                  <c:v>2029</c:v>
                </c:pt>
              </c:numCache>
            </c:numRef>
          </c:cat>
          <c:val>
            <c:numRef>
              <c:f>[1]DEEH11!$P$61:$T$61</c:f>
              <c:numCache>
                <c:formatCode>General</c:formatCode>
                <c:ptCount val="5"/>
                <c:pt idx="0">
                  <c:v>71.02</c:v>
                </c:pt>
                <c:pt idx="1">
                  <c:v>73.75</c:v>
                </c:pt>
                <c:pt idx="2">
                  <c:v>76.5</c:v>
                </c:pt>
                <c:pt idx="3">
                  <c:v>72.58</c:v>
                </c:pt>
                <c:pt idx="4">
                  <c:v>66.459999999999994</c:v>
                </c:pt>
              </c:numCache>
            </c:numRef>
          </c:val>
          <c:extLst>
            <c:ext xmlns:c16="http://schemas.microsoft.com/office/drawing/2014/chart" uri="{C3380CC4-5D6E-409C-BE32-E72D297353CC}">
              <c16:uniqueId val="{00000001-16D0-4FA1-9240-71137D0DCA3C}"/>
            </c:ext>
          </c:extLst>
        </c:ser>
        <c:dLbls>
          <c:showLegendKey val="0"/>
          <c:showVal val="0"/>
          <c:showCatName val="0"/>
          <c:showSerName val="0"/>
          <c:showPercent val="0"/>
          <c:showBubbleSize val="0"/>
        </c:dLbls>
        <c:gapWidth val="150"/>
        <c:axId val="135556096"/>
        <c:axId val="135557888"/>
      </c:barChart>
      <c:catAx>
        <c:axId val="135556096"/>
        <c:scaling>
          <c:orientation val="minMax"/>
        </c:scaling>
        <c:delete val="0"/>
        <c:axPos val="b"/>
        <c:numFmt formatCode="General" sourceLinked="1"/>
        <c:majorTickMark val="out"/>
        <c:minorTickMark val="none"/>
        <c:tickLblPos val="nextTo"/>
        <c:txPr>
          <a:bodyPr/>
          <a:lstStyle/>
          <a:p>
            <a:pPr>
              <a:defRPr b="1"/>
            </a:pPr>
            <a:endParaRPr lang="es-PE"/>
          </a:p>
        </c:txPr>
        <c:crossAx val="135557888"/>
        <c:crosses val="autoZero"/>
        <c:auto val="1"/>
        <c:lblAlgn val="ctr"/>
        <c:lblOffset val="100"/>
        <c:noMultiLvlLbl val="0"/>
      </c:catAx>
      <c:valAx>
        <c:axId val="135557888"/>
        <c:scaling>
          <c:orientation val="minMax"/>
        </c:scaling>
        <c:delete val="0"/>
        <c:axPos val="l"/>
        <c:numFmt formatCode="General" sourceLinked="1"/>
        <c:majorTickMark val="out"/>
        <c:minorTickMark val="none"/>
        <c:tickLblPos val="nextTo"/>
        <c:txPr>
          <a:bodyPr/>
          <a:lstStyle/>
          <a:p>
            <a:pPr>
              <a:defRPr b="1"/>
            </a:pPr>
            <a:endParaRPr lang="es-PE"/>
          </a:p>
        </c:txPr>
        <c:crossAx val="135556096"/>
        <c:crosses val="autoZero"/>
        <c:crossBetween val="between"/>
      </c:valAx>
    </c:plotArea>
    <c:legend>
      <c:legendPos val="t"/>
      <c:overlay val="0"/>
      <c:txPr>
        <a:bodyPr/>
        <a:lstStyle/>
        <a:p>
          <a:pPr>
            <a:defRPr b="1"/>
          </a:pPr>
          <a:endParaRPr lang="es-PE"/>
        </a:p>
      </c:txPr>
    </c:legend>
    <c:plotVisOnly val="1"/>
    <c:dispBlanksAs val="gap"/>
    <c:showDLblsOverMax val="0"/>
  </c:chart>
  <c:spPr>
    <a:ln>
      <a:noFill/>
    </a:ln>
  </c:spPr>
  <c:printSettings>
    <c:headerFooter/>
    <c:pageMargins b="0.75" l="0.7" r="0.7" t="0.75" header="0.3" footer="0.3"/>
    <c:pageSetup/>
  </c:printSettings>
  <c:userShapes r:id="rId1"/>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4454881759294702"/>
          <c:y val="0.12684772061355853"/>
          <c:w val="0.76491792460393104"/>
          <c:h val="0.64602631518111031"/>
        </c:manualLayout>
      </c:layout>
      <c:areaChart>
        <c:grouping val="standard"/>
        <c:varyColors val="0"/>
        <c:ser>
          <c:idx val="0"/>
          <c:order val="0"/>
          <c:tx>
            <c:strRef>
              <c:f>[1]DEEH12!$B$32</c:f>
              <c:strCache>
                <c:ptCount val="1"/>
                <c:pt idx="0">
                  <c:v>Total (MMPC)</c:v>
                </c:pt>
              </c:strCache>
            </c:strRef>
          </c:tx>
          <c:spPr>
            <a:pattFill prst="pct25">
              <a:fgClr>
                <a:schemeClr val="accent1"/>
              </a:fgClr>
              <a:bgClr>
                <a:schemeClr val="bg1"/>
              </a:bgClr>
            </a:pattFill>
            <a:ln w="25400">
              <a:noFill/>
            </a:ln>
          </c:spPr>
          <c:cat>
            <c:strRef>
              <c:f>'[2]5'!$V$31:$V$42</c:f>
              <c:strCache>
                <c:ptCount val="12"/>
                <c:pt idx="0">
                  <c:v>Ene</c:v>
                </c:pt>
                <c:pt idx="1">
                  <c:v>Feb</c:v>
                </c:pt>
                <c:pt idx="2">
                  <c:v>Mar</c:v>
                </c:pt>
                <c:pt idx="3">
                  <c:v>Abr</c:v>
                </c:pt>
                <c:pt idx="4">
                  <c:v>May</c:v>
                </c:pt>
                <c:pt idx="5">
                  <c:v>Jun</c:v>
                </c:pt>
                <c:pt idx="6">
                  <c:v>Jul</c:v>
                </c:pt>
                <c:pt idx="7">
                  <c:v>Ago</c:v>
                </c:pt>
                <c:pt idx="8">
                  <c:v>Sep</c:v>
                </c:pt>
                <c:pt idx="9">
                  <c:v>Oct</c:v>
                </c:pt>
                <c:pt idx="10">
                  <c:v>Nov</c:v>
                </c:pt>
                <c:pt idx="11">
                  <c:v>Dic</c:v>
                </c:pt>
              </c:strCache>
            </c:strRef>
          </c:cat>
          <c:val>
            <c:numRef>
              <c:f>[1]DEEH12!$C$32:$N$32</c:f>
              <c:numCache>
                <c:formatCode>General</c:formatCode>
                <c:ptCount val="12"/>
                <c:pt idx="0">
                  <c:v>40477.5941399</c:v>
                </c:pt>
                <c:pt idx="1">
                  <c:v>38895.068245899995</c:v>
                </c:pt>
                <c:pt idx="2">
                  <c:v>41736.932406400003</c:v>
                </c:pt>
                <c:pt idx="3">
                  <c:v>38888.981024399996</c:v>
                </c:pt>
                <c:pt idx="4">
                  <c:v>43095.802653600003</c:v>
                </c:pt>
                <c:pt idx="5">
                  <c:v>43283.709550599997</c:v>
                </c:pt>
                <c:pt idx="6">
                  <c:v>44340.273656399993</c:v>
                </c:pt>
                <c:pt idx="7">
                  <c:v>43002.375619000006</c:v>
                </c:pt>
                <c:pt idx="8">
                  <c:v>47827.515272500001</c:v>
                </c:pt>
                <c:pt idx="9">
                  <c:v>42685.461518600001</c:v>
                </c:pt>
                <c:pt idx="10">
                  <c:v>45018.729288100003</c:v>
                </c:pt>
                <c:pt idx="11">
                  <c:v>41424.896720099998</c:v>
                </c:pt>
              </c:numCache>
            </c:numRef>
          </c:val>
          <c:extLst>
            <c:ext xmlns:c16="http://schemas.microsoft.com/office/drawing/2014/chart" uri="{C3380CC4-5D6E-409C-BE32-E72D297353CC}">
              <c16:uniqueId val="{00000000-D8ED-40D9-8603-EDB53CB464C4}"/>
            </c:ext>
          </c:extLst>
        </c:ser>
        <c:dLbls>
          <c:showLegendKey val="0"/>
          <c:showVal val="0"/>
          <c:showCatName val="0"/>
          <c:showSerName val="0"/>
          <c:showPercent val="0"/>
          <c:showBubbleSize val="0"/>
        </c:dLbls>
        <c:axId val="135657344"/>
        <c:axId val="135658880"/>
      </c:areaChart>
      <c:lineChart>
        <c:grouping val="standard"/>
        <c:varyColors val="0"/>
        <c:ser>
          <c:idx val="1"/>
          <c:order val="1"/>
          <c:tx>
            <c:v>Costa y Zócalo</c:v>
          </c:tx>
          <c:marker>
            <c:symbol val="diamond"/>
            <c:size val="9"/>
            <c:spPr>
              <a:solidFill>
                <a:schemeClr val="tx1">
                  <a:lumMod val="65000"/>
                  <a:lumOff val="35000"/>
                </a:schemeClr>
              </a:solidFill>
              <a:ln>
                <a:noFill/>
              </a:ln>
            </c:spPr>
          </c:marker>
          <c:dLbls>
            <c:spPr>
              <a:noFill/>
              <a:ln>
                <a:noFill/>
              </a:ln>
              <a:effectLst/>
            </c:spPr>
            <c:txPr>
              <a:bodyPr/>
              <a:lstStyle/>
              <a:p>
                <a:pPr>
                  <a:defRPr b="1"/>
                </a:pPr>
                <a:endParaRPr lang="es-PE"/>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numRef>
              <c:f>'[2]5'!$W$20:$AH$20</c:f>
              <c:numCache>
                <c:formatCode>General</c:formatCode>
                <c:ptCount val="12"/>
                <c:pt idx="0">
                  <c:v>43101</c:v>
                </c:pt>
                <c:pt idx="1">
                  <c:v>43132</c:v>
                </c:pt>
                <c:pt idx="2">
                  <c:v>43160</c:v>
                </c:pt>
                <c:pt idx="3">
                  <c:v>43191</c:v>
                </c:pt>
                <c:pt idx="4">
                  <c:v>43221</c:v>
                </c:pt>
                <c:pt idx="5">
                  <c:v>43252</c:v>
                </c:pt>
                <c:pt idx="6">
                  <c:v>43282</c:v>
                </c:pt>
                <c:pt idx="7">
                  <c:v>43313</c:v>
                </c:pt>
                <c:pt idx="8">
                  <c:v>43344</c:v>
                </c:pt>
                <c:pt idx="9">
                  <c:v>43374</c:v>
                </c:pt>
                <c:pt idx="10">
                  <c:v>43405</c:v>
                </c:pt>
                <c:pt idx="11">
                  <c:v>43435</c:v>
                </c:pt>
              </c:numCache>
            </c:numRef>
          </c:cat>
          <c:val>
            <c:numRef>
              <c:f>[1]DEEH12!$C$34:$N$34</c:f>
              <c:numCache>
                <c:formatCode>General</c:formatCode>
                <c:ptCount val="12"/>
                <c:pt idx="0">
                  <c:v>1842.8000758999999</c:v>
                </c:pt>
                <c:pt idx="1">
                  <c:v>1733.2492349000001</c:v>
                </c:pt>
                <c:pt idx="2">
                  <c:v>1789.0492488000002</c:v>
                </c:pt>
                <c:pt idx="3">
                  <c:v>1860.5849175999997</c:v>
                </c:pt>
                <c:pt idx="4">
                  <c:v>1907.2502637000002</c:v>
                </c:pt>
                <c:pt idx="5">
                  <c:v>1766.8047575000001</c:v>
                </c:pt>
                <c:pt idx="6">
                  <c:v>1763.8006988</c:v>
                </c:pt>
                <c:pt idx="7">
                  <c:v>1654.7601392000001</c:v>
                </c:pt>
                <c:pt idx="8">
                  <c:v>1670.9013769000001</c:v>
                </c:pt>
                <c:pt idx="9">
                  <c:v>1768.3094080999999</c:v>
                </c:pt>
                <c:pt idx="10">
                  <c:v>1704.8464403</c:v>
                </c:pt>
                <c:pt idx="11">
                  <c:v>1769.5530758999998</c:v>
                </c:pt>
              </c:numCache>
            </c:numRef>
          </c:val>
          <c:smooth val="0"/>
          <c:extLst>
            <c:ext xmlns:c16="http://schemas.microsoft.com/office/drawing/2014/chart" uri="{C3380CC4-5D6E-409C-BE32-E72D297353CC}">
              <c16:uniqueId val="{00000001-D8ED-40D9-8603-EDB53CB464C4}"/>
            </c:ext>
          </c:extLst>
        </c:ser>
        <c:ser>
          <c:idx val="2"/>
          <c:order val="2"/>
          <c:tx>
            <c:v>Selva</c:v>
          </c:tx>
          <c:marker>
            <c:symbol val="circle"/>
            <c:size val="9"/>
            <c:spPr>
              <a:solidFill>
                <a:srgbClr val="C00000"/>
              </a:solidFill>
              <a:ln>
                <a:solidFill>
                  <a:schemeClr val="tx1">
                    <a:lumMod val="65000"/>
                    <a:lumOff val="35000"/>
                  </a:schemeClr>
                </a:solidFill>
              </a:ln>
            </c:spPr>
          </c:marker>
          <c:dLbls>
            <c:spPr>
              <a:noFill/>
              <a:ln>
                <a:noFill/>
              </a:ln>
              <a:effectLst/>
            </c:spPr>
            <c:txPr>
              <a:bodyPr/>
              <a:lstStyle/>
              <a:p>
                <a:pPr>
                  <a:defRPr b="1"/>
                </a:pPr>
                <a:endParaRPr lang="es-PE"/>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numRef>
              <c:f>[1]DEEH12!$C$27:$N$27</c:f>
              <c:numCache>
                <c:formatCode>General</c:formatCode>
                <c:ptCount val="12"/>
                <c:pt idx="0">
                  <c:v>45292</c:v>
                </c:pt>
                <c:pt idx="1">
                  <c:v>45323</c:v>
                </c:pt>
                <c:pt idx="2">
                  <c:v>45352</c:v>
                </c:pt>
                <c:pt idx="3">
                  <c:v>45383</c:v>
                </c:pt>
                <c:pt idx="4">
                  <c:v>45413</c:v>
                </c:pt>
                <c:pt idx="5">
                  <c:v>45444</c:v>
                </c:pt>
                <c:pt idx="6">
                  <c:v>45474</c:v>
                </c:pt>
                <c:pt idx="7">
                  <c:v>45505</c:v>
                </c:pt>
                <c:pt idx="8">
                  <c:v>45536</c:v>
                </c:pt>
                <c:pt idx="9">
                  <c:v>45566</c:v>
                </c:pt>
                <c:pt idx="10">
                  <c:v>45597</c:v>
                </c:pt>
                <c:pt idx="11">
                  <c:v>45627</c:v>
                </c:pt>
              </c:numCache>
            </c:numRef>
          </c:cat>
          <c:val>
            <c:numRef>
              <c:f>[1]DEEH12!$C$35:$N$35</c:f>
              <c:numCache>
                <c:formatCode>General</c:formatCode>
                <c:ptCount val="12"/>
                <c:pt idx="0">
                  <c:v>38634.794063999994</c:v>
                </c:pt>
                <c:pt idx="1">
                  <c:v>37161.819011</c:v>
                </c:pt>
                <c:pt idx="2">
                  <c:v>39947.883157600001</c:v>
                </c:pt>
                <c:pt idx="3">
                  <c:v>37028.396106799999</c:v>
                </c:pt>
                <c:pt idx="4">
                  <c:v>41188.552389899996</c:v>
                </c:pt>
                <c:pt idx="5">
                  <c:v>41516.904793100002</c:v>
                </c:pt>
                <c:pt idx="6">
                  <c:v>42576.472957599995</c:v>
                </c:pt>
                <c:pt idx="7">
                  <c:v>41347.615479799999</c:v>
                </c:pt>
                <c:pt idx="8">
                  <c:v>46156.6138956</c:v>
                </c:pt>
                <c:pt idx="9">
                  <c:v>40917.152110499999</c:v>
                </c:pt>
                <c:pt idx="10">
                  <c:v>43313.8828478</c:v>
                </c:pt>
                <c:pt idx="11">
                  <c:v>39655.343644199995</c:v>
                </c:pt>
              </c:numCache>
            </c:numRef>
          </c:val>
          <c:smooth val="0"/>
          <c:extLst>
            <c:ext xmlns:c16="http://schemas.microsoft.com/office/drawing/2014/chart" uri="{C3380CC4-5D6E-409C-BE32-E72D297353CC}">
              <c16:uniqueId val="{00000002-D8ED-40D9-8603-EDB53CB464C4}"/>
            </c:ext>
          </c:extLst>
        </c:ser>
        <c:dLbls>
          <c:showLegendKey val="0"/>
          <c:showVal val="0"/>
          <c:showCatName val="0"/>
          <c:showSerName val="0"/>
          <c:showPercent val="0"/>
          <c:showBubbleSize val="0"/>
        </c:dLbls>
        <c:marker val="1"/>
        <c:smooth val="0"/>
        <c:axId val="135657344"/>
        <c:axId val="135658880"/>
      </c:lineChart>
      <c:catAx>
        <c:axId val="135657344"/>
        <c:scaling>
          <c:orientation val="minMax"/>
          <c:max val="12"/>
          <c:min val="1"/>
        </c:scaling>
        <c:delete val="0"/>
        <c:axPos val="b"/>
        <c:numFmt formatCode="General" sourceLinked="1"/>
        <c:majorTickMark val="out"/>
        <c:minorTickMark val="none"/>
        <c:tickLblPos val="nextTo"/>
        <c:txPr>
          <a:bodyPr/>
          <a:lstStyle/>
          <a:p>
            <a:pPr>
              <a:defRPr b="1"/>
            </a:pPr>
            <a:endParaRPr lang="es-PE"/>
          </a:p>
        </c:txPr>
        <c:crossAx val="135658880"/>
        <c:crosses val="autoZero"/>
        <c:auto val="1"/>
        <c:lblAlgn val="ctr"/>
        <c:lblOffset val="100"/>
        <c:noMultiLvlLbl val="1"/>
      </c:catAx>
      <c:valAx>
        <c:axId val="135658880"/>
        <c:scaling>
          <c:orientation val="minMax"/>
          <c:max val="50000"/>
          <c:min val="0"/>
        </c:scaling>
        <c:delete val="0"/>
        <c:axPos val="l"/>
        <c:title>
          <c:tx>
            <c:rich>
              <a:bodyPr rot="-5400000" vert="horz"/>
              <a:lstStyle/>
              <a:p>
                <a:pPr>
                  <a:defRPr/>
                </a:pPr>
                <a:r>
                  <a:rPr lang="es-PE"/>
                  <a:t>MMPC</a:t>
                </a:r>
              </a:p>
            </c:rich>
          </c:tx>
          <c:overlay val="0"/>
        </c:title>
        <c:numFmt formatCode="#,##0" sourceLinked="0"/>
        <c:majorTickMark val="out"/>
        <c:minorTickMark val="none"/>
        <c:tickLblPos val="nextTo"/>
        <c:txPr>
          <a:bodyPr/>
          <a:lstStyle/>
          <a:p>
            <a:pPr>
              <a:defRPr sz="900" b="1"/>
            </a:pPr>
            <a:endParaRPr lang="es-PE"/>
          </a:p>
        </c:txPr>
        <c:crossAx val="135657344"/>
        <c:crosses val="autoZero"/>
        <c:crossBetween val="between"/>
        <c:majorUnit val="5000"/>
      </c:valAx>
      <c:spPr>
        <a:noFill/>
      </c:spPr>
    </c:plotArea>
    <c:legend>
      <c:legendPos val="b"/>
      <c:layout>
        <c:manualLayout>
          <c:xMode val="edge"/>
          <c:yMode val="edge"/>
          <c:x val="0.18766501218694467"/>
          <c:y val="0.88284516224256981"/>
          <c:w val="0.62995925828199906"/>
          <c:h val="6.6960440684737679E-2"/>
        </c:manualLayout>
      </c:layout>
      <c:overlay val="0"/>
    </c:legend>
    <c:plotVisOnly val="1"/>
    <c:dispBlanksAs val="gap"/>
    <c:showDLblsOverMax val="0"/>
  </c:chart>
  <c:spPr>
    <a:ln>
      <a:noFill/>
    </a:ln>
  </c:spPr>
  <c:txPr>
    <a:bodyPr/>
    <a:lstStyle/>
    <a:p>
      <a:pPr>
        <a:defRPr sz="900"/>
      </a:pPr>
      <a:endParaRPr lang="es-PE"/>
    </a:p>
  </c:tx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14073862642169729"/>
          <c:y val="0.144898460964238"/>
          <c:w val="0.7797509391489218"/>
          <c:h val="0.66048617489690675"/>
        </c:manualLayout>
      </c:layout>
      <c:barChart>
        <c:barDir val="col"/>
        <c:grouping val="clustered"/>
        <c:varyColors val="0"/>
        <c:ser>
          <c:idx val="0"/>
          <c:order val="0"/>
          <c:spPr>
            <a:solidFill>
              <a:schemeClr val="accent1">
                <a:lumMod val="50000"/>
              </a:schemeClr>
            </a:solidFill>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layout/>
                <c15:showLeaderLines val="1"/>
              </c:ext>
            </c:extLst>
          </c:dLbls>
          <c:cat>
            <c:numRef>
              <c:f>[1]DEEH13!$C$6:$L$6</c:f>
              <c:numCache>
                <c:formatCode>General</c:formatCode>
                <c:ptCount val="10"/>
                <c:pt idx="0">
                  <c:v>2015</c:v>
                </c:pt>
                <c:pt idx="1">
                  <c:v>2016</c:v>
                </c:pt>
                <c:pt idx="2">
                  <c:v>2017</c:v>
                </c:pt>
                <c:pt idx="3">
                  <c:v>2018</c:v>
                </c:pt>
                <c:pt idx="4">
                  <c:v>2019</c:v>
                </c:pt>
                <c:pt idx="5">
                  <c:v>2020</c:v>
                </c:pt>
                <c:pt idx="6">
                  <c:v>2021</c:v>
                </c:pt>
                <c:pt idx="7">
                  <c:v>2022</c:v>
                </c:pt>
                <c:pt idx="8">
                  <c:v>2023</c:v>
                </c:pt>
                <c:pt idx="9">
                  <c:v>2024</c:v>
                </c:pt>
              </c:numCache>
            </c:numRef>
          </c:cat>
          <c:val>
            <c:numRef>
              <c:f>[1]DEEH13!$C$29:$L$29</c:f>
              <c:numCache>
                <c:formatCode>General</c:formatCode>
                <c:ptCount val="10"/>
                <c:pt idx="0">
                  <c:v>1208.8900000000001</c:v>
                </c:pt>
                <c:pt idx="1">
                  <c:v>1354.9</c:v>
                </c:pt>
                <c:pt idx="2">
                  <c:v>1252.19</c:v>
                </c:pt>
                <c:pt idx="3">
                  <c:v>1230.81</c:v>
                </c:pt>
                <c:pt idx="4">
                  <c:v>1299.27</c:v>
                </c:pt>
                <c:pt idx="5">
                  <c:v>1160.73</c:v>
                </c:pt>
                <c:pt idx="6">
                  <c:v>1100.52</c:v>
                </c:pt>
                <c:pt idx="7">
                  <c:v>1326.02</c:v>
                </c:pt>
                <c:pt idx="8">
                  <c:v>1415.7209487671232</c:v>
                </c:pt>
                <c:pt idx="9">
                  <c:v>1395.2932789617487</c:v>
                </c:pt>
              </c:numCache>
            </c:numRef>
          </c:val>
          <c:extLst>
            <c:ext xmlns:c16="http://schemas.microsoft.com/office/drawing/2014/chart" uri="{C3380CC4-5D6E-409C-BE32-E72D297353CC}">
              <c16:uniqueId val="{00000000-CB2C-42AC-B9C1-F19497C07F58}"/>
            </c:ext>
          </c:extLst>
        </c:ser>
        <c:dLbls>
          <c:showLegendKey val="0"/>
          <c:showVal val="0"/>
          <c:showCatName val="0"/>
          <c:showSerName val="0"/>
          <c:showPercent val="0"/>
          <c:showBubbleSize val="0"/>
        </c:dLbls>
        <c:gapWidth val="150"/>
        <c:axId val="134959488"/>
        <c:axId val="134961024"/>
      </c:barChart>
      <c:catAx>
        <c:axId val="134959488"/>
        <c:scaling>
          <c:orientation val="minMax"/>
        </c:scaling>
        <c:delete val="0"/>
        <c:axPos val="b"/>
        <c:numFmt formatCode="General" sourceLinked="1"/>
        <c:majorTickMark val="out"/>
        <c:minorTickMark val="none"/>
        <c:tickLblPos val="nextTo"/>
        <c:txPr>
          <a:bodyPr/>
          <a:lstStyle/>
          <a:p>
            <a:pPr>
              <a:defRPr b="0"/>
            </a:pPr>
            <a:endParaRPr lang="es-PE"/>
          </a:p>
        </c:txPr>
        <c:crossAx val="134961024"/>
        <c:crosses val="autoZero"/>
        <c:auto val="1"/>
        <c:lblAlgn val="ctr"/>
        <c:lblOffset val="100"/>
        <c:noMultiLvlLbl val="0"/>
      </c:catAx>
      <c:valAx>
        <c:axId val="134961024"/>
        <c:scaling>
          <c:orientation val="minMax"/>
          <c:max val="1500"/>
          <c:min val="1000"/>
        </c:scaling>
        <c:delete val="0"/>
        <c:axPos val="l"/>
        <c:numFmt formatCode="General" sourceLinked="1"/>
        <c:majorTickMark val="out"/>
        <c:minorTickMark val="none"/>
        <c:tickLblPos val="nextTo"/>
        <c:txPr>
          <a:bodyPr/>
          <a:lstStyle/>
          <a:p>
            <a:pPr>
              <a:defRPr b="0"/>
            </a:pPr>
            <a:endParaRPr lang="es-PE"/>
          </a:p>
        </c:txPr>
        <c:crossAx val="134959488"/>
        <c:crosses val="autoZero"/>
        <c:crossBetween val="between"/>
      </c:valAx>
    </c:plotArea>
    <c:plotVisOnly val="1"/>
    <c:dispBlanksAs val="gap"/>
    <c:showDLblsOverMax val="0"/>
  </c:chart>
  <c:spPr>
    <a:ln>
      <a:noFill/>
    </a:ln>
  </c:spPr>
  <c:printSettings>
    <c:headerFooter/>
    <c:pageMargins b="0.75" l="0.7" r="0.7" t="0.75" header="0.3" footer="0.3"/>
    <c:pageSetup/>
  </c:printSettings>
  <c:userShapes r:id="rId1"/>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barChart>
        <c:barDir val="col"/>
        <c:grouping val="clustered"/>
        <c:varyColors val="0"/>
        <c:ser>
          <c:idx val="1"/>
          <c:order val="0"/>
          <c:spPr>
            <a:solidFill>
              <a:schemeClr val="accent1">
                <a:lumMod val="50000"/>
              </a:schemeClr>
            </a:solidFill>
          </c:spPr>
          <c:invertIfNegative val="0"/>
          <c:dLbls>
            <c:spPr>
              <a:noFill/>
              <a:ln>
                <a:noFill/>
              </a:ln>
              <a:effectLst/>
            </c:spPr>
            <c:txPr>
              <a:bodyPr wrap="square" lIns="38100" tIns="19050" rIns="38100" bIns="19050" anchor="ctr">
                <a:spAutoFit/>
              </a:bodyPr>
              <a:lstStyle/>
              <a:p>
                <a:pPr>
                  <a:defRPr b="1"/>
                </a:pPr>
                <a:endParaRPr lang="es-PE"/>
              </a:p>
            </c:tx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numRef>
              <c:f>[1]DEEH13!$M$85:$Q$85</c:f>
              <c:numCache>
                <c:formatCode>General</c:formatCode>
                <c:ptCount val="5"/>
                <c:pt idx="0">
                  <c:v>2025</c:v>
                </c:pt>
                <c:pt idx="1">
                  <c:v>2026</c:v>
                </c:pt>
                <c:pt idx="2">
                  <c:v>2027</c:v>
                </c:pt>
                <c:pt idx="3">
                  <c:v>2028</c:v>
                </c:pt>
                <c:pt idx="4">
                  <c:v>2029</c:v>
                </c:pt>
              </c:numCache>
            </c:numRef>
          </c:cat>
          <c:val>
            <c:numRef>
              <c:f>[1]DEEH13!$M$86:$Q$86</c:f>
              <c:numCache>
                <c:formatCode>General</c:formatCode>
                <c:ptCount val="5"/>
                <c:pt idx="0">
                  <c:v>1334.01</c:v>
                </c:pt>
                <c:pt idx="1">
                  <c:v>1403.09</c:v>
                </c:pt>
                <c:pt idx="2">
                  <c:v>1540.82</c:v>
                </c:pt>
                <c:pt idx="3">
                  <c:v>1527.46</c:v>
                </c:pt>
                <c:pt idx="4">
                  <c:v>1474.71</c:v>
                </c:pt>
              </c:numCache>
            </c:numRef>
          </c:val>
          <c:extLst>
            <c:ext xmlns:c16="http://schemas.microsoft.com/office/drawing/2014/chart" uri="{C3380CC4-5D6E-409C-BE32-E72D297353CC}">
              <c16:uniqueId val="{00000000-DB1A-4DAC-A9F3-B778AFCE2FD1}"/>
            </c:ext>
          </c:extLst>
        </c:ser>
        <c:dLbls>
          <c:showLegendKey val="0"/>
          <c:showVal val="0"/>
          <c:showCatName val="0"/>
          <c:showSerName val="0"/>
          <c:showPercent val="0"/>
          <c:showBubbleSize val="0"/>
        </c:dLbls>
        <c:gapWidth val="150"/>
        <c:axId val="134990080"/>
        <c:axId val="135020544"/>
      </c:barChart>
      <c:catAx>
        <c:axId val="134990080"/>
        <c:scaling>
          <c:orientation val="minMax"/>
        </c:scaling>
        <c:delete val="0"/>
        <c:axPos val="b"/>
        <c:numFmt formatCode="General" sourceLinked="1"/>
        <c:majorTickMark val="out"/>
        <c:minorTickMark val="none"/>
        <c:tickLblPos val="nextTo"/>
        <c:crossAx val="135020544"/>
        <c:crosses val="autoZero"/>
        <c:auto val="1"/>
        <c:lblAlgn val="ctr"/>
        <c:lblOffset val="100"/>
        <c:noMultiLvlLbl val="0"/>
      </c:catAx>
      <c:valAx>
        <c:axId val="135020544"/>
        <c:scaling>
          <c:orientation val="minMax"/>
        </c:scaling>
        <c:delete val="0"/>
        <c:axPos val="l"/>
        <c:numFmt formatCode="General" sourceLinked="1"/>
        <c:majorTickMark val="out"/>
        <c:minorTickMark val="none"/>
        <c:tickLblPos val="nextTo"/>
        <c:crossAx val="134990080"/>
        <c:crosses val="autoZero"/>
        <c:crossBetween val="between"/>
      </c:valAx>
    </c:plotArea>
    <c:plotVisOnly val="1"/>
    <c:dispBlanksAs val="gap"/>
    <c:showDLblsOverMax val="0"/>
  </c:chart>
  <c:spPr>
    <a:ln>
      <a:noFill/>
    </a:ln>
  </c:spPr>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9.3670436649964203E-2"/>
          <c:y val="0.23658573928258966"/>
          <c:w val="0.85873194941541398"/>
          <c:h val="0.64743438320209978"/>
        </c:manualLayout>
      </c:layout>
      <c:barChart>
        <c:barDir val="col"/>
        <c:grouping val="clustered"/>
        <c:varyColors val="0"/>
        <c:ser>
          <c:idx val="0"/>
          <c:order val="0"/>
          <c:tx>
            <c:strRef>
              <c:f>[1]DEEH14!$A$7</c:f>
              <c:strCache>
                <c:ptCount val="1"/>
                <c:pt idx="0">
                  <c:v>EXPLORACIÓN</c:v>
                </c:pt>
              </c:strCache>
            </c:strRef>
          </c:tx>
          <c:spPr>
            <a:solidFill>
              <a:srgbClr val="00CC99"/>
            </a:solidFill>
            <a:ln>
              <a:solidFill>
                <a:srgbClr val="00CC99"/>
              </a:solidFill>
            </a:ln>
          </c:spPr>
          <c:invertIfNegative val="0"/>
          <c:dPt>
            <c:idx val="9"/>
            <c:invertIfNegative val="0"/>
            <c:bubble3D val="0"/>
            <c:spPr>
              <a:solidFill>
                <a:srgbClr val="00CC99"/>
              </a:solidFill>
              <a:ln>
                <a:solidFill>
                  <a:srgbClr val="00CC99"/>
                </a:solidFill>
              </a:ln>
            </c:spPr>
            <c:extLst>
              <c:ext xmlns:c16="http://schemas.microsoft.com/office/drawing/2014/chart" uri="{C3380CC4-5D6E-409C-BE32-E72D297353CC}">
                <c16:uniqueId val="{00000001-D566-4BD9-B29C-073A0A17B0FB}"/>
              </c:ext>
            </c:extLst>
          </c:dPt>
          <c:dLbls>
            <c:numFmt formatCode="#,##0" sourceLinked="0"/>
            <c:spPr>
              <a:noFill/>
              <a:ln>
                <a:noFill/>
              </a:ln>
              <a:effectLst/>
            </c:spPr>
            <c:txPr>
              <a:bodyPr wrap="square" lIns="38100" tIns="19050" rIns="38100" bIns="19050" anchor="ctr">
                <a:spAutoFit/>
              </a:bodyPr>
              <a:lstStyle/>
              <a:p>
                <a:pPr>
                  <a:defRPr sz="900" b="1"/>
                </a:pPr>
                <a:endParaRPr lang="es-PE"/>
              </a:p>
            </c:tx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numRef>
              <c:f>[1]DEEH14!$B$6:$K$6</c:f>
              <c:numCache>
                <c:formatCode>General</c:formatCode>
                <c:ptCount val="10"/>
                <c:pt idx="0">
                  <c:v>2015</c:v>
                </c:pt>
                <c:pt idx="1">
                  <c:v>2016</c:v>
                </c:pt>
                <c:pt idx="2">
                  <c:v>2017</c:v>
                </c:pt>
                <c:pt idx="3">
                  <c:v>2018</c:v>
                </c:pt>
                <c:pt idx="4">
                  <c:v>2019</c:v>
                </c:pt>
                <c:pt idx="5">
                  <c:v>2020</c:v>
                </c:pt>
                <c:pt idx="6">
                  <c:v>2021</c:v>
                </c:pt>
                <c:pt idx="7">
                  <c:v>2022</c:v>
                </c:pt>
                <c:pt idx="8">
                  <c:v>2023</c:v>
                </c:pt>
                <c:pt idx="9">
                  <c:v>2024</c:v>
                </c:pt>
              </c:numCache>
            </c:numRef>
          </c:cat>
          <c:val>
            <c:numRef>
              <c:f>[1]DEEH14!$B$7:$K$7</c:f>
              <c:numCache>
                <c:formatCode>General</c:formatCode>
                <c:ptCount val="10"/>
                <c:pt idx="0">
                  <c:v>316.69</c:v>
                </c:pt>
                <c:pt idx="1">
                  <c:v>46.95</c:v>
                </c:pt>
                <c:pt idx="2">
                  <c:v>17.079999999999998</c:v>
                </c:pt>
                <c:pt idx="3">
                  <c:v>40.76</c:v>
                </c:pt>
                <c:pt idx="4">
                  <c:v>57.727806999999999</c:v>
                </c:pt>
                <c:pt idx="5">
                  <c:v>61.1</c:v>
                </c:pt>
                <c:pt idx="6">
                  <c:v>3.2</c:v>
                </c:pt>
                <c:pt idx="7">
                  <c:v>2.287328</c:v>
                </c:pt>
                <c:pt idx="8">
                  <c:v>2.2733051200000003</c:v>
                </c:pt>
                <c:pt idx="9">
                  <c:v>39.07</c:v>
                </c:pt>
              </c:numCache>
            </c:numRef>
          </c:val>
          <c:extLst>
            <c:ext xmlns:c16="http://schemas.microsoft.com/office/drawing/2014/chart" uri="{C3380CC4-5D6E-409C-BE32-E72D297353CC}">
              <c16:uniqueId val="{00000002-D566-4BD9-B29C-073A0A17B0FB}"/>
            </c:ext>
          </c:extLst>
        </c:ser>
        <c:ser>
          <c:idx val="1"/>
          <c:order val="1"/>
          <c:tx>
            <c:strRef>
              <c:f>[1]DEEH14!$A$8</c:f>
              <c:strCache>
                <c:ptCount val="1"/>
                <c:pt idx="0">
                  <c:v>EXPLOTACIÓN</c:v>
                </c:pt>
              </c:strCache>
            </c:strRef>
          </c:tx>
          <c:spPr>
            <a:solidFill>
              <a:srgbClr val="0070C0"/>
            </a:solidFill>
            <a:ln>
              <a:solidFill>
                <a:srgbClr val="0070C0"/>
              </a:solidFill>
            </a:ln>
          </c:spPr>
          <c:invertIfNegative val="0"/>
          <c:dPt>
            <c:idx val="9"/>
            <c:invertIfNegative val="0"/>
            <c:bubble3D val="0"/>
            <c:extLst>
              <c:ext xmlns:c16="http://schemas.microsoft.com/office/drawing/2014/chart" uri="{C3380CC4-5D6E-409C-BE32-E72D297353CC}">
                <c16:uniqueId val="{00000003-D566-4BD9-B29C-073A0A17B0FB}"/>
              </c:ext>
            </c:extLst>
          </c:dPt>
          <c:dLbls>
            <c:numFmt formatCode="#,##0" sourceLinked="0"/>
            <c:spPr>
              <a:noFill/>
              <a:ln>
                <a:noFill/>
              </a:ln>
              <a:effectLst/>
            </c:spPr>
            <c:txPr>
              <a:bodyPr wrap="square" lIns="38100" tIns="19050" rIns="38100" bIns="19050" anchor="ctr">
                <a:spAutoFit/>
              </a:bodyPr>
              <a:lstStyle/>
              <a:p>
                <a:pPr>
                  <a:defRPr sz="900" b="1"/>
                </a:pPr>
                <a:endParaRPr lang="es-PE"/>
              </a:p>
            </c:tx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numRef>
              <c:f>[1]DEEH14!$B$6:$K$6</c:f>
              <c:numCache>
                <c:formatCode>General</c:formatCode>
                <c:ptCount val="10"/>
                <c:pt idx="0">
                  <c:v>2015</c:v>
                </c:pt>
                <c:pt idx="1">
                  <c:v>2016</c:v>
                </c:pt>
                <c:pt idx="2">
                  <c:v>2017</c:v>
                </c:pt>
                <c:pt idx="3">
                  <c:v>2018</c:v>
                </c:pt>
                <c:pt idx="4">
                  <c:v>2019</c:v>
                </c:pt>
                <c:pt idx="5">
                  <c:v>2020</c:v>
                </c:pt>
                <c:pt idx="6">
                  <c:v>2021</c:v>
                </c:pt>
                <c:pt idx="7">
                  <c:v>2022</c:v>
                </c:pt>
                <c:pt idx="8">
                  <c:v>2023</c:v>
                </c:pt>
                <c:pt idx="9">
                  <c:v>2024</c:v>
                </c:pt>
              </c:numCache>
            </c:numRef>
          </c:cat>
          <c:val>
            <c:numRef>
              <c:f>[1]DEEH14!$B$8:$K$8</c:f>
              <c:numCache>
                <c:formatCode>General</c:formatCode>
                <c:ptCount val="10"/>
                <c:pt idx="0">
                  <c:v>438.23</c:v>
                </c:pt>
                <c:pt idx="1">
                  <c:v>285.69</c:v>
                </c:pt>
                <c:pt idx="2">
                  <c:v>469.79</c:v>
                </c:pt>
                <c:pt idx="3">
                  <c:v>561.16999999999996</c:v>
                </c:pt>
                <c:pt idx="4">
                  <c:v>561.99657999999999</c:v>
                </c:pt>
                <c:pt idx="5">
                  <c:v>184.55</c:v>
                </c:pt>
                <c:pt idx="6">
                  <c:v>309.61</c:v>
                </c:pt>
                <c:pt idx="7">
                  <c:v>323.48644000000002</c:v>
                </c:pt>
                <c:pt idx="8">
                  <c:v>321.73223604000003</c:v>
                </c:pt>
                <c:pt idx="9">
                  <c:v>525.04</c:v>
                </c:pt>
              </c:numCache>
            </c:numRef>
          </c:val>
          <c:extLst>
            <c:ext xmlns:c16="http://schemas.microsoft.com/office/drawing/2014/chart" uri="{C3380CC4-5D6E-409C-BE32-E72D297353CC}">
              <c16:uniqueId val="{00000004-D566-4BD9-B29C-073A0A17B0FB}"/>
            </c:ext>
          </c:extLst>
        </c:ser>
        <c:dLbls>
          <c:showLegendKey val="0"/>
          <c:showVal val="0"/>
          <c:showCatName val="0"/>
          <c:showSerName val="0"/>
          <c:showPercent val="0"/>
          <c:showBubbleSize val="0"/>
        </c:dLbls>
        <c:gapWidth val="150"/>
        <c:axId val="135954816"/>
        <c:axId val="135956352"/>
      </c:barChart>
      <c:catAx>
        <c:axId val="135954816"/>
        <c:scaling>
          <c:orientation val="minMax"/>
        </c:scaling>
        <c:delete val="0"/>
        <c:axPos val="b"/>
        <c:numFmt formatCode="General" sourceLinked="1"/>
        <c:majorTickMark val="out"/>
        <c:minorTickMark val="none"/>
        <c:tickLblPos val="nextTo"/>
        <c:crossAx val="135956352"/>
        <c:crosses val="autoZero"/>
        <c:auto val="1"/>
        <c:lblAlgn val="ctr"/>
        <c:lblOffset val="100"/>
        <c:noMultiLvlLbl val="0"/>
      </c:catAx>
      <c:valAx>
        <c:axId val="135956352"/>
        <c:scaling>
          <c:orientation val="minMax"/>
        </c:scaling>
        <c:delete val="0"/>
        <c:axPos val="l"/>
        <c:numFmt formatCode="General" sourceLinked="1"/>
        <c:majorTickMark val="out"/>
        <c:minorTickMark val="none"/>
        <c:tickLblPos val="nextTo"/>
        <c:crossAx val="135954816"/>
        <c:crosses val="autoZero"/>
        <c:crossBetween val="between"/>
      </c:valAx>
    </c:plotArea>
    <c:legend>
      <c:legendPos val="t"/>
      <c:overlay val="0"/>
    </c:legend>
    <c:plotVisOnly val="1"/>
    <c:dispBlanksAs val="gap"/>
    <c:showDLblsOverMax val="0"/>
  </c:chart>
  <c:spPr>
    <a:ln>
      <a:noFill/>
    </a:ln>
  </c:spPr>
  <c:txPr>
    <a:bodyPr/>
    <a:lstStyle/>
    <a:p>
      <a:pPr>
        <a:defRPr sz="800">
          <a:latin typeface="Arial Narrow" panose="020B0606020202030204" pitchFamily="34" charset="0"/>
        </a:defRPr>
      </a:pPr>
      <a:endParaRPr lang="es-PE"/>
    </a:p>
  </c:txPr>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9.5965413961808993E-2"/>
          <c:y val="0.24584499854184894"/>
          <c:w val="0.85873194941541398"/>
          <c:h val="0.59187882764654431"/>
        </c:manualLayout>
      </c:layout>
      <c:barChart>
        <c:barDir val="col"/>
        <c:grouping val="clustered"/>
        <c:varyColors val="0"/>
        <c:ser>
          <c:idx val="0"/>
          <c:order val="0"/>
          <c:tx>
            <c:strRef>
              <c:f>[1]DEEH16!$A$6</c:f>
              <c:strCache>
                <c:ptCount val="1"/>
                <c:pt idx="0">
                  <c:v>EXPLORACIÓN</c:v>
                </c:pt>
              </c:strCache>
            </c:strRef>
          </c:tx>
          <c:spPr>
            <a:solidFill>
              <a:srgbClr val="00CC99"/>
            </a:solidFill>
          </c:spPr>
          <c:invertIfNegative val="0"/>
          <c:dPt>
            <c:idx val="6"/>
            <c:invertIfNegative val="0"/>
            <c:bubble3D val="0"/>
            <c:spPr>
              <a:solidFill>
                <a:srgbClr val="00CC99"/>
              </a:solidFill>
            </c:spPr>
            <c:extLst>
              <c:ext xmlns:c16="http://schemas.microsoft.com/office/drawing/2014/chart" uri="{C3380CC4-5D6E-409C-BE32-E72D297353CC}">
                <c16:uniqueId val="{00000001-DE7D-4FCD-8AF3-A04012AC15D5}"/>
              </c:ext>
            </c:extLst>
          </c:dPt>
          <c:dPt>
            <c:idx val="7"/>
            <c:invertIfNegative val="0"/>
            <c:bubble3D val="0"/>
            <c:spPr>
              <a:solidFill>
                <a:srgbClr val="00CC99"/>
              </a:solidFill>
            </c:spPr>
            <c:extLst>
              <c:ext xmlns:c16="http://schemas.microsoft.com/office/drawing/2014/chart" uri="{C3380CC4-5D6E-409C-BE32-E72D297353CC}">
                <c16:uniqueId val="{00000003-DE7D-4FCD-8AF3-A04012AC15D5}"/>
              </c:ext>
            </c:extLst>
          </c:dPt>
          <c:dPt>
            <c:idx val="8"/>
            <c:invertIfNegative val="0"/>
            <c:bubble3D val="0"/>
            <c:spPr>
              <a:solidFill>
                <a:srgbClr val="00CC99"/>
              </a:solidFill>
            </c:spPr>
            <c:extLst>
              <c:ext xmlns:c16="http://schemas.microsoft.com/office/drawing/2014/chart" uri="{C3380CC4-5D6E-409C-BE32-E72D297353CC}">
                <c16:uniqueId val="{00000005-DE7D-4FCD-8AF3-A04012AC15D5}"/>
              </c:ext>
            </c:extLst>
          </c:dPt>
          <c:dPt>
            <c:idx val="9"/>
            <c:invertIfNegative val="0"/>
            <c:bubble3D val="0"/>
            <c:spPr>
              <a:solidFill>
                <a:srgbClr val="00CC99"/>
              </a:solidFill>
            </c:spPr>
            <c:extLst>
              <c:ext xmlns:c16="http://schemas.microsoft.com/office/drawing/2014/chart" uri="{C3380CC4-5D6E-409C-BE32-E72D297353CC}">
                <c16:uniqueId val="{00000007-DE7D-4FCD-8AF3-A04012AC15D5}"/>
              </c:ext>
            </c:extLst>
          </c:dPt>
          <c:dLbls>
            <c:spPr>
              <a:noFill/>
              <a:ln>
                <a:noFill/>
              </a:ln>
              <a:effectLst/>
            </c:spPr>
            <c:txPr>
              <a:bodyPr wrap="square" lIns="38100" tIns="19050" rIns="38100" bIns="19050" anchor="ctr">
                <a:spAutoFit/>
              </a:bodyPr>
              <a:lstStyle/>
              <a:p>
                <a:pPr>
                  <a:defRPr b="1"/>
                </a:pPr>
                <a:endParaRPr lang="es-PE"/>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ext>
            </c:extLst>
          </c:dLbls>
          <c:cat>
            <c:numRef>
              <c:f>[1]DEEH16!$B$5:$F$5</c:f>
              <c:numCache>
                <c:formatCode>General</c:formatCode>
                <c:ptCount val="5"/>
                <c:pt idx="0">
                  <c:v>2025</c:v>
                </c:pt>
                <c:pt idx="1">
                  <c:v>2026</c:v>
                </c:pt>
                <c:pt idx="2">
                  <c:v>2027</c:v>
                </c:pt>
                <c:pt idx="3">
                  <c:v>2028</c:v>
                </c:pt>
                <c:pt idx="4">
                  <c:v>2029</c:v>
                </c:pt>
              </c:numCache>
            </c:numRef>
          </c:cat>
          <c:val>
            <c:numRef>
              <c:f>[1]DEEH16!$B$6:$F$6</c:f>
              <c:numCache>
                <c:formatCode>General</c:formatCode>
                <c:ptCount val="5"/>
                <c:pt idx="0">
                  <c:v>15.03</c:v>
                </c:pt>
                <c:pt idx="1">
                  <c:v>30.34</c:v>
                </c:pt>
                <c:pt idx="2">
                  <c:v>18.079999999999998</c:v>
                </c:pt>
                <c:pt idx="3">
                  <c:v>5.55</c:v>
                </c:pt>
                <c:pt idx="4">
                  <c:v>0</c:v>
                </c:pt>
              </c:numCache>
            </c:numRef>
          </c:val>
          <c:extLst>
            <c:ext xmlns:c16="http://schemas.microsoft.com/office/drawing/2014/chart" uri="{C3380CC4-5D6E-409C-BE32-E72D297353CC}">
              <c16:uniqueId val="{00000008-DE7D-4FCD-8AF3-A04012AC15D5}"/>
            </c:ext>
          </c:extLst>
        </c:ser>
        <c:ser>
          <c:idx val="1"/>
          <c:order val="1"/>
          <c:tx>
            <c:strRef>
              <c:f>[1]DEEH16!$A$7</c:f>
              <c:strCache>
                <c:ptCount val="1"/>
                <c:pt idx="0">
                  <c:v>EXPLOTACIÓN</c:v>
                </c:pt>
              </c:strCache>
            </c:strRef>
          </c:tx>
          <c:spPr>
            <a:solidFill>
              <a:schemeClr val="accent1">
                <a:lumMod val="75000"/>
              </a:schemeClr>
            </a:solidFill>
          </c:spPr>
          <c:invertIfNegative val="0"/>
          <c:dPt>
            <c:idx val="4"/>
            <c:invertIfNegative val="0"/>
            <c:bubble3D val="0"/>
            <c:extLst>
              <c:ext xmlns:c16="http://schemas.microsoft.com/office/drawing/2014/chart" uri="{C3380CC4-5D6E-409C-BE32-E72D297353CC}">
                <c16:uniqueId val="{00000009-DE7D-4FCD-8AF3-A04012AC15D5}"/>
              </c:ext>
            </c:extLst>
          </c:dPt>
          <c:dPt>
            <c:idx val="6"/>
            <c:invertIfNegative val="0"/>
            <c:bubble3D val="0"/>
            <c:extLst>
              <c:ext xmlns:c16="http://schemas.microsoft.com/office/drawing/2014/chart" uri="{C3380CC4-5D6E-409C-BE32-E72D297353CC}">
                <c16:uniqueId val="{0000000A-DE7D-4FCD-8AF3-A04012AC15D5}"/>
              </c:ext>
            </c:extLst>
          </c:dPt>
          <c:dPt>
            <c:idx val="7"/>
            <c:invertIfNegative val="0"/>
            <c:bubble3D val="0"/>
            <c:extLst>
              <c:ext xmlns:c16="http://schemas.microsoft.com/office/drawing/2014/chart" uri="{C3380CC4-5D6E-409C-BE32-E72D297353CC}">
                <c16:uniqueId val="{0000000B-DE7D-4FCD-8AF3-A04012AC15D5}"/>
              </c:ext>
            </c:extLst>
          </c:dPt>
          <c:dPt>
            <c:idx val="8"/>
            <c:invertIfNegative val="0"/>
            <c:bubble3D val="0"/>
            <c:extLst>
              <c:ext xmlns:c16="http://schemas.microsoft.com/office/drawing/2014/chart" uri="{C3380CC4-5D6E-409C-BE32-E72D297353CC}">
                <c16:uniqueId val="{0000000C-DE7D-4FCD-8AF3-A04012AC15D5}"/>
              </c:ext>
            </c:extLst>
          </c:dPt>
          <c:dPt>
            <c:idx val="9"/>
            <c:invertIfNegative val="0"/>
            <c:bubble3D val="0"/>
            <c:extLst>
              <c:ext xmlns:c16="http://schemas.microsoft.com/office/drawing/2014/chart" uri="{C3380CC4-5D6E-409C-BE32-E72D297353CC}">
                <c16:uniqueId val="{0000000D-DE7D-4FCD-8AF3-A04012AC15D5}"/>
              </c:ext>
            </c:extLst>
          </c:dPt>
          <c:dLbls>
            <c:spPr>
              <a:noFill/>
              <a:ln>
                <a:noFill/>
              </a:ln>
              <a:effectLst/>
            </c:spPr>
            <c:txPr>
              <a:bodyPr wrap="square" lIns="38100" tIns="19050" rIns="38100" bIns="19050" anchor="ctr">
                <a:spAutoFit/>
              </a:bodyPr>
              <a:lstStyle/>
              <a:p>
                <a:pPr>
                  <a:defRPr b="1"/>
                </a:pPr>
                <a:endParaRPr lang="es-PE"/>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ext>
            </c:extLst>
          </c:dLbls>
          <c:cat>
            <c:numRef>
              <c:f>[1]DEEH16!$B$5:$F$5</c:f>
              <c:numCache>
                <c:formatCode>General</c:formatCode>
                <c:ptCount val="5"/>
                <c:pt idx="0">
                  <c:v>2025</c:v>
                </c:pt>
                <c:pt idx="1">
                  <c:v>2026</c:v>
                </c:pt>
                <c:pt idx="2">
                  <c:v>2027</c:v>
                </c:pt>
                <c:pt idx="3">
                  <c:v>2028</c:v>
                </c:pt>
                <c:pt idx="4">
                  <c:v>2029</c:v>
                </c:pt>
              </c:numCache>
            </c:numRef>
          </c:cat>
          <c:val>
            <c:numRef>
              <c:f>[1]DEEH16!$B$7:$F$7</c:f>
              <c:numCache>
                <c:formatCode>General</c:formatCode>
                <c:ptCount val="5"/>
                <c:pt idx="0">
                  <c:v>461.86</c:v>
                </c:pt>
                <c:pt idx="1">
                  <c:v>691.29</c:v>
                </c:pt>
                <c:pt idx="2">
                  <c:v>529.01</c:v>
                </c:pt>
                <c:pt idx="3">
                  <c:v>422.37</c:v>
                </c:pt>
                <c:pt idx="4">
                  <c:v>473.95</c:v>
                </c:pt>
              </c:numCache>
            </c:numRef>
          </c:val>
          <c:extLst>
            <c:ext xmlns:c16="http://schemas.microsoft.com/office/drawing/2014/chart" uri="{C3380CC4-5D6E-409C-BE32-E72D297353CC}">
              <c16:uniqueId val="{0000000E-DE7D-4FCD-8AF3-A04012AC15D5}"/>
            </c:ext>
          </c:extLst>
        </c:ser>
        <c:dLbls>
          <c:dLblPos val="outEnd"/>
          <c:showLegendKey val="0"/>
          <c:showVal val="1"/>
          <c:showCatName val="0"/>
          <c:showSerName val="0"/>
          <c:showPercent val="0"/>
          <c:showBubbleSize val="0"/>
        </c:dLbls>
        <c:gapWidth val="150"/>
        <c:axId val="136026752"/>
        <c:axId val="136044928"/>
      </c:barChart>
      <c:catAx>
        <c:axId val="136026752"/>
        <c:scaling>
          <c:orientation val="minMax"/>
        </c:scaling>
        <c:delete val="0"/>
        <c:axPos val="b"/>
        <c:numFmt formatCode="General" sourceLinked="1"/>
        <c:majorTickMark val="out"/>
        <c:minorTickMark val="none"/>
        <c:tickLblPos val="nextTo"/>
        <c:crossAx val="136044928"/>
        <c:crosses val="autoZero"/>
        <c:auto val="1"/>
        <c:lblAlgn val="ctr"/>
        <c:lblOffset val="100"/>
        <c:noMultiLvlLbl val="0"/>
      </c:catAx>
      <c:valAx>
        <c:axId val="136044928"/>
        <c:scaling>
          <c:orientation val="minMax"/>
        </c:scaling>
        <c:delete val="0"/>
        <c:axPos val="l"/>
        <c:numFmt formatCode="General" sourceLinked="1"/>
        <c:majorTickMark val="out"/>
        <c:minorTickMark val="none"/>
        <c:tickLblPos val="nextTo"/>
        <c:crossAx val="136026752"/>
        <c:crosses val="autoZero"/>
        <c:crossBetween val="between"/>
      </c:valAx>
    </c:plotArea>
    <c:legend>
      <c:legendPos val="t"/>
      <c:layout>
        <c:manualLayout>
          <c:xMode val="edge"/>
          <c:yMode val="edge"/>
          <c:x val="0.34916783583870203"/>
          <c:y val="0.12037037037037036"/>
          <c:w val="0.32105826771653545"/>
          <c:h val="6.9302639253426654E-2"/>
        </c:manualLayout>
      </c:layout>
      <c:overlay val="0"/>
      <c:txPr>
        <a:bodyPr/>
        <a:lstStyle/>
        <a:p>
          <a:pPr>
            <a:defRPr b="1"/>
          </a:pPr>
          <a:endParaRPr lang="es-PE"/>
        </a:p>
      </c:txPr>
    </c:legend>
    <c:plotVisOnly val="1"/>
    <c:dispBlanksAs val="gap"/>
    <c:showDLblsOverMax val="0"/>
  </c:chart>
  <c:spPr>
    <a:ln>
      <a:noFill/>
    </a:ln>
  </c:spPr>
  <c:txPr>
    <a:bodyPr/>
    <a:lstStyle/>
    <a:p>
      <a:pPr>
        <a:defRPr sz="800">
          <a:latin typeface="Arial Narrow" panose="020B0606020202030204" pitchFamily="34" charset="0"/>
        </a:defRPr>
      </a:pPr>
      <a:endParaRPr lang="es-PE"/>
    </a:p>
  </c:txPr>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15218812318126465"/>
          <c:y val="0.2130551214891945"/>
          <c:w val="0.81462248468941378"/>
          <c:h val="0.68910104986876641"/>
        </c:manualLayout>
      </c:layout>
      <c:barChart>
        <c:barDir val="col"/>
        <c:grouping val="clustered"/>
        <c:varyColors val="0"/>
        <c:ser>
          <c:idx val="0"/>
          <c:order val="0"/>
          <c:spPr>
            <a:solidFill>
              <a:schemeClr val="accent1">
                <a:lumMod val="75000"/>
              </a:schemeClr>
            </a:solidFill>
          </c:spPr>
          <c:invertIfNegative val="0"/>
          <c:dLbls>
            <c:numFmt formatCode="#,##0" sourceLinked="0"/>
            <c:spPr>
              <a:noFill/>
              <a:ln>
                <a:noFill/>
              </a:ln>
              <a:effectLst/>
            </c:spPr>
            <c:txPr>
              <a:bodyPr wrap="square" lIns="38100" tIns="19050" rIns="38100" bIns="19050" anchor="ctr">
                <a:spAutoFit/>
              </a:bodyPr>
              <a:lstStyle/>
              <a:p>
                <a:pPr>
                  <a:defRPr b="1"/>
                </a:pPr>
                <a:endParaRPr lang="es-PE"/>
              </a:p>
            </c:tx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numRef>
              <c:f>[1]DEEH21!$B$5:$K$5</c:f>
              <c:numCache>
                <c:formatCode>General</c:formatCode>
                <c:ptCount val="10"/>
                <c:pt idx="0">
                  <c:v>2015</c:v>
                </c:pt>
                <c:pt idx="1">
                  <c:v>2016</c:v>
                </c:pt>
                <c:pt idx="2">
                  <c:v>2017</c:v>
                </c:pt>
                <c:pt idx="3">
                  <c:v>2018</c:v>
                </c:pt>
                <c:pt idx="4">
                  <c:v>2019</c:v>
                </c:pt>
                <c:pt idx="5">
                  <c:v>2020</c:v>
                </c:pt>
                <c:pt idx="6">
                  <c:v>2021</c:v>
                </c:pt>
                <c:pt idx="7">
                  <c:v>2022</c:v>
                </c:pt>
                <c:pt idx="8">
                  <c:v>2023</c:v>
                </c:pt>
                <c:pt idx="9">
                  <c:v>2024</c:v>
                </c:pt>
              </c:numCache>
            </c:numRef>
          </c:cat>
          <c:val>
            <c:numRef>
              <c:f>[1]DEEH21!$B$10:$K$10</c:f>
              <c:numCache>
                <c:formatCode>General</c:formatCode>
                <c:ptCount val="10"/>
                <c:pt idx="0">
                  <c:v>768.96140000000003</c:v>
                </c:pt>
                <c:pt idx="1">
                  <c:v>660.25459999999998</c:v>
                </c:pt>
                <c:pt idx="2">
                  <c:v>828.83</c:v>
                </c:pt>
                <c:pt idx="3">
                  <c:v>1092.93</c:v>
                </c:pt>
                <c:pt idx="4">
                  <c:v>837.19</c:v>
                </c:pt>
                <c:pt idx="5">
                  <c:v>538.28599800000006</c:v>
                </c:pt>
                <c:pt idx="6">
                  <c:v>1279.093038</c:v>
                </c:pt>
                <c:pt idx="7">
                  <c:v>1880.3080023125999</c:v>
                </c:pt>
                <c:pt idx="8">
                  <c:v>1218.1726166707999</c:v>
                </c:pt>
                <c:pt idx="9">
                  <c:v>1199.679578296</c:v>
                </c:pt>
              </c:numCache>
            </c:numRef>
          </c:val>
          <c:extLst>
            <c:ext xmlns:c16="http://schemas.microsoft.com/office/drawing/2014/chart" uri="{C3380CC4-5D6E-409C-BE32-E72D297353CC}">
              <c16:uniqueId val="{00000000-547C-4CAA-99B8-E9E3B4DDB938}"/>
            </c:ext>
          </c:extLst>
        </c:ser>
        <c:dLbls>
          <c:showLegendKey val="0"/>
          <c:showVal val="0"/>
          <c:showCatName val="0"/>
          <c:showSerName val="0"/>
          <c:showPercent val="0"/>
          <c:showBubbleSize val="0"/>
        </c:dLbls>
        <c:gapWidth val="150"/>
        <c:axId val="136066560"/>
        <c:axId val="136068096"/>
      </c:barChart>
      <c:catAx>
        <c:axId val="136066560"/>
        <c:scaling>
          <c:orientation val="minMax"/>
        </c:scaling>
        <c:delete val="0"/>
        <c:axPos val="b"/>
        <c:numFmt formatCode="General" sourceLinked="1"/>
        <c:majorTickMark val="out"/>
        <c:minorTickMark val="none"/>
        <c:tickLblPos val="nextTo"/>
        <c:crossAx val="136068096"/>
        <c:crosses val="autoZero"/>
        <c:auto val="1"/>
        <c:lblAlgn val="ctr"/>
        <c:lblOffset val="100"/>
        <c:noMultiLvlLbl val="0"/>
      </c:catAx>
      <c:valAx>
        <c:axId val="136068096"/>
        <c:scaling>
          <c:orientation val="minMax"/>
        </c:scaling>
        <c:delete val="0"/>
        <c:axPos val="l"/>
        <c:numFmt formatCode="General" sourceLinked="1"/>
        <c:majorTickMark val="out"/>
        <c:minorTickMark val="none"/>
        <c:tickLblPos val="nextTo"/>
        <c:crossAx val="136066560"/>
        <c:crosses val="autoZero"/>
        <c:crossBetween val="between"/>
      </c:valAx>
    </c:plotArea>
    <c:plotVisOnly val="1"/>
    <c:dispBlanksAs val="gap"/>
    <c:showDLblsOverMax val="0"/>
  </c:chart>
  <c:spPr>
    <a:ln>
      <a:noFill/>
    </a:ln>
  </c:spPr>
  <c:txPr>
    <a:bodyPr/>
    <a:lstStyle/>
    <a:p>
      <a:pPr>
        <a:defRPr>
          <a:latin typeface="Arial Narrow" panose="020B0606020202030204" pitchFamily="34" charset="0"/>
        </a:defRPr>
      </a:pPr>
      <a:endParaRPr lang="es-PE"/>
    </a:p>
  </c:txPr>
  <c:printSettings>
    <c:headerFooter/>
    <c:pageMargins b="0.75" l="0.7" r="0.7" t="0.75" header="0.3" footer="0.3"/>
    <c:pageSetup/>
  </c:printSettings>
  <c:userShapes r:id="rId1"/>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view3D>
      <c:rotX val="30"/>
      <c:rotY val="55"/>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17527049751531232"/>
          <c:y val="0.10915124568419483"/>
          <c:w val="0.82472950248468768"/>
          <c:h val="0.72533147867557579"/>
        </c:manualLayout>
      </c:layout>
      <c:pie3DChart>
        <c:varyColors val="1"/>
        <c:ser>
          <c:idx val="0"/>
          <c:order val="0"/>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25F1-4D85-A621-7E4F8CB05684}"/>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25F1-4D85-A621-7E4F8CB05684}"/>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05-25F1-4D85-A621-7E4F8CB05684}"/>
              </c:ext>
            </c:extLst>
          </c:dPt>
          <c:dPt>
            <c:idx val="3"/>
            <c:bubble3D val="0"/>
            <c:spPr>
              <a:solidFill>
                <a:schemeClr val="accent4"/>
              </a:solidFill>
              <a:ln w="25400">
                <a:solidFill>
                  <a:schemeClr val="lt1"/>
                </a:solidFill>
              </a:ln>
              <a:effectLst/>
              <a:sp3d contourW="25400">
                <a:contourClr>
                  <a:schemeClr val="lt1"/>
                </a:contourClr>
              </a:sp3d>
            </c:spPr>
            <c:extLst>
              <c:ext xmlns:c16="http://schemas.microsoft.com/office/drawing/2014/chart" uri="{C3380CC4-5D6E-409C-BE32-E72D297353CC}">
                <c16:uniqueId val="{00000007-25F1-4D85-A621-7E4F8CB05684}"/>
              </c:ext>
            </c:extLst>
          </c:dPt>
          <c:dPt>
            <c:idx val="4"/>
            <c:bubble3D val="0"/>
            <c:spPr>
              <a:solidFill>
                <a:schemeClr val="accent5"/>
              </a:solidFill>
              <a:ln w="25400">
                <a:solidFill>
                  <a:schemeClr val="lt1"/>
                </a:solidFill>
              </a:ln>
              <a:effectLst/>
              <a:sp3d contourW="25400">
                <a:contourClr>
                  <a:schemeClr val="lt1"/>
                </a:contourClr>
              </a:sp3d>
            </c:spPr>
            <c:extLst>
              <c:ext xmlns:c16="http://schemas.microsoft.com/office/drawing/2014/chart" uri="{C3380CC4-5D6E-409C-BE32-E72D297353CC}">
                <c16:uniqueId val="{00000009-25F1-4D85-A621-7E4F8CB05684}"/>
              </c:ext>
            </c:extLst>
          </c:dPt>
          <c:dPt>
            <c:idx val="5"/>
            <c:bubble3D val="0"/>
            <c:spPr>
              <a:solidFill>
                <a:schemeClr val="accent6"/>
              </a:solidFill>
              <a:ln w="25400">
                <a:solidFill>
                  <a:schemeClr val="lt1"/>
                </a:solidFill>
              </a:ln>
              <a:effectLst/>
              <a:sp3d contourW="25400">
                <a:contourClr>
                  <a:schemeClr val="lt1"/>
                </a:contourClr>
              </a:sp3d>
            </c:spPr>
            <c:extLst>
              <c:ext xmlns:c16="http://schemas.microsoft.com/office/drawing/2014/chart" uri="{C3380CC4-5D6E-409C-BE32-E72D297353CC}">
                <c16:uniqueId val="{0000000B-25F1-4D85-A621-7E4F8CB05684}"/>
              </c:ext>
            </c:extLst>
          </c:dPt>
          <c:dLbls>
            <c:dLbl>
              <c:idx val="0"/>
              <c:layout>
                <c:manualLayout>
                  <c:x val="-3.560659006556402E-3"/>
                  <c:y val="-0.10042360242716548"/>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1-25F1-4D85-A621-7E4F8CB05684}"/>
                </c:ext>
              </c:extLst>
            </c:dLbl>
            <c:dLbl>
              <c:idx val="1"/>
              <c:layout>
                <c:manualLayout>
                  <c:x val="4.8081895157150799E-2"/>
                  <c:y val="-6.2542720317104922E-2"/>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3-25F1-4D85-A621-7E4F8CB05684}"/>
                </c:ext>
              </c:extLst>
            </c:dLbl>
            <c:dLbl>
              <c:idx val="2"/>
              <c:layout>
                <c:manualLayout>
                  <c:x val="2.9283403142921063E-2"/>
                  <c:y val="2.3033139873317201E-2"/>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5-25F1-4D85-A621-7E4F8CB05684}"/>
                </c:ext>
              </c:extLst>
            </c:dLbl>
            <c:dLbl>
              <c:idx val="3"/>
              <c:layout>
                <c:manualLayout>
                  <c:x val="2.644373773556585E-2"/>
                  <c:y val="3.7627685547476822E-2"/>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7-25F1-4D85-A621-7E4F8CB05684}"/>
                </c:ext>
              </c:extLst>
            </c:dLbl>
            <c:dLbl>
              <c:idx val="4"/>
              <c:layout>
                <c:manualLayout>
                  <c:x val="6.3695832734798272E-3"/>
                  <c:y val="3.7756572810210685E-2"/>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9-25F1-4D85-A621-7E4F8CB05684}"/>
                </c:ext>
              </c:extLst>
            </c:dLbl>
            <c:dLbl>
              <c:idx val="5"/>
              <c:layout>
                <c:manualLayout>
                  <c:x val="6.6541665346252457E-2"/>
                  <c:y val="-0.15248736570281768"/>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B-25F1-4D85-A621-7E4F8CB05684}"/>
                </c:ext>
              </c:extLst>
            </c:dLbl>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s-PE"/>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[1]DEEH23!$A$6:$A$11</c:f>
              <c:strCache>
                <c:ptCount val="6"/>
                <c:pt idx="0">
                  <c:v>Piura</c:v>
                </c:pt>
                <c:pt idx="1">
                  <c:v>Tumbes</c:v>
                </c:pt>
                <c:pt idx="2">
                  <c:v>Prov. Puerto Inca - Huánuco</c:v>
                </c:pt>
                <c:pt idx="3">
                  <c:v>Loreto</c:v>
                </c:pt>
                <c:pt idx="4">
                  <c:v>Ucayali</c:v>
                </c:pt>
                <c:pt idx="5">
                  <c:v>Cusco</c:v>
                </c:pt>
              </c:strCache>
            </c:strRef>
          </c:cat>
          <c:val>
            <c:numRef>
              <c:f>[1]DEEH23!$K$6:$K$11</c:f>
              <c:numCache>
                <c:formatCode>General</c:formatCode>
                <c:ptCount val="6"/>
                <c:pt idx="0">
                  <c:v>407.28941904110269</c:v>
                </c:pt>
                <c:pt idx="1">
                  <c:v>109.5764121796106</c:v>
                </c:pt>
                <c:pt idx="2">
                  <c:v>10.90519093</c:v>
                </c:pt>
                <c:pt idx="3">
                  <c:v>219.13492279000005</c:v>
                </c:pt>
                <c:pt idx="4">
                  <c:v>60.471686210000001</c:v>
                </c:pt>
                <c:pt idx="5">
                  <c:v>1748.1083355999997</c:v>
                </c:pt>
              </c:numCache>
            </c:numRef>
          </c:val>
          <c:extLst>
            <c:ext xmlns:c16="http://schemas.microsoft.com/office/drawing/2014/chart" uri="{C3380CC4-5D6E-409C-BE32-E72D297353CC}">
              <c16:uniqueId val="{0000000C-25F1-4D85-A621-7E4F8CB05684}"/>
            </c:ext>
          </c:extLst>
        </c:ser>
        <c:dLbls>
          <c:showLegendKey val="0"/>
          <c:showVal val="0"/>
          <c:showCatName val="0"/>
          <c:showSerName val="0"/>
          <c:showPercent val="0"/>
          <c:showBubbleSize val="0"/>
          <c:showLeaderLines val="1"/>
        </c:dLbls>
      </c:pie3DChart>
      <c:spPr>
        <a:noFill/>
        <a:ln>
          <a:noFill/>
        </a:ln>
        <a:effectLst/>
      </c:spPr>
    </c:plotArea>
    <c:legend>
      <c:legendPos val="b"/>
      <c:layout>
        <c:manualLayout>
          <c:xMode val="edge"/>
          <c:yMode val="edge"/>
          <c:x val="8.3123359580052555E-3"/>
          <c:y val="0.12094852726742489"/>
          <c:w val="0.20884216698043634"/>
          <c:h val="0.76794036162146395"/>
        </c:manualLayout>
      </c:layout>
      <c:overlay val="0"/>
      <c:spPr>
        <a:noFill/>
        <a:ln>
          <a:noFill/>
        </a:ln>
        <a:effectLst/>
      </c:spPr>
      <c:txPr>
        <a:bodyPr rot="0" spcFirstLastPara="1" vertOverflow="ellipsis" vert="horz" wrap="square" anchor="ctr" anchorCtr="1"/>
        <a:lstStyle/>
        <a:p>
          <a:pPr rtl="0">
            <a:defRPr sz="900" b="1" i="0" u="none" strike="noStrike" kern="1200" baseline="0">
              <a:solidFill>
                <a:sysClr val="windowText" lastClr="000000"/>
              </a:solidFill>
              <a:latin typeface="+mn-lt"/>
              <a:ea typeface="+mn-ea"/>
              <a:cs typeface="+mn-cs"/>
            </a:defRPr>
          </a:pPr>
          <a:endParaRPr lang="es-P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PE"/>
    </a:p>
  </c:txPr>
  <c:printSettings>
    <c:headerFooter/>
    <c:pageMargins b="0.75" l="0.7" r="0.7" t="0.75" header="0.3" footer="0.3"/>
    <c:pageSetup/>
  </c:printSettings>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9.9454848416265534E-2"/>
          <c:y val="4.806001963683551E-2"/>
          <c:w val="0.84466423909333366"/>
          <c:h val="0.8505845983634136"/>
        </c:manualLayout>
      </c:layout>
      <c:barChart>
        <c:barDir val="bar"/>
        <c:grouping val="clustered"/>
        <c:varyColors val="0"/>
        <c:ser>
          <c:idx val="0"/>
          <c:order val="0"/>
          <c:spPr>
            <a:solidFill>
              <a:srgbClr val="C00000"/>
            </a:solidFill>
            <a:ln>
              <a:noFill/>
            </a:ln>
            <a:effectLst/>
          </c:spPr>
          <c:invertIfNegative val="0"/>
          <c:dLbls>
            <c:numFmt formatCode="#,##0" sourceLinked="0"/>
            <c:spPr>
              <a:noFill/>
              <a:ln>
                <a:noFill/>
              </a:ln>
              <a:effectLst/>
            </c:spPr>
            <c:txPr>
              <a:bodyPr rot="0" spcFirstLastPara="1" vertOverflow="ellipsis" vert="horz" wrap="square" lIns="38100" tIns="19050" rIns="38100" bIns="19050" anchor="ctr" anchorCtr="1">
                <a:spAutoFit/>
              </a:bodyPr>
              <a:lstStyle/>
              <a:p>
                <a:pPr>
                  <a:defRPr sz="900" b="1" i="1" u="none" strike="noStrike" kern="1200" baseline="0">
                    <a:solidFill>
                      <a:sysClr val="windowText" lastClr="000000"/>
                    </a:solidFill>
                    <a:latin typeface="+mn-lt"/>
                    <a:ea typeface="+mn-ea"/>
                    <a:cs typeface="+mn-cs"/>
                  </a:defRPr>
                </a:pPr>
                <a:endParaRPr lang="es-PE"/>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[1]DEEH23!$B$5:$K$5</c:f>
              <c:numCache>
                <c:formatCode>General</c:formatCode>
                <c:ptCount val="10"/>
                <c:pt idx="0">
                  <c:v>2015</c:v>
                </c:pt>
                <c:pt idx="1">
                  <c:v>2016</c:v>
                </c:pt>
                <c:pt idx="2">
                  <c:v>2017</c:v>
                </c:pt>
                <c:pt idx="3">
                  <c:v>2018</c:v>
                </c:pt>
                <c:pt idx="4">
                  <c:v>2019</c:v>
                </c:pt>
                <c:pt idx="5">
                  <c:v>2020</c:v>
                </c:pt>
                <c:pt idx="6">
                  <c:v>2021</c:v>
                </c:pt>
                <c:pt idx="7">
                  <c:v>2022</c:v>
                </c:pt>
                <c:pt idx="8">
                  <c:v>2023</c:v>
                </c:pt>
                <c:pt idx="9">
                  <c:v>2024</c:v>
                </c:pt>
              </c:numCache>
            </c:numRef>
          </c:cat>
          <c:val>
            <c:numRef>
              <c:f>[1]DEEH23!$B$12:$K$12</c:f>
              <c:numCache>
                <c:formatCode>General</c:formatCode>
                <c:ptCount val="10"/>
                <c:pt idx="0">
                  <c:v>1582.6</c:v>
                </c:pt>
                <c:pt idx="1">
                  <c:v>1327.76</c:v>
                </c:pt>
                <c:pt idx="2">
                  <c:v>1558.22</c:v>
                </c:pt>
                <c:pt idx="3">
                  <c:v>2067.77</c:v>
                </c:pt>
                <c:pt idx="4">
                  <c:v>1675.43</c:v>
                </c:pt>
                <c:pt idx="5">
                  <c:v>1151.8399999999999</c:v>
                </c:pt>
                <c:pt idx="6">
                  <c:v>2807.94</c:v>
                </c:pt>
                <c:pt idx="7">
                  <c:v>3913.8241829600001</c:v>
                </c:pt>
                <c:pt idx="8">
                  <c:v>2633.6184188699999</c:v>
                </c:pt>
                <c:pt idx="9">
                  <c:v>2555.485966750713</c:v>
                </c:pt>
              </c:numCache>
            </c:numRef>
          </c:val>
          <c:extLst>
            <c:ext xmlns:c16="http://schemas.microsoft.com/office/drawing/2014/chart" uri="{C3380CC4-5D6E-409C-BE32-E72D297353CC}">
              <c16:uniqueId val="{00000000-A062-419C-BA29-F23455EA3C14}"/>
            </c:ext>
          </c:extLst>
        </c:ser>
        <c:dLbls>
          <c:showLegendKey val="0"/>
          <c:showVal val="0"/>
          <c:showCatName val="0"/>
          <c:showSerName val="0"/>
          <c:showPercent val="0"/>
          <c:showBubbleSize val="0"/>
        </c:dLbls>
        <c:gapWidth val="182"/>
        <c:axId val="429398200"/>
        <c:axId val="429398528"/>
      </c:barChart>
      <c:catAx>
        <c:axId val="42939820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s-PE"/>
          </a:p>
        </c:txPr>
        <c:crossAx val="429398528"/>
        <c:crosses val="autoZero"/>
        <c:auto val="1"/>
        <c:lblAlgn val="ctr"/>
        <c:lblOffset val="100"/>
        <c:noMultiLvlLbl val="0"/>
      </c:catAx>
      <c:valAx>
        <c:axId val="429398528"/>
        <c:scaling>
          <c:orientation val="minMax"/>
        </c:scaling>
        <c:delete val="0"/>
        <c:axPos val="b"/>
        <c:majorGridlines>
          <c:spPr>
            <a:ln w="9525" cap="flat" cmpd="sng" algn="ctr">
              <a:solidFill>
                <a:schemeClr val="tx1">
                  <a:lumMod val="15000"/>
                  <a:lumOff val="85000"/>
                </a:schemeClr>
              </a:solidFill>
              <a:round/>
            </a:ln>
            <a:effectLst/>
          </c:spPr>
        </c:majorGridlines>
        <c:numFmt formatCode="_(* #,##0_);_(* \(#,##0\);_(* &quot;-&quot;_);_(@_)" sourceLinked="0"/>
        <c:majorTickMark val="cross"/>
        <c:minorTickMark val="none"/>
        <c:tickLblPos val="nextTo"/>
        <c:spPr>
          <a:noFill/>
          <a:ln>
            <a:solidFill>
              <a:schemeClr val="accent1"/>
            </a:solid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s-PE"/>
          </a:p>
        </c:txPr>
        <c:crossAx val="429398200"/>
        <c:crosses val="autoZero"/>
        <c:crossBetween val="between"/>
        <c:majorUnit val="1000"/>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PE"/>
    </a:p>
  </c:txPr>
  <c:printSettings>
    <c:headerFooter/>
    <c:pageMargins b="0.75" l="0.7" r="0.7" t="0.75" header="0.3" footer="0.3"/>
    <c:pageSetup/>
  </c:printSettings>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doughnut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975F-4DD6-AA32-11ADF3CB4EAB}"/>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975F-4DD6-AA32-11ADF3CB4EAB}"/>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975F-4DD6-AA32-11ADF3CB4EAB}"/>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975F-4DD6-AA32-11ADF3CB4EAB}"/>
              </c:ext>
            </c:extLst>
          </c:dPt>
          <c:dLbls>
            <c:dLbl>
              <c:idx val="0"/>
              <c:layout>
                <c:manualLayout>
                  <c:x val="0.1388888888888889"/>
                  <c:y val="-0.10648148148148152"/>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1-975F-4DD6-AA32-11ADF3CB4EAB}"/>
                </c:ext>
              </c:extLst>
            </c:dLbl>
            <c:dLbl>
              <c:idx val="1"/>
              <c:layout>
                <c:manualLayout>
                  <c:x val="0.18611111111111112"/>
                  <c:y val="9.7222222222222307E-2"/>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3-975F-4DD6-AA32-11ADF3CB4EAB}"/>
                </c:ext>
              </c:extLst>
            </c:dLbl>
            <c:dLbl>
              <c:idx val="2"/>
              <c:layout>
                <c:manualLayout>
                  <c:x val="5.5555555555555552E-2"/>
                  <c:y val="0.14351851851851852"/>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5-975F-4DD6-AA32-11ADF3CB4EAB}"/>
                </c:ext>
              </c:extLst>
            </c:dLbl>
            <c:dLbl>
              <c:idx val="3"/>
              <c:layout>
                <c:manualLayout>
                  <c:x val="-0.21111111111111111"/>
                  <c:y val="-4.6296296296296294E-2"/>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7-975F-4DD6-AA32-11ADF3CB4EAB}"/>
                </c:ext>
              </c:extLst>
            </c:dLbl>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Arial" panose="020B0604020202020204" pitchFamily="34" charset="0"/>
                    <a:ea typeface="+mn-ea"/>
                    <a:cs typeface="Arial" panose="020B0604020202020204" pitchFamily="34" charset="0"/>
                  </a:defRPr>
                </a:pPr>
                <a:endParaRPr lang="es-PE"/>
              </a:p>
            </c:txPr>
            <c:showLegendKey val="0"/>
            <c:showVal val="1"/>
            <c:showCatName val="1"/>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'DPTC 24'!$H$3:$K$3</c:f>
              <c:strCache>
                <c:ptCount val="4"/>
                <c:pt idx="0">
                  <c:v>Talara</c:v>
                </c:pt>
                <c:pt idx="1">
                  <c:v>Iquitos</c:v>
                </c:pt>
                <c:pt idx="2">
                  <c:v>Conchan</c:v>
                </c:pt>
                <c:pt idx="3">
                  <c:v>La Pampila</c:v>
                </c:pt>
              </c:strCache>
            </c:strRef>
          </c:cat>
          <c:val>
            <c:numRef>
              <c:f>'DPTC 24'!$H$5:$K$5</c:f>
              <c:numCache>
                <c:formatCode>0%</c:formatCode>
                <c:ptCount val="4"/>
                <c:pt idx="0">
                  <c:v>0.39900261560943917</c:v>
                </c:pt>
                <c:pt idx="1">
                  <c:v>2.4138016419630738E-2</c:v>
                </c:pt>
                <c:pt idx="2">
                  <c:v>6.7622564846585409E-2</c:v>
                </c:pt>
                <c:pt idx="3">
                  <c:v>0.50923680312434461</c:v>
                </c:pt>
              </c:numCache>
            </c:numRef>
          </c:val>
          <c:extLst>
            <c:ext xmlns:c16="http://schemas.microsoft.com/office/drawing/2014/chart" uri="{C3380CC4-5D6E-409C-BE32-E72D297353CC}">
              <c16:uniqueId val="{00000008-975F-4DD6-AA32-11ADF3CB4EAB}"/>
            </c:ext>
          </c:extLst>
        </c:ser>
        <c:dLbls>
          <c:showLegendKey val="0"/>
          <c:showVal val="1"/>
          <c:showCatName val="0"/>
          <c:showSerName val="0"/>
          <c:showPercent val="0"/>
          <c:showBubbleSize val="0"/>
          <c:showLeaderLines val="1"/>
        </c:dLbls>
        <c:firstSliceAng val="0"/>
        <c:holeSize val="70"/>
      </c:doughnutChart>
      <c:spPr>
        <a:noFill/>
        <a:ln>
          <a:noFill/>
        </a:ln>
        <a:effectLst/>
      </c:spPr>
    </c:plotArea>
    <c:legend>
      <c:legendPos val="b"/>
      <c:overlay val="0"/>
      <c:spPr>
        <a:noFill/>
        <a:ln>
          <a:noFill/>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s-P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latin typeface="Arial" panose="020B0604020202020204" pitchFamily="34" charset="0"/>
          <a:cs typeface="Arial" panose="020B0604020202020204" pitchFamily="34" charset="0"/>
        </a:defRPr>
      </a:pPr>
      <a:endParaRPr lang="es-PE"/>
    </a:p>
  </c:txPr>
  <c:printSettings>
    <c:headerFooter/>
    <c:pageMargins b="0.75" l="0.7" r="0.7" t="0.75" header="0.3" footer="0.3"/>
    <c:pageSetup/>
  </c:printSettings>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stacked"/>
        <c:varyColors val="0"/>
        <c:ser>
          <c:idx val="0"/>
          <c:order val="0"/>
          <c:tx>
            <c:strRef>
              <c:f>'DPTC 24'!$N$4</c:f>
              <c:strCache>
                <c:ptCount val="1"/>
                <c:pt idx="0">
                  <c:v>Nacional</c:v>
                </c:pt>
              </c:strCache>
            </c:strRef>
          </c:tx>
          <c:spPr>
            <a:solidFill>
              <a:schemeClr val="accent1"/>
            </a:solidFill>
            <a:ln>
              <a:noFill/>
            </a:ln>
            <a:effectLst/>
          </c:spPr>
          <c:invertIfNegative val="0"/>
          <c:dLbls>
            <c:dLbl>
              <c:idx val="1"/>
              <c:layout>
                <c:manualLayout>
                  <c:x val="-2.7777777777777779E-3"/>
                  <c:y val="-3.7037037037037035E-2"/>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7231-4F07-B236-E1833B998166}"/>
                </c:ext>
              </c:extLst>
            </c:dLbl>
            <c:dLbl>
              <c:idx val="2"/>
              <c:layout>
                <c:manualLayout>
                  <c:x val="0"/>
                  <c:y val="1.3888888888888888E-2"/>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7231-4F07-B236-E1833B998166}"/>
                </c:ext>
              </c:extLst>
            </c:dLbl>
            <c:dLbl>
              <c:idx val="3"/>
              <c:delete val="1"/>
              <c:extLst>
                <c:ext xmlns:c15="http://schemas.microsoft.com/office/drawing/2012/chart" uri="{CE6537A1-D6FC-4f65-9D91-7224C49458BB}"/>
                <c:ext xmlns:c16="http://schemas.microsoft.com/office/drawing/2014/chart" uri="{C3380CC4-5D6E-409C-BE32-E72D297353CC}">
                  <c16:uniqueId val="{00000002-7231-4F07-B236-E1833B998166}"/>
                </c:ext>
              </c:extLst>
            </c:dLbl>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s-P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'DPTC 24'!$O$3:$R$3</c:f>
              <c:strCache>
                <c:ptCount val="4"/>
                <c:pt idx="0">
                  <c:v>Talara</c:v>
                </c:pt>
                <c:pt idx="1">
                  <c:v>Iquitos</c:v>
                </c:pt>
                <c:pt idx="2">
                  <c:v>Conchan</c:v>
                </c:pt>
                <c:pt idx="3">
                  <c:v>La Pampila</c:v>
                </c:pt>
              </c:strCache>
            </c:strRef>
          </c:cat>
          <c:val>
            <c:numRef>
              <c:f>'DPTC 24'!$O$4:$R$4</c:f>
              <c:numCache>
                <c:formatCode>#,##0</c:formatCode>
                <c:ptCount val="4"/>
                <c:pt idx="0">
                  <c:v>7989.2419999999993</c:v>
                </c:pt>
                <c:pt idx="1">
                  <c:v>999.077</c:v>
                </c:pt>
                <c:pt idx="2">
                  <c:v>17.874000000000002</c:v>
                </c:pt>
                <c:pt idx="3">
                  <c:v>0</c:v>
                </c:pt>
              </c:numCache>
            </c:numRef>
          </c:val>
          <c:extLst>
            <c:ext xmlns:c16="http://schemas.microsoft.com/office/drawing/2014/chart" uri="{C3380CC4-5D6E-409C-BE32-E72D297353CC}">
              <c16:uniqueId val="{00000003-7231-4F07-B236-E1833B998166}"/>
            </c:ext>
          </c:extLst>
        </c:ser>
        <c:ser>
          <c:idx val="1"/>
          <c:order val="1"/>
          <c:tx>
            <c:strRef>
              <c:f>'DPTC 24'!$N$5</c:f>
              <c:strCache>
                <c:ptCount val="1"/>
                <c:pt idx="0">
                  <c:v>Importado</c:v>
                </c:pt>
              </c:strCache>
            </c:strRef>
          </c:tx>
          <c:spPr>
            <a:solidFill>
              <a:schemeClr val="accent2"/>
            </a:solidFill>
            <a:ln>
              <a:noFill/>
            </a:ln>
            <a:effectLst/>
          </c:spPr>
          <c:invertIfNegative val="0"/>
          <c:dLbls>
            <c:dLbl>
              <c:idx val="2"/>
              <c:layout>
                <c:manualLayout>
                  <c:x val="0"/>
                  <c:y val="-3.7037037037037125E-2"/>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7231-4F07-B236-E1833B998166}"/>
                </c:ext>
              </c:extLst>
            </c:dLbl>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s-P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'DPTC 24'!$O$3:$R$3</c:f>
              <c:strCache>
                <c:ptCount val="4"/>
                <c:pt idx="0">
                  <c:v>Talara</c:v>
                </c:pt>
                <c:pt idx="1">
                  <c:v>Iquitos</c:v>
                </c:pt>
                <c:pt idx="2">
                  <c:v>Conchan</c:v>
                </c:pt>
                <c:pt idx="3">
                  <c:v>La Pampila</c:v>
                </c:pt>
              </c:strCache>
            </c:strRef>
          </c:cat>
          <c:val>
            <c:numRef>
              <c:f>'DPTC 24'!$O$5:$R$5</c:f>
              <c:numCache>
                <c:formatCode>#,##0</c:formatCode>
                <c:ptCount val="4"/>
                <c:pt idx="0">
                  <c:v>16538.923000000003</c:v>
                </c:pt>
                <c:pt idx="1">
                  <c:v>0</c:v>
                </c:pt>
                <c:pt idx="2">
                  <c:v>2140.3029999999999</c:v>
                </c:pt>
                <c:pt idx="3">
                  <c:v>27765.79</c:v>
                </c:pt>
              </c:numCache>
            </c:numRef>
          </c:val>
          <c:extLst>
            <c:ext xmlns:c16="http://schemas.microsoft.com/office/drawing/2014/chart" uri="{C3380CC4-5D6E-409C-BE32-E72D297353CC}">
              <c16:uniqueId val="{00000005-7231-4F07-B236-E1833B998166}"/>
            </c:ext>
          </c:extLst>
        </c:ser>
        <c:dLbls>
          <c:showLegendKey val="0"/>
          <c:showVal val="0"/>
          <c:showCatName val="0"/>
          <c:showSerName val="0"/>
          <c:showPercent val="0"/>
          <c:showBubbleSize val="0"/>
        </c:dLbls>
        <c:gapWidth val="26"/>
        <c:overlap val="100"/>
        <c:axId val="1559747296"/>
        <c:axId val="1559747776"/>
      </c:barChart>
      <c:catAx>
        <c:axId val="15597472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s-PE"/>
          </a:p>
        </c:txPr>
        <c:crossAx val="1559747776"/>
        <c:crosses val="autoZero"/>
        <c:auto val="1"/>
        <c:lblAlgn val="ctr"/>
        <c:lblOffset val="100"/>
        <c:noMultiLvlLbl val="0"/>
      </c:catAx>
      <c:valAx>
        <c:axId val="155974777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r>
                  <a:rPr lang="es-PE"/>
                  <a:t>Miles de Barriles</a:t>
                </a:r>
              </a:p>
            </c:rich>
          </c:tx>
          <c:overlay val="0"/>
          <c:spPr>
            <a:noFill/>
            <a:ln>
              <a:noFill/>
            </a:ln>
            <a:effectLst/>
          </c:spPr>
          <c:txPr>
            <a:bodyPr rot="-54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s-PE"/>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s-PE"/>
          </a:p>
        </c:txPr>
        <c:crossAx val="155974729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s-P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solidFill>
            <a:sysClr val="windowText" lastClr="000000"/>
          </a:solidFill>
          <a:latin typeface="Arial" panose="020B0604020202020204" pitchFamily="34" charset="0"/>
          <a:cs typeface="Arial" panose="020B0604020202020204" pitchFamily="34" charset="0"/>
        </a:defRPr>
      </a:pPr>
      <a:endParaRPr lang="es-PE"/>
    </a:p>
  </c:txPr>
  <c:printSettings>
    <c:headerFooter/>
    <c:pageMargins b="0.75" l="0.7" r="0.7" t="0.75" header="0.3" footer="0.3"/>
    <c:pageSetup/>
  </c:printSettings>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29893700787401567"/>
          <c:y val="9.7475211431904352E-2"/>
          <c:w val="0.41323709536307968"/>
          <c:h val="0.68872849227179944"/>
        </c:manualLayout>
      </c:layout>
      <c:doughnutChart>
        <c:varyColors val="1"/>
        <c:ser>
          <c:idx val="0"/>
          <c:order val="0"/>
          <c:explosion val="1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4502-478C-AEB3-3AAB2FFFC535}"/>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4502-478C-AEB3-3AAB2FFFC535}"/>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4502-478C-AEB3-3AAB2FFFC535}"/>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4502-478C-AEB3-3AAB2FFFC535}"/>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4502-478C-AEB3-3AAB2FFFC535}"/>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4502-478C-AEB3-3AAB2FFFC535}"/>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4502-478C-AEB3-3AAB2FFFC535}"/>
              </c:ext>
            </c:extLst>
          </c:dPt>
          <c:dLbls>
            <c:dLbl>
              <c:idx val="0"/>
              <c:layout>
                <c:manualLayout>
                  <c:x val="7.4999999999999997E-2"/>
                  <c:y val="-9.7222222222222224E-2"/>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1-4502-478C-AEB3-3AAB2FFFC535}"/>
                </c:ext>
              </c:extLst>
            </c:dLbl>
            <c:dLbl>
              <c:idx val="1"/>
              <c:layout>
                <c:manualLayout>
                  <c:x val="0.14444444444444443"/>
                  <c:y val="-6.018518518518521E-2"/>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3-4502-478C-AEB3-3AAB2FFFC535}"/>
                </c:ext>
              </c:extLst>
            </c:dLbl>
            <c:dLbl>
              <c:idx val="2"/>
              <c:layout>
                <c:manualLayout>
                  <c:x val="0.10833333333333323"/>
                  <c:y val="5.5555555555555552E-2"/>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5-4502-478C-AEB3-3AAB2FFFC535}"/>
                </c:ext>
              </c:extLst>
            </c:dLbl>
            <c:dLbl>
              <c:idx val="3"/>
              <c:layout>
                <c:manualLayout>
                  <c:x val="-0.14722222222222228"/>
                  <c:y val="0"/>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7-4502-478C-AEB3-3AAB2FFFC535}"/>
                </c:ext>
              </c:extLst>
            </c:dLbl>
            <c:dLbl>
              <c:idx val="4"/>
              <c:layout>
                <c:manualLayout>
                  <c:x val="-0.20555555555555555"/>
                  <c:y val="2.7777777777777801E-2"/>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9-4502-478C-AEB3-3AAB2FFFC535}"/>
                </c:ext>
              </c:extLst>
            </c:dLbl>
            <c:dLbl>
              <c:idx val="5"/>
              <c:layout>
                <c:manualLayout>
                  <c:x val="-0.15"/>
                  <c:y val="-4.1666666666666671E-2"/>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B-4502-478C-AEB3-3AAB2FFFC535}"/>
                </c:ext>
              </c:extLst>
            </c:dLbl>
            <c:dLbl>
              <c:idx val="6"/>
              <c:layout>
                <c:manualLayout>
                  <c:x val="-3.0555555555555607E-2"/>
                  <c:y val="-9.7222222222222224E-2"/>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D-4502-478C-AEB3-3AAB2FFFC535}"/>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PE"/>
              </a:p>
            </c:txPr>
            <c:showLegendKey val="0"/>
            <c:showVal val="1"/>
            <c:showCatName val="1"/>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'DPTC 25'!$H$6:$H$12</c:f>
              <c:strCache>
                <c:ptCount val="7"/>
                <c:pt idx="0">
                  <c:v>GLP</c:v>
                </c:pt>
                <c:pt idx="1">
                  <c:v>Gasolinas/Gasoholes</c:v>
                </c:pt>
                <c:pt idx="2">
                  <c:v>Turbo</c:v>
                </c:pt>
                <c:pt idx="3">
                  <c:v>Diesel</c:v>
                </c:pt>
                <c:pt idx="4">
                  <c:v>Residuales</c:v>
                </c:pt>
                <c:pt idx="5">
                  <c:v>IFO/Diesel Marino</c:v>
                </c:pt>
                <c:pt idx="6">
                  <c:v>Otros</c:v>
                </c:pt>
              </c:strCache>
            </c:strRef>
          </c:cat>
          <c:val>
            <c:numRef>
              <c:f>'DPTC 25'!$K$6:$K$12</c:f>
              <c:numCache>
                <c:formatCode>0%</c:formatCode>
                <c:ptCount val="7"/>
                <c:pt idx="0">
                  <c:v>2.8140981168079126E-2</c:v>
                </c:pt>
                <c:pt idx="1">
                  <c:v>0.27185737351842826</c:v>
                </c:pt>
                <c:pt idx="2">
                  <c:v>9.2823504173508417E-2</c:v>
                </c:pt>
                <c:pt idx="3">
                  <c:v>0.44841509019593884</c:v>
                </c:pt>
                <c:pt idx="4">
                  <c:v>0.13071846161455228</c:v>
                </c:pt>
                <c:pt idx="5" formatCode="0.0%">
                  <c:v>3.89877349489E-3</c:v>
                </c:pt>
                <c:pt idx="6">
                  <c:v>2.4145815834603131E-2</c:v>
                </c:pt>
              </c:numCache>
            </c:numRef>
          </c:val>
          <c:extLst>
            <c:ext xmlns:c16="http://schemas.microsoft.com/office/drawing/2014/chart" uri="{C3380CC4-5D6E-409C-BE32-E72D297353CC}">
              <c16:uniqueId val="{0000000E-4502-478C-AEB3-3AAB2FFFC535}"/>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b"/>
      <c:layout>
        <c:manualLayout>
          <c:xMode val="edge"/>
          <c:yMode val="edge"/>
          <c:x val="1.6242344706911636E-2"/>
          <c:y val="0.85127150772820059"/>
          <c:w val="0.95640398075240596"/>
          <c:h val="8.8543307086614176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P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PE"/>
    </a:p>
  </c:txPr>
  <c:printSettings>
    <c:headerFooter/>
    <c:pageMargins b="0.75" l="0.7" r="0.7" t="0.75" header="0.3" footer="0.3"/>
    <c:pageSetup/>
  </c:printSettings>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pie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07D4-441F-9EC2-141CBDFD6A58}"/>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07D4-441F-9EC2-141CBDFD6A58}"/>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07D4-441F-9EC2-141CBDFD6A58}"/>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07D4-441F-9EC2-141CBDFD6A58}"/>
              </c:ext>
            </c:extLst>
          </c:dPt>
          <c:dLbls>
            <c:dLbl>
              <c:idx val="0"/>
              <c:layout>
                <c:manualLayout>
                  <c:x val="3.4226377952755904E-2"/>
                  <c:y val="3.2527503724144667E-2"/>
                </c:manualLayout>
              </c:layout>
              <c:dLblPos val="bestFi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1-07D4-441F-9EC2-141CBDFD6A58}"/>
                </c:ext>
              </c:extLst>
            </c:dLbl>
            <c:dLbl>
              <c:idx val="2"/>
              <c:layout>
                <c:manualLayout>
                  <c:x val="2.9670384951881016E-2"/>
                  <c:y val="2.4200453613030755E-2"/>
                </c:manualLayout>
              </c:layout>
              <c:dLblPos val="bestFi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5-07D4-441F-9EC2-141CBDFD6A58}"/>
                </c:ext>
              </c:extLst>
            </c:dLbl>
            <c:dLbl>
              <c:idx val="3"/>
              <c:layout>
                <c:manualLayout>
                  <c:x val="-1.9306758530183727E-2"/>
                  <c:y val="-4.1524976189894744E-2"/>
                </c:manualLayout>
              </c:layout>
              <c:dLblPos val="bestFi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7-07D4-441F-9EC2-141CBDFD6A58}"/>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PE"/>
              </a:p>
            </c:txPr>
            <c:dLblPos val="bestFit"/>
            <c:showLegendKey val="0"/>
            <c:showVal val="1"/>
            <c:showCatName val="1"/>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'DPTC 25'!$O$5:$R$5</c:f>
              <c:strCache>
                <c:ptCount val="4"/>
                <c:pt idx="0">
                  <c:v>Talara</c:v>
                </c:pt>
                <c:pt idx="1">
                  <c:v>Iquitos</c:v>
                </c:pt>
                <c:pt idx="2">
                  <c:v>Conchan </c:v>
                </c:pt>
                <c:pt idx="3">
                  <c:v>Pampilla</c:v>
                </c:pt>
              </c:strCache>
            </c:strRef>
          </c:cat>
          <c:val>
            <c:numRef>
              <c:f>'DPTC 25'!$O$8:$R$8</c:f>
              <c:numCache>
                <c:formatCode>0%</c:formatCode>
                <c:ptCount val="4"/>
                <c:pt idx="0">
                  <c:v>0.38721347016196067</c:v>
                </c:pt>
                <c:pt idx="1">
                  <c:v>2.4526621306151498E-2</c:v>
                </c:pt>
                <c:pt idx="2">
                  <c:v>6.8174898599372286E-2</c:v>
                </c:pt>
                <c:pt idx="3">
                  <c:v>0.52008500993251583</c:v>
                </c:pt>
              </c:numCache>
            </c:numRef>
          </c:val>
          <c:extLst>
            <c:ext xmlns:c16="http://schemas.microsoft.com/office/drawing/2014/chart" uri="{C3380CC4-5D6E-409C-BE32-E72D297353CC}">
              <c16:uniqueId val="{00000008-07D4-441F-9EC2-141CBDFD6A58}"/>
            </c:ext>
          </c:extLst>
        </c:ser>
        <c:dLbls>
          <c:dLblPos val="bestFit"/>
          <c:showLegendKey val="0"/>
          <c:showVal val="1"/>
          <c:showCatName val="0"/>
          <c:showSerName val="0"/>
          <c:showPercent val="0"/>
          <c:showBubbleSize val="0"/>
          <c:showLeaderLines val="1"/>
        </c:dLbls>
        <c:firstSliceAng val="32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P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PE"/>
    </a:p>
  </c:txPr>
  <c:printSettings>
    <c:headerFooter/>
    <c:pageMargins b="0.75" l="0.7" r="0.7" t="0.75" header="0.3" footer="0.3"/>
    <c:pageSetup/>
  </c:printSettings>
</c:chartSpace>
</file>

<file path=xl/charts/chart2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7473672933740425"/>
          <c:y val="0.13156023209784651"/>
          <c:w val="0.79965507436570427"/>
          <c:h val="0.70005807982972457"/>
        </c:manualLayout>
      </c:layout>
      <c:barChart>
        <c:barDir val="col"/>
        <c:grouping val="stacked"/>
        <c:varyColors val="0"/>
        <c:ser>
          <c:idx val="0"/>
          <c:order val="0"/>
          <c:tx>
            <c:strRef>
              <c:f>'DPTC 25'!$M$7</c:f>
              <c:strCache>
                <c:ptCount val="1"/>
                <c:pt idx="0">
                  <c:v>TOTAL DE PRODUCTOS EN REFINERÍA (MBPD)</c:v>
                </c:pt>
              </c:strCache>
            </c:strRef>
          </c:tx>
          <c:spPr>
            <a:solidFill>
              <a:schemeClr val="accent1"/>
            </a:solidFill>
            <a:ln>
              <a:noFill/>
            </a:ln>
            <a:effectLst/>
          </c:spPr>
          <c:invertIfNegative val="0"/>
          <c:dLbls>
            <c:dLbl>
              <c:idx val="0"/>
              <c:layout>
                <c:manualLayout>
                  <c:x val="2.5462668816039986E-17"/>
                  <c:y val="-0.28011381261565782"/>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9621-4EFD-B29C-4828C3AFA8AC}"/>
                </c:ext>
              </c:extLst>
            </c:dLbl>
            <c:dLbl>
              <c:idx val="1"/>
              <c:layout>
                <c:manualLayout>
                  <c:x val="-5.0925337632079971E-17"/>
                  <c:y val="-8.4508407586081566E-2"/>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9621-4EFD-B29C-4828C3AFA8AC}"/>
                </c:ext>
              </c:extLst>
            </c:dLbl>
            <c:dLbl>
              <c:idx val="2"/>
              <c:layout>
                <c:manualLayout>
                  <c:x val="0"/>
                  <c:y val="-0.16496277557307434"/>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9621-4EFD-B29C-4828C3AFA8AC}"/>
                </c:ext>
              </c:extLst>
            </c:dLbl>
            <c:dLbl>
              <c:idx val="3"/>
              <c:layout>
                <c:manualLayout>
                  <c:x val="2.777777777777676E-3"/>
                  <c:y val="-0.39837156503043203"/>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9621-4EFD-B29C-4828C3AFA8AC}"/>
                </c:ext>
              </c:extLst>
            </c:dLbl>
            <c:spPr>
              <a:noFill/>
              <a:ln>
                <a:noFill/>
              </a:ln>
              <a:effectLst/>
            </c:spPr>
            <c:txPr>
              <a:bodyPr rot="0" spcFirstLastPara="1" vertOverflow="ellipsis" vert="horz" wrap="square" lIns="38100" tIns="19050" rIns="38100" bIns="19050" anchor="t" anchorCtr="1">
                <a:spAutoFit/>
              </a:bodyPr>
              <a:lstStyle/>
              <a:p>
                <a:pPr>
                  <a:defRPr sz="900" b="0" i="0" u="none" strike="noStrike" kern="1200" baseline="0">
                    <a:solidFill>
                      <a:schemeClr val="tx1">
                        <a:lumMod val="75000"/>
                        <a:lumOff val="25000"/>
                      </a:schemeClr>
                    </a:solidFill>
                    <a:latin typeface="+mn-lt"/>
                    <a:ea typeface="+mn-ea"/>
                    <a:cs typeface="+mn-cs"/>
                  </a:defRPr>
                </a:pPr>
                <a:endParaRPr lang="es-PE"/>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'DPTC 25'!$O$5:$R$5</c:f>
              <c:strCache>
                <c:ptCount val="4"/>
                <c:pt idx="0">
                  <c:v>Talara</c:v>
                </c:pt>
                <c:pt idx="1">
                  <c:v>Iquitos</c:v>
                </c:pt>
                <c:pt idx="2">
                  <c:v>Conchan </c:v>
                </c:pt>
                <c:pt idx="3">
                  <c:v>Pampilla</c:v>
                </c:pt>
              </c:strCache>
            </c:strRef>
          </c:cat>
          <c:val>
            <c:numRef>
              <c:f>'DPTC 25'!$O$7:$R$7</c:f>
              <c:numCache>
                <c:formatCode>#,##0.00</c:formatCode>
                <c:ptCount val="4"/>
                <c:pt idx="0">
                  <c:v>74.883713114754102</c:v>
                </c:pt>
                <c:pt idx="1">
                  <c:v>4.7432349726775955</c:v>
                </c:pt>
                <c:pt idx="2">
                  <c:v>13.184431693989072</c:v>
                </c:pt>
                <c:pt idx="3">
                  <c:v>100.57991180622039</c:v>
                </c:pt>
              </c:numCache>
            </c:numRef>
          </c:val>
          <c:extLst>
            <c:ext xmlns:c16="http://schemas.microsoft.com/office/drawing/2014/chart" uri="{C3380CC4-5D6E-409C-BE32-E72D297353CC}">
              <c16:uniqueId val="{00000004-9621-4EFD-B29C-4828C3AFA8AC}"/>
            </c:ext>
          </c:extLst>
        </c:ser>
        <c:dLbls>
          <c:dLblPos val="ctr"/>
          <c:showLegendKey val="0"/>
          <c:showVal val="1"/>
          <c:showCatName val="0"/>
          <c:showSerName val="0"/>
          <c:showPercent val="0"/>
          <c:showBubbleSize val="0"/>
        </c:dLbls>
        <c:gapWidth val="150"/>
        <c:overlap val="100"/>
        <c:axId val="1515082015"/>
        <c:axId val="1515095455"/>
      </c:barChart>
      <c:catAx>
        <c:axId val="151508201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PE"/>
          </a:p>
        </c:txPr>
        <c:crossAx val="1515095455"/>
        <c:crosses val="autoZero"/>
        <c:auto val="1"/>
        <c:lblAlgn val="ctr"/>
        <c:lblOffset val="100"/>
        <c:noMultiLvlLbl val="0"/>
      </c:catAx>
      <c:valAx>
        <c:axId val="1515095455"/>
        <c:scaling>
          <c:orientation val="minMax"/>
          <c:max val="100"/>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s-PE"/>
                  <a:t>MBPD</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s-PE"/>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PE"/>
          </a:p>
        </c:txPr>
        <c:crossAx val="151508201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PE"/>
    </a:p>
  </c:txPr>
  <c:printSettings>
    <c:headerFooter/>
    <c:pageMargins b="0.75" l="0.7" r="0.7" t="0.75" header="0.3" footer="0.3"/>
    <c:pageSetup/>
  </c:printSettings>
</c:chartSpace>
</file>

<file path=xl/charts/chart2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2774071102899814"/>
          <c:y val="5.0925925925925923E-2"/>
          <c:w val="0.82657248836671671"/>
          <c:h val="0.73577136191309422"/>
        </c:manualLayout>
      </c:layout>
      <c:barChart>
        <c:barDir val="col"/>
        <c:grouping val="stacked"/>
        <c:varyColors val="0"/>
        <c:ser>
          <c:idx val="0"/>
          <c:order val="0"/>
          <c:tx>
            <c:strRef>
              <c:f>'DPTC 26'!$A$6</c:f>
              <c:strCache>
                <c:ptCount val="1"/>
                <c:pt idx="0">
                  <c:v>GLP</c:v>
                </c:pt>
              </c:strCache>
            </c:strRef>
          </c:tx>
          <c:spPr>
            <a:solidFill>
              <a:schemeClr val="accent2"/>
            </a:solidFill>
            <a:ln>
              <a:noFill/>
            </a:ln>
            <a:effectLst/>
          </c:spPr>
          <c:invertIfNegative val="0"/>
          <c:dLbls>
            <c:delete val="1"/>
          </c:dLbls>
          <c:cat>
            <c:numRef>
              <c:f>'DPTC 26'!$B$5:$M$5</c:f>
              <c:numCache>
                <c:formatCode>General</c:formatCode>
                <c:ptCount val="12"/>
                <c:pt idx="0">
                  <c:v>2013</c:v>
                </c:pt>
                <c:pt idx="1">
                  <c:v>2014</c:v>
                </c:pt>
                <c:pt idx="2">
                  <c:v>2015</c:v>
                </c:pt>
                <c:pt idx="3">
                  <c:v>2016</c:v>
                </c:pt>
                <c:pt idx="4">
                  <c:v>2017</c:v>
                </c:pt>
                <c:pt idx="5">
                  <c:v>2018</c:v>
                </c:pt>
                <c:pt idx="6">
                  <c:v>2019</c:v>
                </c:pt>
                <c:pt idx="7">
                  <c:v>2020</c:v>
                </c:pt>
                <c:pt idx="8">
                  <c:v>2021</c:v>
                </c:pt>
                <c:pt idx="9">
                  <c:v>2022</c:v>
                </c:pt>
                <c:pt idx="10">
                  <c:v>2023</c:v>
                </c:pt>
                <c:pt idx="11">
                  <c:v>2024</c:v>
                </c:pt>
              </c:numCache>
            </c:numRef>
          </c:cat>
          <c:val>
            <c:numRef>
              <c:f>'DPTC 26'!$B$6:$M$6</c:f>
              <c:numCache>
                <c:formatCode>#,##0.00</c:formatCode>
                <c:ptCount val="12"/>
                <c:pt idx="0">
                  <c:v>5.43</c:v>
                </c:pt>
                <c:pt idx="1">
                  <c:v>5.89</c:v>
                </c:pt>
                <c:pt idx="2">
                  <c:v>6</c:v>
                </c:pt>
                <c:pt idx="3">
                  <c:v>6.31</c:v>
                </c:pt>
                <c:pt idx="4">
                  <c:v>6.15</c:v>
                </c:pt>
                <c:pt idx="5">
                  <c:v>6.55</c:v>
                </c:pt>
                <c:pt idx="6">
                  <c:v>6.98</c:v>
                </c:pt>
                <c:pt idx="7">
                  <c:v>1.48</c:v>
                </c:pt>
                <c:pt idx="8">
                  <c:v>2.34</c:v>
                </c:pt>
                <c:pt idx="9">
                  <c:v>1.59</c:v>
                </c:pt>
                <c:pt idx="10">
                  <c:v>2.300383561643836</c:v>
                </c:pt>
                <c:pt idx="11">
                  <c:v>4.1869180327868847</c:v>
                </c:pt>
              </c:numCache>
            </c:numRef>
          </c:val>
          <c:extLst>
            <c:ext xmlns:c16="http://schemas.microsoft.com/office/drawing/2014/chart" uri="{C3380CC4-5D6E-409C-BE32-E72D297353CC}">
              <c16:uniqueId val="{00000000-8D6D-4C05-80BF-BA1F0CD63880}"/>
            </c:ext>
          </c:extLst>
        </c:ser>
        <c:ser>
          <c:idx val="1"/>
          <c:order val="1"/>
          <c:tx>
            <c:strRef>
              <c:f>'DPTC 26'!$A$7</c:f>
              <c:strCache>
                <c:ptCount val="1"/>
                <c:pt idx="0">
                  <c:v>GASOHOLES/ GASOLINAS</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es-P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'DPTC 26'!$B$5:$M$5</c:f>
              <c:numCache>
                <c:formatCode>General</c:formatCode>
                <c:ptCount val="12"/>
                <c:pt idx="0">
                  <c:v>2013</c:v>
                </c:pt>
                <c:pt idx="1">
                  <c:v>2014</c:v>
                </c:pt>
                <c:pt idx="2">
                  <c:v>2015</c:v>
                </c:pt>
                <c:pt idx="3">
                  <c:v>2016</c:v>
                </c:pt>
                <c:pt idx="4">
                  <c:v>2017</c:v>
                </c:pt>
                <c:pt idx="5">
                  <c:v>2018</c:v>
                </c:pt>
                <c:pt idx="6">
                  <c:v>2019</c:v>
                </c:pt>
                <c:pt idx="7">
                  <c:v>2020</c:v>
                </c:pt>
                <c:pt idx="8">
                  <c:v>2021</c:v>
                </c:pt>
                <c:pt idx="9">
                  <c:v>2022</c:v>
                </c:pt>
                <c:pt idx="10">
                  <c:v>2023</c:v>
                </c:pt>
                <c:pt idx="11">
                  <c:v>2024</c:v>
                </c:pt>
              </c:numCache>
            </c:numRef>
          </c:cat>
          <c:val>
            <c:numRef>
              <c:f>'DPTC 26'!$B$7:$M$7</c:f>
              <c:numCache>
                <c:formatCode>#,##0.00</c:formatCode>
                <c:ptCount val="12"/>
                <c:pt idx="0">
                  <c:v>33.75</c:v>
                </c:pt>
                <c:pt idx="1">
                  <c:v>35</c:v>
                </c:pt>
                <c:pt idx="2">
                  <c:v>39.229999999999997</c:v>
                </c:pt>
                <c:pt idx="3">
                  <c:v>42.78</c:v>
                </c:pt>
                <c:pt idx="4">
                  <c:v>44.71</c:v>
                </c:pt>
                <c:pt idx="5">
                  <c:v>46.15</c:v>
                </c:pt>
                <c:pt idx="6">
                  <c:v>47.69</c:v>
                </c:pt>
                <c:pt idx="7">
                  <c:v>39.22</c:v>
                </c:pt>
                <c:pt idx="8">
                  <c:v>43.27</c:v>
                </c:pt>
                <c:pt idx="9">
                  <c:v>32.68</c:v>
                </c:pt>
                <c:pt idx="10">
                  <c:v>39.876904109589042</c:v>
                </c:pt>
                <c:pt idx="11">
                  <c:v>40.447933664143896</c:v>
                </c:pt>
              </c:numCache>
            </c:numRef>
          </c:val>
          <c:extLst>
            <c:ext xmlns:c16="http://schemas.microsoft.com/office/drawing/2014/chart" uri="{C3380CC4-5D6E-409C-BE32-E72D297353CC}">
              <c16:uniqueId val="{00000001-8D6D-4C05-80BF-BA1F0CD63880}"/>
            </c:ext>
          </c:extLst>
        </c:ser>
        <c:ser>
          <c:idx val="2"/>
          <c:order val="2"/>
          <c:tx>
            <c:strRef>
              <c:f>'DPTC 26'!$A$8</c:f>
              <c:strCache>
                <c:ptCount val="1"/>
                <c:pt idx="0">
                  <c:v>TURBO</c:v>
                </c:pt>
              </c:strCache>
            </c:strRef>
          </c:tx>
          <c:spPr>
            <a:solidFill>
              <a:schemeClr val="accent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es-P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'DPTC 26'!$B$5:$M$5</c:f>
              <c:numCache>
                <c:formatCode>General</c:formatCode>
                <c:ptCount val="12"/>
                <c:pt idx="0">
                  <c:v>2013</c:v>
                </c:pt>
                <c:pt idx="1">
                  <c:v>2014</c:v>
                </c:pt>
                <c:pt idx="2">
                  <c:v>2015</c:v>
                </c:pt>
                <c:pt idx="3">
                  <c:v>2016</c:v>
                </c:pt>
                <c:pt idx="4">
                  <c:v>2017</c:v>
                </c:pt>
                <c:pt idx="5">
                  <c:v>2018</c:v>
                </c:pt>
                <c:pt idx="6">
                  <c:v>2019</c:v>
                </c:pt>
                <c:pt idx="7">
                  <c:v>2020</c:v>
                </c:pt>
                <c:pt idx="8">
                  <c:v>2021</c:v>
                </c:pt>
                <c:pt idx="9">
                  <c:v>2022</c:v>
                </c:pt>
                <c:pt idx="10">
                  <c:v>2023</c:v>
                </c:pt>
                <c:pt idx="11">
                  <c:v>2024</c:v>
                </c:pt>
              </c:numCache>
            </c:numRef>
          </c:cat>
          <c:val>
            <c:numRef>
              <c:f>'DPTC 26'!$B$8:$M$8</c:f>
              <c:numCache>
                <c:formatCode>#,##0.00</c:formatCode>
                <c:ptCount val="12"/>
                <c:pt idx="0">
                  <c:v>14.82</c:v>
                </c:pt>
                <c:pt idx="1">
                  <c:v>16.010000000000002</c:v>
                </c:pt>
                <c:pt idx="2">
                  <c:v>13.28</c:v>
                </c:pt>
                <c:pt idx="3">
                  <c:v>13.66</c:v>
                </c:pt>
                <c:pt idx="4">
                  <c:v>13.28</c:v>
                </c:pt>
                <c:pt idx="5">
                  <c:v>13.56</c:v>
                </c:pt>
                <c:pt idx="6">
                  <c:v>14.89</c:v>
                </c:pt>
                <c:pt idx="7">
                  <c:v>4.47</c:v>
                </c:pt>
                <c:pt idx="8">
                  <c:v>8.32</c:v>
                </c:pt>
                <c:pt idx="9">
                  <c:v>9.18</c:v>
                </c:pt>
                <c:pt idx="10">
                  <c:v>11.843679452054795</c:v>
                </c:pt>
                <c:pt idx="11">
                  <c:v>13.810620218579235</c:v>
                </c:pt>
              </c:numCache>
            </c:numRef>
          </c:val>
          <c:extLst>
            <c:ext xmlns:c16="http://schemas.microsoft.com/office/drawing/2014/chart" uri="{C3380CC4-5D6E-409C-BE32-E72D297353CC}">
              <c16:uniqueId val="{00000002-8D6D-4C05-80BF-BA1F0CD63880}"/>
            </c:ext>
          </c:extLst>
        </c:ser>
        <c:ser>
          <c:idx val="3"/>
          <c:order val="3"/>
          <c:tx>
            <c:strRef>
              <c:f>'DPTC 26'!$A$9</c:f>
              <c:strCache>
                <c:ptCount val="1"/>
                <c:pt idx="0">
                  <c:v>DIESEL</c:v>
                </c:pt>
              </c:strCache>
            </c:strRef>
          </c:tx>
          <c:spPr>
            <a:solidFill>
              <a:srgbClr val="264478"/>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es-P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'DPTC 26'!$B$5:$M$5</c:f>
              <c:numCache>
                <c:formatCode>General</c:formatCode>
                <c:ptCount val="12"/>
                <c:pt idx="0">
                  <c:v>2013</c:v>
                </c:pt>
                <c:pt idx="1">
                  <c:v>2014</c:v>
                </c:pt>
                <c:pt idx="2">
                  <c:v>2015</c:v>
                </c:pt>
                <c:pt idx="3">
                  <c:v>2016</c:v>
                </c:pt>
                <c:pt idx="4">
                  <c:v>2017</c:v>
                </c:pt>
                <c:pt idx="5">
                  <c:v>2018</c:v>
                </c:pt>
                <c:pt idx="6">
                  <c:v>2019</c:v>
                </c:pt>
                <c:pt idx="7">
                  <c:v>2020</c:v>
                </c:pt>
                <c:pt idx="8">
                  <c:v>2021</c:v>
                </c:pt>
                <c:pt idx="9">
                  <c:v>2022</c:v>
                </c:pt>
                <c:pt idx="10">
                  <c:v>2023</c:v>
                </c:pt>
                <c:pt idx="11">
                  <c:v>2024</c:v>
                </c:pt>
              </c:numCache>
            </c:numRef>
          </c:cat>
          <c:val>
            <c:numRef>
              <c:f>'DPTC 26'!$B$9:$M$9</c:f>
              <c:numCache>
                <c:formatCode>#,##0.00</c:formatCode>
                <c:ptCount val="12"/>
                <c:pt idx="0">
                  <c:v>70.91</c:v>
                </c:pt>
                <c:pt idx="1">
                  <c:v>61.05</c:v>
                </c:pt>
                <c:pt idx="2">
                  <c:v>58.01</c:v>
                </c:pt>
                <c:pt idx="3">
                  <c:v>61.29</c:v>
                </c:pt>
                <c:pt idx="4">
                  <c:v>59.25</c:v>
                </c:pt>
                <c:pt idx="5">
                  <c:v>55.49</c:v>
                </c:pt>
                <c:pt idx="6">
                  <c:v>52.09</c:v>
                </c:pt>
                <c:pt idx="7">
                  <c:v>47.54</c:v>
                </c:pt>
                <c:pt idx="8">
                  <c:v>54.15</c:v>
                </c:pt>
                <c:pt idx="9">
                  <c:v>42.26</c:v>
                </c:pt>
                <c:pt idx="10">
                  <c:v>65.974172602739714</c:v>
                </c:pt>
                <c:pt idx="11">
                  <c:v>66.716836065573773</c:v>
                </c:pt>
              </c:numCache>
            </c:numRef>
          </c:val>
          <c:extLst>
            <c:ext xmlns:c16="http://schemas.microsoft.com/office/drawing/2014/chart" uri="{C3380CC4-5D6E-409C-BE32-E72D297353CC}">
              <c16:uniqueId val="{00000003-8D6D-4C05-80BF-BA1F0CD63880}"/>
            </c:ext>
          </c:extLst>
        </c:ser>
        <c:ser>
          <c:idx val="4"/>
          <c:order val="4"/>
          <c:tx>
            <c:strRef>
              <c:f>'DPTC 26'!$A$10</c:f>
              <c:strCache>
                <c:ptCount val="1"/>
                <c:pt idx="0">
                  <c:v>RESIDUAL</c:v>
                </c:pt>
              </c:strCache>
            </c:strRef>
          </c:tx>
          <c:spPr>
            <a:solidFill>
              <a:schemeClr val="accent3">
                <a:lumMod val="6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es-P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'DPTC 26'!$B$5:$M$5</c:f>
              <c:numCache>
                <c:formatCode>General</c:formatCode>
                <c:ptCount val="12"/>
                <c:pt idx="0">
                  <c:v>2013</c:v>
                </c:pt>
                <c:pt idx="1">
                  <c:v>2014</c:v>
                </c:pt>
                <c:pt idx="2">
                  <c:v>2015</c:v>
                </c:pt>
                <c:pt idx="3">
                  <c:v>2016</c:v>
                </c:pt>
                <c:pt idx="4">
                  <c:v>2017</c:v>
                </c:pt>
                <c:pt idx="5">
                  <c:v>2018</c:v>
                </c:pt>
                <c:pt idx="6">
                  <c:v>2019</c:v>
                </c:pt>
                <c:pt idx="7">
                  <c:v>2020</c:v>
                </c:pt>
                <c:pt idx="8">
                  <c:v>2021</c:v>
                </c:pt>
                <c:pt idx="9">
                  <c:v>2022</c:v>
                </c:pt>
                <c:pt idx="10">
                  <c:v>2023</c:v>
                </c:pt>
                <c:pt idx="11">
                  <c:v>2024</c:v>
                </c:pt>
              </c:numCache>
            </c:numRef>
          </c:cat>
          <c:val>
            <c:numRef>
              <c:f>'DPTC 26'!$B$10:$M$10</c:f>
              <c:numCache>
                <c:formatCode>#,##0.00</c:formatCode>
                <c:ptCount val="12"/>
                <c:pt idx="0">
                  <c:v>21.47</c:v>
                </c:pt>
                <c:pt idx="1">
                  <c:v>23.95</c:v>
                </c:pt>
                <c:pt idx="2">
                  <c:v>29.27</c:v>
                </c:pt>
                <c:pt idx="3">
                  <c:v>35.51</c:v>
                </c:pt>
                <c:pt idx="4">
                  <c:v>50.16</c:v>
                </c:pt>
                <c:pt idx="5">
                  <c:v>44.12</c:v>
                </c:pt>
                <c:pt idx="6">
                  <c:v>32.18</c:v>
                </c:pt>
                <c:pt idx="7">
                  <c:v>5.42</c:v>
                </c:pt>
                <c:pt idx="8">
                  <c:v>5.03</c:v>
                </c:pt>
                <c:pt idx="9">
                  <c:v>10.14</c:v>
                </c:pt>
                <c:pt idx="10">
                  <c:v>23.628194520547943</c:v>
                </c:pt>
                <c:pt idx="11">
                  <c:v>19.44877049180328</c:v>
                </c:pt>
              </c:numCache>
            </c:numRef>
          </c:val>
          <c:extLst>
            <c:ext xmlns:c16="http://schemas.microsoft.com/office/drawing/2014/chart" uri="{C3380CC4-5D6E-409C-BE32-E72D297353CC}">
              <c16:uniqueId val="{00000004-8D6D-4C05-80BF-BA1F0CD63880}"/>
            </c:ext>
          </c:extLst>
        </c:ser>
        <c:ser>
          <c:idx val="5"/>
          <c:order val="5"/>
          <c:tx>
            <c:strRef>
              <c:f>'DPTC 26'!$A$11</c:f>
              <c:strCache>
                <c:ptCount val="1"/>
                <c:pt idx="0">
                  <c:v>IFO/DIESEL MARINO</c:v>
                </c:pt>
              </c:strCache>
            </c:strRef>
          </c:tx>
          <c:spPr>
            <a:solidFill>
              <a:srgbClr val="FFC000"/>
            </a:solidFill>
            <a:ln>
              <a:noFill/>
            </a:ln>
            <a:effectLst/>
          </c:spPr>
          <c:invertIfNegative val="0"/>
          <c:dLbls>
            <c:delete val="1"/>
          </c:dLbls>
          <c:cat>
            <c:numRef>
              <c:f>'DPTC 26'!$B$5:$M$5</c:f>
              <c:numCache>
                <c:formatCode>General</c:formatCode>
                <c:ptCount val="12"/>
                <c:pt idx="0">
                  <c:v>2013</c:v>
                </c:pt>
                <c:pt idx="1">
                  <c:v>2014</c:v>
                </c:pt>
                <c:pt idx="2">
                  <c:v>2015</c:v>
                </c:pt>
                <c:pt idx="3">
                  <c:v>2016</c:v>
                </c:pt>
                <c:pt idx="4">
                  <c:v>2017</c:v>
                </c:pt>
                <c:pt idx="5">
                  <c:v>2018</c:v>
                </c:pt>
                <c:pt idx="6">
                  <c:v>2019</c:v>
                </c:pt>
                <c:pt idx="7">
                  <c:v>2020</c:v>
                </c:pt>
                <c:pt idx="8">
                  <c:v>2021</c:v>
                </c:pt>
                <c:pt idx="9">
                  <c:v>2022</c:v>
                </c:pt>
                <c:pt idx="10">
                  <c:v>2023</c:v>
                </c:pt>
                <c:pt idx="11">
                  <c:v>2024</c:v>
                </c:pt>
              </c:numCache>
            </c:numRef>
          </c:cat>
          <c:val>
            <c:numRef>
              <c:f>'DPTC 26'!$B$11:$M$11</c:f>
              <c:numCache>
                <c:formatCode>#,##0.00</c:formatCode>
                <c:ptCount val="12"/>
                <c:pt idx="0">
                  <c:v>8.67</c:v>
                </c:pt>
                <c:pt idx="1">
                  <c:v>6.05</c:v>
                </c:pt>
                <c:pt idx="2">
                  <c:v>6.62</c:v>
                </c:pt>
                <c:pt idx="3">
                  <c:v>7.48</c:v>
                </c:pt>
                <c:pt idx="4">
                  <c:v>7.32</c:v>
                </c:pt>
                <c:pt idx="5">
                  <c:v>9.2899999999999991</c:v>
                </c:pt>
                <c:pt idx="6">
                  <c:v>12.53</c:v>
                </c:pt>
                <c:pt idx="7">
                  <c:v>5.82</c:v>
                </c:pt>
                <c:pt idx="8">
                  <c:v>0.51</c:v>
                </c:pt>
                <c:pt idx="9">
                  <c:v>0.33</c:v>
                </c:pt>
                <c:pt idx="10">
                  <c:v>0.87049863013698636</c:v>
                </c:pt>
                <c:pt idx="11">
                  <c:v>0.5800737704918032</c:v>
                </c:pt>
              </c:numCache>
            </c:numRef>
          </c:val>
          <c:extLst>
            <c:ext xmlns:c16="http://schemas.microsoft.com/office/drawing/2014/chart" uri="{C3380CC4-5D6E-409C-BE32-E72D297353CC}">
              <c16:uniqueId val="{00000005-8D6D-4C05-80BF-BA1F0CD63880}"/>
            </c:ext>
          </c:extLst>
        </c:ser>
        <c:ser>
          <c:idx val="6"/>
          <c:order val="6"/>
          <c:tx>
            <c:strRef>
              <c:f>'DPTC 26'!$A$12</c:f>
              <c:strCache>
                <c:ptCount val="1"/>
                <c:pt idx="0">
                  <c:v>OTROS</c:v>
                </c:pt>
              </c:strCache>
            </c:strRef>
          </c:tx>
          <c:spPr>
            <a:solidFill>
              <a:schemeClr val="accent1">
                <a:lumMod val="40000"/>
                <a:lumOff val="6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es-PE"/>
              </a:p>
            </c:txPr>
            <c:dLblPos val="inBase"/>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'DPTC 26'!$B$5:$M$5</c:f>
              <c:numCache>
                <c:formatCode>General</c:formatCode>
                <c:ptCount val="12"/>
                <c:pt idx="0">
                  <c:v>2013</c:v>
                </c:pt>
                <c:pt idx="1">
                  <c:v>2014</c:v>
                </c:pt>
                <c:pt idx="2">
                  <c:v>2015</c:v>
                </c:pt>
                <c:pt idx="3">
                  <c:v>2016</c:v>
                </c:pt>
                <c:pt idx="4">
                  <c:v>2017</c:v>
                </c:pt>
                <c:pt idx="5">
                  <c:v>2018</c:v>
                </c:pt>
                <c:pt idx="6">
                  <c:v>2019</c:v>
                </c:pt>
                <c:pt idx="7">
                  <c:v>2020</c:v>
                </c:pt>
                <c:pt idx="8">
                  <c:v>2021</c:v>
                </c:pt>
                <c:pt idx="9">
                  <c:v>2022</c:v>
                </c:pt>
                <c:pt idx="10">
                  <c:v>2023</c:v>
                </c:pt>
                <c:pt idx="11">
                  <c:v>2024</c:v>
                </c:pt>
              </c:numCache>
            </c:numRef>
          </c:cat>
          <c:val>
            <c:numRef>
              <c:f>'DPTC 26'!$B$12:$M$12</c:f>
              <c:numCache>
                <c:formatCode>#,##0.00</c:formatCode>
                <c:ptCount val="12"/>
                <c:pt idx="0">
                  <c:v>4.59</c:v>
                </c:pt>
                <c:pt idx="1">
                  <c:v>5.31</c:v>
                </c:pt>
                <c:pt idx="2">
                  <c:v>4.7699999999999996</c:v>
                </c:pt>
                <c:pt idx="3">
                  <c:v>4.38</c:v>
                </c:pt>
                <c:pt idx="4">
                  <c:v>5.45</c:v>
                </c:pt>
                <c:pt idx="5">
                  <c:v>5.25</c:v>
                </c:pt>
                <c:pt idx="6">
                  <c:v>4.71</c:v>
                </c:pt>
                <c:pt idx="7">
                  <c:v>2.25</c:v>
                </c:pt>
                <c:pt idx="8">
                  <c:v>3.8</c:v>
                </c:pt>
                <c:pt idx="9">
                  <c:v>3.95</c:v>
                </c:pt>
                <c:pt idx="10">
                  <c:v>3.0904684931506856</c:v>
                </c:pt>
                <c:pt idx="11">
                  <c:v>3.5925027322404373</c:v>
                </c:pt>
              </c:numCache>
            </c:numRef>
          </c:val>
          <c:extLst>
            <c:ext xmlns:c16="http://schemas.microsoft.com/office/drawing/2014/chart" uri="{C3380CC4-5D6E-409C-BE32-E72D297353CC}">
              <c16:uniqueId val="{00000006-8D6D-4C05-80BF-BA1F0CD63880}"/>
            </c:ext>
          </c:extLst>
        </c:ser>
        <c:dLbls>
          <c:dLblPos val="ctr"/>
          <c:showLegendKey val="0"/>
          <c:showVal val="1"/>
          <c:showCatName val="0"/>
          <c:showSerName val="0"/>
          <c:showPercent val="0"/>
          <c:showBubbleSize val="0"/>
        </c:dLbls>
        <c:gapWidth val="27"/>
        <c:overlap val="100"/>
        <c:axId val="1551046768"/>
        <c:axId val="1551056848"/>
      </c:barChart>
      <c:catAx>
        <c:axId val="15510467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PE"/>
          </a:p>
        </c:txPr>
        <c:crossAx val="1551056848"/>
        <c:crosses val="autoZero"/>
        <c:auto val="1"/>
        <c:lblAlgn val="ctr"/>
        <c:lblOffset val="100"/>
        <c:noMultiLvlLbl val="0"/>
      </c:catAx>
      <c:valAx>
        <c:axId val="1551056848"/>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s-PE"/>
                  <a:t>MBPD</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s-PE"/>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PE"/>
          </a:p>
        </c:txPr>
        <c:crossAx val="155104676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P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PE"/>
    </a:p>
  </c:txPr>
  <c:printSettings>
    <c:headerFooter/>
    <c:pageMargins b="0.75" l="0.7" r="0.7" t="0.75" header="0.3" footer="0.3"/>
    <c:pageSetup/>
  </c:printSettings>
</c:chartSpace>
</file>

<file path=xl/charts/chart2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5712270341207349"/>
          <c:y val="7.3517106804516064E-2"/>
          <c:w val="0.75676618547681529"/>
          <c:h val="0.64810618459371927"/>
        </c:manualLayout>
      </c:layout>
      <c:barChart>
        <c:barDir val="col"/>
        <c:grouping val="clustered"/>
        <c:varyColors val="0"/>
        <c:ser>
          <c:idx val="0"/>
          <c:order val="0"/>
          <c:tx>
            <c:strRef>
              <c:f>'DPTC 26'!$L$5</c:f>
              <c:strCache>
                <c:ptCount val="1"/>
                <c:pt idx="0">
                  <c:v>2023</c:v>
                </c:pt>
              </c:strCache>
            </c:strRef>
          </c:tx>
          <c:spPr>
            <a:solidFill>
              <a:schemeClr val="accent1"/>
            </a:solidFill>
            <a:ln>
              <a:noFill/>
            </a:ln>
            <a:effectLst/>
          </c:spPr>
          <c:invertIfNegative val="0"/>
          <c:dLbls>
            <c:dLbl>
              <c:idx val="3"/>
              <c:layout>
                <c:manualLayout>
                  <c:x val="-1.6687774584519411E-2"/>
                  <c:y val="-1.6124112989523311E-17"/>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FA02-449D-9C0C-57C0CF1FA450}"/>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PE"/>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'DPTC 26'!$A$6:$A$11</c:f>
              <c:strCache>
                <c:ptCount val="6"/>
                <c:pt idx="0">
                  <c:v>GLP</c:v>
                </c:pt>
                <c:pt idx="1">
                  <c:v>GASOHOLES/ GASOLINAS</c:v>
                </c:pt>
                <c:pt idx="2">
                  <c:v>TURBO</c:v>
                </c:pt>
                <c:pt idx="3">
                  <c:v>DIESEL</c:v>
                </c:pt>
                <c:pt idx="4">
                  <c:v>RESIDUAL</c:v>
                </c:pt>
                <c:pt idx="5">
                  <c:v>IFO/DIESEL MARINO</c:v>
                </c:pt>
              </c:strCache>
            </c:strRef>
          </c:cat>
          <c:val>
            <c:numRef>
              <c:f>'DPTC 26'!$L$6:$L$11</c:f>
              <c:numCache>
                <c:formatCode>#,##0.00</c:formatCode>
                <c:ptCount val="6"/>
                <c:pt idx="0">
                  <c:v>2.300383561643836</c:v>
                </c:pt>
                <c:pt idx="1">
                  <c:v>39.876904109589042</c:v>
                </c:pt>
                <c:pt idx="2">
                  <c:v>11.843679452054795</c:v>
                </c:pt>
                <c:pt idx="3">
                  <c:v>65.974172602739714</c:v>
                </c:pt>
                <c:pt idx="4">
                  <c:v>23.628194520547943</c:v>
                </c:pt>
                <c:pt idx="5">
                  <c:v>0.87049863013698636</c:v>
                </c:pt>
              </c:numCache>
            </c:numRef>
          </c:val>
          <c:extLst>
            <c:ext xmlns:c16="http://schemas.microsoft.com/office/drawing/2014/chart" uri="{C3380CC4-5D6E-409C-BE32-E72D297353CC}">
              <c16:uniqueId val="{00000001-FA02-449D-9C0C-57C0CF1FA450}"/>
            </c:ext>
          </c:extLst>
        </c:ser>
        <c:ser>
          <c:idx val="1"/>
          <c:order val="1"/>
          <c:tx>
            <c:strRef>
              <c:f>'DPTC 26'!$M$5</c:f>
              <c:strCache>
                <c:ptCount val="1"/>
                <c:pt idx="0">
                  <c:v>2024</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PE"/>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'DPTC 26'!$A$6:$A$11</c:f>
              <c:strCache>
                <c:ptCount val="6"/>
                <c:pt idx="0">
                  <c:v>GLP</c:v>
                </c:pt>
                <c:pt idx="1">
                  <c:v>GASOHOLES/ GASOLINAS</c:v>
                </c:pt>
                <c:pt idx="2">
                  <c:v>TURBO</c:v>
                </c:pt>
                <c:pt idx="3">
                  <c:v>DIESEL</c:v>
                </c:pt>
                <c:pt idx="4">
                  <c:v>RESIDUAL</c:v>
                </c:pt>
                <c:pt idx="5">
                  <c:v>IFO/DIESEL MARINO</c:v>
                </c:pt>
              </c:strCache>
            </c:strRef>
          </c:cat>
          <c:val>
            <c:numRef>
              <c:f>'DPTC 26'!$M$6:$M$11</c:f>
              <c:numCache>
                <c:formatCode>#,##0.00</c:formatCode>
                <c:ptCount val="6"/>
                <c:pt idx="0">
                  <c:v>4.1869180327868847</c:v>
                </c:pt>
                <c:pt idx="1">
                  <c:v>40.447933664143896</c:v>
                </c:pt>
                <c:pt idx="2">
                  <c:v>13.810620218579235</c:v>
                </c:pt>
                <c:pt idx="3">
                  <c:v>66.716836065573773</c:v>
                </c:pt>
                <c:pt idx="4">
                  <c:v>19.44877049180328</c:v>
                </c:pt>
                <c:pt idx="5">
                  <c:v>0.5800737704918032</c:v>
                </c:pt>
              </c:numCache>
            </c:numRef>
          </c:val>
          <c:extLst>
            <c:ext xmlns:c16="http://schemas.microsoft.com/office/drawing/2014/chart" uri="{C3380CC4-5D6E-409C-BE32-E72D297353CC}">
              <c16:uniqueId val="{00000002-FA02-449D-9C0C-57C0CF1FA450}"/>
            </c:ext>
          </c:extLst>
        </c:ser>
        <c:dLbls>
          <c:dLblPos val="outEnd"/>
          <c:showLegendKey val="0"/>
          <c:showVal val="1"/>
          <c:showCatName val="0"/>
          <c:showSerName val="0"/>
          <c:showPercent val="0"/>
          <c:showBubbleSize val="0"/>
        </c:dLbls>
        <c:gapWidth val="72"/>
        <c:overlap val="-27"/>
        <c:axId val="1579155343"/>
        <c:axId val="1579170223"/>
      </c:barChart>
      <c:catAx>
        <c:axId val="157915534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700" b="0" i="0" u="none" strike="noStrike" kern="1200" baseline="0">
                <a:solidFill>
                  <a:schemeClr val="tx1">
                    <a:lumMod val="65000"/>
                    <a:lumOff val="35000"/>
                  </a:schemeClr>
                </a:solidFill>
                <a:latin typeface="+mn-lt"/>
                <a:ea typeface="+mn-ea"/>
                <a:cs typeface="+mn-cs"/>
              </a:defRPr>
            </a:pPr>
            <a:endParaRPr lang="es-PE"/>
          </a:p>
        </c:txPr>
        <c:crossAx val="1579170223"/>
        <c:crosses val="autoZero"/>
        <c:auto val="1"/>
        <c:lblAlgn val="ctr"/>
        <c:lblOffset val="100"/>
        <c:noMultiLvlLbl val="0"/>
      </c:catAx>
      <c:valAx>
        <c:axId val="1579170223"/>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s-PE"/>
                  <a:t>MBPD</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s-PE"/>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PE"/>
          </a:p>
        </c:txPr>
        <c:crossAx val="1579155343"/>
        <c:crosses val="autoZero"/>
        <c:crossBetween val="between"/>
      </c:valAx>
      <c:spPr>
        <a:noFill/>
        <a:ln>
          <a:noFill/>
        </a:ln>
        <a:effectLst/>
      </c:spPr>
    </c:plotArea>
    <c:legend>
      <c:legendPos val="r"/>
      <c:layout>
        <c:manualLayout>
          <c:xMode val="edge"/>
          <c:yMode val="edge"/>
          <c:x val="0.88853740157480321"/>
          <c:y val="0.14661584496257835"/>
          <c:w val="9.4514641136931254E-2"/>
          <c:h val="0.22556542917255631"/>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P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PE"/>
    </a:p>
  </c:txPr>
  <c:printSettings>
    <c:headerFooter/>
    <c:pageMargins b="0.75" l="0.7" r="0.7" t="0.75" header="0.3" footer="0.3"/>
    <c:pageSetup/>
  </c:printSettings>
</c:chartSpace>
</file>

<file path=xl/charts/chart2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2946880200472657"/>
          <c:y val="8.0631476635341412E-2"/>
          <c:w val="0.84144550680203334"/>
          <c:h val="0.67568108334284305"/>
        </c:manualLayout>
      </c:layout>
      <c:barChart>
        <c:barDir val="col"/>
        <c:grouping val="percentStacked"/>
        <c:varyColors val="0"/>
        <c:ser>
          <c:idx val="0"/>
          <c:order val="0"/>
          <c:tx>
            <c:strRef>
              <c:f>DPTC27!$A$6</c:f>
              <c:strCache>
                <c:ptCount val="1"/>
                <c:pt idx="0">
                  <c:v>UNNA</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s-P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DPTC27!$B$4:$H$5</c:f>
              <c:strCache>
                <c:ptCount val="7"/>
                <c:pt idx="0">
                  <c:v>CONDENSADOS DE GAS NATURAL</c:v>
                </c:pt>
                <c:pt idx="1">
                  <c:v>GASOLINA NATURAL</c:v>
                </c:pt>
                <c:pt idx="2">
                  <c:v>GLP</c:v>
                </c:pt>
                <c:pt idx="3">
                  <c:v>PROPANO/BUTANO</c:v>
                </c:pt>
                <c:pt idx="4">
                  <c:v>DESTILADOS MEDIOS</c:v>
                </c:pt>
                <c:pt idx="5">
                  <c:v>DIESEL B5 S50</c:v>
                </c:pt>
                <c:pt idx="6">
                  <c:v>DIESEL 2</c:v>
                </c:pt>
              </c:strCache>
            </c:strRef>
          </c:cat>
          <c:val>
            <c:numRef>
              <c:f>DPTC27!$B$6:$H$6</c:f>
              <c:numCache>
                <c:formatCode>#,##0.00</c:formatCode>
                <c:ptCount val="7"/>
                <c:pt idx="0">
                  <c:v>82.705779999999976</c:v>
                </c:pt>
                <c:pt idx="2">
                  <c:v>250.56025</c:v>
                </c:pt>
              </c:numCache>
            </c:numRef>
          </c:val>
          <c:extLst>
            <c:ext xmlns:c16="http://schemas.microsoft.com/office/drawing/2014/chart" uri="{C3380CC4-5D6E-409C-BE32-E72D297353CC}">
              <c16:uniqueId val="{00000000-1564-4F8F-A25E-1F9786E57FCC}"/>
            </c:ext>
          </c:extLst>
        </c:ser>
        <c:ser>
          <c:idx val="1"/>
          <c:order val="1"/>
          <c:tx>
            <c:strRef>
              <c:f>DPTC27!$A$7</c:f>
              <c:strCache>
                <c:ptCount val="1"/>
                <c:pt idx="0">
                  <c:v>AGUAYTÍA</c:v>
                </c:pt>
              </c:strCache>
            </c:strRef>
          </c:tx>
          <c:spPr>
            <a:solidFill>
              <a:srgbClr val="1F4E78"/>
            </a:solidFill>
            <a:ln>
              <a:noFill/>
            </a:ln>
            <a:effectLst/>
          </c:spPr>
          <c:invertIfNegative val="0"/>
          <c:dLbls>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s-P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DPTC27!$B$4:$H$5</c:f>
              <c:strCache>
                <c:ptCount val="7"/>
                <c:pt idx="0">
                  <c:v>CONDENSADOS DE GAS NATURAL</c:v>
                </c:pt>
                <c:pt idx="1">
                  <c:v>GASOLINA NATURAL</c:v>
                </c:pt>
                <c:pt idx="2">
                  <c:v>GLP</c:v>
                </c:pt>
                <c:pt idx="3">
                  <c:v>PROPANO/BUTANO</c:v>
                </c:pt>
                <c:pt idx="4">
                  <c:v>DESTILADOS MEDIOS</c:v>
                </c:pt>
                <c:pt idx="5">
                  <c:v>DIESEL B5 S50</c:v>
                </c:pt>
                <c:pt idx="6">
                  <c:v>DIESEL 2</c:v>
                </c:pt>
              </c:strCache>
            </c:strRef>
          </c:cat>
          <c:val>
            <c:numRef>
              <c:f>DPTC27!$B$7:$H$7</c:f>
              <c:numCache>
                <c:formatCode>#,##0.00</c:formatCode>
                <c:ptCount val="7"/>
                <c:pt idx="1">
                  <c:v>22.968</c:v>
                </c:pt>
                <c:pt idx="2">
                  <c:v>8.0779999999999994</c:v>
                </c:pt>
                <c:pt idx="3">
                  <c:v>0</c:v>
                </c:pt>
              </c:numCache>
            </c:numRef>
          </c:val>
          <c:extLst>
            <c:ext xmlns:c16="http://schemas.microsoft.com/office/drawing/2014/chart" uri="{C3380CC4-5D6E-409C-BE32-E72D297353CC}">
              <c16:uniqueId val="{00000001-1564-4F8F-A25E-1F9786E57FCC}"/>
            </c:ext>
          </c:extLst>
        </c:ser>
        <c:ser>
          <c:idx val="2"/>
          <c:order val="2"/>
          <c:tx>
            <c:strRef>
              <c:f>DPTC27!$A$8</c:f>
              <c:strCache>
                <c:ptCount val="1"/>
                <c:pt idx="0">
                  <c:v>PLUSPETROL</c:v>
                </c:pt>
              </c:strCache>
            </c:strRef>
          </c:tx>
          <c:spPr>
            <a:solidFill>
              <a:schemeClr val="accent2"/>
            </a:solidFill>
            <a:ln>
              <a:noFill/>
            </a:ln>
            <a:effectLst/>
          </c:spPr>
          <c:invertIfNegative val="0"/>
          <c:dLbls>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s-P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DPTC27!$B$4:$H$5</c:f>
              <c:strCache>
                <c:ptCount val="7"/>
                <c:pt idx="0">
                  <c:v>CONDENSADOS DE GAS NATURAL</c:v>
                </c:pt>
                <c:pt idx="1">
                  <c:v>GASOLINA NATURAL</c:v>
                </c:pt>
                <c:pt idx="2">
                  <c:v>GLP</c:v>
                </c:pt>
                <c:pt idx="3">
                  <c:v>PROPANO/BUTANO</c:v>
                </c:pt>
                <c:pt idx="4">
                  <c:v>DESTILADOS MEDIOS</c:v>
                </c:pt>
                <c:pt idx="5">
                  <c:v>DIESEL B5 S50</c:v>
                </c:pt>
                <c:pt idx="6">
                  <c:v>DIESEL 2</c:v>
                </c:pt>
              </c:strCache>
            </c:strRef>
          </c:cat>
          <c:val>
            <c:numRef>
              <c:f>DPTC27!$B$8:$H$8</c:f>
              <c:numCache>
                <c:formatCode>#,##0.00</c:formatCode>
                <c:ptCount val="7"/>
                <c:pt idx="1">
                  <c:v>8882.9</c:v>
                </c:pt>
                <c:pt idx="3">
                  <c:v>13077.38</c:v>
                </c:pt>
                <c:pt idx="4">
                  <c:v>1043.3999999999999</c:v>
                </c:pt>
                <c:pt idx="5">
                  <c:v>1897.9</c:v>
                </c:pt>
                <c:pt idx="6">
                  <c:v>1151.8000000000002</c:v>
                </c:pt>
              </c:numCache>
            </c:numRef>
          </c:val>
          <c:extLst>
            <c:ext xmlns:c16="http://schemas.microsoft.com/office/drawing/2014/chart" uri="{C3380CC4-5D6E-409C-BE32-E72D297353CC}">
              <c16:uniqueId val="{00000002-1564-4F8F-A25E-1F9786E57FCC}"/>
            </c:ext>
          </c:extLst>
        </c:ser>
        <c:ser>
          <c:idx val="3"/>
          <c:order val="3"/>
          <c:tx>
            <c:strRef>
              <c:f>DPTC27!$A$9</c:f>
              <c:strCache>
                <c:ptCount val="1"/>
                <c:pt idx="0">
                  <c:v>SAVIA</c:v>
                </c:pt>
              </c:strCache>
            </c:strRef>
          </c:tx>
          <c:spPr>
            <a:solidFill>
              <a:srgbClr val="0070C0"/>
            </a:solidFill>
            <a:ln>
              <a:noFill/>
            </a:ln>
            <a:effectLst/>
          </c:spPr>
          <c:invertIfNegative val="0"/>
          <c:dLbls>
            <c:dLbl>
              <c:idx val="0"/>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1564-4F8F-A25E-1F9786E57FCC}"/>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s-PE"/>
              </a:p>
            </c:txPr>
            <c:dLblPos val="ctr"/>
            <c:showLegendKey val="0"/>
            <c:showVal val="0"/>
            <c:showCatName val="0"/>
            <c:showSerName val="0"/>
            <c:showPercent val="0"/>
            <c:showBubbleSize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DPTC27!$B$4:$H$5</c:f>
              <c:strCache>
                <c:ptCount val="7"/>
                <c:pt idx="0">
                  <c:v>CONDENSADOS DE GAS NATURAL</c:v>
                </c:pt>
                <c:pt idx="1">
                  <c:v>GASOLINA NATURAL</c:v>
                </c:pt>
                <c:pt idx="2">
                  <c:v>GLP</c:v>
                </c:pt>
                <c:pt idx="3">
                  <c:v>PROPANO/BUTANO</c:v>
                </c:pt>
                <c:pt idx="4">
                  <c:v>DESTILADOS MEDIOS</c:v>
                </c:pt>
                <c:pt idx="5">
                  <c:v>DIESEL B5 S50</c:v>
                </c:pt>
                <c:pt idx="6">
                  <c:v>DIESEL 2</c:v>
                </c:pt>
              </c:strCache>
            </c:strRef>
          </c:cat>
          <c:val>
            <c:numRef>
              <c:f>DPTC27!$B$9:$H$9</c:f>
              <c:numCache>
                <c:formatCode>#,##0.00</c:formatCode>
                <c:ptCount val="7"/>
                <c:pt idx="0">
                  <c:v>74.137071428571431</c:v>
                </c:pt>
                <c:pt idx="3">
                  <c:v>145.72</c:v>
                </c:pt>
              </c:numCache>
            </c:numRef>
          </c:val>
          <c:extLst>
            <c:ext xmlns:c16="http://schemas.microsoft.com/office/drawing/2014/chart" uri="{C3380CC4-5D6E-409C-BE32-E72D297353CC}">
              <c16:uniqueId val="{00000004-1564-4F8F-A25E-1F9786E57FCC}"/>
            </c:ext>
          </c:extLst>
        </c:ser>
        <c:dLbls>
          <c:dLblPos val="ctr"/>
          <c:showLegendKey val="0"/>
          <c:showVal val="1"/>
          <c:showCatName val="0"/>
          <c:showSerName val="0"/>
          <c:showPercent val="0"/>
          <c:showBubbleSize val="0"/>
        </c:dLbls>
        <c:gapWidth val="23"/>
        <c:overlap val="100"/>
        <c:axId val="1964736048"/>
        <c:axId val="1964740368"/>
      </c:barChart>
      <c:catAx>
        <c:axId val="1964736048"/>
        <c:scaling>
          <c:orientation val="minMax"/>
        </c:scaling>
        <c:delete val="0"/>
        <c:axPos val="b"/>
        <c:numFmt formatCode="General" sourceLinked="1"/>
        <c:majorTickMark val="none"/>
        <c:minorTickMark val="none"/>
        <c:tickLblPos val="nextTo"/>
        <c:spPr>
          <a:noFill/>
          <a:ln w="9525" cap="flat" cmpd="sng" algn="ctr">
            <a:noFill/>
            <a:round/>
          </a:ln>
          <a:effectLst/>
        </c:spPr>
        <c:txPr>
          <a:bodyPr rot="0" spcFirstLastPara="1" vertOverflow="ellipsis" wrap="square" anchor="ctr" anchorCtr="1"/>
          <a:lstStyle/>
          <a:p>
            <a:pPr>
              <a:defRPr sz="500" b="0" i="0" u="none" strike="noStrike" kern="1200" baseline="0">
                <a:solidFill>
                  <a:schemeClr val="tx1">
                    <a:lumMod val="65000"/>
                    <a:lumOff val="35000"/>
                  </a:schemeClr>
                </a:solidFill>
                <a:latin typeface="+mn-lt"/>
                <a:ea typeface="+mn-ea"/>
                <a:cs typeface="+mn-cs"/>
              </a:defRPr>
            </a:pPr>
            <a:endParaRPr lang="es-PE"/>
          </a:p>
        </c:txPr>
        <c:crossAx val="1964740368"/>
        <c:crosses val="autoZero"/>
        <c:auto val="1"/>
        <c:lblAlgn val="ctr"/>
        <c:lblOffset val="100"/>
        <c:noMultiLvlLbl val="0"/>
      </c:catAx>
      <c:valAx>
        <c:axId val="1964740368"/>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s-PE"/>
                  <a:t>Miles de Barriles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s-PE"/>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PE"/>
          </a:p>
        </c:txPr>
        <c:crossAx val="1964736048"/>
        <c:crosses val="autoZero"/>
        <c:crossBetween val="between"/>
      </c:valAx>
      <c:spPr>
        <a:noFill/>
        <a:ln>
          <a:noFill/>
        </a:ln>
        <a:effectLst/>
      </c:spPr>
    </c:plotArea>
    <c:legend>
      <c:legendPos val="b"/>
      <c:layout>
        <c:manualLayout>
          <c:xMode val="edge"/>
          <c:yMode val="edge"/>
          <c:x val="0.18956121896976622"/>
          <c:y val="0.88308532085663205"/>
          <c:w val="0.50844513956872894"/>
          <c:h val="8.2470680182816683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P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PE"/>
    </a:p>
  </c:txPr>
  <c:printSettings>
    <c:headerFooter/>
    <c:pageMargins b="0.75" l="0.7" r="0.7" t="0.75" header="0.3" footer="0.3"/>
    <c:pageSetup/>
  </c:printSettings>
</c:chartSpace>
</file>

<file path=xl/charts/chart2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'DPTC 28'!$T$16</c:f>
              <c:strCache>
                <c:ptCount val="1"/>
                <c:pt idx="0">
                  <c:v>2023</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PE"/>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'DPTC 28'!$S$17:$S$22</c:f>
              <c:strCache>
                <c:ptCount val="6"/>
                <c:pt idx="0">
                  <c:v>GLP / Propano / Butano </c:v>
                </c:pt>
                <c:pt idx="1">
                  <c:v>Gasolina Natural </c:v>
                </c:pt>
                <c:pt idx="2">
                  <c:v>Condensados de Gas Natural </c:v>
                </c:pt>
                <c:pt idx="3">
                  <c:v>Destilados medios </c:v>
                </c:pt>
                <c:pt idx="4">
                  <c:v>Diesel B5 S50</c:v>
                </c:pt>
                <c:pt idx="5">
                  <c:v> Diesel 2</c:v>
                </c:pt>
              </c:strCache>
            </c:strRef>
          </c:cat>
          <c:val>
            <c:numRef>
              <c:f>'DPTC 28'!$T$17:$T$22</c:f>
              <c:numCache>
                <c:formatCode>_ * #,##0.00_ ;_ * \-#,##0.00_ ;_ * "-"??_ ;_ @_ </c:formatCode>
                <c:ptCount val="6"/>
                <c:pt idx="0">
                  <c:v>36.959339726027395</c:v>
                </c:pt>
                <c:pt idx="1">
                  <c:v>25.629589041095894</c:v>
                </c:pt>
                <c:pt idx="2">
                  <c:v>0.44400000000000001</c:v>
                </c:pt>
                <c:pt idx="3">
                  <c:v>2.8005479452054796</c:v>
                </c:pt>
                <c:pt idx="4">
                  <c:v>6.3169863013698624</c:v>
                </c:pt>
                <c:pt idx="5">
                  <c:v>1.1369863013698631</c:v>
                </c:pt>
              </c:numCache>
            </c:numRef>
          </c:val>
          <c:extLst>
            <c:ext xmlns:c16="http://schemas.microsoft.com/office/drawing/2014/chart" uri="{C3380CC4-5D6E-409C-BE32-E72D297353CC}">
              <c16:uniqueId val="{00000000-4CD2-4760-9E9F-A59885F11B07}"/>
            </c:ext>
          </c:extLst>
        </c:ser>
        <c:ser>
          <c:idx val="1"/>
          <c:order val="1"/>
          <c:tx>
            <c:strRef>
              <c:f>'DPTC 28'!$U$16</c:f>
              <c:strCache>
                <c:ptCount val="1"/>
                <c:pt idx="0">
                  <c:v>2024</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PE"/>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'DPTC 28'!$S$17:$S$22</c:f>
              <c:strCache>
                <c:ptCount val="6"/>
                <c:pt idx="0">
                  <c:v>GLP / Propano / Butano </c:v>
                </c:pt>
                <c:pt idx="1">
                  <c:v>Gasolina Natural </c:v>
                </c:pt>
                <c:pt idx="2">
                  <c:v>Condensados de Gas Natural </c:v>
                </c:pt>
                <c:pt idx="3">
                  <c:v>Destilados medios </c:v>
                </c:pt>
                <c:pt idx="4">
                  <c:v>Diesel B5 S50</c:v>
                </c:pt>
                <c:pt idx="5">
                  <c:v> Diesel 2</c:v>
                </c:pt>
              </c:strCache>
            </c:strRef>
          </c:cat>
          <c:val>
            <c:numRef>
              <c:f>'DPTC 28'!$U$17:$U$22</c:f>
              <c:numCache>
                <c:formatCode>_ * #,##0.00_ ;_ * \-#,##0.00_ ;_ * "-"??_ ;_ @_ </c:formatCode>
                <c:ptCount val="6"/>
                <c:pt idx="0">
                  <c:v>36.83535040983606</c:v>
                </c:pt>
                <c:pt idx="1">
                  <c:v>24.332972677595631</c:v>
                </c:pt>
                <c:pt idx="2">
                  <c:v>0.42853238095238089</c:v>
                </c:pt>
                <c:pt idx="3">
                  <c:v>2.8508196721311472</c:v>
                </c:pt>
                <c:pt idx="4">
                  <c:v>5.1855191256830606</c:v>
                </c:pt>
                <c:pt idx="5">
                  <c:v>3.1469945355191262</c:v>
                </c:pt>
              </c:numCache>
            </c:numRef>
          </c:val>
          <c:extLst>
            <c:ext xmlns:c16="http://schemas.microsoft.com/office/drawing/2014/chart" uri="{C3380CC4-5D6E-409C-BE32-E72D297353CC}">
              <c16:uniqueId val="{00000001-4CD2-4760-9E9F-A59885F11B07}"/>
            </c:ext>
          </c:extLst>
        </c:ser>
        <c:dLbls>
          <c:dLblPos val="outEnd"/>
          <c:showLegendKey val="0"/>
          <c:showVal val="1"/>
          <c:showCatName val="0"/>
          <c:showSerName val="0"/>
          <c:showPercent val="0"/>
          <c:showBubbleSize val="0"/>
        </c:dLbls>
        <c:gapWidth val="38"/>
        <c:overlap val="-27"/>
        <c:axId val="1515089695"/>
        <c:axId val="1515090655"/>
      </c:barChart>
      <c:catAx>
        <c:axId val="151508969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s-PE"/>
          </a:p>
        </c:txPr>
        <c:crossAx val="1515090655"/>
        <c:crosses val="autoZero"/>
        <c:auto val="1"/>
        <c:lblAlgn val="ctr"/>
        <c:lblOffset val="100"/>
        <c:noMultiLvlLbl val="0"/>
      </c:catAx>
      <c:valAx>
        <c:axId val="1515090655"/>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s-PE"/>
                  <a:t>MBPD</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s-PE"/>
            </a:p>
          </c:txPr>
        </c:title>
        <c:numFmt formatCode="_ * #,##0.00_ ;_ * \-#,##0.00_ ;_ * &quot;-&quot;??_ ;_ @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PE"/>
          </a:p>
        </c:txPr>
        <c:crossAx val="1515089695"/>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P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PE"/>
    </a:p>
  </c:txPr>
  <c:printSettings>
    <c:headerFooter/>
    <c:pageMargins b="0.75" l="0.7" r="0.7" t="0.75" header="0.3" footer="0.3"/>
    <c:pageSetup/>
  </c:printSettings>
</c:chartSpace>
</file>

<file path=xl/charts/chart2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9364508459772084"/>
          <c:y val="0.25233583514311325"/>
          <c:w val="0.32572013362099272"/>
          <c:h val="0.55082312167347447"/>
        </c:manualLayout>
      </c:layout>
      <c:doughnut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820F-43BF-A990-5BF50BCEE485}"/>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820F-43BF-A990-5BF50BCEE485}"/>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820F-43BF-A990-5BF50BCEE485}"/>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820F-43BF-A990-5BF50BCEE485}"/>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820F-43BF-A990-5BF50BCEE485}"/>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820F-43BF-A990-5BF50BCEE485}"/>
              </c:ext>
            </c:extLst>
          </c:dPt>
          <c:dLbls>
            <c:dLbl>
              <c:idx val="0"/>
              <c:layout>
                <c:manualLayout>
                  <c:x val="8.7322529767179052E-2"/>
                  <c:y val="-0.19054263391433834"/>
                </c:manualLayout>
              </c:layout>
              <c:tx>
                <c:rich>
                  <a:bodyPr/>
                  <a:lstStyle/>
                  <a:p>
                    <a:fld id="{E73F14C9-F183-4701-B89F-774730725AC7}" type="CATEGORYNAME">
                      <a:rPr lang="en-US"/>
                      <a:pPr/>
                      <a:t>[NOMBRE DE CATEGORÍA]</a:t>
                    </a:fld>
                    <a:endParaRPr lang="en-US"/>
                  </a:p>
                  <a:p>
                    <a:r>
                      <a:rPr lang="en-US" baseline="0"/>
                      <a:t> </a:t>
                    </a:r>
                    <a:fld id="{3D1F298F-18F9-460D-8D46-49958DAA0802}" type="VALUE">
                      <a:rPr lang="en-US" baseline="0"/>
                      <a:pPr/>
                      <a:t>[VALOR]</a:t>
                    </a:fld>
                    <a:endParaRPr lang="en-US" baseline="0"/>
                  </a:p>
                </c:rich>
              </c:tx>
              <c:showLegendKey val="0"/>
              <c:showVal val="1"/>
              <c:showCatName val="1"/>
              <c:showSerName val="0"/>
              <c:showPercent val="0"/>
              <c:showBubbleSize val="0"/>
              <c:separator> </c:separator>
              <c:extLst>
                <c:ext xmlns:c15="http://schemas.microsoft.com/office/drawing/2012/chart" uri="{CE6537A1-D6FC-4f65-9D91-7224C49458BB}">
                  <c15:dlblFieldTable/>
                  <c15:showDataLabelsRange val="0"/>
                </c:ext>
                <c:ext xmlns:c16="http://schemas.microsoft.com/office/drawing/2014/chart" uri="{C3380CC4-5D6E-409C-BE32-E72D297353CC}">
                  <c16:uniqueId val="{00000001-820F-43BF-A990-5BF50BCEE485}"/>
                </c:ext>
              </c:extLst>
            </c:dLbl>
            <c:dLbl>
              <c:idx val="1"/>
              <c:layout>
                <c:manualLayout>
                  <c:x val="-0.1323922225502393"/>
                  <c:y val="1.9054263391433832E-2"/>
                </c:manualLayout>
              </c:layout>
              <c:showLegendKey val="0"/>
              <c:showVal val="1"/>
              <c:showCatName val="1"/>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3-820F-43BF-A990-5BF50BCEE485}"/>
                </c:ext>
              </c:extLst>
            </c:dLbl>
            <c:dLbl>
              <c:idx val="2"/>
              <c:layout>
                <c:manualLayout>
                  <c:x val="-0.11549108775659173"/>
                  <c:y val="-1.4290697543575375E-2"/>
                </c:manualLayout>
              </c:layout>
              <c:tx>
                <c:rich>
                  <a:bodyPr/>
                  <a:lstStyle/>
                  <a:p>
                    <a:fld id="{36BDE9D5-4E77-411D-87E5-5F9526ABE2AE}" type="CATEGORYNAME">
                      <a:rPr lang="en-US"/>
                      <a:pPr/>
                      <a:t>[NOMBRE DE CATEGORÍA]</a:t>
                    </a:fld>
                    <a:r>
                      <a:rPr lang="en-US" baseline="0"/>
                      <a:t> </a:t>
                    </a:r>
                  </a:p>
                  <a:p>
                    <a:fld id="{BB7DB106-BD31-40F3-8AB7-74DE86219995}" type="VALUE">
                      <a:rPr lang="en-US" baseline="0"/>
                      <a:pPr/>
                      <a:t>[VALOR]</a:t>
                    </a:fld>
                    <a:endParaRPr lang="es-PE"/>
                  </a:p>
                </c:rich>
              </c:tx>
              <c:showLegendKey val="0"/>
              <c:showVal val="1"/>
              <c:showCatName val="1"/>
              <c:showSerName val="0"/>
              <c:showPercent val="0"/>
              <c:showBubbleSize val="0"/>
              <c:separator> </c:separator>
              <c:extLst>
                <c:ext xmlns:c15="http://schemas.microsoft.com/office/drawing/2012/chart" uri="{CE6537A1-D6FC-4f65-9D91-7224C49458BB}">
                  <c15:dlblFieldTable/>
                  <c15:showDataLabelsRange val="0"/>
                </c:ext>
                <c:ext xmlns:c16="http://schemas.microsoft.com/office/drawing/2014/chart" uri="{C3380CC4-5D6E-409C-BE32-E72D297353CC}">
                  <c16:uniqueId val="{00000005-820F-43BF-A990-5BF50BCEE485}"/>
                </c:ext>
              </c:extLst>
            </c:dLbl>
            <c:dLbl>
              <c:idx val="3"/>
              <c:layout>
                <c:manualLayout>
                  <c:x val="-0.15774392474071067"/>
                  <c:y val="-0.14290697543575376"/>
                </c:manualLayout>
              </c:layout>
              <c:tx>
                <c:rich>
                  <a:bodyPr/>
                  <a:lstStyle/>
                  <a:p>
                    <a:fld id="{CB0288C8-8601-4D9D-8E1E-386573264657}" type="CATEGORYNAME">
                      <a:rPr lang="en-US"/>
                      <a:pPr/>
                      <a:t>[NOMBRE DE CATEGORÍA]</a:t>
                    </a:fld>
                    <a:r>
                      <a:rPr lang="en-US" baseline="0"/>
                      <a:t> </a:t>
                    </a:r>
                  </a:p>
                  <a:p>
                    <a:fld id="{6A3EDA63-CF98-45E9-B3D6-C193CDA57B42}" type="VALUE">
                      <a:rPr lang="en-US" baseline="0"/>
                      <a:pPr/>
                      <a:t>[VALOR]</a:t>
                    </a:fld>
                    <a:endParaRPr lang="es-PE"/>
                  </a:p>
                </c:rich>
              </c:tx>
              <c:showLegendKey val="0"/>
              <c:showVal val="1"/>
              <c:showCatName val="1"/>
              <c:showSerName val="0"/>
              <c:showPercent val="0"/>
              <c:showBubbleSize val="0"/>
              <c:separator> </c:separator>
              <c:extLst>
                <c:ext xmlns:c15="http://schemas.microsoft.com/office/drawing/2012/chart" uri="{CE6537A1-D6FC-4f65-9D91-7224C49458BB}">
                  <c15:dlblFieldTable/>
                  <c15:showDataLabelsRange val="0"/>
                </c:ext>
                <c:ext xmlns:c16="http://schemas.microsoft.com/office/drawing/2014/chart" uri="{C3380CC4-5D6E-409C-BE32-E72D297353CC}">
                  <c16:uniqueId val="{00000007-820F-43BF-A990-5BF50BCEE485}"/>
                </c:ext>
              </c:extLst>
            </c:dLbl>
            <c:dLbl>
              <c:idx val="4"/>
              <c:layout>
                <c:manualLayout>
                  <c:x val="-0.10422366456082668"/>
                  <c:y val="-0.21912402900148908"/>
                </c:manualLayout>
              </c:layout>
              <c:tx>
                <c:rich>
                  <a:bodyPr/>
                  <a:lstStyle/>
                  <a:p>
                    <a:fld id="{256B54F4-2267-4D86-B4C6-E868D15FA5C4}" type="CATEGORYNAME">
                      <a:rPr lang="en-US"/>
                      <a:pPr/>
                      <a:t>[NOMBRE DE CATEGORÍA]</a:t>
                    </a:fld>
                    <a:r>
                      <a:rPr lang="en-US" baseline="0"/>
                      <a:t> </a:t>
                    </a:r>
                  </a:p>
                  <a:p>
                    <a:fld id="{8D1642A3-651C-43BD-8546-E987F7D86BA5}" type="VALUE">
                      <a:rPr lang="en-US" baseline="0"/>
                      <a:pPr/>
                      <a:t>[VALOR]</a:t>
                    </a:fld>
                    <a:endParaRPr lang="es-PE"/>
                  </a:p>
                </c:rich>
              </c:tx>
              <c:showLegendKey val="0"/>
              <c:showVal val="1"/>
              <c:showCatName val="1"/>
              <c:showSerName val="0"/>
              <c:showPercent val="0"/>
              <c:showBubbleSize val="0"/>
              <c:separator> </c:separator>
              <c:extLst>
                <c:ext xmlns:c15="http://schemas.microsoft.com/office/drawing/2012/chart" uri="{CE6537A1-D6FC-4f65-9D91-7224C49458BB}">
                  <c15:dlblFieldTable/>
                  <c15:showDataLabelsRange val="0"/>
                </c:ext>
                <c:ext xmlns:c16="http://schemas.microsoft.com/office/drawing/2014/chart" uri="{C3380CC4-5D6E-409C-BE32-E72D297353CC}">
                  <c16:uniqueId val="{00000009-820F-43BF-A990-5BF50BCEE485}"/>
                </c:ext>
              </c:extLst>
            </c:dLbl>
            <c:dLbl>
              <c:idx val="5"/>
              <c:layout>
                <c:manualLayout>
                  <c:x val="5.6337115978825226E-3"/>
                  <c:y val="-0.22388759484934753"/>
                </c:manualLayout>
              </c:layout>
              <c:tx>
                <c:rich>
                  <a:bodyPr/>
                  <a:lstStyle/>
                  <a:p>
                    <a:fld id="{0D8BAEA8-E994-42AB-9B3B-F283D88EA6F4}" type="CATEGORYNAME">
                      <a:rPr lang="en-US"/>
                      <a:pPr/>
                      <a:t>[NOMBRE DE CATEGORÍA]</a:t>
                    </a:fld>
                    <a:r>
                      <a:rPr lang="en-US" baseline="0"/>
                      <a:t> </a:t>
                    </a:r>
                  </a:p>
                  <a:p>
                    <a:fld id="{0D8DED16-0B32-40B5-91B7-4851B2D3C48C}" type="VALUE">
                      <a:rPr lang="en-US" baseline="0"/>
                      <a:pPr/>
                      <a:t>[VALOR]</a:t>
                    </a:fld>
                    <a:endParaRPr lang="es-PE"/>
                  </a:p>
                </c:rich>
              </c:tx>
              <c:showLegendKey val="0"/>
              <c:showVal val="1"/>
              <c:showCatName val="1"/>
              <c:showSerName val="0"/>
              <c:showPercent val="0"/>
              <c:showBubbleSize val="0"/>
              <c:separator> </c:separator>
              <c:extLst>
                <c:ext xmlns:c15="http://schemas.microsoft.com/office/drawing/2012/chart" uri="{CE6537A1-D6FC-4f65-9D91-7224C49458BB}">
                  <c15:dlblFieldTable/>
                  <c15:showDataLabelsRange val="0"/>
                </c:ext>
                <c:ext xmlns:c16="http://schemas.microsoft.com/office/drawing/2014/chart" uri="{C3380CC4-5D6E-409C-BE32-E72D297353CC}">
                  <c16:uniqueId val="{0000000B-820F-43BF-A990-5BF50BCEE485}"/>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PE"/>
              </a:p>
            </c:txPr>
            <c:showLegendKey val="0"/>
            <c:showVal val="1"/>
            <c:showCatName val="1"/>
            <c:showSerName val="0"/>
            <c:showPercent val="0"/>
            <c:showBubbleSize val="0"/>
            <c:separator> </c:separator>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'DPTC 28'!$S$17:$S$22</c:f>
              <c:strCache>
                <c:ptCount val="6"/>
                <c:pt idx="0">
                  <c:v>GLP / Propano / Butano </c:v>
                </c:pt>
                <c:pt idx="1">
                  <c:v>Gasolina Natural </c:v>
                </c:pt>
                <c:pt idx="2">
                  <c:v>Condensados de Gas Natural </c:v>
                </c:pt>
                <c:pt idx="3">
                  <c:v>Destilados medios </c:v>
                </c:pt>
                <c:pt idx="4">
                  <c:v>Diesel B5 S50</c:v>
                </c:pt>
                <c:pt idx="5">
                  <c:v> Diesel 2</c:v>
                </c:pt>
              </c:strCache>
            </c:strRef>
          </c:cat>
          <c:val>
            <c:numRef>
              <c:f>'DPTC 28'!$V$17:$V$22</c:f>
              <c:numCache>
                <c:formatCode>0%</c:formatCode>
                <c:ptCount val="6"/>
                <c:pt idx="0">
                  <c:v>0.50611781882279006</c:v>
                </c:pt>
                <c:pt idx="1">
                  <c:v>0.33433511341786248</c:v>
                </c:pt>
                <c:pt idx="2">
                  <c:v>5.8880361264227552E-3</c:v>
                </c:pt>
                <c:pt idx="3">
                  <c:v>3.9170270358846279E-2</c:v>
                </c:pt>
                <c:pt idx="4">
                  <c:v>7.124904745452787E-2</c:v>
                </c:pt>
                <c:pt idx="5">
                  <c:v>4.3239713819550663E-2</c:v>
                </c:pt>
              </c:numCache>
            </c:numRef>
          </c:val>
          <c:extLst>
            <c:ext xmlns:c16="http://schemas.microsoft.com/office/drawing/2014/chart" uri="{C3380CC4-5D6E-409C-BE32-E72D297353CC}">
              <c16:uniqueId val="{0000000C-820F-43BF-A990-5BF50BCEE485}"/>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layout>
        <c:manualLayout>
          <c:xMode val="edge"/>
          <c:yMode val="edge"/>
          <c:x val="0.69201851672358417"/>
          <c:y val="0.1445172107258999"/>
          <c:w val="0.29108034848276826"/>
          <c:h val="0.5966399981995971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P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PE"/>
    </a:p>
  </c:txPr>
  <c:printSettings>
    <c:headerFooter/>
    <c:pageMargins b="0.75" l="0.7" r="0.7" t="0.75" header="0.3" footer="0.3"/>
    <c:pageSetup/>
  </c:printSettings>
</c:chartSpace>
</file>

<file path=xl/charts/chart3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7813891388268074"/>
          <c:y val="0.24958778709965235"/>
          <c:w val="0.7948290908387271"/>
          <c:h val="0.63461212682203993"/>
        </c:manualLayout>
      </c:layout>
      <c:barChart>
        <c:barDir val="col"/>
        <c:grouping val="clustered"/>
        <c:varyColors val="0"/>
        <c:ser>
          <c:idx val="0"/>
          <c:order val="0"/>
          <c:spPr>
            <a:solidFill>
              <a:schemeClr val="accent1"/>
            </a:solidFill>
            <a:ln>
              <a:noFill/>
            </a:ln>
            <a:effectLst/>
          </c:spPr>
          <c:invertIfNegative val="0"/>
          <c:dLbls>
            <c:spPr>
              <a:noFill/>
              <a:ln>
                <a:noFill/>
              </a:ln>
              <a:effectLst/>
            </c:spPr>
            <c:txPr>
              <a:bodyPr rot="-5400000" spcFirstLastPara="1" vertOverflow="ellipsis"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PE"/>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'DPTC 28'!$B$4:$M$4</c:f>
              <c:numCache>
                <c:formatCode>General</c:formatCode>
                <c:ptCount val="12"/>
                <c:pt idx="0">
                  <c:v>2013</c:v>
                </c:pt>
                <c:pt idx="1">
                  <c:v>2014</c:v>
                </c:pt>
                <c:pt idx="2">
                  <c:v>2015</c:v>
                </c:pt>
                <c:pt idx="3">
                  <c:v>2016</c:v>
                </c:pt>
                <c:pt idx="4">
                  <c:v>2017</c:v>
                </c:pt>
                <c:pt idx="5">
                  <c:v>2018</c:v>
                </c:pt>
                <c:pt idx="6">
                  <c:v>2019</c:v>
                </c:pt>
                <c:pt idx="7">
                  <c:v>2020</c:v>
                </c:pt>
                <c:pt idx="8">
                  <c:v>2021</c:v>
                </c:pt>
                <c:pt idx="9">
                  <c:v>2022</c:v>
                </c:pt>
                <c:pt idx="10">
                  <c:v>2023</c:v>
                </c:pt>
                <c:pt idx="11">
                  <c:v>2024</c:v>
                </c:pt>
              </c:numCache>
            </c:numRef>
          </c:cat>
          <c:val>
            <c:numRef>
              <c:f>'DPTC 28'!$B$24:$M$24</c:f>
              <c:numCache>
                <c:formatCode>#,##0.00</c:formatCode>
                <c:ptCount val="12"/>
                <c:pt idx="0">
                  <c:v>37982.224340000001</c:v>
                </c:pt>
                <c:pt idx="1">
                  <c:v>36366.207270000006</c:v>
                </c:pt>
                <c:pt idx="2">
                  <c:v>31637.676234761904</c:v>
                </c:pt>
                <c:pt idx="3">
                  <c:v>31961.55</c:v>
                </c:pt>
                <c:pt idx="4">
                  <c:v>29142.600812857141</c:v>
                </c:pt>
                <c:pt idx="5">
                  <c:v>27408.243569999999</c:v>
                </c:pt>
                <c:pt idx="6">
                  <c:v>28175.007420000002</c:v>
                </c:pt>
                <c:pt idx="7">
                  <c:v>29243.614703333333</c:v>
                </c:pt>
                <c:pt idx="8">
                  <c:v>29949.442999999999</c:v>
                </c:pt>
                <c:pt idx="9">
                  <c:v>28606.736580000008</c:v>
                </c:pt>
                <c:pt idx="10">
                  <c:v>26749.919999999998</c:v>
                </c:pt>
                <c:pt idx="11">
                  <c:v>26637.549101428573</c:v>
                </c:pt>
              </c:numCache>
            </c:numRef>
          </c:val>
          <c:extLst>
            <c:ext xmlns:c16="http://schemas.microsoft.com/office/drawing/2014/chart" uri="{C3380CC4-5D6E-409C-BE32-E72D297353CC}">
              <c16:uniqueId val="{00000000-C0AE-4F1D-B388-54C7D1776202}"/>
            </c:ext>
          </c:extLst>
        </c:ser>
        <c:dLbls>
          <c:dLblPos val="outEnd"/>
          <c:showLegendKey val="0"/>
          <c:showVal val="1"/>
          <c:showCatName val="0"/>
          <c:showSerName val="0"/>
          <c:showPercent val="0"/>
          <c:showBubbleSize val="0"/>
        </c:dLbls>
        <c:gapWidth val="38"/>
        <c:overlap val="-27"/>
        <c:axId val="1817207919"/>
        <c:axId val="1817193039"/>
      </c:barChart>
      <c:catAx>
        <c:axId val="181720791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PE"/>
          </a:p>
        </c:txPr>
        <c:crossAx val="1817193039"/>
        <c:crosses val="autoZero"/>
        <c:auto val="1"/>
        <c:lblAlgn val="ctr"/>
        <c:lblOffset val="100"/>
        <c:noMultiLvlLbl val="0"/>
      </c:catAx>
      <c:valAx>
        <c:axId val="1817193039"/>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s-PE"/>
                  <a:t>MBLS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s-PE"/>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PE"/>
          </a:p>
        </c:txPr>
        <c:crossAx val="1817207919"/>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PE"/>
    </a:p>
  </c:txPr>
  <c:printSettings>
    <c:headerFooter/>
    <c:pageMargins b="0.75" l="0.7" r="0.7" t="0.75" header="0.3" footer="0.3"/>
    <c:pageSetup/>
  </c:printSettings>
</c:chartSpace>
</file>

<file path=xl/charts/chart3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0075425367219502"/>
          <c:y val="0.10968107103322962"/>
          <c:w val="0.87204372560203258"/>
          <c:h val="0.7852724576536686"/>
        </c:manualLayout>
      </c:layout>
      <c:barChart>
        <c:barDir val="col"/>
        <c:grouping val="clustered"/>
        <c:varyColors val="0"/>
        <c:ser>
          <c:idx val="0"/>
          <c:order val="0"/>
          <c:tx>
            <c:strRef>
              <c:f>'DPTC 30'!$Q$2</c:f>
              <c:strCache>
                <c:ptCount val="1"/>
                <c:pt idx="0">
                  <c:v>2023</c:v>
                </c:pt>
              </c:strCache>
            </c:strRef>
          </c:tx>
          <c:spPr>
            <a:solidFill>
              <a:schemeClr val="accent1"/>
            </a:solidFill>
            <a:ln>
              <a:noFill/>
            </a:ln>
            <a:effectLst/>
          </c:spPr>
          <c:invertIfNegative val="0"/>
          <c:dLbls>
            <c:numFmt formatCode="#,##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PE"/>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'DPTC 30'!$O$4:$O$10</c:f>
              <c:strCache>
                <c:ptCount val="7"/>
                <c:pt idx="0">
                  <c:v>GLP</c:v>
                </c:pt>
                <c:pt idx="1">
                  <c:v>Diesel</c:v>
                </c:pt>
                <c:pt idx="2">
                  <c:v>Gasolina/Gasohol</c:v>
                </c:pt>
                <c:pt idx="3">
                  <c:v>Turbo</c:v>
                </c:pt>
                <c:pt idx="4">
                  <c:v>Residuales</c:v>
                </c:pt>
                <c:pt idx="5">
                  <c:v>Asfalto</c:v>
                </c:pt>
                <c:pt idx="6">
                  <c:v>Otros</c:v>
                </c:pt>
              </c:strCache>
            </c:strRef>
          </c:cat>
          <c:val>
            <c:numRef>
              <c:f>'DPTC 30'!$Q$4:$Q$10</c:f>
              <c:numCache>
                <c:formatCode>_ * #,##0.00_ ;_ * \-#,##0.00_ ;_ * "-"_ ;_ @_ </c:formatCode>
                <c:ptCount val="7"/>
                <c:pt idx="0">
                  <c:v>65.681294087781311</c:v>
                </c:pt>
                <c:pt idx="1">
                  <c:v>132.44947945205479</c:v>
                </c:pt>
                <c:pt idx="2">
                  <c:v>52.62041095890411</c:v>
                </c:pt>
                <c:pt idx="3">
                  <c:v>20.047397260273971</c:v>
                </c:pt>
                <c:pt idx="4">
                  <c:v>2.4658904109589042</c:v>
                </c:pt>
                <c:pt idx="5">
                  <c:v>2.8995616438356162</c:v>
                </c:pt>
                <c:pt idx="6">
                  <c:v>0.23613698630136987</c:v>
                </c:pt>
              </c:numCache>
            </c:numRef>
          </c:val>
          <c:extLst>
            <c:ext xmlns:c16="http://schemas.microsoft.com/office/drawing/2014/chart" uri="{C3380CC4-5D6E-409C-BE32-E72D297353CC}">
              <c16:uniqueId val="{00000000-18B5-4134-B6E3-48E69ED32108}"/>
            </c:ext>
          </c:extLst>
        </c:ser>
        <c:ser>
          <c:idx val="1"/>
          <c:order val="1"/>
          <c:tx>
            <c:strRef>
              <c:f>'DPTC 30'!$T$2</c:f>
              <c:strCache>
                <c:ptCount val="1"/>
                <c:pt idx="0">
                  <c:v>2024</c:v>
                </c:pt>
              </c:strCache>
            </c:strRef>
          </c:tx>
          <c:spPr>
            <a:solidFill>
              <a:schemeClr val="accent2"/>
            </a:solidFill>
            <a:ln>
              <a:noFill/>
            </a:ln>
            <a:effectLst/>
          </c:spPr>
          <c:invertIfNegative val="0"/>
          <c:dLbls>
            <c:numFmt formatCode="#,##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PE"/>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'DPTC 30'!$O$4:$O$10</c:f>
              <c:strCache>
                <c:ptCount val="7"/>
                <c:pt idx="0">
                  <c:v>GLP</c:v>
                </c:pt>
                <c:pt idx="1">
                  <c:v>Diesel</c:v>
                </c:pt>
                <c:pt idx="2">
                  <c:v>Gasolina/Gasohol</c:v>
                </c:pt>
                <c:pt idx="3">
                  <c:v>Turbo</c:v>
                </c:pt>
                <c:pt idx="4">
                  <c:v>Residuales</c:v>
                </c:pt>
                <c:pt idx="5">
                  <c:v>Asfalto</c:v>
                </c:pt>
                <c:pt idx="6">
                  <c:v>Otros</c:v>
                </c:pt>
              </c:strCache>
            </c:strRef>
          </c:cat>
          <c:val>
            <c:numRef>
              <c:f>'DPTC 30'!$T$4:$T$10</c:f>
              <c:numCache>
                <c:formatCode>_ * #,##0.00_ ;_ * \-#,##0.00_ ;_ * "-"_ ;_ @_ </c:formatCode>
                <c:ptCount val="7"/>
                <c:pt idx="0">
                  <c:v>67.984011872882192</c:v>
                </c:pt>
                <c:pt idx="1">
                  <c:v>135.07199453551911</c:v>
                </c:pt>
                <c:pt idx="2">
                  <c:v>54.364934043715841</c:v>
                </c:pt>
                <c:pt idx="3">
                  <c:v>20.402240437158472</c:v>
                </c:pt>
                <c:pt idx="4">
                  <c:v>3.6439972677595622</c:v>
                </c:pt>
                <c:pt idx="5">
                  <c:v>3.4463333333333339</c:v>
                </c:pt>
                <c:pt idx="6">
                  <c:v>0.18934426229508197</c:v>
                </c:pt>
              </c:numCache>
            </c:numRef>
          </c:val>
          <c:extLst>
            <c:ext xmlns:c16="http://schemas.microsoft.com/office/drawing/2014/chart" uri="{C3380CC4-5D6E-409C-BE32-E72D297353CC}">
              <c16:uniqueId val="{00000001-18B5-4134-B6E3-48E69ED32108}"/>
            </c:ext>
          </c:extLst>
        </c:ser>
        <c:dLbls>
          <c:dLblPos val="outEnd"/>
          <c:showLegendKey val="0"/>
          <c:showVal val="1"/>
          <c:showCatName val="0"/>
          <c:showSerName val="0"/>
          <c:showPercent val="0"/>
          <c:showBubbleSize val="0"/>
        </c:dLbls>
        <c:gapWidth val="52"/>
        <c:overlap val="-27"/>
        <c:axId val="254640352"/>
        <c:axId val="254650912"/>
      </c:barChart>
      <c:catAx>
        <c:axId val="2546403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0" spcFirstLastPara="1" vertOverflow="ellipsis" wrap="square" anchor="ctr" anchorCtr="1"/>
          <a:lstStyle/>
          <a:p>
            <a:pPr>
              <a:defRPr sz="700" b="0" i="0" u="none" strike="noStrike" kern="1200" baseline="0">
                <a:solidFill>
                  <a:schemeClr val="tx1">
                    <a:lumMod val="65000"/>
                    <a:lumOff val="35000"/>
                  </a:schemeClr>
                </a:solidFill>
                <a:latin typeface="+mn-lt"/>
                <a:ea typeface="+mn-ea"/>
                <a:cs typeface="+mn-cs"/>
              </a:defRPr>
            </a:pPr>
            <a:endParaRPr lang="es-PE"/>
          </a:p>
        </c:txPr>
        <c:crossAx val="254650912"/>
        <c:crosses val="autoZero"/>
        <c:auto val="1"/>
        <c:lblAlgn val="ctr"/>
        <c:lblOffset val="100"/>
        <c:noMultiLvlLbl val="0"/>
      </c:catAx>
      <c:valAx>
        <c:axId val="254650912"/>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s-PE"/>
                  <a:t>MBPD</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s-PE"/>
            </a:p>
          </c:txPr>
        </c:title>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PE"/>
          </a:p>
        </c:txPr>
        <c:crossAx val="254640352"/>
        <c:crosses val="autoZero"/>
        <c:crossBetween val="between"/>
      </c:valAx>
      <c:spPr>
        <a:noFill/>
        <a:ln>
          <a:noFill/>
        </a:ln>
        <a:effectLst/>
      </c:spPr>
    </c:plotArea>
    <c:legend>
      <c:legendPos val="r"/>
      <c:layout>
        <c:manualLayout>
          <c:xMode val="edge"/>
          <c:yMode val="edge"/>
          <c:x val="0.84638862572852269"/>
          <c:y val="0.23907550748392048"/>
          <c:w val="7.0719938229562934E-2"/>
          <c:h val="0.1577330900639061"/>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P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PE"/>
    </a:p>
  </c:txPr>
  <c:printSettings>
    <c:headerFooter/>
    <c:pageMargins b="0.75" l="0.7" r="0.7" t="0.75" header="0.3" footer="0.3"/>
    <c:pageSetup/>
  </c:printSettings>
</c:chartSpace>
</file>

<file path=xl/charts/chart3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0075425367219502"/>
          <c:y val="0.10968107103322962"/>
          <c:w val="0.87204372560203258"/>
          <c:h val="0.7852724576536686"/>
        </c:manualLayout>
      </c:layout>
      <c:barChart>
        <c:barDir val="col"/>
        <c:grouping val="clustered"/>
        <c:varyColors val="0"/>
        <c:ser>
          <c:idx val="1"/>
          <c:order val="0"/>
          <c:tx>
            <c:strRef>
              <c:f>'DPTC 30'!$T$2</c:f>
              <c:strCache>
                <c:ptCount val="1"/>
                <c:pt idx="0">
                  <c:v>2024</c:v>
                </c:pt>
              </c:strCache>
            </c:strRef>
          </c:tx>
          <c:spPr>
            <a:solidFill>
              <a:schemeClr val="accent2"/>
            </a:solidFill>
            <a:ln>
              <a:noFill/>
            </a:ln>
            <a:effectLst/>
          </c:spPr>
          <c:invertIfNegative val="0"/>
          <c:dLbls>
            <c:numFmt formatCode="#,##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PE"/>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'DPTC 30'!$O$4:$O$10</c:f>
              <c:strCache>
                <c:ptCount val="7"/>
                <c:pt idx="0">
                  <c:v>GLP</c:v>
                </c:pt>
                <c:pt idx="1">
                  <c:v>Diesel</c:v>
                </c:pt>
                <c:pt idx="2">
                  <c:v>Gasolina/Gasohol</c:v>
                </c:pt>
                <c:pt idx="3">
                  <c:v>Turbo</c:v>
                </c:pt>
                <c:pt idx="4">
                  <c:v>Residuales</c:v>
                </c:pt>
                <c:pt idx="5">
                  <c:v>Asfalto</c:v>
                </c:pt>
                <c:pt idx="6">
                  <c:v>Otros</c:v>
                </c:pt>
              </c:strCache>
            </c:strRef>
          </c:cat>
          <c:val>
            <c:numRef>
              <c:f>'DPTC 30'!$T$4:$T$10</c:f>
              <c:numCache>
                <c:formatCode>_ * #,##0.00_ ;_ * \-#,##0.00_ ;_ * "-"_ ;_ @_ </c:formatCode>
                <c:ptCount val="7"/>
                <c:pt idx="0">
                  <c:v>67.984011872882192</c:v>
                </c:pt>
                <c:pt idx="1">
                  <c:v>135.07199453551911</c:v>
                </c:pt>
                <c:pt idx="2">
                  <c:v>54.364934043715841</c:v>
                </c:pt>
                <c:pt idx="3">
                  <c:v>20.402240437158472</c:v>
                </c:pt>
                <c:pt idx="4">
                  <c:v>3.6439972677595622</c:v>
                </c:pt>
                <c:pt idx="5">
                  <c:v>3.4463333333333339</c:v>
                </c:pt>
                <c:pt idx="6">
                  <c:v>0.18934426229508197</c:v>
                </c:pt>
              </c:numCache>
            </c:numRef>
          </c:val>
          <c:extLst>
            <c:ext xmlns:c16="http://schemas.microsoft.com/office/drawing/2014/chart" uri="{C3380CC4-5D6E-409C-BE32-E72D297353CC}">
              <c16:uniqueId val="{00000000-EC2D-4176-A380-E5CF8565B41F}"/>
            </c:ext>
          </c:extLst>
        </c:ser>
        <c:dLbls>
          <c:dLblPos val="outEnd"/>
          <c:showLegendKey val="0"/>
          <c:showVal val="1"/>
          <c:showCatName val="0"/>
          <c:showSerName val="0"/>
          <c:showPercent val="0"/>
          <c:showBubbleSize val="0"/>
        </c:dLbls>
        <c:gapWidth val="52"/>
        <c:overlap val="-27"/>
        <c:axId val="254640352"/>
        <c:axId val="254650912"/>
      </c:barChart>
      <c:catAx>
        <c:axId val="2546403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0" spcFirstLastPara="1" vertOverflow="ellipsis" wrap="square" anchor="ctr" anchorCtr="1"/>
          <a:lstStyle/>
          <a:p>
            <a:pPr>
              <a:defRPr sz="700" b="0" i="0" u="none" strike="noStrike" kern="1200" baseline="0">
                <a:solidFill>
                  <a:schemeClr val="tx1">
                    <a:lumMod val="65000"/>
                    <a:lumOff val="35000"/>
                  </a:schemeClr>
                </a:solidFill>
                <a:latin typeface="+mn-lt"/>
                <a:ea typeface="+mn-ea"/>
                <a:cs typeface="+mn-cs"/>
              </a:defRPr>
            </a:pPr>
            <a:endParaRPr lang="es-PE"/>
          </a:p>
        </c:txPr>
        <c:crossAx val="254650912"/>
        <c:crosses val="autoZero"/>
        <c:auto val="1"/>
        <c:lblAlgn val="ctr"/>
        <c:lblOffset val="100"/>
        <c:noMultiLvlLbl val="0"/>
      </c:catAx>
      <c:valAx>
        <c:axId val="254650912"/>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s-PE"/>
                  <a:t>MBPD</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s-PE"/>
            </a:p>
          </c:txPr>
        </c:title>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PE"/>
          </a:p>
        </c:txPr>
        <c:crossAx val="25464035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PE"/>
    </a:p>
  </c:txPr>
  <c:printSettings>
    <c:headerFooter/>
    <c:pageMargins b="0.75" l="0.7" r="0.7" t="0.75" header="0.3" footer="0.3"/>
    <c:pageSetup/>
  </c:printSettings>
</c:chartSpace>
</file>

<file path=xl/charts/chart3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35093307086614178"/>
          <c:y val="9.7638888888888914E-2"/>
          <c:w val="0.40252777777777771"/>
          <c:h val="0.67087962962962955"/>
        </c:manualLayout>
      </c:layout>
      <c:pie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5164-4E97-A341-14A999993421}"/>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5164-4E97-A341-14A999993421}"/>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5164-4E97-A341-14A999993421}"/>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5164-4E97-A341-14A999993421}"/>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5164-4E97-A341-14A999993421}"/>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5164-4E97-A341-14A999993421}"/>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5164-4E97-A341-14A999993421}"/>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0F-5164-4E97-A341-14A999993421}"/>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PE"/>
              </a:p>
            </c:txPr>
            <c:dLblPos val="bestFit"/>
            <c:showLegendKey val="0"/>
            <c:showVal val="1"/>
            <c:showCatName val="0"/>
            <c:showSerName val="0"/>
            <c:showPercent val="0"/>
            <c:showBubbleSize val="0"/>
            <c:separator> </c:separator>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'DPTC 30'!$W$4:$W$11</c:f>
              <c:strCache>
                <c:ptCount val="8"/>
                <c:pt idx="0">
                  <c:v>GLP</c:v>
                </c:pt>
                <c:pt idx="1">
                  <c:v>Diesel</c:v>
                </c:pt>
                <c:pt idx="2">
                  <c:v>Gasolina/Gasohol</c:v>
                </c:pt>
                <c:pt idx="3">
                  <c:v>Turbo</c:v>
                </c:pt>
                <c:pt idx="4">
                  <c:v>Residuales</c:v>
                </c:pt>
                <c:pt idx="5">
                  <c:v>Asfalto</c:v>
                </c:pt>
                <c:pt idx="6">
                  <c:v>Combustibles Marinos </c:v>
                </c:pt>
                <c:pt idx="7">
                  <c:v>Otros</c:v>
                </c:pt>
              </c:strCache>
            </c:strRef>
          </c:cat>
          <c:val>
            <c:numRef>
              <c:f>'DPTC 30'!$Y$4:$Y$11</c:f>
              <c:numCache>
                <c:formatCode>0.0%</c:formatCode>
                <c:ptCount val="8"/>
                <c:pt idx="0">
                  <c:v>0.23845345648024788</c:v>
                </c:pt>
                <c:pt idx="1">
                  <c:v>0.47241936592632477</c:v>
                </c:pt>
                <c:pt idx="2">
                  <c:v>0.19068463417963852</c:v>
                </c:pt>
                <c:pt idx="3">
                  <c:v>7.1560718736019324E-2</c:v>
                </c:pt>
                <c:pt idx="4">
                  <c:v>1.2781295483511288E-2</c:v>
                </c:pt>
                <c:pt idx="5">
                  <c:v>1.2087990585978165E-2</c:v>
                </c:pt>
                <c:pt idx="6">
                  <c:v>1.3484149038216428E-3</c:v>
                </c:pt>
                <c:pt idx="7">
                  <c:v>6.6412370445843828E-4</c:v>
                </c:pt>
              </c:numCache>
            </c:numRef>
          </c:val>
          <c:extLst>
            <c:ext xmlns:c16="http://schemas.microsoft.com/office/drawing/2014/chart" uri="{C3380CC4-5D6E-409C-BE32-E72D297353CC}">
              <c16:uniqueId val="{00000010-5164-4E97-A341-14A999993421}"/>
            </c:ext>
          </c:extLst>
        </c:ser>
        <c:dLbls>
          <c:dLblPos val="bestFit"/>
          <c:showLegendKey val="0"/>
          <c:showVal val="1"/>
          <c:showCatName val="0"/>
          <c:showSerName val="0"/>
          <c:showPercent val="0"/>
          <c:showBubbleSize val="0"/>
          <c:showLeaderLines val="1"/>
        </c:dLbls>
        <c:firstSliceAng val="100"/>
      </c:pieChart>
      <c:spPr>
        <a:noFill/>
        <a:ln>
          <a:noFill/>
        </a:ln>
        <a:effectLst/>
      </c:spPr>
    </c:plotArea>
    <c:legend>
      <c:legendPos val="l"/>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P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PE"/>
    </a:p>
  </c:txPr>
  <c:printSettings>
    <c:headerFooter/>
    <c:pageMargins b="0.75" l="0.7" r="0.7" t="0.75" header="0.3" footer="0.3"/>
    <c:pageSetup/>
  </c:printSettings>
</c:chartSpace>
</file>

<file path=xl/charts/chart3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stacked"/>
        <c:varyColors val="0"/>
        <c:ser>
          <c:idx val="1"/>
          <c:order val="0"/>
          <c:tx>
            <c:strRef>
              <c:f>'DPTC 43'!$A$5</c:f>
              <c:strCache>
                <c:ptCount val="1"/>
                <c:pt idx="0">
                  <c:v>CRUDO</c:v>
                </c:pt>
              </c:strCache>
            </c:strRef>
          </c:tx>
          <c:spPr>
            <a:solidFill>
              <a:schemeClr val="accent2"/>
            </a:solidFill>
            <a:ln>
              <a:noFill/>
            </a:ln>
            <a:effectLst/>
          </c:spPr>
          <c:invertIfNegative val="0"/>
          <c:dLbls>
            <c:delete val="1"/>
          </c:dLbls>
          <c:cat>
            <c:numRef>
              <c:f>'DPTC 43'!$B$4:$K$4</c:f>
              <c:numCache>
                <c:formatCode>General</c:formatCode>
                <c:ptCount val="10"/>
                <c:pt idx="0">
                  <c:v>2015</c:v>
                </c:pt>
                <c:pt idx="1">
                  <c:v>2016</c:v>
                </c:pt>
                <c:pt idx="2">
                  <c:v>2017</c:v>
                </c:pt>
                <c:pt idx="3">
                  <c:v>2018</c:v>
                </c:pt>
                <c:pt idx="4">
                  <c:v>2019</c:v>
                </c:pt>
                <c:pt idx="5">
                  <c:v>2020</c:v>
                </c:pt>
                <c:pt idx="6">
                  <c:v>2021</c:v>
                </c:pt>
                <c:pt idx="7">
                  <c:v>2022</c:v>
                </c:pt>
                <c:pt idx="8">
                  <c:v>2023</c:v>
                </c:pt>
                <c:pt idx="9">
                  <c:v>2024</c:v>
                </c:pt>
              </c:numCache>
            </c:numRef>
          </c:cat>
          <c:val>
            <c:numRef>
              <c:f>'DPTC 43'!$B$5:$K$5</c:f>
              <c:numCache>
                <c:formatCode>#,##0</c:formatCode>
                <c:ptCount val="10"/>
                <c:pt idx="0">
                  <c:v>2906.63</c:v>
                </c:pt>
                <c:pt idx="1">
                  <c:v>845.25</c:v>
                </c:pt>
                <c:pt idx="2">
                  <c:v>572.58000000000004</c:v>
                </c:pt>
                <c:pt idx="3">
                  <c:v>2367.23</c:v>
                </c:pt>
                <c:pt idx="4">
                  <c:v>2071.6799999999998</c:v>
                </c:pt>
                <c:pt idx="5">
                  <c:v>4088.76</c:v>
                </c:pt>
                <c:pt idx="6">
                  <c:v>4300.17</c:v>
                </c:pt>
                <c:pt idx="7">
                  <c:v>6099.08</c:v>
                </c:pt>
                <c:pt idx="8">
                  <c:v>5363.1657916903496</c:v>
                </c:pt>
                <c:pt idx="9">
                  <c:v>6509.6575742445566</c:v>
                </c:pt>
              </c:numCache>
            </c:numRef>
          </c:val>
          <c:extLst>
            <c:ext xmlns:c16="http://schemas.microsoft.com/office/drawing/2014/chart" uri="{C3380CC4-5D6E-409C-BE32-E72D297353CC}">
              <c16:uniqueId val="{00000000-60CE-4F2F-8AED-BDAA43DF9237}"/>
            </c:ext>
          </c:extLst>
        </c:ser>
        <c:ser>
          <c:idx val="2"/>
          <c:order val="1"/>
          <c:tx>
            <c:strRef>
              <c:f>'DPTC 43'!$A$6</c:f>
              <c:strCache>
                <c:ptCount val="1"/>
                <c:pt idx="0">
                  <c:v>GAS NATURAL</c:v>
                </c:pt>
              </c:strCache>
            </c:strRef>
          </c:tx>
          <c:spPr>
            <a:solidFill>
              <a:schemeClr val="accent5"/>
            </a:solidFill>
            <a:ln>
              <a:noFill/>
            </a:ln>
            <a:effectLst/>
          </c:spPr>
          <c:invertIfNegative val="0"/>
          <c:dLbls>
            <c:numFmt formatCode="#,##0" sourceLinked="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bg1"/>
                    </a:solidFill>
                    <a:latin typeface="+mn-lt"/>
                    <a:ea typeface="+mn-ea"/>
                    <a:cs typeface="+mn-cs"/>
                  </a:defRPr>
                </a:pPr>
                <a:endParaRPr lang="es-P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'DPTC 43'!$B$4:$K$4</c:f>
              <c:numCache>
                <c:formatCode>General</c:formatCode>
                <c:ptCount val="10"/>
                <c:pt idx="0">
                  <c:v>2015</c:v>
                </c:pt>
                <c:pt idx="1">
                  <c:v>2016</c:v>
                </c:pt>
                <c:pt idx="2">
                  <c:v>2017</c:v>
                </c:pt>
                <c:pt idx="3">
                  <c:v>2018</c:v>
                </c:pt>
                <c:pt idx="4">
                  <c:v>2019</c:v>
                </c:pt>
                <c:pt idx="5">
                  <c:v>2020</c:v>
                </c:pt>
                <c:pt idx="6">
                  <c:v>2021</c:v>
                </c:pt>
                <c:pt idx="7">
                  <c:v>2022</c:v>
                </c:pt>
                <c:pt idx="8">
                  <c:v>2023</c:v>
                </c:pt>
                <c:pt idx="9">
                  <c:v>2024</c:v>
                </c:pt>
              </c:numCache>
            </c:numRef>
          </c:cat>
          <c:val>
            <c:numRef>
              <c:f>'DPTC 43'!$B$6:$K$6</c:f>
              <c:numCache>
                <c:formatCode>#,##0</c:formatCode>
                <c:ptCount val="10"/>
                <c:pt idx="0">
                  <c:v>50898.879999999997</c:v>
                </c:pt>
                <c:pt idx="1">
                  <c:v>60314.94</c:v>
                </c:pt>
                <c:pt idx="2">
                  <c:v>51808.68</c:v>
                </c:pt>
                <c:pt idx="3">
                  <c:v>51399.360000000001</c:v>
                </c:pt>
                <c:pt idx="4">
                  <c:v>54715.39</c:v>
                </c:pt>
                <c:pt idx="5">
                  <c:v>58398.68</c:v>
                </c:pt>
                <c:pt idx="6">
                  <c:v>37106.54</c:v>
                </c:pt>
                <c:pt idx="7">
                  <c:v>40837.15</c:v>
                </c:pt>
                <c:pt idx="8">
                  <c:v>51962.51</c:v>
                </c:pt>
                <c:pt idx="9">
                  <c:v>54160.889693484372</c:v>
                </c:pt>
              </c:numCache>
            </c:numRef>
          </c:val>
          <c:extLst>
            <c:ext xmlns:c16="http://schemas.microsoft.com/office/drawing/2014/chart" uri="{C3380CC4-5D6E-409C-BE32-E72D297353CC}">
              <c16:uniqueId val="{00000001-60CE-4F2F-8AED-BDAA43DF9237}"/>
            </c:ext>
          </c:extLst>
        </c:ser>
        <c:ser>
          <c:idx val="3"/>
          <c:order val="2"/>
          <c:tx>
            <c:strRef>
              <c:f>'DPTC 43'!$A$7</c:f>
              <c:strCache>
                <c:ptCount val="1"/>
                <c:pt idx="0">
                  <c:v>GLP/PROPANO/ BUTANO</c:v>
                </c:pt>
              </c:strCache>
            </c:strRef>
          </c:tx>
          <c:spPr>
            <a:solidFill>
              <a:schemeClr val="accent4"/>
            </a:solidFill>
            <a:ln>
              <a:noFill/>
            </a:ln>
            <a:effectLst/>
          </c:spPr>
          <c:invertIfNegative val="0"/>
          <c:dLbls>
            <c:delete val="1"/>
          </c:dLbls>
          <c:cat>
            <c:numRef>
              <c:f>'DPTC 43'!$B$4:$K$4</c:f>
              <c:numCache>
                <c:formatCode>General</c:formatCode>
                <c:ptCount val="10"/>
                <c:pt idx="0">
                  <c:v>2015</c:v>
                </c:pt>
                <c:pt idx="1">
                  <c:v>2016</c:v>
                </c:pt>
                <c:pt idx="2">
                  <c:v>2017</c:v>
                </c:pt>
                <c:pt idx="3">
                  <c:v>2018</c:v>
                </c:pt>
                <c:pt idx="4">
                  <c:v>2019</c:v>
                </c:pt>
                <c:pt idx="5">
                  <c:v>2020</c:v>
                </c:pt>
                <c:pt idx="6">
                  <c:v>2021</c:v>
                </c:pt>
                <c:pt idx="7">
                  <c:v>2022</c:v>
                </c:pt>
                <c:pt idx="8">
                  <c:v>2023</c:v>
                </c:pt>
                <c:pt idx="9">
                  <c:v>2024</c:v>
                </c:pt>
              </c:numCache>
            </c:numRef>
          </c:cat>
          <c:val>
            <c:numRef>
              <c:f>'DPTC 43'!$B$7:$K$7</c:f>
              <c:numCache>
                <c:formatCode>#,##0</c:formatCode>
                <c:ptCount val="10"/>
                <c:pt idx="0">
                  <c:v>1075.67</c:v>
                </c:pt>
                <c:pt idx="1">
                  <c:v>1460.97</c:v>
                </c:pt>
                <c:pt idx="2">
                  <c:v>607.97</c:v>
                </c:pt>
                <c:pt idx="3">
                  <c:v>66.17</c:v>
                </c:pt>
                <c:pt idx="4">
                  <c:v>0</c:v>
                </c:pt>
                <c:pt idx="5">
                  <c:v>751.04</c:v>
                </c:pt>
                <c:pt idx="6">
                  <c:v>0</c:v>
                </c:pt>
                <c:pt idx="7">
                  <c:v>0</c:v>
                </c:pt>
                <c:pt idx="8">
                  <c:v>0</c:v>
                </c:pt>
                <c:pt idx="9">
                  <c:v>0</c:v>
                </c:pt>
              </c:numCache>
            </c:numRef>
          </c:val>
          <c:extLst>
            <c:ext xmlns:c16="http://schemas.microsoft.com/office/drawing/2014/chart" uri="{C3380CC4-5D6E-409C-BE32-E72D297353CC}">
              <c16:uniqueId val="{00000002-60CE-4F2F-8AED-BDAA43DF9237}"/>
            </c:ext>
          </c:extLst>
        </c:ser>
        <c:ser>
          <c:idx val="4"/>
          <c:order val="3"/>
          <c:tx>
            <c:strRef>
              <c:f>'DPTC 43'!$A$8</c:f>
              <c:strCache>
                <c:ptCount val="1"/>
                <c:pt idx="0">
                  <c:v>GASOLINAS</c:v>
                </c:pt>
              </c:strCache>
            </c:strRef>
          </c:tx>
          <c:spPr>
            <a:solidFill>
              <a:schemeClr val="accent3">
                <a:lumMod val="60000"/>
              </a:schemeClr>
            </a:solidFill>
            <a:ln>
              <a:noFill/>
            </a:ln>
            <a:effectLst/>
          </c:spPr>
          <c:invertIfNegative val="0"/>
          <c:dLbls>
            <c:numFmt formatCode="#,##0" sourceLinked="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bg1"/>
                    </a:solidFill>
                    <a:latin typeface="+mn-lt"/>
                    <a:ea typeface="+mn-ea"/>
                    <a:cs typeface="+mn-cs"/>
                  </a:defRPr>
                </a:pPr>
                <a:endParaRPr lang="es-P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'DPTC 43'!$B$4:$K$4</c:f>
              <c:numCache>
                <c:formatCode>General</c:formatCode>
                <c:ptCount val="10"/>
                <c:pt idx="0">
                  <c:v>2015</c:v>
                </c:pt>
                <c:pt idx="1">
                  <c:v>2016</c:v>
                </c:pt>
                <c:pt idx="2">
                  <c:v>2017</c:v>
                </c:pt>
                <c:pt idx="3">
                  <c:v>2018</c:v>
                </c:pt>
                <c:pt idx="4">
                  <c:v>2019</c:v>
                </c:pt>
                <c:pt idx="5">
                  <c:v>2020</c:v>
                </c:pt>
                <c:pt idx="6">
                  <c:v>2021</c:v>
                </c:pt>
                <c:pt idx="7">
                  <c:v>2022</c:v>
                </c:pt>
                <c:pt idx="8">
                  <c:v>2023</c:v>
                </c:pt>
                <c:pt idx="9">
                  <c:v>2024</c:v>
                </c:pt>
              </c:numCache>
            </c:numRef>
          </c:cat>
          <c:val>
            <c:numRef>
              <c:f>'DPTC 43'!$B$8:$K$8</c:f>
              <c:numCache>
                <c:formatCode>#,##0</c:formatCode>
                <c:ptCount val="10"/>
                <c:pt idx="0">
                  <c:v>16707.740000000002</c:v>
                </c:pt>
                <c:pt idx="1">
                  <c:v>18678.919999999998</c:v>
                </c:pt>
                <c:pt idx="2">
                  <c:v>19961.240000000002</c:v>
                </c:pt>
                <c:pt idx="3">
                  <c:v>17803.36</c:v>
                </c:pt>
                <c:pt idx="4">
                  <c:v>15691.55</c:v>
                </c:pt>
                <c:pt idx="5">
                  <c:v>13415.93</c:v>
                </c:pt>
                <c:pt idx="6">
                  <c:v>13388.3</c:v>
                </c:pt>
                <c:pt idx="7">
                  <c:v>12132.17</c:v>
                </c:pt>
                <c:pt idx="8">
                  <c:v>11011.590164899826</c:v>
                </c:pt>
                <c:pt idx="9">
                  <c:v>9887.2804230057245</c:v>
                </c:pt>
              </c:numCache>
            </c:numRef>
          </c:val>
          <c:extLst>
            <c:ext xmlns:c16="http://schemas.microsoft.com/office/drawing/2014/chart" uri="{C3380CC4-5D6E-409C-BE32-E72D297353CC}">
              <c16:uniqueId val="{00000003-60CE-4F2F-8AED-BDAA43DF9237}"/>
            </c:ext>
          </c:extLst>
        </c:ser>
        <c:ser>
          <c:idx val="5"/>
          <c:order val="4"/>
          <c:tx>
            <c:strRef>
              <c:f>'DPTC 43'!$A$9</c:f>
              <c:strCache>
                <c:ptCount val="1"/>
                <c:pt idx="0">
                  <c:v>DESTILADOS MEDIOS</c:v>
                </c:pt>
              </c:strCache>
            </c:strRef>
          </c:tx>
          <c:spPr>
            <a:solidFill>
              <a:schemeClr val="accent5">
                <a:lumMod val="60000"/>
              </a:schemeClr>
            </a:solidFill>
            <a:ln>
              <a:noFill/>
            </a:ln>
            <a:effectLst/>
          </c:spPr>
          <c:invertIfNegative val="0"/>
          <c:dLbls>
            <c:numFmt formatCode="#,##0" sourceLinked="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bg1"/>
                    </a:solidFill>
                    <a:latin typeface="+mn-lt"/>
                    <a:ea typeface="+mn-ea"/>
                    <a:cs typeface="+mn-cs"/>
                  </a:defRPr>
                </a:pPr>
                <a:endParaRPr lang="es-P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'DPTC 43'!$B$4:$K$4</c:f>
              <c:numCache>
                <c:formatCode>General</c:formatCode>
                <c:ptCount val="10"/>
                <c:pt idx="0">
                  <c:v>2015</c:v>
                </c:pt>
                <c:pt idx="1">
                  <c:v>2016</c:v>
                </c:pt>
                <c:pt idx="2">
                  <c:v>2017</c:v>
                </c:pt>
                <c:pt idx="3">
                  <c:v>2018</c:v>
                </c:pt>
                <c:pt idx="4">
                  <c:v>2019</c:v>
                </c:pt>
                <c:pt idx="5">
                  <c:v>2020</c:v>
                </c:pt>
                <c:pt idx="6">
                  <c:v>2021</c:v>
                </c:pt>
                <c:pt idx="7">
                  <c:v>2022</c:v>
                </c:pt>
                <c:pt idx="8">
                  <c:v>2023</c:v>
                </c:pt>
                <c:pt idx="9">
                  <c:v>2024</c:v>
                </c:pt>
              </c:numCache>
            </c:numRef>
          </c:cat>
          <c:val>
            <c:numRef>
              <c:f>'DPTC 43'!$B$9:$K$9</c:f>
              <c:numCache>
                <c:formatCode>#,##0</c:formatCode>
                <c:ptCount val="10"/>
                <c:pt idx="0">
                  <c:v>5843.29</c:v>
                </c:pt>
                <c:pt idx="1">
                  <c:v>7606.35</c:v>
                </c:pt>
                <c:pt idx="2">
                  <c:v>9054.49</c:v>
                </c:pt>
                <c:pt idx="3">
                  <c:v>9190.9500000000007</c:v>
                </c:pt>
                <c:pt idx="4">
                  <c:v>7790.53</c:v>
                </c:pt>
                <c:pt idx="5">
                  <c:v>6941.07</c:v>
                </c:pt>
                <c:pt idx="6">
                  <c:v>4210.26</c:v>
                </c:pt>
                <c:pt idx="7">
                  <c:v>6218.83</c:v>
                </c:pt>
                <c:pt idx="8">
                  <c:v>4296.6564452075399</c:v>
                </c:pt>
                <c:pt idx="9">
                  <c:v>5396.7042767174662</c:v>
                </c:pt>
              </c:numCache>
            </c:numRef>
          </c:val>
          <c:extLst>
            <c:ext xmlns:c16="http://schemas.microsoft.com/office/drawing/2014/chart" uri="{C3380CC4-5D6E-409C-BE32-E72D297353CC}">
              <c16:uniqueId val="{00000004-60CE-4F2F-8AED-BDAA43DF9237}"/>
            </c:ext>
          </c:extLst>
        </c:ser>
        <c:ser>
          <c:idx val="6"/>
          <c:order val="5"/>
          <c:tx>
            <c:strRef>
              <c:f>'DPTC 43'!$A$10</c:f>
              <c:strCache>
                <c:ptCount val="1"/>
                <c:pt idx="0">
                  <c:v>RESIDUALES/IFO/FUEL OIL</c:v>
                </c:pt>
              </c:strCache>
            </c:strRef>
          </c:tx>
          <c:spPr>
            <a:solidFill>
              <a:schemeClr val="accent1">
                <a:lumMod val="80000"/>
                <a:lumOff val="20000"/>
              </a:schemeClr>
            </a:solidFill>
            <a:ln>
              <a:noFill/>
            </a:ln>
            <a:effectLst/>
          </c:spPr>
          <c:invertIfNegative val="0"/>
          <c:dLbls>
            <c:numFmt formatCode="#,##0" sourceLinked="0"/>
            <c:spPr>
              <a:noFill/>
              <a:ln>
                <a:noFill/>
              </a:ln>
              <a:effectLst/>
            </c:spPr>
            <c:txPr>
              <a:bodyPr rot="0" spcFirstLastPara="1" vertOverflow="ellipsis" vert="horz" wrap="square" lIns="38100" tIns="19050" rIns="38100" bIns="19050" anchor="ctr" anchorCtr="0">
                <a:spAutoFit/>
              </a:bodyPr>
              <a:lstStyle/>
              <a:p>
                <a:pPr algn="ctr">
                  <a:defRPr lang="en-US" sz="800" b="1" i="0" u="none" strike="noStrike" kern="1200" baseline="0">
                    <a:solidFill>
                      <a:schemeClr val="bg1"/>
                    </a:solidFill>
                    <a:latin typeface="+mn-lt"/>
                    <a:ea typeface="+mn-ea"/>
                    <a:cs typeface="+mn-cs"/>
                  </a:defRPr>
                </a:pPr>
                <a:endParaRPr lang="es-P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'DPTC 43'!$B$4:$K$4</c:f>
              <c:numCache>
                <c:formatCode>General</c:formatCode>
                <c:ptCount val="10"/>
                <c:pt idx="0">
                  <c:v>2015</c:v>
                </c:pt>
                <c:pt idx="1">
                  <c:v>2016</c:v>
                </c:pt>
                <c:pt idx="2">
                  <c:v>2017</c:v>
                </c:pt>
                <c:pt idx="3">
                  <c:v>2018</c:v>
                </c:pt>
                <c:pt idx="4">
                  <c:v>2019</c:v>
                </c:pt>
                <c:pt idx="5">
                  <c:v>2020</c:v>
                </c:pt>
                <c:pt idx="6">
                  <c:v>2021</c:v>
                </c:pt>
                <c:pt idx="7">
                  <c:v>2022</c:v>
                </c:pt>
                <c:pt idx="8">
                  <c:v>2023</c:v>
                </c:pt>
                <c:pt idx="9">
                  <c:v>2024</c:v>
                </c:pt>
              </c:numCache>
            </c:numRef>
          </c:cat>
          <c:val>
            <c:numRef>
              <c:f>'DPTC 43'!$B$10:$K$10</c:f>
              <c:numCache>
                <c:formatCode>#,##0</c:formatCode>
                <c:ptCount val="10"/>
                <c:pt idx="0">
                  <c:v>9814.2999999999993</c:v>
                </c:pt>
                <c:pt idx="1">
                  <c:v>12134.31</c:v>
                </c:pt>
                <c:pt idx="2">
                  <c:v>16837.86</c:v>
                </c:pt>
                <c:pt idx="3">
                  <c:v>16696.25</c:v>
                </c:pt>
                <c:pt idx="4">
                  <c:v>13122.75</c:v>
                </c:pt>
                <c:pt idx="5">
                  <c:v>4416.2299999999996</c:v>
                </c:pt>
                <c:pt idx="6">
                  <c:v>7391.82</c:v>
                </c:pt>
                <c:pt idx="7">
                  <c:v>8420.69</c:v>
                </c:pt>
                <c:pt idx="8">
                  <c:v>15359.919652163982</c:v>
                </c:pt>
                <c:pt idx="9">
                  <c:v>10267.966904481089</c:v>
                </c:pt>
              </c:numCache>
            </c:numRef>
          </c:val>
          <c:extLst>
            <c:ext xmlns:c16="http://schemas.microsoft.com/office/drawing/2014/chart" uri="{C3380CC4-5D6E-409C-BE32-E72D297353CC}">
              <c16:uniqueId val="{00000005-60CE-4F2F-8AED-BDAA43DF9237}"/>
            </c:ext>
          </c:extLst>
        </c:ser>
        <c:ser>
          <c:idx val="7"/>
          <c:order val="6"/>
          <c:tx>
            <c:strRef>
              <c:f>'DPTC 43'!$A$11</c:f>
              <c:strCache>
                <c:ptCount val="1"/>
                <c:pt idx="0">
                  <c:v>OTROS</c:v>
                </c:pt>
              </c:strCache>
            </c:strRef>
          </c:tx>
          <c:spPr>
            <a:solidFill>
              <a:schemeClr val="accent3">
                <a:lumMod val="80000"/>
                <a:lumOff val="20000"/>
              </a:schemeClr>
            </a:solidFill>
            <a:ln>
              <a:noFill/>
            </a:ln>
            <a:effectLst/>
          </c:spPr>
          <c:invertIfNegative val="0"/>
          <c:dLbls>
            <c:delete val="1"/>
          </c:dLbls>
          <c:cat>
            <c:numRef>
              <c:f>'DPTC 43'!$B$4:$K$4</c:f>
              <c:numCache>
                <c:formatCode>General</c:formatCode>
                <c:ptCount val="10"/>
                <c:pt idx="0">
                  <c:v>2015</c:v>
                </c:pt>
                <c:pt idx="1">
                  <c:v>2016</c:v>
                </c:pt>
                <c:pt idx="2">
                  <c:v>2017</c:v>
                </c:pt>
                <c:pt idx="3">
                  <c:v>2018</c:v>
                </c:pt>
                <c:pt idx="4">
                  <c:v>2019</c:v>
                </c:pt>
                <c:pt idx="5">
                  <c:v>2020</c:v>
                </c:pt>
                <c:pt idx="6">
                  <c:v>2021</c:v>
                </c:pt>
                <c:pt idx="7">
                  <c:v>2022</c:v>
                </c:pt>
                <c:pt idx="8">
                  <c:v>2023</c:v>
                </c:pt>
                <c:pt idx="9">
                  <c:v>2024</c:v>
                </c:pt>
              </c:numCache>
            </c:numRef>
          </c:cat>
          <c:val>
            <c:numRef>
              <c:f>'DPTC 43'!$B$11:$K$11</c:f>
              <c:numCache>
                <c:formatCode>#,##0</c:formatCode>
                <c:ptCount val="10"/>
                <c:pt idx="0">
                  <c:v>223.2</c:v>
                </c:pt>
                <c:pt idx="1">
                  <c:v>111.53</c:v>
                </c:pt>
                <c:pt idx="2">
                  <c:v>74.38</c:v>
                </c:pt>
                <c:pt idx="3">
                  <c:v>90.29</c:v>
                </c:pt>
                <c:pt idx="4">
                  <c:v>96.56</c:v>
                </c:pt>
                <c:pt idx="5">
                  <c:v>265.05</c:v>
                </c:pt>
                <c:pt idx="6">
                  <c:v>125.27</c:v>
                </c:pt>
                <c:pt idx="7">
                  <c:v>166.71</c:v>
                </c:pt>
                <c:pt idx="8">
                  <c:v>154.52011036744807</c:v>
                </c:pt>
                <c:pt idx="9">
                  <c:v>941.08486155986179</c:v>
                </c:pt>
              </c:numCache>
            </c:numRef>
          </c:val>
          <c:extLst>
            <c:ext xmlns:c16="http://schemas.microsoft.com/office/drawing/2014/chart" uri="{C3380CC4-5D6E-409C-BE32-E72D297353CC}">
              <c16:uniqueId val="{00000006-60CE-4F2F-8AED-BDAA43DF9237}"/>
            </c:ext>
          </c:extLst>
        </c:ser>
        <c:dLbls>
          <c:dLblPos val="ctr"/>
          <c:showLegendKey val="0"/>
          <c:showVal val="1"/>
          <c:showCatName val="0"/>
          <c:showSerName val="0"/>
          <c:showPercent val="0"/>
          <c:showBubbleSize val="0"/>
        </c:dLbls>
        <c:gapWidth val="24"/>
        <c:overlap val="100"/>
        <c:axId val="196618288"/>
        <c:axId val="196619248"/>
      </c:barChart>
      <c:catAx>
        <c:axId val="1966182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PE"/>
          </a:p>
        </c:txPr>
        <c:crossAx val="196619248"/>
        <c:crosses val="autoZero"/>
        <c:auto val="1"/>
        <c:lblAlgn val="ctr"/>
        <c:lblOffset val="100"/>
        <c:noMultiLvlLbl val="0"/>
      </c:catAx>
      <c:valAx>
        <c:axId val="196619248"/>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s-PE"/>
                  <a:t>Miles</a:t>
                </a:r>
                <a:r>
                  <a:rPr lang="es-PE" baseline="0"/>
                  <a:t> de Barriles</a:t>
                </a:r>
                <a:endParaRPr lang="es-PE"/>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s-PE"/>
            </a:p>
          </c:txPr>
        </c:title>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PE"/>
          </a:p>
        </c:txPr>
        <c:crossAx val="19661828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P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PE"/>
    </a:p>
  </c:txPr>
  <c:printSettings>
    <c:headerFooter/>
    <c:pageMargins b="0.75" l="0.7" r="0.7" t="0.75" header="0.3" footer="0.3"/>
    <c:pageSetup/>
  </c:printSettings>
</c:chartSpace>
</file>

<file path=xl/charts/chart3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4898343240691753"/>
          <c:y val="5.0749711649365627E-2"/>
          <c:w val="0.8220310603467057"/>
          <c:h val="0.62141503054476277"/>
        </c:manualLayout>
      </c:layout>
      <c:barChart>
        <c:barDir val="col"/>
        <c:grouping val="stacked"/>
        <c:varyColors val="0"/>
        <c:ser>
          <c:idx val="1"/>
          <c:order val="0"/>
          <c:tx>
            <c:strRef>
              <c:f>'DPTC 44'!$A$5</c:f>
              <c:strCache>
                <c:ptCount val="1"/>
                <c:pt idx="0">
                  <c:v>CRUDO</c:v>
                </c:pt>
              </c:strCache>
            </c:strRef>
          </c:tx>
          <c:spPr>
            <a:solidFill>
              <a:schemeClr val="accent3"/>
            </a:solidFill>
            <a:ln>
              <a:noFill/>
            </a:ln>
            <a:effectLst/>
          </c:spPr>
          <c:invertIfNegative val="0"/>
          <c:dLbls>
            <c:delete val="1"/>
          </c:dLbls>
          <c:cat>
            <c:numRef>
              <c:f>'DPTC 44'!$B$14:$K$14</c:f>
              <c:numCache>
                <c:formatCode>General</c:formatCode>
                <c:ptCount val="10"/>
                <c:pt idx="0">
                  <c:v>2015</c:v>
                </c:pt>
                <c:pt idx="1">
                  <c:v>2016</c:v>
                </c:pt>
                <c:pt idx="2">
                  <c:v>2017</c:v>
                </c:pt>
                <c:pt idx="3">
                  <c:v>2018</c:v>
                </c:pt>
                <c:pt idx="4">
                  <c:v>2019</c:v>
                </c:pt>
                <c:pt idx="5">
                  <c:v>2020</c:v>
                </c:pt>
                <c:pt idx="6">
                  <c:v>2021</c:v>
                </c:pt>
                <c:pt idx="7">
                  <c:v>2022</c:v>
                </c:pt>
                <c:pt idx="8">
                  <c:v>2023</c:v>
                </c:pt>
                <c:pt idx="9">
                  <c:v>2024</c:v>
                </c:pt>
              </c:numCache>
            </c:numRef>
          </c:cat>
          <c:val>
            <c:numRef>
              <c:f>'DPTC 44'!$B$15:$K$15</c:f>
              <c:numCache>
                <c:formatCode>#,##0</c:formatCode>
                <c:ptCount val="10"/>
                <c:pt idx="0">
                  <c:v>120.07132</c:v>
                </c:pt>
                <c:pt idx="1">
                  <c:v>24.015810000000002</c:v>
                </c:pt>
                <c:pt idx="2">
                  <c:v>25.644310000000001</c:v>
                </c:pt>
                <c:pt idx="3">
                  <c:v>138.87388000000001</c:v>
                </c:pt>
                <c:pt idx="4">
                  <c:v>121.9524</c:v>
                </c:pt>
                <c:pt idx="5">
                  <c:v>151.65941000000001</c:v>
                </c:pt>
                <c:pt idx="6">
                  <c:v>289.65734000000003</c:v>
                </c:pt>
                <c:pt idx="7">
                  <c:v>521.69416999999999</c:v>
                </c:pt>
                <c:pt idx="8">
                  <c:v>224.84737754058838</c:v>
                </c:pt>
                <c:pt idx="9">
                  <c:v>322.33565735000008</c:v>
                </c:pt>
              </c:numCache>
            </c:numRef>
          </c:val>
          <c:extLst>
            <c:ext xmlns:c16="http://schemas.microsoft.com/office/drawing/2014/chart" uri="{C3380CC4-5D6E-409C-BE32-E72D297353CC}">
              <c16:uniqueId val="{00000000-1C8F-4CA8-93C7-C2CA18852AD2}"/>
            </c:ext>
          </c:extLst>
        </c:ser>
        <c:ser>
          <c:idx val="2"/>
          <c:order val="1"/>
          <c:tx>
            <c:strRef>
              <c:f>'DPTC 44'!$A$6</c:f>
              <c:strCache>
                <c:ptCount val="1"/>
                <c:pt idx="0">
                  <c:v>GAS  NATURAL</c:v>
                </c:pt>
              </c:strCache>
            </c:strRef>
          </c:tx>
          <c:spPr>
            <a:solidFill>
              <a:schemeClr val="accent5"/>
            </a:solidFill>
            <a:ln>
              <a:noFill/>
            </a:ln>
            <a:effectLst/>
          </c:spPr>
          <c:invertIfNegative val="0"/>
          <c:dLbls>
            <c:numFmt formatCode="#,##0" sourceLinked="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bg1"/>
                    </a:solidFill>
                    <a:latin typeface="+mn-lt"/>
                    <a:ea typeface="+mn-ea"/>
                    <a:cs typeface="+mn-cs"/>
                  </a:defRPr>
                </a:pPr>
                <a:endParaRPr lang="es-P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'DPTC 44'!$B$14:$K$14</c:f>
              <c:numCache>
                <c:formatCode>General</c:formatCode>
                <c:ptCount val="10"/>
                <c:pt idx="0">
                  <c:v>2015</c:v>
                </c:pt>
                <c:pt idx="1">
                  <c:v>2016</c:v>
                </c:pt>
                <c:pt idx="2">
                  <c:v>2017</c:v>
                </c:pt>
                <c:pt idx="3">
                  <c:v>2018</c:v>
                </c:pt>
                <c:pt idx="4">
                  <c:v>2019</c:v>
                </c:pt>
                <c:pt idx="5">
                  <c:v>2020</c:v>
                </c:pt>
                <c:pt idx="6">
                  <c:v>2021</c:v>
                </c:pt>
                <c:pt idx="7">
                  <c:v>2022</c:v>
                </c:pt>
                <c:pt idx="8">
                  <c:v>2023</c:v>
                </c:pt>
                <c:pt idx="9">
                  <c:v>2024</c:v>
                </c:pt>
              </c:numCache>
            </c:numRef>
          </c:cat>
          <c:val>
            <c:numRef>
              <c:f>'DPTC 44'!$B$16:$K$16</c:f>
              <c:numCache>
                <c:formatCode>#,##0</c:formatCode>
                <c:ptCount val="10"/>
                <c:pt idx="0">
                  <c:v>449.07521999999994</c:v>
                </c:pt>
                <c:pt idx="1">
                  <c:v>522.17153000000008</c:v>
                </c:pt>
                <c:pt idx="2">
                  <c:v>747.85937999999999</c:v>
                </c:pt>
                <c:pt idx="3">
                  <c:v>998.64589999999998</c:v>
                </c:pt>
                <c:pt idx="4">
                  <c:v>600.4968100000001</c:v>
                </c:pt>
                <c:pt idx="5">
                  <c:v>599.33235999999999</c:v>
                </c:pt>
                <c:pt idx="6">
                  <c:v>1781.84528</c:v>
                </c:pt>
                <c:pt idx="7">
                  <c:v>2692.4579399999998</c:v>
                </c:pt>
                <c:pt idx="8">
                  <c:v>1572.2044900000001</c:v>
                </c:pt>
                <c:pt idx="9">
                  <c:v>1536.6816310099998</c:v>
                </c:pt>
              </c:numCache>
            </c:numRef>
          </c:val>
          <c:extLst>
            <c:ext xmlns:c16="http://schemas.microsoft.com/office/drawing/2014/chart" uri="{C3380CC4-5D6E-409C-BE32-E72D297353CC}">
              <c16:uniqueId val="{00000001-1C8F-4CA8-93C7-C2CA18852AD2}"/>
            </c:ext>
          </c:extLst>
        </c:ser>
        <c:ser>
          <c:idx val="3"/>
          <c:order val="2"/>
          <c:tx>
            <c:strRef>
              <c:f>'DPTC 44'!$A$7</c:f>
              <c:strCache>
                <c:ptCount val="1"/>
                <c:pt idx="0">
                  <c:v>GLP/PROPANO /BUTANO</c:v>
                </c:pt>
              </c:strCache>
            </c:strRef>
          </c:tx>
          <c:spPr>
            <a:solidFill>
              <a:schemeClr val="accent1">
                <a:lumMod val="60000"/>
              </a:schemeClr>
            </a:solidFill>
            <a:ln>
              <a:noFill/>
            </a:ln>
            <a:effectLst/>
          </c:spPr>
          <c:invertIfNegative val="0"/>
          <c:dLbls>
            <c:delete val="1"/>
          </c:dLbls>
          <c:cat>
            <c:numRef>
              <c:f>'DPTC 44'!$B$14:$K$14</c:f>
              <c:numCache>
                <c:formatCode>General</c:formatCode>
                <c:ptCount val="10"/>
                <c:pt idx="0">
                  <c:v>2015</c:v>
                </c:pt>
                <c:pt idx="1">
                  <c:v>2016</c:v>
                </c:pt>
                <c:pt idx="2">
                  <c:v>2017</c:v>
                </c:pt>
                <c:pt idx="3">
                  <c:v>2018</c:v>
                </c:pt>
                <c:pt idx="4">
                  <c:v>2019</c:v>
                </c:pt>
                <c:pt idx="5">
                  <c:v>2020</c:v>
                </c:pt>
                <c:pt idx="6">
                  <c:v>2021</c:v>
                </c:pt>
                <c:pt idx="7">
                  <c:v>2022</c:v>
                </c:pt>
                <c:pt idx="8">
                  <c:v>2023</c:v>
                </c:pt>
                <c:pt idx="9">
                  <c:v>2024</c:v>
                </c:pt>
              </c:numCache>
            </c:numRef>
          </c:cat>
          <c:val>
            <c:numRef>
              <c:f>'DPTC 44'!$B$17:$J$17</c:f>
              <c:numCache>
                <c:formatCode>#,##0</c:formatCode>
                <c:ptCount val="9"/>
                <c:pt idx="0">
                  <c:v>34.427769999999995</c:v>
                </c:pt>
                <c:pt idx="1">
                  <c:v>32.047069999999998</c:v>
                </c:pt>
                <c:pt idx="2">
                  <c:v>31.875490000000003</c:v>
                </c:pt>
                <c:pt idx="3">
                  <c:v>4.1927899999999996</c:v>
                </c:pt>
                <c:pt idx="4">
                  <c:v>0</c:v>
                </c:pt>
                <c:pt idx="5">
                  <c:v>39.05039</c:v>
                </c:pt>
                <c:pt idx="6">
                  <c:v>0</c:v>
                </c:pt>
                <c:pt idx="7">
                  <c:v>0</c:v>
                </c:pt>
                <c:pt idx="8">
                  <c:v>0</c:v>
                </c:pt>
              </c:numCache>
            </c:numRef>
          </c:val>
          <c:extLst>
            <c:ext xmlns:c16="http://schemas.microsoft.com/office/drawing/2014/chart" uri="{C3380CC4-5D6E-409C-BE32-E72D297353CC}">
              <c16:uniqueId val="{00000002-1C8F-4CA8-93C7-C2CA18852AD2}"/>
            </c:ext>
          </c:extLst>
        </c:ser>
        <c:ser>
          <c:idx val="4"/>
          <c:order val="3"/>
          <c:tx>
            <c:strRef>
              <c:f>'DPTC 44'!$A$9</c:f>
              <c:strCache>
                <c:ptCount val="1"/>
                <c:pt idx="0">
                  <c:v>DESTILADOS MEDIOS</c:v>
                </c:pt>
              </c:strCache>
            </c:strRef>
          </c:tx>
          <c:spPr>
            <a:solidFill>
              <a:schemeClr val="accent3">
                <a:lumMod val="60000"/>
              </a:schemeClr>
            </a:solidFill>
            <a:ln>
              <a:noFill/>
            </a:ln>
            <a:effectLst/>
          </c:spPr>
          <c:invertIfNegative val="0"/>
          <c:dLbls>
            <c:numFmt formatCode="#,##0" sourceLinked="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bg1"/>
                    </a:solidFill>
                    <a:latin typeface="+mn-lt"/>
                    <a:ea typeface="+mn-ea"/>
                    <a:cs typeface="+mn-cs"/>
                  </a:defRPr>
                </a:pPr>
                <a:endParaRPr lang="es-P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'DPTC 44'!$B$14:$K$14</c:f>
              <c:numCache>
                <c:formatCode>General</c:formatCode>
                <c:ptCount val="10"/>
                <c:pt idx="0">
                  <c:v>2015</c:v>
                </c:pt>
                <c:pt idx="1">
                  <c:v>2016</c:v>
                </c:pt>
                <c:pt idx="2">
                  <c:v>2017</c:v>
                </c:pt>
                <c:pt idx="3">
                  <c:v>2018</c:v>
                </c:pt>
                <c:pt idx="4">
                  <c:v>2019</c:v>
                </c:pt>
                <c:pt idx="5">
                  <c:v>2020</c:v>
                </c:pt>
                <c:pt idx="6">
                  <c:v>2021</c:v>
                </c:pt>
                <c:pt idx="7">
                  <c:v>2022</c:v>
                </c:pt>
                <c:pt idx="8">
                  <c:v>2023</c:v>
                </c:pt>
                <c:pt idx="9">
                  <c:v>2024</c:v>
                </c:pt>
              </c:numCache>
            </c:numRef>
          </c:cat>
          <c:val>
            <c:numRef>
              <c:f>'DPTC 44'!$B$18:$K$18</c:f>
              <c:numCache>
                <c:formatCode>#,##0</c:formatCode>
                <c:ptCount val="10"/>
                <c:pt idx="0">
                  <c:v>860.19763</c:v>
                </c:pt>
                <c:pt idx="1">
                  <c:v>789.71014000000002</c:v>
                </c:pt>
                <c:pt idx="2">
                  <c:v>1091.3664099999999</c:v>
                </c:pt>
                <c:pt idx="3">
                  <c:v>1182.0515800000001</c:v>
                </c:pt>
                <c:pt idx="4">
                  <c:v>883.04986999999994</c:v>
                </c:pt>
                <c:pt idx="5">
                  <c:v>533.14528000000007</c:v>
                </c:pt>
                <c:pt idx="6">
                  <c:v>904.70983000000001</c:v>
                </c:pt>
                <c:pt idx="7">
                  <c:v>1063.4843899999998</c:v>
                </c:pt>
                <c:pt idx="8">
                  <c:v>855.74537241363521</c:v>
                </c:pt>
                <c:pt idx="9">
                  <c:v>711.11491461999992</c:v>
                </c:pt>
              </c:numCache>
            </c:numRef>
          </c:val>
          <c:extLst>
            <c:ext xmlns:c16="http://schemas.microsoft.com/office/drawing/2014/chart" uri="{C3380CC4-5D6E-409C-BE32-E72D297353CC}">
              <c16:uniqueId val="{00000003-1C8F-4CA8-93C7-C2CA18852AD2}"/>
            </c:ext>
          </c:extLst>
        </c:ser>
        <c:ser>
          <c:idx val="0"/>
          <c:order val="4"/>
          <c:tx>
            <c:strRef>
              <c:f>'DPTC 44'!$A$9</c:f>
              <c:strCache>
                <c:ptCount val="1"/>
                <c:pt idx="0">
                  <c:v>DESTILADOS MEDIOS</c:v>
                </c:pt>
              </c:strCache>
            </c:strRef>
          </c:tx>
          <c:spPr>
            <a:solidFill>
              <a:schemeClr val="accent1"/>
            </a:solidFill>
            <a:ln>
              <a:noFill/>
            </a:ln>
            <a:effectLst/>
          </c:spPr>
          <c:invertIfNegative val="0"/>
          <c:dLbls>
            <c:numFmt formatCode="#,##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es-P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'DPTC 44'!$B$14:$K$14</c:f>
              <c:numCache>
                <c:formatCode>General</c:formatCode>
                <c:ptCount val="10"/>
                <c:pt idx="0">
                  <c:v>2015</c:v>
                </c:pt>
                <c:pt idx="1">
                  <c:v>2016</c:v>
                </c:pt>
                <c:pt idx="2">
                  <c:v>2017</c:v>
                </c:pt>
                <c:pt idx="3">
                  <c:v>2018</c:v>
                </c:pt>
                <c:pt idx="4">
                  <c:v>2019</c:v>
                </c:pt>
                <c:pt idx="5">
                  <c:v>2020</c:v>
                </c:pt>
                <c:pt idx="6">
                  <c:v>2021</c:v>
                </c:pt>
                <c:pt idx="7">
                  <c:v>2022</c:v>
                </c:pt>
                <c:pt idx="8">
                  <c:v>2023</c:v>
                </c:pt>
                <c:pt idx="9">
                  <c:v>2024</c:v>
                </c:pt>
              </c:numCache>
            </c:numRef>
          </c:cat>
          <c:val>
            <c:numRef>
              <c:f>'DPTC 44'!$B$19:$K$19</c:f>
              <c:numCache>
                <c:formatCode>#,##0</c:formatCode>
                <c:ptCount val="10"/>
                <c:pt idx="0">
                  <c:v>436.80903999999998</c:v>
                </c:pt>
                <c:pt idx="1">
                  <c:v>449.35664000000003</c:v>
                </c:pt>
                <c:pt idx="2">
                  <c:v>589.75560999999993</c:v>
                </c:pt>
                <c:pt idx="3">
                  <c:v>783.49605000000008</c:v>
                </c:pt>
                <c:pt idx="4">
                  <c:v>677.92379000000005</c:v>
                </c:pt>
                <c:pt idx="5">
                  <c:v>600.19988999999998</c:v>
                </c:pt>
                <c:pt idx="6">
                  <c:v>399.12589000000003</c:v>
                </c:pt>
                <c:pt idx="7">
                  <c:v>834.33368000000007</c:v>
                </c:pt>
                <c:pt idx="8">
                  <c:v>565.79681251879038</c:v>
                </c:pt>
                <c:pt idx="9">
                  <c:v>636.38705485700063</c:v>
                </c:pt>
              </c:numCache>
            </c:numRef>
          </c:val>
          <c:extLst>
            <c:ext xmlns:c16="http://schemas.microsoft.com/office/drawing/2014/chart" uri="{C3380CC4-5D6E-409C-BE32-E72D297353CC}">
              <c16:uniqueId val="{00000004-1C8F-4CA8-93C7-C2CA18852AD2}"/>
            </c:ext>
          </c:extLst>
        </c:ser>
        <c:ser>
          <c:idx val="5"/>
          <c:order val="5"/>
          <c:tx>
            <c:strRef>
              <c:f>'DPTC 44'!$A$10</c:f>
              <c:strCache>
                <c:ptCount val="1"/>
                <c:pt idx="0">
                  <c:v>RESIDUALES/ IFO/ FUEL OIL</c:v>
                </c:pt>
              </c:strCache>
            </c:strRef>
          </c:tx>
          <c:spPr>
            <a:solidFill>
              <a:schemeClr val="accent5">
                <a:lumMod val="6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es-P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'DPTC 44'!$B$14:$K$14</c:f>
              <c:numCache>
                <c:formatCode>General</c:formatCode>
                <c:ptCount val="10"/>
                <c:pt idx="0">
                  <c:v>2015</c:v>
                </c:pt>
                <c:pt idx="1">
                  <c:v>2016</c:v>
                </c:pt>
                <c:pt idx="2">
                  <c:v>2017</c:v>
                </c:pt>
                <c:pt idx="3">
                  <c:v>2018</c:v>
                </c:pt>
                <c:pt idx="4">
                  <c:v>2019</c:v>
                </c:pt>
                <c:pt idx="5">
                  <c:v>2020</c:v>
                </c:pt>
                <c:pt idx="6">
                  <c:v>2021</c:v>
                </c:pt>
                <c:pt idx="7">
                  <c:v>2022</c:v>
                </c:pt>
                <c:pt idx="8">
                  <c:v>2023</c:v>
                </c:pt>
                <c:pt idx="9">
                  <c:v>2024</c:v>
                </c:pt>
              </c:numCache>
            </c:numRef>
          </c:cat>
          <c:val>
            <c:numRef>
              <c:f>'DPTC 44'!$B$20:$K$20</c:f>
              <c:numCache>
                <c:formatCode>#,##0</c:formatCode>
                <c:ptCount val="10"/>
                <c:pt idx="0">
                  <c:v>385.14508000000001</c:v>
                </c:pt>
                <c:pt idx="1">
                  <c:v>406.79001</c:v>
                </c:pt>
                <c:pt idx="2">
                  <c:v>727.71901000000003</c:v>
                </c:pt>
                <c:pt idx="3">
                  <c:v>1004.7106</c:v>
                </c:pt>
                <c:pt idx="4">
                  <c:v>730.01886999999999</c:v>
                </c:pt>
                <c:pt idx="5">
                  <c:v>238.63531</c:v>
                </c:pt>
                <c:pt idx="6">
                  <c:v>584.20326</c:v>
                </c:pt>
                <c:pt idx="7">
                  <c:v>765.35948999999994</c:v>
                </c:pt>
                <c:pt idx="8">
                  <c:v>947.98292636871338</c:v>
                </c:pt>
                <c:pt idx="9">
                  <c:v>770.22556587999986</c:v>
                </c:pt>
              </c:numCache>
            </c:numRef>
          </c:val>
          <c:extLst>
            <c:ext xmlns:c16="http://schemas.microsoft.com/office/drawing/2014/chart" uri="{C3380CC4-5D6E-409C-BE32-E72D297353CC}">
              <c16:uniqueId val="{00000005-1C8F-4CA8-93C7-C2CA18852AD2}"/>
            </c:ext>
          </c:extLst>
        </c:ser>
        <c:ser>
          <c:idx val="6"/>
          <c:order val="6"/>
          <c:tx>
            <c:strRef>
              <c:f>'DPTC 44'!$A$11</c:f>
              <c:strCache>
                <c:ptCount val="1"/>
                <c:pt idx="0">
                  <c:v>OTROS</c:v>
                </c:pt>
              </c:strCache>
            </c:strRef>
          </c:tx>
          <c:spPr>
            <a:solidFill>
              <a:schemeClr val="accent4"/>
            </a:solidFill>
            <a:ln>
              <a:noFill/>
            </a:ln>
            <a:effectLst/>
          </c:spPr>
          <c:invertIfNegative val="0"/>
          <c:dLbls>
            <c:delete val="1"/>
          </c:dLbls>
          <c:cat>
            <c:numRef>
              <c:f>'DPTC 44'!$B$14:$K$14</c:f>
              <c:numCache>
                <c:formatCode>General</c:formatCode>
                <c:ptCount val="10"/>
                <c:pt idx="0">
                  <c:v>2015</c:v>
                </c:pt>
                <c:pt idx="1">
                  <c:v>2016</c:v>
                </c:pt>
                <c:pt idx="2">
                  <c:v>2017</c:v>
                </c:pt>
                <c:pt idx="3">
                  <c:v>2018</c:v>
                </c:pt>
                <c:pt idx="4">
                  <c:v>2019</c:v>
                </c:pt>
                <c:pt idx="5">
                  <c:v>2020</c:v>
                </c:pt>
                <c:pt idx="6">
                  <c:v>2021</c:v>
                </c:pt>
                <c:pt idx="7">
                  <c:v>2022</c:v>
                </c:pt>
                <c:pt idx="8">
                  <c:v>2023</c:v>
                </c:pt>
                <c:pt idx="9">
                  <c:v>2024</c:v>
                </c:pt>
              </c:numCache>
            </c:numRef>
          </c:cat>
          <c:val>
            <c:numRef>
              <c:f>'DPTC 44'!$B$21:$K$21</c:f>
              <c:numCache>
                <c:formatCode>#,##0</c:formatCode>
                <c:ptCount val="10"/>
                <c:pt idx="0">
                  <c:v>26.988060000000001</c:v>
                </c:pt>
                <c:pt idx="1">
                  <c:v>19.403880000000001</c:v>
                </c:pt>
                <c:pt idx="2">
                  <c:v>17.002569999999999</c:v>
                </c:pt>
                <c:pt idx="3">
                  <c:v>25.212220000000002</c:v>
                </c:pt>
                <c:pt idx="4">
                  <c:v>26.584379999999999</c:v>
                </c:pt>
                <c:pt idx="5">
                  <c:v>22.80545</c:v>
                </c:pt>
                <c:pt idx="6">
                  <c:v>33.306160000000006</c:v>
                </c:pt>
                <c:pt idx="7">
                  <c:v>39.265689999999999</c:v>
                </c:pt>
                <c:pt idx="8">
                  <c:v>48.725531170107423</c:v>
                </c:pt>
                <c:pt idx="9">
                  <c:v>91.773211588000009</c:v>
                </c:pt>
              </c:numCache>
            </c:numRef>
          </c:val>
          <c:extLst>
            <c:ext xmlns:c16="http://schemas.microsoft.com/office/drawing/2014/chart" uri="{C3380CC4-5D6E-409C-BE32-E72D297353CC}">
              <c16:uniqueId val="{00000006-1C8F-4CA8-93C7-C2CA18852AD2}"/>
            </c:ext>
          </c:extLst>
        </c:ser>
        <c:dLbls>
          <c:dLblPos val="ctr"/>
          <c:showLegendKey val="0"/>
          <c:showVal val="1"/>
          <c:showCatName val="0"/>
          <c:showSerName val="0"/>
          <c:showPercent val="0"/>
          <c:showBubbleSize val="0"/>
        </c:dLbls>
        <c:gapWidth val="24"/>
        <c:overlap val="100"/>
        <c:axId val="196618288"/>
        <c:axId val="196619248"/>
      </c:barChart>
      <c:catAx>
        <c:axId val="1966182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PE"/>
          </a:p>
        </c:txPr>
        <c:crossAx val="196619248"/>
        <c:crosses val="autoZero"/>
        <c:auto val="1"/>
        <c:lblAlgn val="ctr"/>
        <c:lblOffset val="100"/>
        <c:noMultiLvlLbl val="0"/>
      </c:catAx>
      <c:valAx>
        <c:axId val="196619248"/>
        <c:scaling>
          <c:orientation val="minMax"/>
          <c:max val="6000"/>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s-PE"/>
                  <a:t>Millones</a:t>
                </a:r>
                <a:r>
                  <a:rPr lang="es-PE" baseline="0"/>
                  <a:t> de Dólares</a:t>
                </a:r>
                <a:endParaRPr lang="es-PE"/>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s-PE"/>
            </a:p>
          </c:txPr>
        </c:title>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PE"/>
          </a:p>
        </c:txPr>
        <c:crossAx val="196618288"/>
        <c:crosses val="autoZero"/>
        <c:crossBetween val="between"/>
      </c:valAx>
      <c:spPr>
        <a:noFill/>
        <a:ln>
          <a:noFill/>
        </a:ln>
        <a:effectLst/>
      </c:spPr>
    </c:plotArea>
    <c:legend>
      <c:legendPos val="b"/>
      <c:layout>
        <c:manualLayout>
          <c:xMode val="edge"/>
          <c:yMode val="edge"/>
          <c:x val="2.6840953181247604E-2"/>
          <c:y val="0.82698053746741862"/>
          <c:w val="0.94104779392694493"/>
          <c:h val="0.1637922422326967"/>
        </c:manualLayout>
      </c:layout>
      <c:overlay val="0"/>
      <c:spPr>
        <a:noFill/>
        <a:ln>
          <a:noFill/>
        </a:ln>
        <a:effectLst/>
      </c:spPr>
      <c:txPr>
        <a:bodyPr rot="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s-P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PE"/>
    </a:p>
  </c:txPr>
  <c:printSettings>
    <c:headerFooter/>
    <c:pageMargins b="0.75" l="0.7" r="0.7" t="0.75" header="0.3" footer="0.3"/>
    <c:pageSetup/>
  </c:printSettings>
</c:chartSpace>
</file>

<file path=xl/charts/chart3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stacked"/>
        <c:varyColors val="0"/>
        <c:ser>
          <c:idx val="3"/>
          <c:order val="0"/>
          <c:tx>
            <c:strRef>
              <c:f>'DPTC 45'!$A$6</c:f>
              <c:strCache>
                <c:ptCount val="1"/>
                <c:pt idx="0">
                  <c:v>Crudo</c:v>
                </c:pt>
              </c:strCache>
            </c:strRef>
          </c:tx>
          <c:spPr>
            <a:solidFill>
              <a:schemeClr val="accent1">
                <a:lumMod val="60000"/>
              </a:schemeClr>
            </a:solidFill>
            <a:ln>
              <a:noFill/>
            </a:ln>
            <a:effectLst/>
          </c:spPr>
          <c:invertIfNegative val="0"/>
          <c:dLbls>
            <c:numFmt formatCode="#,##0" sourceLinked="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bg1"/>
                    </a:solidFill>
                    <a:latin typeface="+mn-lt"/>
                    <a:ea typeface="+mn-ea"/>
                    <a:cs typeface="+mn-cs"/>
                  </a:defRPr>
                </a:pPr>
                <a:endParaRPr lang="es-P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'DPTC 45'!$B$5:$K$5</c:f>
              <c:numCache>
                <c:formatCode>General</c:formatCode>
                <c:ptCount val="10"/>
                <c:pt idx="0">
                  <c:v>2015</c:v>
                </c:pt>
                <c:pt idx="1">
                  <c:v>2016</c:v>
                </c:pt>
                <c:pt idx="2">
                  <c:v>2017</c:v>
                </c:pt>
                <c:pt idx="3">
                  <c:v>2018</c:v>
                </c:pt>
                <c:pt idx="4">
                  <c:v>2019</c:v>
                </c:pt>
                <c:pt idx="5">
                  <c:v>2020</c:v>
                </c:pt>
                <c:pt idx="6">
                  <c:v>2021</c:v>
                </c:pt>
                <c:pt idx="7">
                  <c:v>2022</c:v>
                </c:pt>
                <c:pt idx="8">
                  <c:v>2023</c:v>
                </c:pt>
                <c:pt idx="9">
                  <c:v>2024</c:v>
                </c:pt>
              </c:numCache>
            </c:numRef>
          </c:cat>
          <c:val>
            <c:numRef>
              <c:f>'DPTC 45'!$B$6:$K$6</c:f>
              <c:numCache>
                <c:formatCode>#,##0</c:formatCode>
                <c:ptCount val="10"/>
                <c:pt idx="0">
                  <c:v>31326.81</c:v>
                </c:pt>
                <c:pt idx="1">
                  <c:v>38489.18</c:v>
                </c:pt>
                <c:pt idx="2">
                  <c:v>45735.96</c:v>
                </c:pt>
                <c:pt idx="3">
                  <c:v>41117.129999999997</c:v>
                </c:pt>
                <c:pt idx="4">
                  <c:v>38295.300000000003</c:v>
                </c:pt>
                <c:pt idx="5">
                  <c:v>14891.77</c:v>
                </c:pt>
                <c:pt idx="6">
                  <c:v>24822.41</c:v>
                </c:pt>
                <c:pt idx="7">
                  <c:v>24571.95</c:v>
                </c:pt>
                <c:pt idx="8">
                  <c:v>40890.008595024236</c:v>
                </c:pt>
                <c:pt idx="9">
                  <c:v>46618.378793356904</c:v>
                </c:pt>
              </c:numCache>
            </c:numRef>
          </c:val>
          <c:extLst>
            <c:ext xmlns:c16="http://schemas.microsoft.com/office/drawing/2014/chart" uri="{C3380CC4-5D6E-409C-BE32-E72D297353CC}">
              <c16:uniqueId val="{00000000-40A8-4A3B-B3CD-4F5F20AB8D51}"/>
            </c:ext>
          </c:extLst>
        </c:ser>
        <c:ser>
          <c:idx val="4"/>
          <c:order val="1"/>
          <c:tx>
            <c:strRef>
              <c:f>'DPTC 45'!$A$7</c:f>
              <c:strCache>
                <c:ptCount val="1"/>
                <c:pt idx="0">
                  <c:v>GLP/Propano/Butano</c:v>
                </c:pt>
              </c:strCache>
            </c:strRef>
          </c:tx>
          <c:spPr>
            <a:solidFill>
              <a:schemeClr val="bg2">
                <a:lumMod val="90000"/>
              </a:schemeClr>
            </a:solidFill>
            <a:ln>
              <a:noFill/>
            </a:ln>
            <a:effectLst/>
          </c:spPr>
          <c:invertIfNegative val="0"/>
          <c:dLbls>
            <c:delete val="1"/>
          </c:dLbls>
          <c:cat>
            <c:numRef>
              <c:f>'DPTC 45'!$B$5:$K$5</c:f>
              <c:numCache>
                <c:formatCode>General</c:formatCode>
                <c:ptCount val="10"/>
                <c:pt idx="0">
                  <c:v>2015</c:v>
                </c:pt>
                <c:pt idx="1">
                  <c:v>2016</c:v>
                </c:pt>
                <c:pt idx="2">
                  <c:v>2017</c:v>
                </c:pt>
                <c:pt idx="3">
                  <c:v>2018</c:v>
                </c:pt>
                <c:pt idx="4">
                  <c:v>2019</c:v>
                </c:pt>
                <c:pt idx="5">
                  <c:v>2020</c:v>
                </c:pt>
                <c:pt idx="6">
                  <c:v>2021</c:v>
                </c:pt>
                <c:pt idx="7">
                  <c:v>2022</c:v>
                </c:pt>
                <c:pt idx="8">
                  <c:v>2023</c:v>
                </c:pt>
                <c:pt idx="9">
                  <c:v>2024</c:v>
                </c:pt>
              </c:numCache>
            </c:numRef>
          </c:cat>
          <c:val>
            <c:numRef>
              <c:f>'DPTC 45'!$B$7:$K$7</c:f>
              <c:numCache>
                <c:formatCode>#,##0</c:formatCode>
                <c:ptCount val="10"/>
                <c:pt idx="0">
                  <c:v>1119.18</c:v>
                </c:pt>
                <c:pt idx="1">
                  <c:v>1816.05</c:v>
                </c:pt>
                <c:pt idx="2">
                  <c:v>2491.5300000000002</c:v>
                </c:pt>
                <c:pt idx="3">
                  <c:v>4240.3</c:v>
                </c:pt>
                <c:pt idx="4">
                  <c:v>4052.66</c:v>
                </c:pt>
                <c:pt idx="5">
                  <c:v>4191.82</c:v>
                </c:pt>
                <c:pt idx="6">
                  <c:v>6133.4</c:v>
                </c:pt>
                <c:pt idx="7">
                  <c:v>6814.99</c:v>
                </c:pt>
                <c:pt idx="8">
                  <c:v>5032.4441112254281</c:v>
                </c:pt>
                <c:pt idx="9">
                  <c:v>7182.3481344642096</c:v>
                </c:pt>
              </c:numCache>
            </c:numRef>
          </c:val>
          <c:extLst>
            <c:ext xmlns:c16="http://schemas.microsoft.com/office/drawing/2014/chart" uri="{C3380CC4-5D6E-409C-BE32-E72D297353CC}">
              <c16:uniqueId val="{00000001-40A8-4A3B-B3CD-4F5F20AB8D51}"/>
            </c:ext>
          </c:extLst>
        </c:ser>
        <c:ser>
          <c:idx val="5"/>
          <c:order val="2"/>
          <c:tx>
            <c:strRef>
              <c:f>'DPTC 45'!$A$8</c:f>
              <c:strCache>
                <c:ptCount val="1"/>
                <c:pt idx="0">
                  <c:v>Gasolinas</c:v>
                </c:pt>
              </c:strCache>
            </c:strRef>
          </c:tx>
          <c:spPr>
            <a:solidFill>
              <a:schemeClr val="accent5">
                <a:lumMod val="60000"/>
              </a:schemeClr>
            </a:solidFill>
            <a:ln>
              <a:noFill/>
            </a:ln>
            <a:effectLst/>
          </c:spPr>
          <c:invertIfNegative val="0"/>
          <c:dLbls>
            <c:numFmt formatCode="#,##0" sourceLinked="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bg1"/>
                    </a:solidFill>
                    <a:latin typeface="+mn-lt"/>
                    <a:ea typeface="+mn-ea"/>
                    <a:cs typeface="+mn-cs"/>
                  </a:defRPr>
                </a:pPr>
                <a:endParaRPr lang="es-P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'DPTC 45'!$B$5:$K$5</c:f>
              <c:numCache>
                <c:formatCode>General</c:formatCode>
                <c:ptCount val="10"/>
                <c:pt idx="0">
                  <c:v>2015</c:v>
                </c:pt>
                <c:pt idx="1">
                  <c:v>2016</c:v>
                </c:pt>
                <c:pt idx="2">
                  <c:v>2017</c:v>
                </c:pt>
                <c:pt idx="3">
                  <c:v>2018</c:v>
                </c:pt>
                <c:pt idx="4">
                  <c:v>2019</c:v>
                </c:pt>
                <c:pt idx="5">
                  <c:v>2020</c:v>
                </c:pt>
                <c:pt idx="6">
                  <c:v>2021</c:v>
                </c:pt>
                <c:pt idx="7">
                  <c:v>2022</c:v>
                </c:pt>
                <c:pt idx="8">
                  <c:v>2023</c:v>
                </c:pt>
                <c:pt idx="9">
                  <c:v>2024</c:v>
                </c:pt>
              </c:numCache>
            </c:numRef>
          </c:cat>
          <c:val>
            <c:numRef>
              <c:f>'DPTC 45'!$B$8:$K$8</c:f>
              <c:numCache>
                <c:formatCode>#,##0</c:formatCode>
                <c:ptCount val="10"/>
                <c:pt idx="0">
                  <c:v>5063.3599999999997</c:v>
                </c:pt>
                <c:pt idx="1">
                  <c:v>6979.09</c:v>
                </c:pt>
                <c:pt idx="2">
                  <c:v>7776.87</c:v>
                </c:pt>
                <c:pt idx="3">
                  <c:v>8428.9</c:v>
                </c:pt>
                <c:pt idx="4">
                  <c:v>6682.49</c:v>
                </c:pt>
                <c:pt idx="5">
                  <c:v>8887.77</c:v>
                </c:pt>
                <c:pt idx="6">
                  <c:v>11900.43</c:v>
                </c:pt>
                <c:pt idx="7">
                  <c:v>11118.15</c:v>
                </c:pt>
                <c:pt idx="8">
                  <c:v>9712.0284882753622</c:v>
                </c:pt>
                <c:pt idx="9">
                  <c:v>7708.9913577415964</c:v>
                </c:pt>
              </c:numCache>
            </c:numRef>
          </c:val>
          <c:extLst>
            <c:ext xmlns:c16="http://schemas.microsoft.com/office/drawing/2014/chart" uri="{C3380CC4-5D6E-409C-BE32-E72D297353CC}">
              <c16:uniqueId val="{00000002-40A8-4A3B-B3CD-4F5F20AB8D51}"/>
            </c:ext>
          </c:extLst>
        </c:ser>
        <c:ser>
          <c:idx val="6"/>
          <c:order val="3"/>
          <c:tx>
            <c:strRef>
              <c:f>'DPTC 45'!$A$9</c:f>
              <c:strCache>
                <c:ptCount val="1"/>
                <c:pt idx="0">
                  <c:v>Destilados Medios</c:v>
                </c:pt>
              </c:strCache>
            </c:strRef>
          </c:tx>
          <c:spPr>
            <a:solidFill>
              <a:schemeClr val="accent1">
                <a:lumMod val="80000"/>
                <a:lumOff val="20000"/>
              </a:schemeClr>
            </a:solidFill>
            <a:ln>
              <a:noFill/>
            </a:ln>
            <a:effectLst/>
          </c:spPr>
          <c:invertIfNegative val="0"/>
          <c:dLbls>
            <c:numFmt formatCode="#,##0" sourceLinked="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bg1"/>
                    </a:solidFill>
                    <a:latin typeface="+mn-lt"/>
                    <a:ea typeface="+mn-ea"/>
                    <a:cs typeface="+mn-cs"/>
                  </a:defRPr>
                </a:pPr>
                <a:endParaRPr lang="es-P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'DPTC 45'!$B$5:$K$5</c:f>
              <c:numCache>
                <c:formatCode>General</c:formatCode>
                <c:ptCount val="10"/>
                <c:pt idx="0">
                  <c:v>2015</c:v>
                </c:pt>
                <c:pt idx="1">
                  <c:v>2016</c:v>
                </c:pt>
                <c:pt idx="2">
                  <c:v>2017</c:v>
                </c:pt>
                <c:pt idx="3">
                  <c:v>2018</c:v>
                </c:pt>
                <c:pt idx="4">
                  <c:v>2019</c:v>
                </c:pt>
                <c:pt idx="5">
                  <c:v>2020</c:v>
                </c:pt>
                <c:pt idx="6">
                  <c:v>2021</c:v>
                </c:pt>
                <c:pt idx="7">
                  <c:v>2022</c:v>
                </c:pt>
                <c:pt idx="8">
                  <c:v>2023</c:v>
                </c:pt>
                <c:pt idx="9">
                  <c:v>2024</c:v>
                </c:pt>
              </c:numCache>
            </c:numRef>
          </c:cat>
          <c:val>
            <c:numRef>
              <c:f>'DPTC 45'!$B$9:$K$9</c:f>
              <c:numCache>
                <c:formatCode>#,##0</c:formatCode>
                <c:ptCount val="10"/>
                <c:pt idx="0">
                  <c:v>22074.73</c:v>
                </c:pt>
                <c:pt idx="1">
                  <c:v>28310.89</c:v>
                </c:pt>
                <c:pt idx="2">
                  <c:v>30881.23</c:v>
                </c:pt>
                <c:pt idx="3">
                  <c:v>29994.93</c:v>
                </c:pt>
                <c:pt idx="4">
                  <c:v>29288.19</c:v>
                </c:pt>
                <c:pt idx="5">
                  <c:v>26958.53</c:v>
                </c:pt>
                <c:pt idx="6">
                  <c:v>32742.65</c:v>
                </c:pt>
                <c:pt idx="7">
                  <c:v>37862.11</c:v>
                </c:pt>
                <c:pt idx="8">
                  <c:v>34488.076961636543</c:v>
                </c:pt>
                <c:pt idx="9">
                  <c:v>31919.929298983305</c:v>
                </c:pt>
              </c:numCache>
            </c:numRef>
          </c:val>
          <c:extLst>
            <c:ext xmlns:c16="http://schemas.microsoft.com/office/drawing/2014/chart" uri="{C3380CC4-5D6E-409C-BE32-E72D297353CC}">
              <c16:uniqueId val="{00000003-40A8-4A3B-B3CD-4F5F20AB8D51}"/>
            </c:ext>
          </c:extLst>
        </c:ser>
        <c:ser>
          <c:idx val="7"/>
          <c:order val="4"/>
          <c:tx>
            <c:strRef>
              <c:f>'DPTC 45'!$A$10</c:f>
              <c:strCache>
                <c:ptCount val="1"/>
                <c:pt idx="0">
                  <c:v>Otros </c:v>
                </c:pt>
              </c:strCache>
            </c:strRef>
          </c:tx>
          <c:spPr>
            <a:solidFill>
              <a:schemeClr val="tx1">
                <a:lumMod val="50000"/>
                <a:lumOff val="50000"/>
              </a:schemeClr>
            </a:solidFill>
            <a:ln>
              <a:noFill/>
            </a:ln>
            <a:effectLst/>
          </c:spPr>
          <c:invertIfNegative val="0"/>
          <c:dLbls>
            <c:delete val="1"/>
          </c:dLbls>
          <c:cat>
            <c:numRef>
              <c:f>'DPTC 45'!$B$5:$K$5</c:f>
              <c:numCache>
                <c:formatCode>General</c:formatCode>
                <c:ptCount val="10"/>
                <c:pt idx="0">
                  <c:v>2015</c:v>
                </c:pt>
                <c:pt idx="1">
                  <c:v>2016</c:v>
                </c:pt>
                <c:pt idx="2">
                  <c:v>2017</c:v>
                </c:pt>
                <c:pt idx="3">
                  <c:v>2018</c:v>
                </c:pt>
                <c:pt idx="4">
                  <c:v>2019</c:v>
                </c:pt>
                <c:pt idx="5">
                  <c:v>2020</c:v>
                </c:pt>
                <c:pt idx="6">
                  <c:v>2021</c:v>
                </c:pt>
                <c:pt idx="7">
                  <c:v>2022</c:v>
                </c:pt>
                <c:pt idx="8">
                  <c:v>2023</c:v>
                </c:pt>
                <c:pt idx="9">
                  <c:v>2024</c:v>
                </c:pt>
              </c:numCache>
            </c:numRef>
          </c:cat>
          <c:val>
            <c:numRef>
              <c:f>'DPTC 45'!$B$10:$K$10</c:f>
              <c:numCache>
                <c:formatCode>#,##0</c:formatCode>
                <c:ptCount val="10"/>
                <c:pt idx="0">
                  <c:v>1117.6400000000001</c:v>
                </c:pt>
                <c:pt idx="1">
                  <c:v>1093.1300000000001</c:v>
                </c:pt>
                <c:pt idx="2">
                  <c:v>1322.87</c:v>
                </c:pt>
                <c:pt idx="3">
                  <c:v>1232.46</c:v>
                </c:pt>
                <c:pt idx="4">
                  <c:v>1187.33</c:v>
                </c:pt>
                <c:pt idx="5">
                  <c:v>1020.43</c:v>
                </c:pt>
                <c:pt idx="6">
                  <c:v>1285.9100000000001</c:v>
                </c:pt>
                <c:pt idx="7">
                  <c:v>1735.14</c:v>
                </c:pt>
                <c:pt idx="8">
                  <c:v>1286.8963794021402</c:v>
                </c:pt>
                <c:pt idx="9">
                  <c:v>1335.1667275698828</c:v>
                </c:pt>
              </c:numCache>
            </c:numRef>
          </c:val>
          <c:extLst>
            <c:ext xmlns:c16="http://schemas.microsoft.com/office/drawing/2014/chart" uri="{C3380CC4-5D6E-409C-BE32-E72D297353CC}">
              <c16:uniqueId val="{00000004-40A8-4A3B-B3CD-4F5F20AB8D51}"/>
            </c:ext>
          </c:extLst>
        </c:ser>
        <c:ser>
          <c:idx val="0"/>
          <c:order val="5"/>
          <c:tx>
            <c:strRef>
              <c:f>'DPTC 45'!$A$11</c:f>
              <c:strCache>
                <c:ptCount val="1"/>
                <c:pt idx="0">
                  <c:v>Residuales/IFO/Fuel Oil </c:v>
                </c:pt>
              </c:strCache>
            </c:strRef>
          </c:tx>
          <c:spPr>
            <a:solidFill>
              <a:srgbClr val="FFC000"/>
            </a:solidFill>
            <a:ln>
              <a:noFill/>
            </a:ln>
            <a:effectLst/>
          </c:spPr>
          <c:invertIfNegative val="0"/>
          <c:dLbls>
            <c:delete val="1"/>
          </c:dLbls>
          <c:cat>
            <c:numRef>
              <c:f>'DPTC 45'!$B$5:$K$5</c:f>
              <c:numCache>
                <c:formatCode>General</c:formatCode>
                <c:ptCount val="10"/>
                <c:pt idx="0">
                  <c:v>2015</c:v>
                </c:pt>
                <c:pt idx="1">
                  <c:v>2016</c:v>
                </c:pt>
                <c:pt idx="2">
                  <c:v>2017</c:v>
                </c:pt>
                <c:pt idx="3">
                  <c:v>2018</c:v>
                </c:pt>
                <c:pt idx="4">
                  <c:v>2019</c:v>
                </c:pt>
                <c:pt idx="5">
                  <c:v>2020</c:v>
                </c:pt>
                <c:pt idx="6">
                  <c:v>2021</c:v>
                </c:pt>
                <c:pt idx="7">
                  <c:v>2022</c:v>
                </c:pt>
                <c:pt idx="8">
                  <c:v>2023</c:v>
                </c:pt>
                <c:pt idx="9">
                  <c:v>2024</c:v>
                </c:pt>
              </c:numCache>
            </c:numRef>
          </c:cat>
          <c:val>
            <c:numRef>
              <c:f>'DPTC 45'!$B$11:$K$11</c:f>
              <c:numCache>
                <c:formatCode>#,##0</c:formatCode>
                <c:ptCount val="10"/>
                <c:pt idx="0">
                  <c:v>0</c:v>
                </c:pt>
                <c:pt idx="1">
                  <c:v>149.65</c:v>
                </c:pt>
                <c:pt idx="2">
                  <c:v>149.86000000000001</c:v>
                </c:pt>
                <c:pt idx="3">
                  <c:v>0</c:v>
                </c:pt>
                <c:pt idx="4">
                  <c:v>207.37</c:v>
                </c:pt>
                <c:pt idx="5">
                  <c:v>201.93</c:v>
                </c:pt>
                <c:pt idx="6">
                  <c:v>368.59</c:v>
                </c:pt>
                <c:pt idx="7">
                  <c:v>120.17</c:v>
                </c:pt>
                <c:pt idx="8">
                  <c:v>356.07024157047272</c:v>
                </c:pt>
                <c:pt idx="9">
                  <c:v>82.005630757549994</c:v>
                </c:pt>
              </c:numCache>
            </c:numRef>
          </c:val>
          <c:extLst>
            <c:ext xmlns:c16="http://schemas.microsoft.com/office/drawing/2014/chart" uri="{C3380CC4-5D6E-409C-BE32-E72D297353CC}">
              <c16:uniqueId val="{00000005-40A8-4A3B-B3CD-4F5F20AB8D51}"/>
            </c:ext>
          </c:extLst>
        </c:ser>
        <c:dLbls>
          <c:dLblPos val="ctr"/>
          <c:showLegendKey val="0"/>
          <c:showVal val="1"/>
          <c:showCatName val="0"/>
          <c:showSerName val="0"/>
          <c:showPercent val="0"/>
          <c:showBubbleSize val="0"/>
        </c:dLbls>
        <c:gapWidth val="24"/>
        <c:overlap val="100"/>
        <c:axId val="196618288"/>
        <c:axId val="196619248"/>
      </c:barChart>
      <c:catAx>
        <c:axId val="1966182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PE"/>
          </a:p>
        </c:txPr>
        <c:crossAx val="196619248"/>
        <c:crosses val="autoZero"/>
        <c:auto val="1"/>
        <c:lblAlgn val="ctr"/>
        <c:lblOffset val="100"/>
        <c:noMultiLvlLbl val="0"/>
      </c:catAx>
      <c:valAx>
        <c:axId val="196619248"/>
        <c:scaling>
          <c:orientation val="minMax"/>
          <c:max val="100000"/>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s-PE"/>
                  <a:t>Miles</a:t>
                </a:r>
                <a:r>
                  <a:rPr lang="es-PE" baseline="0"/>
                  <a:t> de Barriles</a:t>
                </a:r>
                <a:endParaRPr lang="es-PE"/>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s-PE"/>
            </a:p>
          </c:txPr>
        </c:title>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PE"/>
          </a:p>
        </c:txPr>
        <c:crossAx val="19661828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P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PE"/>
    </a:p>
  </c:txPr>
  <c:printSettings>
    <c:headerFooter/>
    <c:pageMargins b="0.75" l="0.7" r="0.7" t="0.75" header="0.3" footer="0.3"/>
    <c:pageSetup/>
  </c:printSettings>
</c:chartSpace>
</file>

<file path=xl/charts/chart3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6099924268359736"/>
          <c:y val="5.087983508669057E-2"/>
          <c:w val="0.81001525007002584"/>
          <c:h val="0.7269468274765678"/>
        </c:manualLayout>
      </c:layout>
      <c:barChart>
        <c:barDir val="col"/>
        <c:grouping val="stacked"/>
        <c:varyColors val="0"/>
        <c:ser>
          <c:idx val="1"/>
          <c:order val="0"/>
          <c:tx>
            <c:strRef>
              <c:f>'DPTC 46'!$A$14</c:f>
              <c:strCache>
                <c:ptCount val="1"/>
                <c:pt idx="0">
                  <c:v>Crudo</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s-P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'DPTC 46'!$B$13:$K$13</c:f>
              <c:numCache>
                <c:formatCode>General</c:formatCode>
                <c:ptCount val="10"/>
                <c:pt idx="0">
                  <c:v>2015</c:v>
                </c:pt>
                <c:pt idx="1">
                  <c:v>2016</c:v>
                </c:pt>
                <c:pt idx="2">
                  <c:v>2017</c:v>
                </c:pt>
                <c:pt idx="3">
                  <c:v>2018</c:v>
                </c:pt>
                <c:pt idx="4">
                  <c:v>2019</c:v>
                </c:pt>
                <c:pt idx="5">
                  <c:v>2020</c:v>
                </c:pt>
                <c:pt idx="6">
                  <c:v>2021</c:v>
                </c:pt>
                <c:pt idx="7">
                  <c:v>2022</c:v>
                </c:pt>
                <c:pt idx="8">
                  <c:v>2023</c:v>
                </c:pt>
                <c:pt idx="9">
                  <c:v>2024</c:v>
                </c:pt>
              </c:numCache>
            </c:numRef>
          </c:cat>
          <c:val>
            <c:numRef>
              <c:f>'DPTC 46'!$B$14:$K$14</c:f>
              <c:numCache>
                <c:formatCode>#,##0</c:formatCode>
                <c:ptCount val="10"/>
                <c:pt idx="0">
                  <c:v>1642.25488</c:v>
                </c:pt>
                <c:pt idx="1">
                  <c:v>1600.6344199999999</c:v>
                </c:pt>
                <c:pt idx="2">
                  <c:v>2458.7991899999997</c:v>
                </c:pt>
                <c:pt idx="3">
                  <c:v>2853.82465</c:v>
                </c:pt>
                <c:pt idx="4">
                  <c:v>2478.9768300000001</c:v>
                </c:pt>
                <c:pt idx="5">
                  <c:v>776.42181999999991</c:v>
                </c:pt>
                <c:pt idx="6">
                  <c:v>1816.48531</c:v>
                </c:pt>
                <c:pt idx="7">
                  <c:v>2493.93345</c:v>
                </c:pt>
                <c:pt idx="8">
                  <c:v>3224.00812</c:v>
                </c:pt>
                <c:pt idx="9">
                  <c:v>3918.2530665760009</c:v>
                </c:pt>
              </c:numCache>
            </c:numRef>
          </c:val>
          <c:extLst>
            <c:ext xmlns:c16="http://schemas.microsoft.com/office/drawing/2014/chart" uri="{C3380CC4-5D6E-409C-BE32-E72D297353CC}">
              <c16:uniqueId val="{00000000-B23F-4154-8FDA-0115D4C8B130}"/>
            </c:ext>
          </c:extLst>
        </c:ser>
        <c:ser>
          <c:idx val="2"/>
          <c:order val="1"/>
          <c:tx>
            <c:strRef>
              <c:f>'DPTC 46'!$A$15</c:f>
              <c:strCache>
                <c:ptCount val="1"/>
                <c:pt idx="0">
                  <c:v>GLP/Propano/Butano</c:v>
                </c:pt>
              </c:strCache>
            </c:strRef>
          </c:tx>
          <c:spPr>
            <a:solidFill>
              <a:schemeClr val="accent5"/>
            </a:solidFill>
            <a:ln>
              <a:noFill/>
            </a:ln>
            <a:effectLst/>
          </c:spPr>
          <c:invertIfNegative val="0"/>
          <c:dLbls>
            <c:delete val="1"/>
          </c:dLbls>
          <c:cat>
            <c:numRef>
              <c:f>'DPTC 46'!$B$13:$K$13</c:f>
              <c:numCache>
                <c:formatCode>General</c:formatCode>
                <c:ptCount val="10"/>
                <c:pt idx="0">
                  <c:v>2015</c:v>
                </c:pt>
                <c:pt idx="1">
                  <c:v>2016</c:v>
                </c:pt>
                <c:pt idx="2">
                  <c:v>2017</c:v>
                </c:pt>
                <c:pt idx="3">
                  <c:v>2018</c:v>
                </c:pt>
                <c:pt idx="4">
                  <c:v>2019</c:v>
                </c:pt>
                <c:pt idx="5">
                  <c:v>2020</c:v>
                </c:pt>
                <c:pt idx="6">
                  <c:v>2021</c:v>
                </c:pt>
                <c:pt idx="7">
                  <c:v>2022</c:v>
                </c:pt>
                <c:pt idx="8">
                  <c:v>2023</c:v>
                </c:pt>
                <c:pt idx="9">
                  <c:v>2024</c:v>
                </c:pt>
              </c:numCache>
            </c:numRef>
          </c:cat>
          <c:val>
            <c:numRef>
              <c:f>'DPTC 46'!$B$15:$K$15</c:f>
              <c:numCache>
                <c:formatCode>#,##0</c:formatCode>
                <c:ptCount val="10"/>
                <c:pt idx="0">
                  <c:v>40.171639999999996</c:v>
                </c:pt>
                <c:pt idx="1">
                  <c:v>60.123609999999999</c:v>
                </c:pt>
                <c:pt idx="2">
                  <c:v>109.99191</c:v>
                </c:pt>
                <c:pt idx="3">
                  <c:v>208.66413</c:v>
                </c:pt>
                <c:pt idx="4">
                  <c:v>137.61538000000002</c:v>
                </c:pt>
                <c:pt idx="5">
                  <c:v>148.55379000000002</c:v>
                </c:pt>
                <c:pt idx="6">
                  <c:v>345.37044000000003</c:v>
                </c:pt>
                <c:pt idx="7">
                  <c:v>414.58296000000001</c:v>
                </c:pt>
                <c:pt idx="8">
                  <c:v>340.56639000000001</c:v>
                </c:pt>
                <c:pt idx="9">
                  <c:v>354.74920978599999</c:v>
                </c:pt>
              </c:numCache>
            </c:numRef>
          </c:val>
          <c:extLst>
            <c:ext xmlns:c16="http://schemas.microsoft.com/office/drawing/2014/chart" uri="{C3380CC4-5D6E-409C-BE32-E72D297353CC}">
              <c16:uniqueId val="{00000001-B23F-4154-8FDA-0115D4C8B130}"/>
            </c:ext>
          </c:extLst>
        </c:ser>
        <c:ser>
          <c:idx val="3"/>
          <c:order val="2"/>
          <c:tx>
            <c:strRef>
              <c:f>'DPTC 46'!$A$16</c:f>
              <c:strCache>
                <c:ptCount val="1"/>
                <c:pt idx="0">
                  <c:v>Gasolinas</c:v>
                </c:pt>
              </c:strCache>
            </c:strRef>
          </c:tx>
          <c:spPr>
            <a:solidFill>
              <a:schemeClr val="accent1">
                <a:lumMod val="60000"/>
              </a:schemeClr>
            </a:solidFill>
            <a:ln>
              <a:noFill/>
            </a:ln>
            <a:effectLst/>
          </c:spPr>
          <c:invertIfNegative val="0"/>
          <c:dLbls>
            <c:numFmt formatCode="#,##0" sourceLinked="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bg1"/>
                    </a:solidFill>
                    <a:latin typeface="+mn-lt"/>
                    <a:ea typeface="+mn-ea"/>
                    <a:cs typeface="+mn-cs"/>
                  </a:defRPr>
                </a:pPr>
                <a:endParaRPr lang="es-P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'DPTC 46'!$B$13:$K$13</c:f>
              <c:numCache>
                <c:formatCode>General</c:formatCode>
                <c:ptCount val="10"/>
                <c:pt idx="0">
                  <c:v>2015</c:v>
                </c:pt>
                <c:pt idx="1">
                  <c:v>2016</c:v>
                </c:pt>
                <c:pt idx="2">
                  <c:v>2017</c:v>
                </c:pt>
                <c:pt idx="3">
                  <c:v>2018</c:v>
                </c:pt>
                <c:pt idx="4">
                  <c:v>2019</c:v>
                </c:pt>
                <c:pt idx="5">
                  <c:v>2020</c:v>
                </c:pt>
                <c:pt idx="6">
                  <c:v>2021</c:v>
                </c:pt>
                <c:pt idx="7">
                  <c:v>2022</c:v>
                </c:pt>
                <c:pt idx="8">
                  <c:v>2023</c:v>
                </c:pt>
                <c:pt idx="9">
                  <c:v>2024</c:v>
                </c:pt>
              </c:numCache>
            </c:numRef>
          </c:cat>
          <c:val>
            <c:numRef>
              <c:f>'DPTC 46'!$B$16:$K$16</c:f>
              <c:numCache>
                <c:formatCode>#,##0</c:formatCode>
                <c:ptCount val="10"/>
                <c:pt idx="0">
                  <c:v>380.89365999999995</c:v>
                </c:pt>
                <c:pt idx="1">
                  <c:v>423.61328000000003</c:v>
                </c:pt>
                <c:pt idx="2">
                  <c:v>559.35212999999999</c:v>
                </c:pt>
                <c:pt idx="3">
                  <c:v>716.83543999999995</c:v>
                </c:pt>
                <c:pt idx="4">
                  <c:v>509.83478000000002</c:v>
                </c:pt>
                <c:pt idx="5">
                  <c:v>491.28915999999998</c:v>
                </c:pt>
                <c:pt idx="6">
                  <c:v>1025.0521200000001</c:v>
                </c:pt>
                <c:pt idx="7">
                  <c:v>1396.4694199999999</c:v>
                </c:pt>
                <c:pt idx="8">
                  <c:v>1193.86796</c:v>
                </c:pt>
                <c:pt idx="9">
                  <c:v>807.29766376700013</c:v>
                </c:pt>
              </c:numCache>
            </c:numRef>
          </c:val>
          <c:extLst>
            <c:ext xmlns:c16="http://schemas.microsoft.com/office/drawing/2014/chart" uri="{C3380CC4-5D6E-409C-BE32-E72D297353CC}">
              <c16:uniqueId val="{00000002-B23F-4154-8FDA-0115D4C8B130}"/>
            </c:ext>
          </c:extLst>
        </c:ser>
        <c:ser>
          <c:idx val="4"/>
          <c:order val="3"/>
          <c:tx>
            <c:strRef>
              <c:f>'DPTC 46'!$A$17</c:f>
              <c:strCache>
                <c:ptCount val="1"/>
                <c:pt idx="0">
                  <c:v>Destilados Medios</c:v>
                </c:pt>
              </c:strCache>
            </c:strRef>
          </c:tx>
          <c:spPr>
            <a:solidFill>
              <a:schemeClr val="accent3">
                <a:lumMod val="60000"/>
              </a:schemeClr>
            </a:solidFill>
            <a:ln>
              <a:noFill/>
            </a:ln>
            <a:effectLst/>
          </c:spPr>
          <c:invertIfNegative val="0"/>
          <c:dLbls>
            <c:numFmt formatCode="#,##0" sourceLinked="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bg1"/>
                    </a:solidFill>
                    <a:latin typeface="+mn-lt"/>
                    <a:ea typeface="+mn-ea"/>
                    <a:cs typeface="+mn-cs"/>
                  </a:defRPr>
                </a:pPr>
                <a:endParaRPr lang="es-P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'DPTC 46'!$B$13:$K$13</c:f>
              <c:numCache>
                <c:formatCode>General</c:formatCode>
                <c:ptCount val="10"/>
                <c:pt idx="0">
                  <c:v>2015</c:v>
                </c:pt>
                <c:pt idx="1">
                  <c:v>2016</c:v>
                </c:pt>
                <c:pt idx="2">
                  <c:v>2017</c:v>
                </c:pt>
                <c:pt idx="3">
                  <c:v>2018</c:v>
                </c:pt>
                <c:pt idx="4">
                  <c:v>2019</c:v>
                </c:pt>
                <c:pt idx="5">
                  <c:v>2020</c:v>
                </c:pt>
                <c:pt idx="6">
                  <c:v>2021</c:v>
                </c:pt>
                <c:pt idx="7">
                  <c:v>2022</c:v>
                </c:pt>
                <c:pt idx="8">
                  <c:v>2023</c:v>
                </c:pt>
                <c:pt idx="9">
                  <c:v>2024</c:v>
                </c:pt>
              </c:numCache>
            </c:numRef>
          </c:cat>
          <c:val>
            <c:numRef>
              <c:f>'DPTC 46'!$B$17:$K$17</c:f>
              <c:numCache>
                <c:formatCode>#,##0</c:formatCode>
                <c:ptCount val="10"/>
                <c:pt idx="0">
                  <c:v>1526.73705</c:v>
                </c:pt>
                <c:pt idx="1">
                  <c:v>1602.7057299999999</c:v>
                </c:pt>
                <c:pt idx="2">
                  <c:v>2047.8096599999999</c:v>
                </c:pt>
                <c:pt idx="3">
                  <c:v>2661.15254</c:v>
                </c:pt>
                <c:pt idx="4">
                  <c:v>2414.3914</c:v>
                </c:pt>
                <c:pt idx="5">
                  <c:v>1551.5530900000001</c:v>
                </c:pt>
                <c:pt idx="6">
                  <c:v>2744.4473800000001</c:v>
                </c:pt>
                <c:pt idx="7">
                  <c:v>5662.1043200000004</c:v>
                </c:pt>
                <c:pt idx="8">
                  <c:v>4020.49269</c:v>
                </c:pt>
                <c:pt idx="9">
                  <c:v>3387.644913866</c:v>
                </c:pt>
              </c:numCache>
            </c:numRef>
          </c:val>
          <c:extLst>
            <c:ext xmlns:c16="http://schemas.microsoft.com/office/drawing/2014/chart" uri="{C3380CC4-5D6E-409C-BE32-E72D297353CC}">
              <c16:uniqueId val="{00000003-B23F-4154-8FDA-0115D4C8B130}"/>
            </c:ext>
          </c:extLst>
        </c:ser>
        <c:ser>
          <c:idx val="0"/>
          <c:order val="4"/>
          <c:tx>
            <c:strRef>
              <c:f>'DPTC 46'!$A$18</c:f>
              <c:strCache>
                <c:ptCount val="1"/>
                <c:pt idx="0">
                  <c:v>Otros </c:v>
                </c:pt>
              </c:strCache>
            </c:strRef>
          </c:tx>
          <c:spPr>
            <a:solidFill>
              <a:schemeClr val="accent2"/>
            </a:solidFill>
            <a:ln>
              <a:noFill/>
            </a:ln>
            <a:effectLst/>
          </c:spPr>
          <c:invertIfNegative val="0"/>
          <c:dLbls>
            <c:delete val="1"/>
          </c:dLbls>
          <c:cat>
            <c:numRef>
              <c:f>'DPTC 46'!$B$13:$K$13</c:f>
              <c:numCache>
                <c:formatCode>General</c:formatCode>
                <c:ptCount val="10"/>
                <c:pt idx="0">
                  <c:v>2015</c:v>
                </c:pt>
                <c:pt idx="1">
                  <c:v>2016</c:v>
                </c:pt>
                <c:pt idx="2">
                  <c:v>2017</c:v>
                </c:pt>
                <c:pt idx="3">
                  <c:v>2018</c:v>
                </c:pt>
                <c:pt idx="4">
                  <c:v>2019</c:v>
                </c:pt>
                <c:pt idx="5">
                  <c:v>2020</c:v>
                </c:pt>
                <c:pt idx="6">
                  <c:v>2021</c:v>
                </c:pt>
                <c:pt idx="7">
                  <c:v>2022</c:v>
                </c:pt>
                <c:pt idx="8">
                  <c:v>2023</c:v>
                </c:pt>
                <c:pt idx="9">
                  <c:v>2024</c:v>
                </c:pt>
              </c:numCache>
            </c:numRef>
          </c:cat>
          <c:val>
            <c:numRef>
              <c:f>'DPTC 46'!$B$18:$K$18</c:f>
              <c:numCache>
                <c:formatCode>#,##0</c:formatCode>
                <c:ptCount val="10"/>
                <c:pt idx="0">
                  <c:v>258.93189000000001</c:v>
                </c:pt>
                <c:pt idx="1">
                  <c:v>276.28593999999998</c:v>
                </c:pt>
                <c:pt idx="2">
                  <c:v>267.39713</c:v>
                </c:pt>
                <c:pt idx="3">
                  <c:v>321.94378999999998</c:v>
                </c:pt>
                <c:pt idx="4">
                  <c:v>310.81900999999999</c:v>
                </c:pt>
                <c:pt idx="5">
                  <c:v>237.69379999999998</c:v>
                </c:pt>
                <c:pt idx="6">
                  <c:v>370.45668999999998</c:v>
                </c:pt>
                <c:pt idx="7">
                  <c:v>533.74880000000007</c:v>
                </c:pt>
                <c:pt idx="8">
                  <c:v>361.83135999999996</c:v>
                </c:pt>
                <c:pt idx="9">
                  <c:v>397.00669291899982</c:v>
                </c:pt>
              </c:numCache>
            </c:numRef>
          </c:val>
          <c:extLst>
            <c:ext xmlns:c16="http://schemas.microsoft.com/office/drawing/2014/chart" uri="{C3380CC4-5D6E-409C-BE32-E72D297353CC}">
              <c16:uniqueId val="{00000004-B23F-4154-8FDA-0115D4C8B130}"/>
            </c:ext>
          </c:extLst>
        </c:ser>
        <c:ser>
          <c:idx val="5"/>
          <c:order val="5"/>
          <c:tx>
            <c:strRef>
              <c:f>'DPTC 46'!$A$19</c:f>
              <c:strCache>
                <c:ptCount val="1"/>
                <c:pt idx="0">
                  <c:v>Residuales/IFO/Fuel Oil </c:v>
                </c:pt>
              </c:strCache>
            </c:strRef>
          </c:tx>
          <c:spPr>
            <a:solidFill>
              <a:srgbClr val="FFC000"/>
            </a:solidFill>
            <a:ln>
              <a:noFill/>
            </a:ln>
            <a:effectLst/>
          </c:spPr>
          <c:invertIfNegative val="0"/>
          <c:dLbls>
            <c:delete val="1"/>
          </c:dLbls>
          <c:cat>
            <c:numRef>
              <c:f>'DPTC 46'!$B$13:$K$13</c:f>
              <c:numCache>
                <c:formatCode>General</c:formatCode>
                <c:ptCount val="10"/>
                <c:pt idx="0">
                  <c:v>2015</c:v>
                </c:pt>
                <c:pt idx="1">
                  <c:v>2016</c:v>
                </c:pt>
                <c:pt idx="2">
                  <c:v>2017</c:v>
                </c:pt>
                <c:pt idx="3">
                  <c:v>2018</c:v>
                </c:pt>
                <c:pt idx="4">
                  <c:v>2019</c:v>
                </c:pt>
                <c:pt idx="5">
                  <c:v>2020</c:v>
                </c:pt>
                <c:pt idx="6">
                  <c:v>2021</c:v>
                </c:pt>
                <c:pt idx="7">
                  <c:v>2022</c:v>
                </c:pt>
                <c:pt idx="8">
                  <c:v>2023</c:v>
                </c:pt>
                <c:pt idx="9">
                  <c:v>2024</c:v>
                </c:pt>
              </c:numCache>
            </c:numRef>
          </c:cat>
          <c:val>
            <c:numRef>
              <c:f>'DPTC 46'!$B$19:$K$19</c:f>
              <c:numCache>
                <c:formatCode>#,##0</c:formatCode>
                <c:ptCount val="10"/>
                <c:pt idx="0">
                  <c:v>0</c:v>
                </c:pt>
                <c:pt idx="1">
                  <c:v>6.2550100000000004</c:v>
                </c:pt>
                <c:pt idx="2">
                  <c:v>7.9364799999999995</c:v>
                </c:pt>
                <c:pt idx="3">
                  <c:v>0</c:v>
                </c:pt>
                <c:pt idx="4">
                  <c:v>13.019770000000001</c:v>
                </c:pt>
                <c:pt idx="5">
                  <c:v>9.3068600000000004</c:v>
                </c:pt>
                <c:pt idx="6">
                  <c:v>25.707650000000001</c:v>
                </c:pt>
                <c:pt idx="7">
                  <c:v>11.90964</c:v>
                </c:pt>
                <c:pt idx="8">
                  <c:v>24.074919999999999</c:v>
                </c:pt>
                <c:pt idx="9">
                  <c:v>7.4423883029999995</c:v>
                </c:pt>
              </c:numCache>
            </c:numRef>
          </c:val>
          <c:extLst>
            <c:ext xmlns:c16="http://schemas.microsoft.com/office/drawing/2014/chart" uri="{C3380CC4-5D6E-409C-BE32-E72D297353CC}">
              <c16:uniqueId val="{00000005-B23F-4154-8FDA-0115D4C8B130}"/>
            </c:ext>
          </c:extLst>
        </c:ser>
        <c:dLbls>
          <c:dLblPos val="ctr"/>
          <c:showLegendKey val="0"/>
          <c:showVal val="1"/>
          <c:showCatName val="0"/>
          <c:showSerName val="0"/>
          <c:showPercent val="0"/>
          <c:showBubbleSize val="0"/>
        </c:dLbls>
        <c:gapWidth val="24"/>
        <c:overlap val="100"/>
        <c:axId val="196618288"/>
        <c:axId val="196619248"/>
      </c:barChart>
      <c:catAx>
        <c:axId val="1966182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PE"/>
          </a:p>
        </c:txPr>
        <c:crossAx val="196619248"/>
        <c:crosses val="autoZero"/>
        <c:auto val="1"/>
        <c:lblAlgn val="ctr"/>
        <c:lblOffset val="100"/>
        <c:noMultiLvlLbl val="0"/>
      </c:catAx>
      <c:valAx>
        <c:axId val="196619248"/>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s-PE"/>
                  <a:t>Millones</a:t>
                </a:r>
                <a:r>
                  <a:rPr lang="es-PE" baseline="0"/>
                  <a:t> de Dólares</a:t>
                </a:r>
                <a:endParaRPr lang="es-PE"/>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s-PE"/>
            </a:p>
          </c:txPr>
        </c:title>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PE"/>
          </a:p>
        </c:txPr>
        <c:crossAx val="196618288"/>
        <c:crosses val="autoZero"/>
        <c:crossBetween val="between"/>
      </c:valAx>
      <c:spPr>
        <a:noFill/>
        <a:ln>
          <a:noFill/>
        </a:ln>
        <a:effectLst/>
      </c:spPr>
    </c:plotArea>
    <c:legend>
      <c:legendPos val="b"/>
      <c:layout>
        <c:manualLayout>
          <c:xMode val="edge"/>
          <c:yMode val="edge"/>
          <c:x val="4.2046621642650397E-2"/>
          <c:y val="0.87858111910142622"/>
          <c:w val="0.93435207950784793"/>
          <c:h val="9.8291683131896054E-2"/>
        </c:manualLayout>
      </c:layout>
      <c:overlay val="0"/>
      <c:spPr>
        <a:noFill/>
        <a:ln>
          <a:noFill/>
        </a:ln>
        <a:effectLst/>
      </c:spPr>
      <c:txPr>
        <a:bodyPr rot="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s-P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PE"/>
    </a:p>
  </c:txPr>
  <c:printSettings>
    <c:headerFooter/>
    <c:pageMargins b="0.75" l="0.7" r="0.7" t="0.75" header="0.3" footer="0.3"/>
    <c:pageSetup/>
  </c:printSettings>
</c:chartSpace>
</file>

<file path=xl/charts/chart3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29585498687664041"/>
          <c:y val="0.18088072324292798"/>
          <c:w val="0.40829002624671917"/>
          <c:h val="0.68048337707786521"/>
        </c:manualLayout>
      </c:layout>
      <c:pie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537D-4522-8CAA-481024A65ABF}"/>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537D-4522-8CAA-481024A65ABF}"/>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537D-4522-8CAA-481024A65ABF}"/>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s-PE"/>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extLst>
                <c:ext xmlns:c15="http://schemas.microsoft.com/office/drawing/2012/chart" uri="{02D57815-91ED-43cb-92C2-25804820EDAC}">
                  <c15:fullRef>
                    <c15:sqref>'DPTC 47'!$A$6:$A$18</c15:sqref>
                  </c15:fullRef>
                </c:ext>
              </c:extLst>
              <c:f>('DPTC 47'!$A$9:$A$10,'DPTC 47'!$A$14)</c:f>
              <c:strCache>
                <c:ptCount val="3"/>
                <c:pt idx="0">
                  <c:v>INDONESIA</c:v>
                </c:pt>
                <c:pt idx="1">
                  <c:v>ESPAÑA</c:v>
                </c:pt>
                <c:pt idx="2">
                  <c:v>CHINA</c:v>
                </c:pt>
              </c:strCache>
            </c:strRef>
          </c:cat>
          <c:val>
            <c:numRef>
              <c:extLst>
                <c:ext xmlns:c15="http://schemas.microsoft.com/office/drawing/2012/chart" uri="{02D57815-91ED-43cb-92C2-25804820EDAC}">
                  <c15:fullRef>
                    <c15:sqref>'DPTC 47'!$K$6:$K$18</c15:sqref>
                  </c15:fullRef>
                </c:ext>
              </c:extLst>
              <c:f>('DPTC 47'!$K$9:$K$10,'DPTC 47'!$K$14)</c:f>
              <c:numCache>
                <c:formatCode>0.00</c:formatCode>
                <c:ptCount val="3"/>
                <c:pt idx="0" formatCode="General">
                  <c:v>157.01</c:v>
                </c:pt>
                <c:pt idx="1">
                  <c:v>149.89192226694351</c:v>
                </c:pt>
                <c:pt idx="2" formatCode="General">
                  <c:v>518.16999999999996</c:v>
                </c:pt>
              </c:numCache>
            </c:numRef>
          </c:val>
          <c:extLst>
            <c:ext xmlns:c15="http://schemas.microsoft.com/office/drawing/2012/chart" uri="{02D57815-91ED-43cb-92C2-25804820EDAC}">
              <c15:categoryFilterExceptions>
                <c15:categoryFilterException>
                  <c15:sqref>'DPTC 47'!$K$6</c15:sqref>
                  <c15:spPr xmlns:c15="http://schemas.microsoft.com/office/drawing/2012/chart">
                    <a:solidFill>
                      <a:schemeClr val="accent1"/>
                    </a:solidFill>
                    <a:ln w="19050">
                      <a:solidFill>
                        <a:schemeClr val="lt1"/>
                      </a:solidFill>
                    </a:ln>
                    <a:effectLst/>
                  </c15:spPr>
                  <c15:bubble3D val="0"/>
                  <c15:dLbl>
                    <c:idx val="-1"/>
                    <c:delete val="1"/>
                    <c:extLst>
                      <c:ext uri="{CE6537A1-D6FC-4f65-9D91-7224C49458BB}"/>
                      <c:ext xmlns:c16="http://schemas.microsoft.com/office/drawing/2014/chart" uri="{C3380CC4-5D6E-409C-BE32-E72D297353CC}">
                        <c16:uniqueId val="{00000007-8740-42C3-8C69-9271837B4461}"/>
                      </c:ext>
                    </c:extLst>
                  </c15:dLbl>
                </c15:categoryFilterException>
                <c15:categoryFilterException>
                  <c15:sqref>'DPTC 47'!$K$7</c15:sqref>
                  <c15:spPr xmlns:c15="http://schemas.microsoft.com/office/drawing/2012/chart">
                    <a:solidFill>
                      <a:schemeClr val="accent2"/>
                    </a:solidFill>
                    <a:ln w="19050">
                      <a:solidFill>
                        <a:schemeClr val="lt1"/>
                      </a:solidFill>
                    </a:ln>
                    <a:effectLst/>
                  </c15:spPr>
                  <c15:bubble3D val="0"/>
                  <c15:dLbl>
                    <c:idx val="-1"/>
                    <c:delete val="1"/>
                    <c:extLst>
                      <c:ext uri="{CE6537A1-D6FC-4f65-9D91-7224C49458BB}"/>
                      <c:ext xmlns:c16="http://schemas.microsoft.com/office/drawing/2014/chart" uri="{C3380CC4-5D6E-409C-BE32-E72D297353CC}">
                        <c16:uniqueId val="{00000009-8740-42C3-8C69-9271837B4461}"/>
                      </c:ext>
                    </c:extLst>
                  </c15:dLbl>
                </c15:categoryFilterException>
                <c15:categoryFilterException>
                  <c15:sqref>'DPTC 47'!$K$8</c15:sqref>
                  <c15:spPr xmlns:c15="http://schemas.microsoft.com/office/drawing/2012/chart">
                    <a:solidFill>
                      <a:schemeClr val="accent3"/>
                    </a:solidFill>
                    <a:ln w="19050">
                      <a:solidFill>
                        <a:schemeClr val="lt1"/>
                      </a:solidFill>
                    </a:ln>
                    <a:effectLst/>
                  </c15:spPr>
                  <c15:bubble3D val="0"/>
                  <c15:dLbl>
                    <c:idx val="-1"/>
                    <c:delete val="1"/>
                    <c:extLst>
                      <c:ext uri="{CE6537A1-D6FC-4f65-9D91-7224C49458BB}"/>
                      <c:ext xmlns:c16="http://schemas.microsoft.com/office/drawing/2014/chart" uri="{C3380CC4-5D6E-409C-BE32-E72D297353CC}">
                        <c16:uniqueId val="{0000000B-8740-42C3-8C69-9271837B4461}"/>
                      </c:ext>
                    </c:extLst>
                  </c15:dLbl>
                </c15:categoryFilterException>
                <c15:categoryFilterException>
                  <c15:sqref>'DPTC 47'!$K$11</c15:sqref>
                  <c15:spPr xmlns:c15="http://schemas.microsoft.com/office/drawing/2012/chart">
                    <a:solidFill>
                      <a:schemeClr val="accent6"/>
                    </a:solidFill>
                    <a:ln w="19050">
                      <a:solidFill>
                        <a:schemeClr val="lt1"/>
                      </a:solidFill>
                    </a:ln>
                    <a:effectLst/>
                  </c15:spPr>
                  <c15:bubble3D val="0"/>
                  <c15:dLbl>
                    <c:idx val="1"/>
                    <c:delete val="1"/>
                    <c:extLst>
                      <c:ext uri="{CE6537A1-D6FC-4f65-9D91-7224C49458BB}"/>
                      <c:ext xmlns:c16="http://schemas.microsoft.com/office/drawing/2014/chart" uri="{C3380CC4-5D6E-409C-BE32-E72D297353CC}">
                        <c16:uniqueId val="{0000000D-8740-42C3-8C69-9271837B4461}"/>
                      </c:ext>
                    </c:extLst>
                  </c15:dLbl>
                </c15:categoryFilterException>
                <c15:categoryFilterException>
                  <c15:sqref>'DPTC 47'!$K$12</c15:sqref>
                  <c15:spPr xmlns:c15="http://schemas.microsoft.com/office/drawing/2012/chart">
                    <a:solidFill>
                      <a:schemeClr val="accent1">
                        <a:lumMod val="60000"/>
                      </a:schemeClr>
                    </a:solidFill>
                    <a:ln w="19050">
                      <a:solidFill>
                        <a:schemeClr val="lt1"/>
                      </a:solidFill>
                    </a:ln>
                    <a:effectLst/>
                  </c15:spPr>
                  <c15:bubble3D val="0"/>
                  <c15:dLbl>
                    <c:idx val="1"/>
                    <c:delete val="1"/>
                    <c:extLst>
                      <c:ext uri="{CE6537A1-D6FC-4f65-9D91-7224C49458BB}"/>
                      <c:ext xmlns:c16="http://schemas.microsoft.com/office/drawing/2014/chart" uri="{C3380CC4-5D6E-409C-BE32-E72D297353CC}">
                        <c16:uniqueId val="{0000000F-8740-42C3-8C69-9271837B4461}"/>
                      </c:ext>
                    </c:extLst>
                  </c15:dLbl>
                </c15:categoryFilterException>
                <c15:categoryFilterException>
                  <c15:sqref>'DPTC 47'!$K$13</c15:sqref>
                  <c15:spPr xmlns:c15="http://schemas.microsoft.com/office/drawing/2012/chart">
                    <a:solidFill>
                      <a:schemeClr val="accent2">
                        <a:lumMod val="60000"/>
                      </a:schemeClr>
                    </a:solidFill>
                    <a:ln w="19050">
                      <a:solidFill>
                        <a:schemeClr val="lt1"/>
                      </a:solidFill>
                    </a:ln>
                    <a:effectLst/>
                  </c15:spPr>
                  <c15:bubble3D val="0"/>
                </c15:categoryFilterException>
                <c15:categoryFilterException>
                  <c15:sqref>'DPTC 47'!$K$15</c15:sqref>
                  <c15:spPr xmlns:c15="http://schemas.microsoft.com/office/drawing/2012/chart">
                    <a:solidFill>
                      <a:schemeClr val="accent4">
                        <a:lumMod val="60000"/>
                      </a:schemeClr>
                    </a:solidFill>
                    <a:ln w="19050">
                      <a:solidFill>
                        <a:schemeClr val="lt1"/>
                      </a:solidFill>
                    </a:ln>
                    <a:effectLst/>
                  </c15:spPr>
                  <c15:bubble3D val="0"/>
                  <c15:dLbl>
                    <c:idx val="2"/>
                    <c:delete val="1"/>
                    <c:extLst>
                      <c:ext uri="{CE6537A1-D6FC-4f65-9D91-7224C49458BB}"/>
                      <c:ext xmlns:c16="http://schemas.microsoft.com/office/drawing/2014/chart" uri="{C3380CC4-5D6E-409C-BE32-E72D297353CC}">
                        <c16:uniqueId val="{00000013-8740-42C3-8C69-9271837B4461}"/>
                      </c:ext>
                    </c:extLst>
                  </c15:dLbl>
                </c15:categoryFilterException>
                <c15:categoryFilterException>
                  <c15:sqref>'DPTC 47'!$K$16</c15:sqref>
                  <c15:spPr xmlns:c15="http://schemas.microsoft.com/office/drawing/2012/chart">
                    <a:solidFill>
                      <a:schemeClr val="accent5">
                        <a:lumMod val="60000"/>
                      </a:schemeClr>
                    </a:solidFill>
                    <a:ln w="19050">
                      <a:solidFill>
                        <a:schemeClr val="lt1"/>
                      </a:solidFill>
                    </a:ln>
                    <a:effectLst/>
                  </c15:spPr>
                  <c15:bubble3D val="0"/>
                  <c15:dLbl>
                    <c:idx val="2"/>
                    <c:delete val="1"/>
                    <c:extLst>
                      <c:ext uri="{CE6537A1-D6FC-4f65-9D91-7224C49458BB}"/>
                      <c:ext xmlns:c16="http://schemas.microsoft.com/office/drawing/2014/chart" uri="{C3380CC4-5D6E-409C-BE32-E72D297353CC}">
                        <c16:uniqueId val="{00000015-8740-42C3-8C69-9271837B4461}"/>
                      </c:ext>
                    </c:extLst>
                  </c15:dLbl>
                </c15:categoryFilterException>
                <c15:categoryFilterException>
                  <c15:sqref>'DPTC 47'!$K$17</c15:sqref>
                  <c15:spPr xmlns:c15="http://schemas.microsoft.com/office/drawing/2012/chart">
                    <a:solidFill>
                      <a:schemeClr val="accent6">
                        <a:lumMod val="60000"/>
                      </a:schemeClr>
                    </a:solidFill>
                    <a:ln w="19050">
                      <a:solidFill>
                        <a:schemeClr val="lt1"/>
                      </a:solidFill>
                    </a:ln>
                    <a:effectLst/>
                  </c15:spPr>
                  <c15:bubble3D val="0"/>
                  <c15:dLbl>
                    <c:idx val="2"/>
                    <c:delete val="1"/>
                    <c:extLst>
                      <c:ext uri="{CE6537A1-D6FC-4f65-9D91-7224C49458BB}"/>
                      <c:ext xmlns:c16="http://schemas.microsoft.com/office/drawing/2014/chart" uri="{C3380CC4-5D6E-409C-BE32-E72D297353CC}">
                        <c16:uniqueId val="{00000017-8740-42C3-8C69-9271837B4461}"/>
                      </c:ext>
                    </c:extLst>
                  </c15:dLbl>
                </c15:categoryFilterException>
                <c15:categoryFilterException>
                  <c15:sqref>'DPTC 47'!$K$18</c15:sqref>
                  <c15:spPr xmlns:c15="http://schemas.microsoft.com/office/drawing/2012/chart">
                    <a:solidFill>
                      <a:schemeClr val="accent1">
                        <a:lumMod val="80000"/>
                        <a:lumOff val="20000"/>
                      </a:schemeClr>
                    </a:solidFill>
                    <a:ln w="19050">
                      <a:solidFill>
                        <a:schemeClr val="lt1"/>
                      </a:solidFill>
                    </a:ln>
                    <a:effectLst/>
                  </c15:spPr>
                  <c15:bubble3D val="0"/>
                  <c15:dLbl>
                    <c:idx val="2"/>
                    <c:delete val="1"/>
                    <c:extLst>
                      <c:ext uri="{CE6537A1-D6FC-4f65-9D91-7224C49458BB}"/>
                      <c:ext xmlns:c16="http://schemas.microsoft.com/office/drawing/2014/chart" uri="{C3380CC4-5D6E-409C-BE32-E72D297353CC}">
                        <c16:uniqueId val="{00000019-8740-42C3-8C69-9271837B4461}"/>
                      </c:ext>
                    </c:extLst>
                  </c15:dLbl>
                </c15:categoryFilterException>
              </c15:categoryFilterExceptions>
            </c:ext>
            <c:ext xmlns:c16="http://schemas.microsoft.com/office/drawing/2014/chart" uri="{C3380CC4-5D6E-409C-BE32-E72D297353CC}">
              <c16:uniqueId val="{00000006-537D-4522-8CAA-481024A65ABF}"/>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legendEntry>
        <c:idx val="0"/>
        <c:delete val="1"/>
      </c:legendEntry>
      <c:legendEntry>
        <c:idx val="1"/>
        <c:delete val="1"/>
      </c:legendEntry>
      <c:legendEntry>
        <c:idx val="2"/>
        <c:delete val="1"/>
      </c:legendEntry>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P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PE"/>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3.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4.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5.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6.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4.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6.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4.xml.rels><?xml version="1.0" encoding="UTF-8" standalone="yes"?>
<Relationships xmlns="http://schemas.openxmlformats.org/package/2006/relationships"><Relationship Id="rId1" Type="http://schemas.openxmlformats.org/officeDocument/2006/relationships/chart" Target="../charts/chart3.xml"/></Relationships>
</file>

<file path=xl/drawings/_rels/drawing6.xml.rels><?xml version="1.0" encoding="UTF-8" standalone="yes"?>
<Relationships xmlns="http://schemas.openxmlformats.org/package/2006/relationships"><Relationship Id="rId1" Type="http://schemas.openxmlformats.org/officeDocument/2006/relationships/chart" Target="../charts/chart4.xml"/></Relationships>
</file>

<file path=xl/drawings/_rels/drawing7.xml.rels><?xml version="1.0" encoding="UTF-8" standalone="yes"?>
<Relationships xmlns="http://schemas.openxmlformats.org/package/2006/relationships"><Relationship Id="rId1" Type="http://schemas.openxmlformats.org/officeDocument/2006/relationships/chart" Target="../charts/chart5.xml"/></Relationships>
</file>

<file path=xl/drawings/_rels/drawing9.xml.rels><?xml version="1.0" encoding="UTF-8" standalone="yes"?>
<Relationships xmlns="http://schemas.openxmlformats.org/package/2006/relationships"><Relationship Id="rId1" Type="http://schemas.openxmlformats.org/officeDocument/2006/relationships/chart" Target="../charts/chart6.xml"/></Relationships>
</file>

<file path=xl/drawings/_rels/drawing10.xml.rels><?xml version="1.0" encoding="UTF-8" standalone="yes"?>
<Relationships xmlns="http://schemas.openxmlformats.org/package/2006/relationships"><Relationship Id="rId2" Type="http://schemas.openxmlformats.org/officeDocument/2006/relationships/chart" Target="../charts/chart8.xml"/><Relationship Id="rId1" Type="http://schemas.openxmlformats.org/officeDocument/2006/relationships/chart" Target="../charts/chart7.xml"/></Relationships>
</file>

<file path=xl/drawings/_rels/drawing11.xml.rels><?xml version="1.0" encoding="UTF-8" standalone="yes"?>
<Relationships xmlns="http://schemas.openxmlformats.org/package/2006/relationships"><Relationship Id="rId3" Type="http://schemas.openxmlformats.org/officeDocument/2006/relationships/chart" Target="../charts/chart11.xml"/><Relationship Id="rId2" Type="http://schemas.openxmlformats.org/officeDocument/2006/relationships/chart" Target="../charts/chart10.xml"/><Relationship Id="rId1" Type="http://schemas.openxmlformats.org/officeDocument/2006/relationships/chart" Target="../charts/chart9.xml"/></Relationships>
</file>

<file path=xl/drawings/_rels/drawing15.xml.rels><?xml version="1.0" encoding="UTF-8" standalone="yes"?>
<Relationships xmlns="http://schemas.openxmlformats.org/package/2006/relationships"><Relationship Id="rId1" Type="http://schemas.openxmlformats.org/officeDocument/2006/relationships/chart" Target="../charts/chart12.xml"/></Relationships>
</file>

<file path=xl/drawings/_rels/drawing16.xml.rels><?xml version="1.0" encoding="UTF-8" standalone="yes"?>
<Relationships xmlns="http://schemas.openxmlformats.org/package/2006/relationships"><Relationship Id="rId2" Type="http://schemas.openxmlformats.org/officeDocument/2006/relationships/chart" Target="../charts/chart14.xml"/><Relationship Id="rId1" Type="http://schemas.openxmlformats.org/officeDocument/2006/relationships/chart" Target="../charts/chart13.xml"/></Relationships>
</file>

<file path=xl/drawings/_rels/drawing18.xml.rels><?xml version="1.0" encoding="UTF-8" standalone="yes"?>
<Relationships xmlns="http://schemas.openxmlformats.org/package/2006/relationships"><Relationship Id="rId1" Type="http://schemas.openxmlformats.org/officeDocument/2006/relationships/chart" Target="../charts/chart15.xml"/></Relationships>
</file>

<file path=xl/drawings/_rels/drawing19.xml.rels><?xml version="1.0" encoding="UTF-8" standalone="yes"?>
<Relationships xmlns="http://schemas.openxmlformats.org/package/2006/relationships"><Relationship Id="rId1" Type="http://schemas.openxmlformats.org/officeDocument/2006/relationships/chart" Target="../charts/chart16.xml"/></Relationships>
</file>

<file path=xl/drawings/_rels/drawing20.xml.rels><?xml version="1.0" encoding="UTF-8" standalone="yes"?>
<Relationships xmlns="http://schemas.openxmlformats.org/package/2006/relationships"><Relationship Id="rId1" Type="http://schemas.openxmlformats.org/officeDocument/2006/relationships/chart" Target="../charts/chart17.xml"/></Relationships>
</file>

<file path=xl/drawings/_rels/drawing22.xml.rels><?xml version="1.0" encoding="UTF-8" standalone="yes"?>
<Relationships xmlns="http://schemas.openxmlformats.org/package/2006/relationships"><Relationship Id="rId2" Type="http://schemas.openxmlformats.org/officeDocument/2006/relationships/chart" Target="../charts/chart19.xml"/><Relationship Id="rId1" Type="http://schemas.openxmlformats.org/officeDocument/2006/relationships/chart" Target="../charts/chart18.xml"/></Relationships>
</file>

<file path=xl/drawings/_rels/drawing23.xml.rels><?xml version="1.0" encoding="UTF-8" standalone="yes"?>
<Relationships xmlns="http://schemas.openxmlformats.org/package/2006/relationships"><Relationship Id="rId2" Type="http://schemas.openxmlformats.org/officeDocument/2006/relationships/chart" Target="../charts/chart21.xml"/><Relationship Id="rId1" Type="http://schemas.openxmlformats.org/officeDocument/2006/relationships/chart" Target="../charts/chart20.xml"/></Relationships>
</file>

<file path=xl/drawings/_rels/drawing24.xml.rels><?xml version="1.0" encoding="UTF-8" standalone="yes"?>
<Relationships xmlns="http://schemas.openxmlformats.org/package/2006/relationships"><Relationship Id="rId3" Type="http://schemas.openxmlformats.org/officeDocument/2006/relationships/chart" Target="../charts/chart24.xml"/><Relationship Id="rId2" Type="http://schemas.openxmlformats.org/officeDocument/2006/relationships/chart" Target="../charts/chart23.xml"/><Relationship Id="rId1" Type="http://schemas.openxmlformats.org/officeDocument/2006/relationships/chart" Target="../charts/chart22.xml"/></Relationships>
</file>

<file path=xl/drawings/_rels/drawing25.xml.rels><?xml version="1.0" encoding="UTF-8" standalone="yes"?>
<Relationships xmlns="http://schemas.openxmlformats.org/package/2006/relationships"><Relationship Id="rId2" Type="http://schemas.openxmlformats.org/officeDocument/2006/relationships/chart" Target="../charts/chart26.xml"/><Relationship Id="rId1" Type="http://schemas.openxmlformats.org/officeDocument/2006/relationships/chart" Target="../charts/chart25.xml"/></Relationships>
</file>

<file path=xl/drawings/_rels/drawing26.xml.rels><?xml version="1.0" encoding="UTF-8" standalone="yes"?>
<Relationships xmlns="http://schemas.openxmlformats.org/package/2006/relationships"><Relationship Id="rId1" Type="http://schemas.openxmlformats.org/officeDocument/2006/relationships/chart" Target="../charts/chart27.xml"/></Relationships>
</file>

<file path=xl/drawings/_rels/drawing27.xml.rels><?xml version="1.0" encoding="UTF-8" standalone="yes"?>
<Relationships xmlns="http://schemas.openxmlformats.org/package/2006/relationships"><Relationship Id="rId3" Type="http://schemas.openxmlformats.org/officeDocument/2006/relationships/chart" Target="../charts/chart30.xml"/><Relationship Id="rId2" Type="http://schemas.openxmlformats.org/officeDocument/2006/relationships/chart" Target="../charts/chart29.xml"/><Relationship Id="rId1" Type="http://schemas.openxmlformats.org/officeDocument/2006/relationships/chart" Target="../charts/chart28.xml"/></Relationships>
</file>

<file path=xl/drawings/_rels/drawing28.xml.rels><?xml version="1.0" encoding="UTF-8" standalone="yes"?>
<Relationships xmlns="http://schemas.openxmlformats.org/package/2006/relationships"><Relationship Id="rId3" Type="http://schemas.openxmlformats.org/officeDocument/2006/relationships/chart" Target="../charts/chart33.xml"/><Relationship Id="rId2" Type="http://schemas.openxmlformats.org/officeDocument/2006/relationships/chart" Target="../charts/chart32.xml"/><Relationship Id="rId1" Type="http://schemas.openxmlformats.org/officeDocument/2006/relationships/chart" Target="../charts/chart31.xml"/></Relationships>
</file>

<file path=xl/drawings/_rels/drawing29.xml.rels><?xml version="1.0" encoding="UTF-8" standalone="yes"?>
<Relationships xmlns="http://schemas.openxmlformats.org/package/2006/relationships"><Relationship Id="rId1" Type="http://schemas.openxmlformats.org/officeDocument/2006/relationships/chart" Target="../charts/chart34.xml"/></Relationships>
</file>

<file path=xl/drawings/_rels/drawing30.xml.rels><?xml version="1.0" encoding="UTF-8" standalone="yes"?>
<Relationships xmlns="http://schemas.openxmlformats.org/package/2006/relationships"><Relationship Id="rId1" Type="http://schemas.openxmlformats.org/officeDocument/2006/relationships/chart" Target="../charts/chart35.xml"/></Relationships>
</file>

<file path=xl/drawings/_rels/drawing31.xml.rels><?xml version="1.0" encoding="UTF-8" standalone="yes"?>
<Relationships xmlns="http://schemas.openxmlformats.org/package/2006/relationships"><Relationship Id="rId1" Type="http://schemas.openxmlformats.org/officeDocument/2006/relationships/chart" Target="../charts/chart36.xml"/></Relationships>
</file>

<file path=xl/drawings/_rels/drawing32.xml.rels><?xml version="1.0" encoding="UTF-8" standalone="yes"?>
<Relationships xmlns="http://schemas.openxmlformats.org/package/2006/relationships"><Relationship Id="rId1" Type="http://schemas.openxmlformats.org/officeDocument/2006/relationships/chart" Target="../charts/chart37.xml"/></Relationships>
</file>

<file path=xl/drawings/_rels/drawing33.xml.rels><?xml version="1.0" encoding="UTF-8" standalone="yes"?>
<Relationships xmlns="http://schemas.openxmlformats.org/package/2006/relationships"><Relationship Id="rId1" Type="http://schemas.openxmlformats.org/officeDocument/2006/relationships/chart" Target="../charts/chart38.xml"/></Relationships>
</file>

<file path=xl/drawings/drawing1.xml><?xml version="1.0" encoding="utf-8"?>
<xdr:wsDr xmlns:xdr="http://schemas.openxmlformats.org/drawingml/2006/spreadsheetDrawing" xmlns:a="http://schemas.openxmlformats.org/drawingml/2006/main">
  <xdr:twoCellAnchor>
    <xdr:from>
      <xdr:col>0</xdr:col>
      <xdr:colOff>723901</xdr:colOff>
      <xdr:row>17</xdr:row>
      <xdr:rowOff>171449</xdr:rowOff>
    </xdr:from>
    <xdr:to>
      <xdr:col>7</xdr:col>
      <xdr:colOff>47625</xdr:colOff>
      <xdr:row>28</xdr:row>
      <xdr:rowOff>47625</xdr:rowOff>
    </xdr:to>
    <xdr:graphicFrame macro="">
      <xdr:nvGraphicFramePr>
        <xdr:cNvPr id="2" name="Gráfico 1">
          <a:extLst>
            <a:ext uri="{FF2B5EF4-FFF2-40B4-BE49-F238E27FC236}">
              <a16:creationId xmlns:a16="http://schemas.microsoft.com/office/drawing/2014/main" id="{7697343C-FEAC-4B88-AE6D-DEDD774E1A1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10</xdr:col>
      <xdr:colOff>359409</xdr:colOff>
      <xdr:row>31</xdr:row>
      <xdr:rowOff>345015</xdr:rowOff>
    </xdr:from>
    <xdr:to>
      <xdr:col>19</xdr:col>
      <xdr:colOff>35983</xdr:colOff>
      <xdr:row>46</xdr:row>
      <xdr:rowOff>124881</xdr:rowOff>
    </xdr:to>
    <xdr:graphicFrame macro="">
      <xdr:nvGraphicFramePr>
        <xdr:cNvPr id="2" name="Gráfico 1">
          <a:extLst>
            <a:ext uri="{FF2B5EF4-FFF2-40B4-BE49-F238E27FC236}">
              <a16:creationId xmlns:a16="http://schemas.microsoft.com/office/drawing/2014/main" id="{D2126DFA-EF81-457F-B046-00FECFCEEE6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c:userShapes xmlns:c="http://schemas.openxmlformats.org/drawingml/2006/chart">
  <cdr:relSizeAnchor xmlns:cdr="http://schemas.openxmlformats.org/drawingml/2006/chartDrawing">
    <cdr:from>
      <cdr:x>0.01482</cdr:x>
      <cdr:y>0.05247</cdr:y>
    </cdr:from>
    <cdr:to>
      <cdr:x>0.11111</cdr:x>
      <cdr:y>0.1142</cdr:y>
    </cdr:to>
    <cdr:sp macro="" textlink="">
      <cdr:nvSpPr>
        <cdr:cNvPr id="2" name="CuadroTexto 1">
          <a:extLst xmlns:a="http://schemas.openxmlformats.org/drawingml/2006/main">
            <a:ext uri="{FF2B5EF4-FFF2-40B4-BE49-F238E27FC236}">
              <a16:creationId xmlns:a16="http://schemas.microsoft.com/office/drawing/2014/main" id="{3A3C4507-9690-4FAF-890B-EDDFDA572D53}"/>
            </a:ext>
          </a:extLst>
        </cdr:cNvPr>
        <cdr:cNvSpPr txBox="1"/>
      </cdr:nvSpPr>
      <cdr:spPr>
        <a:xfrm xmlns:a="http://schemas.openxmlformats.org/drawingml/2006/main">
          <a:off x="67735" y="143933"/>
          <a:ext cx="440266" cy="169334"/>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s-PE" sz="900" b="1"/>
            <a:t>Km</a:t>
          </a:r>
        </a:p>
      </cdr:txBody>
    </cdr:sp>
  </cdr:relSizeAnchor>
  <cdr:relSizeAnchor xmlns:cdr="http://schemas.openxmlformats.org/drawingml/2006/chartDrawing">
    <cdr:from>
      <cdr:x>0.21912</cdr:x>
      <cdr:y>0.16358</cdr:y>
    </cdr:from>
    <cdr:to>
      <cdr:x>0.22097</cdr:x>
      <cdr:y>0.83951</cdr:y>
    </cdr:to>
    <cdr:cxnSp macro="">
      <cdr:nvCxnSpPr>
        <cdr:cNvPr id="4" name="Conector recto 3">
          <a:extLst xmlns:a="http://schemas.openxmlformats.org/drawingml/2006/main">
            <a:ext uri="{FF2B5EF4-FFF2-40B4-BE49-F238E27FC236}">
              <a16:creationId xmlns:a16="http://schemas.microsoft.com/office/drawing/2014/main" id="{E47B27BE-8F13-42D1-8240-355F37265F7C}"/>
            </a:ext>
          </a:extLst>
        </cdr:cNvPr>
        <cdr:cNvCxnSpPr/>
      </cdr:nvCxnSpPr>
      <cdr:spPr>
        <a:xfrm xmlns:a="http://schemas.openxmlformats.org/drawingml/2006/main" flipH="1" flipV="1">
          <a:off x="1049658" y="455657"/>
          <a:ext cx="8862" cy="1882826"/>
        </a:xfrm>
        <a:prstGeom xmlns:a="http://schemas.openxmlformats.org/drawingml/2006/main" prst="line">
          <a:avLst/>
        </a:prstGeom>
        <a:ln xmlns:a="http://schemas.openxmlformats.org/drawingml/2006/main">
          <a:prstDash val="sysDot"/>
        </a:ln>
      </cdr:spPr>
      <cdr:style>
        <a:lnRef xmlns:a="http://schemas.openxmlformats.org/drawingml/2006/main" idx="1">
          <a:schemeClr val="dk1"/>
        </a:lnRef>
        <a:fillRef xmlns:a="http://schemas.openxmlformats.org/drawingml/2006/main" idx="0">
          <a:schemeClr val="dk1"/>
        </a:fillRef>
        <a:effectRef xmlns:a="http://schemas.openxmlformats.org/drawingml/2006/main" idx="0">
          <a:schemeClr val="dk1"/>
        </a:effectRef>
        <a:fontRef xmlns:a="http://schemas.openxmlformats.org/drawingml/2006/main" idx="minor">
          <a:schemeClr val="tx1"/>
        </a:fontRef>
      </cdr:style>
    </cdr:cxnSp>
  </cdr:relSizeAnchor>
  <cdr:relSizeAnchor xmlns:cdr="http://schemas.openxmlformats.org/drawingml/2006/chartDrawing">
    <cdr:from>
      <cdr:x>0.84208</cdr:x>
      <cdr:y>0.15755</cdr:y>
    </cdr:from>
    <cdr:to>
      <cdr:x>0.84393</cdr:x>
      <cdr:y>0.83347</cdr:y>
    </cdr:to>
    <cdr:cxnSp macro="">
      <cdr:nvCxnSpPr>
        <cdr:cNvPr id="5" name="Conector recto 4">
          <a:extLst xmlns:a="http://schemas.openxmlformats.org/drawingml/2006/main">
            <a:ext uri="{FF2B5EF4-FFF2-40B4-BE49-F238E27FC236}">
              <a16:creationId xmlns:a16="http://schemas.microsoft.com/office/drawing/2014/main" id="{FB380786-5432-4BBB-BD37-94CEED32F7B3}"/>
            </a:ext>
          </a:extLst>
        </cdr:cNvPr>
        <cdr:cNvCxnSpPr/>
      </cdr:nvCxnSpPr>
      <cdr:spPr>
        <a:xfrm xmlns:a="http://schemas.openxmlformats.org/drawingml/2006/main" flipH="1" flipV="1">
          <a:off x="4033923" y="438865"/>
          <a:ext cx="8862" cy="1882797"/>
        </a:xfrm>
        <a:prstGeom xmlns:a="http://schemas.openxmlformats.org/drawingml/2006/main" prst="line">
          <a:avLst/>
        </a:prstGeom>
        <a:ln xmlns:a="http://schemas.openxmlformats.org/drawingml/2006/main">
          <a:prstDash val="sysDot"/>
        </a:ln>
      </cdr:spPr>
      <cdr:style>
        <a:lnRef xmlns:a="http://schemas.openxmlformats.org/drawingml/2006/main" idx="1">
          <a:schemeClr val="dk1"/>
        </a:lnRef>
        <a:fillRef xmlns:a="http://schemas.openxmlformats.org/drawingml/2006/main" idx="0">
          <a:schemeClr val="dk1"/>
        </a:fillRef>
        <a:effectRef xmlns:a="http://schemas.openxmlformats.org/drawingml/2006/main" idx="0">
          <a:schemeClr val="dk1"/>
        </a:effectRef>
        <a:fontRef xmlns:a="http://schemas.openxmlformats.org/drawingml/2006/main" idx="minor">
          <a:schemeClr val="tx1"/>
        </a:fontRef>
      </cdr:style>
    </cdr:cxnSp>
  </cdr:relSizeAnchor>
</c:userShapes>
</file>

<file path=xl/drawings/drawing4.xml><?xml version="1.0" encoding="utf-8"?>
<xdr:wsDr xmlns:xdr="http://schemas.openxmlformats.org/drawingml/2006/spreadsheetDrawing" xmlns:a="http://schemas.openxmlformats.org/drawingml/2006/main">
  <xdr:twoCellAnchor>
    <xdr:from>
      <xdr:col>10</xdr:col>
      <xdr:colOff>43601</xdr:colOff>
      <xdr:row>21</xdr:row>
      <xdr:rowOff>137160</xdr:rowOff>
    </xdr:from>
    <xdr:to>
      <xdr:col>20</xdr:col>
      <xdr:colOff>676275</xdr:colOff>
      <xdr:row>36</xdr:row>
      <xdr:rowOff>129540</xdr:rowOff>
    </xdr:to>
    <xdr:graphicFrame macro="">
      <xdr:nvGraphicFramePr>
        <xdr:cNvPr id="2" name="Gráfico 1">
          <a:extLst>
            <a:ext uri="{FF2B5EF4-FFF2-40B4-BE49-F238E27FC236}">
              <a16:creationId xmlns:a16="http://schemas.microsoft.com/office/drawing/2014/main" id="{F73C1F65-7AD0-474E-91F8-09BA0494C90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c:userShapes xmlns:c="http://schemas.openxmlformats.org/drawingml/2006/chart">
  <cdr:relSizeAnchor xmlns:cdr="http://schemas.openxmlformats.org/drawingml/2006/chartDrawing">
    <cdr:from>
      <cdr:x>0.05742</cdr:x>
      <cdr:y>0.00815</cdr:y>
    </cdr:from>
    <cdr:to>
      <cdr:x>0.14803</cdr:x>
      <cdr:y>0.08864</cdr:y>
    </cdr:to>
    <cdr:sp macro="" textlink="">
      <cdr:nvSpPr>
        <cdr:cNvPr id="2" name="CuadroTexto 1">
          <a:extLst xmlns:a="http://schemas.openxmlformats.org/drawingml/2006/main">
            <a:ext uri="{FF2B5EF4-FFF2-40B4-BE49-F238E27FC236}">
              <a16:creationId xmlns:a16="http://schemas.microsoft.com/office/drawing/2014/main" id="{3A3C4507-9690-4FAF-890B-EDDFDA572D53}"/>
            </a:ext>
          </a:extLst>
        </cdr:cNvPr>
        <cdr:cNvSpPr txBox="1"/>
      </cdr:nvSpPr>
      <cdr:spPr>
        <a:xfrm xmlns:a="http://schemas.openxmlformats.org/drawingml/2006/main">
          <a:off x="297860" y="22416"/>
          <a:ext cx="470070" cy="221424"/>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s-PE" sz="900" b="1"/>
            <a:t>Km</a:t>
          </a:r>
          <a:r>
            <a:rPr lang="es-PE" sz="900" b="1" baseline="30000"/>
            <a:t>2</a:t>
          </a:r>
        </a:p>
      </cdr:txBody>
    </cdr:sp>
  </cdr:relSizeAnchor>
  <cdr:relSizeAnchor xmlns:cdr="http://schemas.openxmlformats.org/drawingml/2006/chartDrawing">
    <cdr:from>
      <cdr:x>0.2413</cdr:x>
      <cdr:y>0.09156</cdr:y>
    </cdr:from>
    <cdr:to>
      <cdr:x>0.24315</cdr:x>
      <cdr:y>0.76749</cdr:y>
    </cdr:to>
    <cdr:cxnSp macro="">
      <cdr:nvCxnSpPr>
        <cdr:cNvPr id="4" name="Conector recto 3">
          <a:extLst xmlns:a="http://schemas.openxmlformats.org/drawingml/2006/main">
            <a:ext uri="{FF2B5EF4-FFF2-40B4-BE49-F238E27FC236}">
              <a16:creationId xmlns:a16="http://schemas.microsoft.com/office/drawing/2014/main" id="{E47B27BE-8F13-42D1-8240-355F37265F7C}"/>
            </a:ext>
          </a:extLst>
        </cdr:cNvPr>
        <cdr:cNvCxnSpPr/>
      </cdr:nvCxnSpPr>
      <cdr:spPr>
        <a:xfrm xmlns:a="http://schemas.openxmlformats.org/drawingml/2006/main" flipH="1" flipV="1">
          <a:off x="1251742" y="251855"/>
          <a:ext cx="9596" cy="1859361"/>
        </a:xfrm>
        <a:prstGeom xmlns:a="http://schemas.openxmlformats.org/drawingml/2006/main" prst="line">
          <a:avLst/>
        </a:prstGeom>
        <a:ln xmlns:a="http://schemas.openxmlformats.org/drawingml/2006/main">
          <a:prstDash val="sysDot"/>
        </a:ln>
      </cdr:spPr>
      <cdr:style>
        <a:lnRef xmlns:a="http://schemas.openxmlformats.org/drawingml/2006/main" idx="1">
          <a:schemeClr val="dk1"/>
        </a:lnRef>
        <a:fillRef xmlns:a="http://schemas.openxmlformats.org/drawingml/2006/main" idx="0">
          <a:schemeClr val="dk1"/>
        </a:fillRef>
        <a:effectRef xmlns:a="http://schemas.openxmlformats.org/drawingml/2006/main" idx="0">
          <a:schemeClr val="dk1"/>
        </a:effectRef>
        <a:fontRef xmlns:a="http://schemas.openxmlformats.org/drawingml/2006/main" idx="minor">
          <a:schemeClr val="tx1"/>
        </a:fontRef>
      </cdr:style>
    </cdr:cxnSp>
  </cdr:relSizeAnchor>
  <cdr:relSizeAnchor xmlns:cdr="http://schemas.openxmlformats.org/drawingml/2006/chartDrawing">
    <cdr:from>
      <cdr:x>0.80683</cdr:x>
      <cdr:y>0.09107</cdr:y>
    </cdr:from>
    <cdr:to>
      <cdr:x>0.80868</cdr:x>
      <cdr:y>0.76699</cdr:y>
    </cdr:to>
    <cdr:cxnSp macro="">
      <cdr:nvCxnSpPr>
        <cdr:cNvPr id="5" name="Conector recto 4">
          <a:extLst xmlns:a="http://schemas.openxmlformats.org/drawingml/2006/main">
            <a:ext uri="{FF2B5EF4-FFF2-40B4-BE49-F238E27FC236}">
              <a16:creationId xmlns:a16="http://schemas.microsoft.com/office/drawing/2014/main" id="{FB380786-5432-4BBB-BD37-94CEED32F7B3}"/>
            </a:ext>
          </a:extLst>
        </cdr:cNvPr>
        <cdr:cNvCxnSpPr/>
      </cdr:nvCxnSpPr>
      <cdr:spPr>
        <a:xfrm xmlns:a="http://schemas.openxmlformats.org/drawingml/2006/main" flipH="1" flipV="1">
          <a:off x="4185434" y="250512"/>
          <a:ext cx="9597" cy="1859334"/>
        </a:xfrm>
        <a:prstGeom xmlns:a="http://schemas.openxmlformats.org/drawingml/2006/main" prst="line">
          <a:avLst/>
        </a:prstGeom>
        <a:ln xmlns:a="http://schemas.openxmlformats.org/drawingml/2006/main">
          <a:prstDash val="sysDot"/>
        </a:ln>
      </cdr:spPr>
      <cdr:style>
        <a:lnRef xmlns:a="http://schemas.openxmlformats.org/drawingml/2006/main" idx="1">
          <a:schemeClr val="dk1"/>
        </a:lnRef>
        <a:fillRef xmlns:a="http://schemas.openxmlformats.org/drawingml/2006/main" idx="0">
          <a:schemeClr val="dk1"/>
        </a:fillRef>
        <a:effectRef xmlns:a="http://schemas.openxmlformats.org/drawingml/2006/main" idx="0">
          <a:schemeClr val="dk1"/>
        </a:effectRef>
        <a:fontRef xmlns:a="http://schemas.openxmlformats.org/drawingml/2006/main" idx="minor">
          <a:schemeClr val="tx1"/>
        </a:fontRef>
      </cdr:style>
    </cdr:cxnSp>
  </cdr:relSizeAnchor>
</c:userShapes>
</file>

<file path=xl/drawings/drawing6.xml><?xml version="1.0" encoding="utf-8"?>
<xdr:wsDr xmlns:xdr="http://schemas.openxmlformats.org/drawingml/2006/spreadsheetDrawing" xmlns:a="http://schemas.openxmlformats.org/drawingml/2006/main">
  <xdr:twoCellAnchor>
    <xdr:from>
      <xdr:col>9</xdr:col>
      <xdr:colOff>6828</xdr:colOff>
      <xdr:row>24</xdr:row>
      <xdr:rowOff>102619</xdr:rowOff>
    </xdr:from>
    <xdr:to>
      <xdr:col>13</xdr:col>
      <xdr:colOff>653809</xdr:colOff>
      <xdr:row>35</xdr:row>
      <xdr:rowOff>144852</xdr:rowOff>
    </xdr:to>
    <xdr:graphicFrame macro="">
      <xdr:nvGraphicFramePr>
        <xdr:cNvPr id="2" name="Gráfico 1">
          <a:extLst>
            <a:ext uri="{FF2B5EF4-FFF2-40B4-BE49-F238E27FC236}">
              <a16:creationId xmlns:a16="http://schemas.microsoft.com/office/drawing/2014/main" id="{BB18A15E-3714-4CDA-9879-75568E0DAFF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3</xdr:col>
      <xdr:colOff>70184</xdr:colOff>
      <xdr:row>29</xdr:row>
      <xdr:rowOff>167676</xdr:rowOff>
    </xdr:from>
    <xdr:to>
      <xdr:col>16</xdr:col>
      <xdr:colOff>10375</xdr:colOff>
      <xdr:row>45</xdr:row>
      <xdr:rowOff>30079</xdr:rowOff>
    </xdr:to>
    <xdr:graphicFrame macro="">
      <xdr:nvGraphicFramePr>
        <xdr:cNvPr id="2" name="Gráfico 1">
          <a:extLst>
            <a:ext uri="{FF2B5EF4-FFF2-40B4-BE49-F238E27FC236}">
              <a16:creationId xmlns:a16="http://schemas.microsoft.com/office/drawing/2014/main" id="{EE9AD7A8-8843-434B-BFD1-DC306F29FBD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c:userShapes xmlns:c="http://schemas.openxmlformats.org/drawingml/2006/chart">
  <cdr:relSizeAnchor xmlns:cdr="http://schemas.openxmlformats.org/drawingml/2006/chartDrawing">
    <cdr:from>
      <cdr:x>0.07155</cdr:x>
      <cdr:y>0.03003</cdr:y>
    </cdr:from>
    <cdr:to>
      <cdr:x>0.16216</cdr:x>
      <cdr:y>0.11052</cdr:y>
    </cdr:to>
    <cdr:sp macro="" textlink="">
      <cdr:nvSpPr>
        <cdr:cNvPr id="2" name="CuadroTexto 1">
          <a:extLst xmlns:a="http://schemas.openxmlformats.org/drawingml/2006/main">
            <a:ext uri="{FF2B5EF4-FFF2-40B4-BE49-F238E27FC236}">
              <a16:creationId xmlns:a16="http://schemas.microsoft.com/office/drawing/2014/main" id="{3A3C4507-9690-4FAF-890B-EDDFDA572D53}"/>
            </a:ext>
          </a:extLst>
        </cdr:cNvPr>
        <cdr:cNvSpPr txBox="1"/>
      </cdr:nvSpPr>
      <cdr:spPr>
        <a:xfrm xmlns:a="http://schemas.openxmlformats.org/drawingml/2006/main">
          <a:off x="456985" y="82570"/>
          <a:ext cx="578736" cy="221346"/>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s-PE" sz="900" b="1"/>
            <a:t>N°</a:t>
          </a:r>
          <a:endParaRPr lang="es-PE" sz="900" b="1" baseline="30000"/>
        </a:p>
      </cdr:txBody>
    </cdr:sp>
  </cdr:relSizeAnchor>
  <cdr:relSizeAnchor xmlns:cdr="http://schemas.openxmlformats.org/drawingml/2006/chartDrawing">
    <cdr:from>
      <cdr:x>0.2413</cdr:x>
      <cdr:y>0.09156</cdr:y>
    </cdr:from>
    <cdr:to>
      <cdr:x>0.24315</cdr:x>
      <cdr:y>0.76749</cdr:y>
    </cdr:to>
    <cdr:cxnSp macro="">
      <cdr:nvCxnSpPr>
        <cdr:cNvPr id="4" name="Conector recto 3">
          <a:extLst xmlns:a="http://schemas.openxmlformats.org/drawingml/2006/main">
            <a:ext uri="{FF2B5EF4-FFF2-40B4-BE49-F238E27FC236}">
              <a16:creationId xmlns:a16="http://schemas.microsoft.com/office/drawing/2014/main" id="{E47B27BE-8F13-42D1-8240-355F37265F7C}"/>
            </a:ext>
          </a:extLst>
        </cdr:cNvPr>
        <cdr:cNvCxnSpPr/>
      </cdr:nvCxnSpPr>
      <cdr:spPr>
        <a:xfrm xmlns:a="http://schemas.openxmlformats.org/drawingml/2006/main" flipH="1" flipV="1">
          <a:off x="1251742" y="251855"/>
          <a:ext cx="9596" cy="1859361"/>
        </a:xfrm>
        <a:prstGeom xmlns:a="http://schemas.openxmlformats.org/drawingml/2006/main" prst="line">
          <a:avLst/>
        </a:prstGeom>
        <a:ln xmlns:a="http://schemas.openxmlformats.org/drawingml/2006/main">
          <a:prstDash val="sysDot"/>
        </a:ln>
      </cdr:spPr>
      <cdr:style>
        <a:lnRef xmlns:a="http://schemas.openxmlformats.org/drawingml/2006/main" idx="1">
          <a:schemeClr val="dk1"/>
        </a:lnRef>
        <a:fillRef xmlns:a="http://schemas.openxmlformats.org/drawingml/2006/main" idx="0">
          <a:schemeClr val="dk1"/>
        </a:fillRef>
        <a:effectRef xmlns:a="http://schemas.openxmlformats.org/drawingml/2006/main" idx="0">
          <a:schemeClr val="dk1"/>
        </a:effectRef>
        <a:fontRef xmlns:a="http://schemas.openxmlformats.org/drawingml/2006/main" idx="minor">
          <a:schemeClr val="tx1"/>
        </a:fontRef>
      </cdr:style>
    </cdr:cxnSp>
  </cdr:relSizeAnchor>
  <cdr:relSizeAnchor xmlns:cdr="http://schemas.openxmlformats.org/drawingml/2006/chartDrawing">
    <cdr:from>
      <cdr:x>0.80683</cdr:x>
      <cdr:y>0.09107</cdr:y>
    </cdr:from>
    <cdr:to>
      <cdr:x>0.80868</cdr:x>
      <cdr:y>0.76699</cdr:y>
    </cdr:to>
    <cdr:cxnSp macro="">
      <cdr:nvCxnSpPr>
        <cdr:cNvPr id="5" name="Conector recto 4">
          <a:extLst xmlns:a="http://schemas.openxmlformats.org/drawingml/2006/main">
            <a:ext uri="{FF2B5EF4-FFF2-40B4-BE49-F238E27FC236}">
              <a16:creationId xmlns:a16="http://schemas.microsoft.com/office/drawing/2014/main" id="{FB380786-5432-4BBB-BD37-94CEED32F7B3}"/>
            </a:ext>
          </a:extLst>
        </cdr:cNvPr>
        <cdr:cNvCxnSpPr/>
      </cdr:nvCxnSpPr>
      <cdr:spPr>
        <a:xfrm xmlns:a="http://schemas.openxmlformats.org/drawingml/2006/main" flipH="1" flipV="1">
          <a:off x="4185434" y="250512"/>
          <a:ext cx="9597" cy="1859334"/>
        </a:xfrm>
        <a:prstGeom xmlns:a="http://schemas.openxmlformats.org/drawingml/2006/main" prst="line">
          <a:avLst/>
        </a:prstGeom>
        <a:ln xmlns:a="http://schemas.openxmlformats.org/drawingml/2006/main">
          <a:prstDash val="sysDot"/>
        </a:ln>
      </cdr:spPr>
      <cdr:style>
        <a:lnRef xmlns:a="http://schemas.openxmlformats.org/drawingml/2006/main" idx="1">
          <a:schemeClr val="dk1"/>
        </a:lnRef>
        <a:fillRef xmlns:a="http://schemas.openxmlformats.org/drawingml/2006/main" idx="0">
          <a:schemeClr val="dk1"/>
        </a:fillRef>
        <a:effectRef xmlns:a="http://schemas.openxmlformats.org/drawingml/2006/main" idx="0">
          <a:schemeClr val="dk1"/>
        </a:effectRef>
        <a:fontRef xmlns:a="http://schemas.openxmlformats.org/drawingml/2006/main" idx="minor">
          <a:schemeClr val="tx1"/>
        </a:fontRef>
      </cdr:style>
    </cdr:cxnSp>
  </cdr:relSizeAnchor>
</c:userShapes>
</file>

<file path=xl/drawings/drawing9.xml><?xml version="1.0" encoding="utf-8"?>
<xdr:wsDr xmlns:xdr="http://schemas.openxmlformats.org/drawingml/2006/spreadsheetDrawing" xmlns:a="http://schemas.openxmlformats.org/drawingml/2006/main">
  <xdr:twoCellAnchor>
    <xdr:from>
      <xdr:col>2</xdr:col>
      <xdr:colOff>761424</xdr:colOff>
      <xdr:row>47</xdr:row>
      <xdr:rowOff>119749</xdr:rowOff>
    </xdr:from>
    <xdr:to>
      <xdr:col>6</xdr:col>
      <xdr:colOff>4011</xdr:colOff>
      <xdr:row>61</xdr:row>
      <xdr:rowOff>50132</xdr:rowOff>
    </xdr:to>
    <xdr:graphicFrame macro="">
      <xdr:nvGraphicFramePr>
        <xdr:cNvPr id="2" name="Gráfico 1">
          <a:extLst>
            <a:ext uri="{FF2B5EF4-FFF2-40B4-BE49-F238E27FC236}">
              <a16:creationId xmlns:a16="http://schemas.microsoft.com/office/drawing/2014/main" id="{E3239DC0-FB57-44AA-9C8F-D3FC4368714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0.xml><?xml version="1.0" encoding="utf-8"?>
<xdr:wsDr xmlns:xdr="http://schemas.openxmlformats.org/drawingml/2006/spreadsheetDrawing" xmlns:a="http://schemas.openxmlformats.org/drawingml/2006/main">
  <xdr:twoCellAnchor>
    <xdr:from>
      <xdr:col>16</xdr:col>
      <xdr:colOff>405342</xdr:colOff>
      <xdr:row>9</xdr:row>
      <xdr:rowOff>95518</xdr:rowOff>
    </xdr:from>
    <xdr:to>
      <xdr:col>24</xdr:col>
      <xdr:colOff>554485</xdr:colOff>
      <xdr:row>25</xdr:row>
      <xdr:rowOff>37523</xdr:rowOff>
    </xdr:to>
    <xdr:graphicFrame macro="">
      <xdr:nvGraphicFramePr>
        <xdr:cNvPr id="2" name="1 Gráfico">
          <a:extLst>
            <a:ext uri="{FF2B5EF4-FFF2-40B4-BE49-F238E27FC236}">
              <a16:creationId xmlns:a16="http://schemas.microsoft.com/office/drawing/2014/main" id="{E7115969-3B6B-4D22-A090-72ED72FA3C5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18</xdr:col>
      <xdr:colOff>471964</xdr:colOff>
      <xdr:row>32</xdr:row>
      <xdr:rowOff>49054</xdr:rowOff>
    </xdr:from>
    <xdr:to>
      <xdr:col>23</xdr:col>
      <xdr:colOff>532922</xdr:colOff>
      <xdr:row>44</xdr:row>
      <xdr:rowOff>60762</xdr:rowOff>
    </xdr:to>
    <xdr:graphicFrame macro="">
      <xdr:nvGraphicFramePr>
        <xdr:cNvPr id="3" name="3 Gráfico">
          <a:extLst>
            <a:ext uri="{FF2B5EF4-FFF2-40B4-BE49-F238E27FC236}">
              <a16:creationId xmlns:a16="http://schemas.microsoft.com/office/drawing/2014/main" id="{BD3461E0-841D-4D50-9DAE-D1F252E5387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1.xml><?xml version="1.0" encoding="utf-8"?>
<xdr:wsDr xmlns:xdr="http://schemas.openxmlformats.org/drawingml/2006/spreadsheetDrawing" xmlns:a="http://schemas.openxmlformats.org/drawingml/2006/main">
  <xdr:twoCellAnchor>
    <xdr:from>
      <xdr:col>12</xdr:col>
      <xdr:colOff>761999</xdr:colOff>
      <xdr:row>10</xdr:row>
      <xdr:rowOff>1</xdr:rowOff>
    </xdr:from>
    <xdr:to>
      <xdr:col>19</xdr:col>
      <xdr:colOff>276224</xdr:colOff>
      <xdr:row>29</xdr:row>
      <xdr:rowOff>0</xdr:rowOff>
    </xdr:to>
    <xdr:graphicFrame macro="">
      <xdr:nvGraphicFramePr>
        <xdr:cNvPr id="2" name="5 Gráfico">
          <a:extLst>
            <a:ext uri="{FF2B5EF4-FFF2-40B4-BE49-F238E27FC236}">
              <a16:creationId xmlns:a16="http://schemas.microsoft.com/office/drawing/2014/main" id="{3ED5BE62-0C38-4021-A138-BF43125D9C1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13</xdr:col>
      <xdr:colOff>95250</xdr:colOff>
      <xdr:row>34</xdr:row>
      <xdr:rowOff>125730</xdr:rowOff>
    </xdr:from>
    <xdr:to>
      <xdr:col>19</xdr:col>
      <xdr:colOff>101974</xdr:colOff>
      <xdr:row>50</xdr:row>
      <xdr:rowOff>31040</xdr:rowOff>
    </xdr:to>
    <xdr:graphicFrame macro="">
      <xdr:nvGraphicFramePr>
        <xdr:cNvPr id="3" name="5 Gráfico">
          <a:extLst>
            <a:ext uri="{FF2B5EF4-FFF2-40B4-BE49-F238E27FC236}">
              <a16:creationId xmlns:a16="http://schemas.microsoft.com/office/drawing/2014/main" id="{11691FDA-E85B-450E-835A-57F91BFA512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14</xdr:col>
      <xdr:colOff>32385</xdr:colOff>
      <xdr:row>63</xdr:row>
      <xdr:rowOff>7620</xdr:rowOff>
    </xdr:from>
    <xdr:to>
      <xdr:col>20</xdr:col>
      <xdr:colOff>419100</xdr:colOff>
      <xdr:row>75</xdr:row>
      <xdr:rowOff>91440</xdr:rowOff>
    </xdr:to>
    <xdr:graphicFrame macro="">
      <xdr:nvGraphicFramePr>
        <xdr:cNvPr id="4" name="7 Gráfico">
          <a:extLst>
            <a:ext uri="{FF2B5EF4-FFF2-40B4-BE49-F238E27FC236}">
              <a16:creationId xmlns:a16="http://schemas.microsoft.com/office/drawing/2014/main" id="{4FA92959-246E-4C42-95F4-32B78C53B65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12.xml><?xml version="1.0" encoding="utf-8"?>
<c:userShapes xmlns:c="http://schemas.openxmlformats.org/drawingml/2006/chart">
  <cdr:relSizeAnchor xmlns:cdr="http://schemas.openxmlformats.org/drawingml/2006/chartDrawing">
    <cdr:from>
      <cdr:x>0.00624</cdr:x>
      <cdr:y>0.0618</cdr:y>
    </cdr:from>
    <cdr:to>
      <cdr:x>0.13522</cdr:x>
      <cdr:y>0.13452</cdr:y>
    </cdr:to>
    <cdr:sp macro="" textlink="">
      <cdr:nvSpPr>
        <cdr:cNvPr id="2" name="CuadroTexto 1">
          <a:extLst xmlns:a="http://schemas.openxmlformats.org/drawingml/2006/main">
            <a:ext uri="{FF2B5EF4-FFF2-40B4-BE49-F238E27FC236}">
              <a16:creationId xmlns:a16="http://schemas.microsoft.com/office/drawing/2014/main" id="{148A3056-6711-4867-B124-9D93B1DC565B}"/>
            </a:ext>
          </a:extLst>
        </cdr:cNvPr>
        <cdr:cNvSpPr txBox="1"/>
      </cdr:nvSpPr>
      <cdr:spPr>
        <a:xfrm xmlns:a="http://schemas.openxmlformats.org/drawingml/2006/main">
          <a:off x="28575" y="161925"/>
          <a:ext cx="590550" cy="19050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s-PE" sz="1000" b="1"/>
            <a:t>MBPD</a:t>
          </a:r>
        </a:p>
      </cdr:txBody>
    </cdr:sp>
  </cdr:relSizeAnchor>
</c:userShapes>
</file>

<file path=xl/drawings/drawing13.xml><?xml version="1.0" encoding="utf-8"?>
<c:userShapes xmlns:c="http://schemas.openxmlformats.org/drawingml/2006/chart">
  <cdr:relSizeAnchor xmlns:cdr="http://schemas.openxmlformats.org/drawingml/2006/chartDrawing">
    <cdr:from>
      <cdr:x>0</cdr:x>
      <cdr:y>0.05755</cdr:y>
    </cdr:from>
    <cdr:to>
      <cdr:x>0.12898</cdr:x>
      <cdr:y>0.16081</cdr:y>
    </cdr:to>
    <cdr:sp macro="" textlink="">
      <cdr:nvSpPr>
        <cdr:cNvPr id="2" name="CuadroTexto 1">
          <a:extLst xmlns:a="http://schemas.openxmlformats.org/drawingml/2006/main">
            <a:ext uri="{FF2B5EF4-FFF2-40B4-BE49-F238E27FC236}">
              <a16:creationId xmlns:a16="http://schemas.microsoft.com/office/drawing/2014/main" id="{148A3056-6711-4867-B124-9D93B1DC565B}"/>
            </a:ext>
          </a:extLst>
        </cdr:cNvPr>
        <cdr:cNvSpPr txBox="1"/>
      </cdr:nvSpPr>
      <cdr:spPr>
        <a:xfrm xmlns:a="http://schemas.openxmlformats.org/drawingml/2006/main">
          <a:off x="0" y="128841"/>
          <a:ext cx="644620" cy="231204"/>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s-PE" sz="1000" b="1"/>
            <a:t>MBPD</a:t>
          </a:r>
        </a:p>
      </cdr:txBody>
    </cdr:sp>
  </cdr:relSizeAnchor>
</c:userShapes>
</file>

<file path=xl/drawings/drawing14.xml><?xml version="1.0" encoding="utf-8"?>
<c:userShapes xmlns:c="http://schemas.openxmlformats.org/drawingml/2006/chart">
  <cdr:relSizeAnchor xmlns:cdr="http://schemas.openxmlformats.org/drawingml/2006/chartDrawing">
    <cdr:from>
      <cdr:x>0.01111</cdr:x>
      <cdr:y>0.03241</cdr:y>
    </cdr:from>
    <cdr:to>
      <cdr:x>0.14028</cdr:x>
      <cdr:y>0.10186</cdr:y>
    </cdr:to>
    <cdr:sp macro="" textlink="">
      <cdr:nvSpPr>
        <cdr:cNvPr id="2" name="CuadroTexto 1">
          <a:extLst xmlns:a="http://schemas.openxmlformats.org/drawingml/2006/main">
            <a:ext uri="{FF2B5EF4-FFF2-40B4-BE49-F238E27FC236}">
              <a16:creationId xmlns:a16="http://schemas.microsoft.com/office/drawing/2014/main" id="{3C7BED85-B65E-4B0F-9351-4467BFA9B8B6}"/>
            </a:ext>
          </a:extLst>
        </cdr:cNvPr>
        <cdr:cNvSpPr txBox="1"/>
      </cdr:nvSpPr>
      <cdr:spPr>
        <a:xfrm xmlns:a="http://schemas.openxmlformats.org/drawingml/2006/main">
          <a:off x="50800" y="88900"/>
          <a:ext cx="590564" cy="190522"/>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r>
            <a:rPr lang="es-PE" sz="1000" b="1"/>
            <a:t>MBPD</a:t>
          </a:r>
        </a:p>
      </cdr:txBody>
    </cdr:sp>
  </cdr:relSizeAnchor>
</c:userShapes>
</file>

<file path=xl/drawings/drawing15.xml><?xml version="1.0" encoding="utf-8"?>
<xdr:wsDr xmlns:xdr="http://schemas.openxmlformats.org/drawingml/2006/spreadsheetDrawing" xmlns:a="http://schemas.openxmlformats.org/drawingml/2006/main">
  <xdr:twoCellAnchor>
    <xdr:from>
      <xdr:col>0</xdr:col>
      <xdr:colOff>629193</xdr:colOff>
      <xdr:row>44</xdr:row>
      <xdr:rowOff>118291</xdr:rowOff>
    </xdr:from>
    <xdr:to>
      <xdr:col>13</xdr:col>
      <xdr:colOff>95250</xdr:colOff>
      <xdr:row>63</xdr:row>
      <xdr:rowOff>85725</xdr:rowOff>
    </xdr:to>
    <xdr:graphicFrame macro="">
      <xdr:nvGraphicFramePr>
        <xdr:cNvPr id="2" name="1 Gráfico">
          <a:extLst>
            <a:ext uri="{FF2B5EF4-FFF2-40B4-BE49-F238E27FC236}">
              <a16:creationId xmlns:a16="http://schemas.microsoft.com/office/drawing/2014/main" id="{B9B4DBD5-AF09-4E68-B140-45469D91258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6.xml><?xml version="1.0" encoding="utf-8"?>
<xdr:wsDr xmlns:xdr="http://schemas.openxmlformats.org/drawingml/2006/spreadsheetDrawing" xmlns:a="http://schemas.openxmlformats.org/drawingml/2006/main">
  <xdr:twoCellAnchor>
    <xdr:from>
      <xdr:col>1</xdr:col>
      <xdr:colOff>600073</xdr:colOff>
      <xdr:row>33</xdr:row>
      <xdr:rowOff>76200</xdr:rowOff>
    </xdr:from>
    <xdr:to>
      <xdr:col>11</xdr:col>
      <xdr:colOff>531627</xdr:colOff>
      <xdr:row>57</xdr:row>
      <xdr:rowOff>121831</xdr:rowOff>
    </xdr:to>
    <xdr:graphicFrame macro="">
      <xdr:nvGraphicFramePr>
        <xdr:cNvPr id="2" name="5 Gráfico">
          <a:extLst>
            <a:ext uri="{FF2B5EF4-FFF2-40B4-BE49-F238E27FC236}">
              <a16:creationId xmlns:a16="http://schemas.microsoft.com/office/drawing/2014/main" id="{F594D175-D601-4CF0-AC1B-BE34DF8E85C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0</xdr:colOff>
      <xdr:row>61</xdr:row>
      <xdr:rowOff>15240</xdr:rowOff>
    </xdr:from>
    <xdr:to>
      <xdr:col>10</xdr:col>
      <xdr:colOff>114300</xdr:colOff>
      <xdr:row>81</xdr:row>
      <xdr:rowOff>36028</xdr:rowOff>
    </xdr:to>
    <xdr:graphicFrame macro="">
      <xdr:nvGraphicFramePr>
        <xdr:cNvPr id="3" name="6 Gráfico">
          <a:extLst>
            <a:ext uri="{FF2B5EF4-FFF2-40B4-BE49-F238E27FC236}">
              <a16:creationId xmlns:a16="http://schemas.microsoft.com/office/drawing/2014/main" id="{DED2F2E9-4F70-485D-912C-CAD3A030E8E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7.xml><?xml version="1.0" encoding="utf-8"?>
<c:userShapes xmlns:c="http://schemas.openxmlformats.org/drawingml/2006/chart">
  <cdr:relSizeAnchor xmlns:cdr="http://schemas.openxmlformats.org/drawingml/2006/chartDrawing">
    <cdr:from>
      <cdr:x>0.01859</cdr:x>
      <cdr:y>0.02157</cdr:y>
    </cdr:from>
    <cdr:to>
      <cdr:x>0.15339</cdr:x>
      <cdr:y>0.09537</cdr:y>
    </cdr:to>
    <cdr:sp macro="" textlink="">
      <cdr:nvSpPr>
        <cdr:cNvPr id="2" name="CuadroTexto 1">
          <a:extLst xmlns:a="http://schemas.openxmlformats.org/drawingml/2006/main">
            <a:ext uri="{FF2B5EF4-FFF2-40B4-BE49-F238E27FC236}">
              <a16:creationId xmlns:a16="http://schemas.microsoft.com/office/drawing/2014/main" id="{66A589DC-E880-4D00-9CA2-12339DA9C2CD}"/>
            </a:ext>
          </a:extLst>
        </cdr:cNvPr>
        <cdr:cNvSpPr txBox="1"/>
      </cdr:nvSpPr>
      <cdr:spPr>
        <a:xfrm xmlns:a="http://schemas.openxmlformats.org/drawingml/2006/main">
          <a:off x="88899" y="60324"/>
          <a:ext cx="644525" cy="206375"/>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r>
            <a:rPr lang="es-PE" sz="1000" b="1"/>
            <a:t>MMPCD</a:t>
          </a:r>
        </a:p>
      </cdr:txBody>
    </cdr:sp>
  </cdr:relSizeAnchor>
</c:userShapes>
</file>

<file path=xl/drawings/drawing18.xml><?xml version="1.0" encoding="utf-8"?>
<xdr:wsDr xmlns:xdr="http://schemas.openxmlformats.org/drawingml/2006/spreadsheetDrawing" xmlns:a="http://schemas.openxmlformats.org/drawingml/2006/main">
  <xdr:twoCellAnchor>
    <xdr:from>
      <xdr:col>1</xdr:col>
      <xdr:colOff>0</xdr:colOff>
      <xdr:row>17</xdr:row>
      <xdr:rowOff>44982</xdr:rowOff>
    </xdr:from>
    <xdr:to>
      <xdr:col>7</xdr:col>
      <xdr:colOff>487557</xdr:colOff>
      <xdr:row>35</xdr:row>
      <xdr:rowOff>38408</xdr:rowOff>
    </xdr:to>
    <xdr:grpSp>
      <xdr:nvGrpSpPr>
        <xdr:cNvPr id="2" name="3 Grupo">
          <a:extLst>
            <a:ext uri="{FF2B5EF4-FFF2-40B4-BE49-F238E27FC236}">
              <a16:creationId xmlns:a16="http://schemas.microsoft.com/office/drawing/2014/main" id="{71A44FF8-C9A3-4AC1-9509-96CF525AD610}"/>
            </a:ext>
          </a:extLst>
        </xdr:cNvPr>
        <xdr:cNvGrpSpPr/>
      </xdr:nvGrpSpPr>
      <xdr:grpSpPr>
        <a:xfrm>
          <a:off x="762000" y="2569107"/>
          <a:ext cx="3916557" cy="2565176"/>
          <a:chOff x="877408" y="1499987"/>
          <a:chExt cx="5300483" cy="2743200"/>
        </a:xfrm>
      </xdr:grpSpPr>
      <xdr:graphicFrame macro="">
        <xdr:nvGraphicFramePr>
          <xdr:cNvPr id="3" name="1 Gráfico">
            <a:extLst>
              <a:ext uri="{FF2B5EF4-FFF2-40B4-BE49-F238E27FC236}">
                <a16:creationId xmlns:a16="http://schemas.microsoft.com/office/drawing/2014/main" id="{0D6D843E-ACCB-1FA4-3C99-BBB4223C5C7E}"/>
              </a:ext>
            </a:extLst>
          </xdr:cNvPr>
          <xdr:cNvGraphicFramePr/>
        </xdr:nvGraphicFramePr>
        <xdr:xfrm>
          <a:off x="939141" y="1499987"/>
          <a:ext cx="5238750" cy="2743200"/>
        </xdr:xfrm>
        <a:graphic>
          <a:graphicData uri="http://schemas.openxmlformats.org/drawingml/2006/chart">
            <c:chart xmlns:c="http://schemas.openxmlformats.org/drawingml/2006/chart" xmlns:r="http://schemas.openxmlformats.org/officeDocument/2006/relationships" r:id="rId1"/>
          </a:graphicData>
        </a:graphic>
      </xdr:graphicFrame>
      <xdr:sp macro="" textlink="">
        <xdr:nvSpPr>
          <xdr:cNvPr id="4" name="2 CuadroTexto">
            <a:extLst>
              <a:ext uri="{FF2B5EF4-FFF2-40B4-BE49-F238E27FC236}">
                <a16:creationId xmlns:a16="http://schemas.microsoft.com/office/drawing/2014/main" id="{D75C4329-B129-8CE5-26F7-9BBC45941554}"/>
              </a:ext>
            </a:extLst>
          </xdr:cNvPr>
          <xdr:cNvSpPr txBox="1"/>
        </xdr:nvSpPr>
        <xdr:spPr>
          <a:xfrm>
            <a:off x="877408" y="1809750"/>
            <a:ext cx="680251" cy="21005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s-PE" sz="800">
                <a:latin typeface="Arial Narrow" panose="020B0606020202030204" pitchFamily="34" charset="0"/>
              </a:rPr>
              <a:t>US$ Millones</a:t>
            </a:r>
          </a:p>
        </xdr:txBody>
      </xdr:sp>
    </xdr:grpSp>
    <xdr:clientData/>
  </xdr:twoCellAnchor>
</xdr:wsDr>
</file>

<file path=xl/drawings/drawing19.xml><?xml version="1.0" encoding="utf-8"?>
<xdr:wsDr xmlns:xdr="http://schemas.openxmlformats.org/drawingml/2006/spreadsheetDrawing" xmlns:a="http://schemas.openxmlformats.org/drawingml/2006/main">
  <xdr:twoCellAnchor>
    <xdr:from>
      <xdr:col>1</xdr:col>
      <xdr:colOff>9525</xdr:colOff>
      <xdr:row>17</xdr:row>
      <xdr:rowOff>28575</xdr:rowOff>
    </xdr:from>
    <xdr:to>
      <xdr:col>8</xdr:col>
      <xdr:colOff>209550</xdr:colOff>
      <xdr:row>34</xdr:row>
      <xdr:rowOff>9526</xdr:rowOff>
    </xdr:to>
    <xdr:grpSp>
      <xdr:nvGrpSpPr>
        <xdr:cNvPr id="2" name="3 Grupo">
          <a:extLst>
            <a:ext uri="{FF2B5EF4-FFF2-40B4-BE49-F238E27FC236}">
              <a16:creationId xmlns:a16="http://schemas.microsoft.com/office/drawing/2014/main" id="{23E0DFEB-5159-488E-95E0-798508EBDBB9}"/>
            </a:ext>
          </a:extLst>
        </xdr:cNvPr>
        <xdr:cNvGrpSpPr/>
      </xdr:nvGrpSpPr>
      <xdr:grpSpPr>
        <a:xfrm>
          <a:off x="771525" y="2628900"/>
          <a:ext cx="5534025" cy="2409826"/>
          <a:chOff x="-320640" y="2300287"/>
          <a:chExt cx="5238750" cy="2409826"/>
        </a:xfrm>
      </xdr:grpSpPr>
      <xdr:graphicFrame macro="">
        <xdr:nvGraphicFramePr>
          <xdr:cNvPr id="3" name="1 Gráfico">
            <a:extLst>
              <a:ext uri="{FF2B5EF4-FFF2-40B4-BE49-F238E27FC236}">
                <a16:creationId xmlns:a16="http://schemas.microsoft.com/office/drawing/2014/main" id="{997A645D-2881-1B31-DBAB-0747D84DE493}"/>
              </a:ext>
            </a:extLst>
          </xdr:cNvPr>
          <xdr:cNvGraphicFramePr/>
        </xdr:nvGraphicFramePr>
        <xdr:xfrm>
          <a:off x="-320640" y="2300287"/>
          <a:ext cx="5238750" cy="2409826"/>
        </xdr:xfrm>
        <a:graphic>
          <a:graphicData uri="http://schemas.openxmlformats.org/drawingml/2006/chart">
            <c:chart xmlns:c="http://schemas.openxmlformats.org/drawingml/2006/chart" xmlns:r="http://schemas.openxmlformats.org/officeDocument/2006/relationships" r:id="rId1"/>
          </a:graphicData>
        </a:graphic>
      </xdr:graphicFrame>
      <xdr:sp macro="" textlink="">
        <xdr:nvSpPr>
          <xdr:cNvPr id="4" name="2 CuadroTexto">
            <a:extLst>
              <a:ext uri="{FF2B5EF4-FFF2-40B4-BE49-F238E27FC236}">
                <a16:creationId xmlns:a16="http://schemas.microsoft.com/office/drawing/2014/main" id="{B4981AD4-DB50-A93A-D764-6C6C084A9B39}"/>
              </a:ext>
            </a:extLst>
          </xdr:cNvPr>
          <xdr:cNvSpPr txBox="1"/>
        </xdr:nvSpPr>
        <xdr:spPr>
          <a:xfrm>
            <a:off x="-163882" y="2447925"/>
            <a:ext cx="680251" cy="21005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s-PE" sz="800">
                <a:latin typeface="Arial Narrow" panose="020B0606020202030204" pitchFamily="34" charset="0"/>
              </a:rPr>
              <a:t>US$ Millones</a:t>
            </a:r>
          </a:p>
        </xdr:txBody>
      </xdr:sp>
    </xdr:grpSp>
    <xdr:clientData/>
  </xdr:twoCellAnchor>
</xdr:wsDr>
</file>

<file path=xl/drawings/drawing20.xml><?xml version="1.0" encoding="utf-8"?>
<xdr:wsDr xmlns:xdr="http://schemas.openxmlformats.org/drawingml/2006/spreadsheetDrawing" xmlns:a="http://schemas.openxmlformats.org/drawingml/2006/main">
  <xdr:twoCellAnchor>
    <xdr:from>
      <xdr:col>1</xdr:col>
      <xdr:colOff>152400</xdr:colOff>
      <xdr:row>15</xdr:row>
      <xdr:rowOff>85725</xdr:rowOff>
    </xdr:from>
    <xdr:to>
      <xdr:col>7</xdr:col>
      <xdr:colOff>650082</xdr:colOff>
      <xdr:row>35</xdr:row>
      <xdr:rowOff>29256</xdr:rowOff>
    </xdr:to>
    <xdr:graphicFrame macro="">
      <xdr:nvGraphicFramePr>
        <xdr:cNvPr id="2" name="3 Gráfico">
          <a:extLst>
            <a:ext uri="{FF2B5EF4-FFF2-40B4-BE49-F238E27FC236}">
              <a16:creationId xmlns:a16="http://schemas.microsoft.com/office/drawing/2014/main" id="{0DD10D81-D9EB-4A98-BF99-1BC74EFA52A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1.xml><?xml version="1.0" encoding="utf-8"?>
<c:userShapes xmlns:c="http://schemas.openxmlformats.org/drawingml/2006/chart">
  <cdr:relSizeAnchor xmlns:cdr="http://schemas.openxmlformats.org/drawingml/2006/chartDrawing">
    <cdr:from>
      <cdr:x>0.02831</cdr:x>
      <cdr:y>0.08275</cdr:y>
    </cdr:from>
    <cdr:to>
      <cdr:x>0.15682</cdr:x>
      <cdr:y>0.15774</cdr:y>
    </cdr:to>
    <cdr:sp macro="" textlink="">
      <cdr:nvSpPr>
        <cdr:cNvPr id="2" name="2 CuadroTexto">
          <a:extLst xmlns:a="http://schemas.openxmlformats.org/drawingml/2006/main">
            <a:ext uri="{FF2B5EF4-FFF2-40B4-BE49-F238E27FC236}">
              <a16:creationId xmlns:a16="http://schemas.microsoft.com/office/drawing/2014/main" id="{CF04A676-17CD-4296-AF42-0A93D781367C}"/>
            </a:ext>
          </a:extLst>
        </cdr:cNvPr>
        <cdr:cNvSpPr txBox="1"/>
      </cdr:nvSpPr>
      <cdr:spPr>
        <a:xfrm xmlns:a="http://schemas.openxmlformats.org/drawingml/2006/main">
          <a:off x="136525" y="231775"/>
          <a:ext cx="619647" cy="210058"/>
        </a:xfrm>
        <a:prstGeom xmlns:a="http://schemas.openxmlformats.org/drawingml/2006/main" prst="rect">
          <a:avLst/>
        </a:prstGeom>
        <a:noFill xmlns:a="http://schemas.openxmlformats.org/drawingml/2006/mai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tx1"/>
        </a:fontRef>
      </cdr:style>
      <cdr:txBody>
        <a:bodyPr xmlns:a="http://schemas.openxmlformats.org/drawingml/2006/main" wrap="none" rtlCol="0" anchor="t">
          <a:noAutofit/>
        </a:bodyPr>
        <a:lstStyle xmlns:a="http://schemas.openxmlformats.org/drawingml/2006/main">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xmlns:a="http://schemas.openxmlformats.org/drawingml/2006/main">
          <a:r>
            <a:rPr lang="es-PE" sz="800">
              <a:latin typeface="Arial Narrow" panose="020B0606020202030204" pitchFamily="34" charset="0"/>
            </a:rPr>
            <a:t>US$ Millones</a:t>
          </a:r>
        </a:p>
      </cdr:txBody>
    </cdr:sp>
  </cdr:relSizeAnchor>
</c:userShapes>
</file>

<file path=xl/drawings/drawing22.xml><?xml version="1.0" encoding="utf-8"?>
<xdr:wsDr xmlns:xdr="http://schemas.openxmlformats.org/drawingml/2006/spreadsheetDrawing" xmlns:a="http://schemas.openxmlformats.org/drawingml/2006/main">
  <xdr:twoCellAnchor>
    <xdr:from>
      <xdr:col>1</xdr:col>
      <xdr:colOff>178491</xdr:colOff>
      <xdr:row>17</xdr:row>
      <xdr:rowOff>9526</xdr:rowOff>
    </xdr:from>
    <xdr:to>
      <xdr:col>11</xdr:col>
      <xdr:colOff>57151</xdr:colOff>
      <xdr:row>30</xdr:row>
      <xdr:rowOff>161925</xdr:rowOff>
    </xdr:to>
    <xdr:graphicFrame macro="">
      <xdr:nvGraphicFramePr>
        <xdr:cNvPr id="2" name="Gráfico 1">
          <a:extLst>
            <a:ext uri="{FF2B5EF4-FFF2-40B4-BE49-F238E27FC236}">
              <a16:creationId xmlns:a16="http://schemas.microsoft.com/office/drawing/2014/main" id="{BA9FF3EC-2DCB-43F2-AE87-946235A3D33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17</xdr:col>
      <xdr:colOff>458856</xdr:colOff>
      <xdr:row>0</xdr:row>
      <xdr:rowOff>112643</xdr:rowOff>
    </xdr:from>
    <xdr:to>
      <xdr:col>23</xdr:col>
      <xdr:colOff>495299</xdr:colOff>
      <xdr:row>15</xdr:row>
      <xdr:rowOff>161925</xdr:rowOff>
    </xdr:to>
    <xdr:graphicFrame macro="">
      <xdr:nvGraphicFramePr>
        <xdr:cNvPr id="3" name="Gráfico 2">
          <a:extLst>
            <a:ext uri="{FF2B5EF4-FFF2-40B4-BE49-F238E27FC236}">
              <a16:creationId xmlns:a16="http://schemas.microsoft.com/office/drawing/2014/main" id="{C0AE4922-2182-4234-AECA-F289C8036CC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3.xml><?xml version="1.0" encoding="utf-8"?>
<xdr:wsDr xmlns:xdr="http://schemas.openxmlformats.org/drawingml/2006/spreadsheetDrawing" xmlns:a="http://schemas.openxmlformats.org/drawingml/2006/main">
  <xdr:twoCellAnchor>
    <xdr:from>
      <xdr:col>6</xdr:col>
      <xdr:colOff>723340</xdr:colOff>
      <xdr:row>6</xdr:row>
      <xdr:rowOff>111498</xdr:rowOff>
    </xdr:from>
    <xdr:to>
      <xdr:col>12</xdr:col>
      <xdr:colOff>510428</xdr:colOff>
      <xdr:row>20</xdr:row>
      <xdr:rowOff>165286</xdr:rowOff>
    </xdr:to>
    <xdr:graphicFrame macro="">
      <xdr:nvGraphicFramePr>
        <xdr:cNvPr id="2" name="Gráfico 1">
          <a:extLst>
            <a:ext uri="{FF2B5EF4-FFF2-40B4-BE49-F238E27FC236}">
              <a16:creationId xmlns:a16="http://schemas.microsoft.com/office/drawing/2014/main" id="{AB640C1D-0B35-404F-AF62-5DA40C59F36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13</xdr:col>
      <xdr:colOff>340979</xdr:colOff>
      <xdr:row>6</xdr:row>
      <xdr:rowOff>72998</xdr:rowOff>
    </xdr:from>
    <xdr:to>
      <xdr:col>19</xdr:col>
      <xdr:colOff>139273</xdr:colOff>
      <xdr:row>20</xdr:row>
      <xdr:rowOff>137992</xdr:rowOff>
    </xdr:to>
    <xdr:graphicFrame macro="">
      <xdr:nvGraphicFramePr>
        <xdr:cNvPr id="3" name="Gráfico 2">
          <a:extLst>
            <a:ext uri="{FF2B5EF4-FFF2-40B4-BE49-F238E27FC236}">
              <a16:creationId xmlns:a16="http://schemas.microsoft.com/office/drawing/2014/main" id="{34026E6B-B38D-4374-9810-2D98222733B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4.xml><?xml version="1.0" encoding="utf-8"?>
<xdr:wsDr xmlns:xdr="http://schemas.openxmlformats.org/drawingml/2006/spreadsheetDrawing" xmlns:a="http://schemas.openxmlformats.org/drawingml/2006/main">
  <xdr:twoCellAnchor>
    <xdr:from>
      <xdr:col>7</xdr:col>
      <xdr:colOff>266700</xdr:colOff>
      <xdr:row>16</xdr:row>
      <xdr:rowOff>4762</xdr:rowOff>
    </xdr:from>
    <xdr:to>
      <xdr:col>11</xdr:col>
      <xdr:colOff>495300</xdr:colOff>
      <xdr:row>30</xdr:row>
      <xdr:rowOff>0</xdr:rowOff>
    </xdr:to>
    <xdr:graphicFrame macro="">
      <xdr:nvGraphicFramePr>
        <xdr:cNvPr id="2" name="Gráfico 1">
          <a:extLst>
            <a:ext uri="{FF2B5EF4-FFF2-40B4-BE49-F238E27FC236}">
              <a16:creationId xmlns:a16="http://schemas.microsoft.com/office/drawing/2014/main" id="{82334539-47DD-4B3F-905D-17FD031BDAB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12</xdr:col>
      <xdr:colOff>1078529</xdr:colOff>
      <xdr:row>23</xdr:row>
      <xdr:rowOff>26955</xdr:rowOff>
    </xdr:from>
    <xdr:to>
      <xdr:col>18</xdr:col>
      <xdr:colOff>0</xdr:colOff>
      <xdr:row>33</xdr:row>
      <xdr:rowOff>110952</xdr:rowOff>
    </xdr:to>
    <xdr:graphicFrame macro="">
      <xdr:nvGraphicFramePr>
        <xdr:cNvPr id="3" name="Gráfico 2">
          <a:extLst>
            <a:ext uri="{FF2B5EF4-FFF2-40B4-BE49-F238E27FC236}">
              <a16:creationId xmlns:a16="http://schemas.microsoft.com/office/drawing/2014/main" id="{316C463F-0503-4835-8663-588E6D7FA57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12</xdr:col>
      <xdr:colOff>333375</xdr:colOff>
      <xdr:row>12</xdr:row>
      <xdr:rowOff>133350</xdr:rowOff>
    </xdr:from>
    <xdr:to>
      <xdr:col>17</xdr:col>
      <xdr:colOff>695325</xdr:colOff>
      <xdr:row>22</xdr:row>
      <xdr:rowOff>87175</xdr:rowOff>
    </xdr:to>
    <xdr:graphicFrame macro="">
      <xdr:nvGraphicFramePr>
        <xdr:cNvPr id="4" name="Gráfico 3">
          <a:extLst>
            <a:ext uri="{FF2B5EF4-FFF2-40B4-BE49-F238E27FC236}">
              <a16:creationId xmlns:a16="http://schemas.microsoft.com/office/drawing/2014/main" id="{DA2AE0FC-F2FD-4E26-828A-2120E9BB9B3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5.xml><?xml version="1.0" encoding="utf-8"?>
<xdr:wsDr xmlns:xdr="http://schemas.openxmlformats.org/drawingml/2006/spreadsheetDrawing" xmlns:a="http://schemas.openxmlformats.org/drawingml/2006/main">
  <xdr:twoCellAnchor>
    <xdr:from>
      <xdr:col>0</xdr:col>
      <xdr:colOff>630056</xdr:colOff>
      <xdr:row>15</xdr:row>
      <xdr:rowOff>36621</xdr:rowOff>
    </xdr:from>
    <xdr:to>
      <xdr:col>9</xdr:col>
      <xdr:colOff>457413</xdr:colOff>
      <xdr:row>29</xdr:row>
      <xdr:rowOff>112821</xdr:rowOff>
    </xdr:to>
    <xdr:graphicFrame macro="">
      <xdr:nvGraphicFramePr>
        <xdr:cNvPr id="2" name="Gráfico 1">
          <a:extLst>
            <a:ext uri="{FF2B5EF4-FFF2-40B4-BE49-F238E27FC236}">
              <a16:creationId xmlns:a16="http://schemas.microsoft.com/office/drawing/2014/main" id="{248CE4C2-9CAB-46AE-B7A9-E9FFFC6A614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188800</xdr:colOff>
      <xdr:row>16</xdr:row>
      <xdr:rowOff>121289</xdr:rowOff>
    </xdr:from>
    <xdr:to>
      <xdr:col>16</xdr:col>
      <xdr:colOff>421142</xdr:colOff>
      <xdr:row>26</xdr:row>
      <xdr:rowOff>116527</xdr:rowOff>
    </xdr:to>
    <xdr:graphicFrame macro="">
      <xdr:nvGraphicFramePr>
        <xdr:cNvPr id="3" name="Gráfico 2">
          <a:extLst>
            <a:ext uri="{FF2B5EF4-FFF2-40B4-BE49-F238E27FC236}">
              <a16:creationId xmlns:a16="http://schemas.microsoft.com/office/drawing/2014/main" id="{9C304722-4900-4834-A2B9-E5871C2278D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6.xml><?xml version="1.0" encoding="utf-8"?>
<xdr:wsDr xmlns:xdr="http://schemas.openxmlformats.org/drawingml/2006/spreadsheetDrawing" xmlns:a="http://schemas.openxmlformats.org/drawingml/2006/main">
  <xdr:twoCellAnchor>
    <xdr:from>
      <xdr:col>2</xdr:col>
      <xdr:colOff>142875</xdr:colOff>
      <xdr:row>11</xdr:row>
      <xdr:rowOff>19049</xdr:rowOff>
    </xdr:from>
    <xdr:to>
      <xdr:col>8</xdr:col>
      <xdr:colOff>219075</xdr:colOff>
      <xdr:row>25</xdr:row>
      <xdr:rowOff>66674</xdr:rowOff>
    </xdr:to>
    <xdr:graphicFrame macro="">
      <xdr:nvGraphicFramePr>
        <xdr:cNvPr id="2" name="Gráfico 1">
          <a:extLst>
            <a:ext uri="{FF2B5EF4-FFF2-40B4-BE49-F238E27FC236}">
              <a16:creationId xmlns:a16="http://schemas.microsoft.com/office/drawing/2014/main" id="{D55FDF33-6646-4521-9A2D-9958838AD34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7.xml><?xml version="1.0" encoding="utf-8"?>
<xdr:wsDr xmlns:xdr="http://schemas.openxmlformats.org/drawingml/2006/spreadsheetDrawing" xmlns:a="http://schemas.openxmlformats.org/drawingml/2006/main">
  <xdr:twoCellAnchor>
    <xdr:from>
      <xdr:col>14</xdr:col>
      <xdr:colOff>179504</xdr:colOff>
      <xdr:row>35</xdr:row>
      <xdr:rowOff>80675</xdr:rowOff>
    </xdr:from>
    <xdr:to>
      <xdr:col>22</xdr:col>
      <xdr:colOff>291083</xdr:colOff>
      <xdr:row>49</xdr:row>
      <xdr:rowOff>59944</xdr:rowOff>
    </xdr:to>
    <xdr:graphicFrame macro="">
      <xdr:nvGraphicFramePr>
        <xdr:cNvPr id="2" name="Gráfico 1">
          <a:extLst>
            <a:ext uri="{FF2B5EF4-FFF2-40B4-BE49-F238E27FC236}">
              <a16:creationId xmlns:a16="http://schemas.microsoft.com/office/drawing/2014/main" id="{67A68E0A-8771-40AD-A719-DF15EC0A765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192930</xdr:colOff>
      <xdr:row>51</xdr:row>
      <xdr:rowOff>95278</xdr:rowOff>
    </xdr:from>
    <xdr:to>
      <xdr:col>18</xdr:col>
      <xdr:colOff>593016</xdr:colOff>
      <xdr:row>69</xdr:row>
      <xdr:rowOff>76600</xdr:rowOff>
    </xdr:to>
    <xdr:graphicFrame macro="">
      <xdr:nvGraphicFramePr>
        <xdr:cNvPr id="3" name="Gráfico 2">
          <a:extLst>
            <a:ext uri="{FF2B5EF4-FFF2-40B4-BE49-F238E27FC236}">
              <a16:creationId xmlns:a16="http://schemas.microsoft.com/office/drawing/2014/main" id="{647C93D3-7EEF-445C-BC3E-E66A084C5D0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495298</xdr:colOff>
      <xdr:row>35</xdr:row>
      <xdr:rowOff>123823</xdr:rowOff>
    </xdr:from>
    <xdr:to>
      <xdr:col>5</xdr:col>
      <xdr:colOff>183572</xdr:colOff>
      <xdr:row>53</xdr:row>
      <xdr:rowOff>34636</xdr:rowOff>
    </xdr:to>
    <xdr:graphicFrame macro="">
      <xdr:nvGraphicFramePr>
        <xdr:cNvPr id="4" name="Gráfico 3">
          <a:extLst>
            <a:ext uri="{FF2B5EF4-FFF2-40B4-BE49-F238E27FC236}">
              <a16:creationId xmlns:a16="http://schemas.microsoft.com/office/drawing/2014/main" id="{73E71F4D-D297-480A-AA04-24FE14196DF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8.xml><?xml version="1.0" encoding="utf-8"?>
<xdr:wsDr xmlns:xdr="http://schemas.openxmlformats.org/drawingml/2006/spreadsheetDrawing" xmlns:a="http://schemas.openxmlformats.org/drawingml/2006/main">
  <xdr:twoCellAnchor>
    <xdr:from>
      <xdr:col>13</xdr:col>
      <xdr:colOff>672351</xdr:colOff>
      <xdr:row>12</xdr:row>
      <xdr:rowOff>67237</xdr:rowOff>
    </xdr:from>
    <xdr:to>
      <xdr:col>19</xdr:col>
      <xdr:colOff>526677</xdr:colOff>
      <xdr:row>24</xdr:row>
      <xdr:rowOff>44823</xdr:rowOff>
    </xdr:to>
    <xdr:graphicFrame macro="">
      <xdr:nvGraphicFramePr>
        <xdr:cNvPr id="2" name="Gráfico 1">
          <a:extLst>
            <a:ext uri="{FF2B5EF4-FFF2-40B4-BE49-F238E27FC236}">
              <a16:creationId xmlns:a16="http://schemas.microsoft.com/office/drawing/2014/main" id="{02A2EE8D-9A55-4577-9EE0-FAC41A323EA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123264</xdr:colOff>
      <xdr:row>24</xdr:row>
      <xdr:rowOff>224117</xdr:rowOff>
    </xdr:from>
    <xdr:to>
      <xdr:col>19</xdr:col>
      <xdr:colOff>605117</xdr:colOff>
      <xdr:row>38</xdr:row>
      <xdr:rowOff>89647</xdr:rowOff>
    </xdr:to>
    <xdr:graphicFrame macro="">
      <xdr:nvGraphicFramePr>
        <xdr:cNvPr id="3" name="Gráfico 2">
          <a:extLst>
            <a:ext uri="{FF2B5EF4-FFF2-40B4-BE49-F238E27FC236}">
              <a16:creationId xmlns:a16="http://schemas.microsoft.com/office/drawing/2014/main" id="{7B041582-108A-4D69-BDF1-BDA2CFA5D47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20</xdr:col>
      <xdr:colOff>448235</xdr:colOff>
      <xdr:row>12</xdr:row>
      <xdr:rowOff>124385</xdr:rowOff>
    </xdr:from>
    <xdr:to>
      <xdr:col>25</xdr:col>
      <xdr:colOff>321317</xdr:colOff>
      <xdr:row>25</xdr:row>
      <xdr:rowOff>22412</xdr:rowOff>
    </xdr:to>
    <xdr:graphicFrame macro="">
      <xdr:nvGraphicFramePr>
        <xdr:cNvPr id="4" name="Gráfico 3">
          <a:extLst>
            <a:ext uri="{FF2B5EF4-FFF2-40B4-BE49-F238E27FC236}">
              <a16:creationId xmlns:a16="http://schemas.microsoft.com/office/drawing/2014/main" id="{BA020A8B-93A0-46C9-87CF-E5E827CE45E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9.xml><?xml version="1.0" encoding="utf-8"?>
<xdr:wsDr xmlns:xdr="http://schemas.openxmlformats.org/drawingml/2006/spreadsheetDrawing" xmlns:a="http://schemas.openxmlformats.org/drawingml/2006/main">
  <xdr:twoCellAnchor>
    <xdr:from>
      <xdr:col>0</xdr:col>
      <xdr:colOff>228600</xdr:colOff>
      <xdr:row>12</xdr:row>
      <xdr:rowOff>71437</xdr:rowOff>
    </xdr:from>
    <xdr:to>
      <xdr:col>5</xdr:col>
      <xdr:colOff>390525</xdr:colOff>
      <xdr:row>31</xdr:row>
      <xdr:rowOff>100012</xdr:rowOff>
    </xdr:to>
    <xdr:graphicFrame macro="">
      <xdr:nvGraphicFramePr>
        <xdr:cNvPr id="2" name="Gráfico 1">
          <a:extLst>
            <a:ext uri="{FF2B5EF4-FFF2-40B4-BE49-F238E27FC236}">
              <a16:creationId xmlns:a16="http://schemas.microsoft.com/office/drawing/2014/main" id="{78D459E7-B612-4B62-B2D1-73A9D27D909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0.xml><?xml version="1.0" encoding="utf-8"?>
<xdr:wsDr xmlns:xdr="http://schemas.openxmlformats.org/drawingml/2006/spreadsheetDrawing" xmlns:a="http://schemas.openxmlformats.org/drawingml/2006/main">
  <xdr:twoCellAnchor>
    <xdr:from>
      <xdr:col>12</xdr:col>
      <xdr:colOff>65209</xdr:colOff>
      <xdr:row>5</xdr:row>
      <xdr:rowOff>134082</xdr:rowOff>
    </xdr:from>
    <xdr:to>
      <xdr:col>18</xdr:col>
      <xdr:colOff>312859</xdr:colOff>
      <xdr:row>18</xdr:row>
      <xdr:rowOff>73269</xdr:rowOff>
    </xdr:to>
    <xdr:graphicFrame macro="">
      <xdr:nvGraphicFramePr>
        <xdr:cNvPr id="2" name="Gráfico 1">
          <a:extLst>
            <a:ext uri="{FF2B5EF4-FFF2-40B4-BE49-F238E27FC236}">
              <a16:creationId xmlns:a16="http://schemas.microsoft.com/office/drawing/2014/main" id="{09B2AA42-8EA1-42E9-A503-47957104A8D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1.xml><?xml version="1.0" encoding="utf-8"?>
<xdr:wsDr xmlns:xdr="http://schemas.openxmlformats.org/drawingml/2006/spreadsheetDrawing" xmlns:a="http://schemas.openxmlformats.org/drawingml/2006/main">
  <xdr:twoCellAnchor>
    <xdr:from>
      <xdr:col>1</xdr:col>
      <xdr:colOff>133350</xdr:colOff>
      <xdr:row>12</xdr:row>
      <xdr:rowOff>9525</xdr:rowOff>
    </xdr:from>
    <xdr:to>
      <xdr:col>7</xdr:col>
      <xdr:colOff>381000</xdr:colOff>
      <xdr:row>31</xdr:row>
      <xdr:rowOff>38100</xdr:rowOff>
    </xdr:to>
    <xdr:graphicFrame macro="">
      <xdr:nvGraphicFramePr>
        <xdr:cNvPr id="2" name="Gráfico 1">
          <a:extLst>
            <a:ext uri="{FF2B5EF4-FFF2-40B4-BE49-F238E27FC236}">
              <a16:creationId xmlns:a16="http://schemas.microsoft.com/office/drawing/2014/main" id="{71A18DF5-6CFD-4C63-BBC7-CB6C697A1E6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2.xml><?xml version="1.0" encoding="utf-8"?>
<xdr:wsDr xmlns:xdr="http://schemas.openxmlformats.org/drawingml/2006/spreadsheetDrawing" xmlns:a="http://schemas.openxmlformats.org/drawingml/2006/main">
  <xdr:twoCellAnchor>
    <xdr:from>
      <xdr:col>11</xdr:col>
      <xdr:colOff>343633</xdr:colOff>
      <xdr:row>3</xdr:row>
      <xdr:rowOff>95983</xdr:rowOff>
    </xdr:from>
    <xdr:to>
      <xdr:col>17</xdr:col>
      <xdr:colOff>591283</xdr:colOff>
      <xdr:row>17</xdr:row>
      <xdr:rowOff>38833</xdr:rowOff>
    </xdr:to>
    <xdr:graphicFrame macro="">
      <xdr:nvGraphicFramePr>
        <xdr:cNvPr id="2" name="Gráfico 1">
          <a:extLst>
            <a:ext uri="{FF2B5EF4-FFF2-40B4-BE49-F238E27FC236}">
              <a16:creationId xmlns:a16="http://schemas.microsoft.com/office/drawing/2014/main" id="{5871207C-2FD4-4E3D-B753-DC3FC5DDEDF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3.xml><?xml version="1.0" encoding="utf-8"?>
<xdr:wsDr xmlns:xdr="http://schemas.openxmlformats.org/drawingml/2006/spreadsheetDrawing" xmlns:a="http://schemas.openxmlformats.org/drawingml/2006/main">
  <xdr:twoCellAnchor>
    <xdr:from>
      <xdr:col>11</xdr:col>
      <xdr:colOff>453059</xdr:colOff>
      <xdr:row>4</xdr:row>
      <xdr:rowOff>174762</xdr:rowOff>
    </xdr:from>
    <xdr:to>
      <xdr:col>17</xdr:col>
      <xdr:colOff>453059</xdr:colOff>
      <xdr:row>18</xdr:row>
      <xdr:rowOff>135006</xdr:rowOff>
    </xdr:to>
    <xdr:graphicFrame macro="">
      <xdr:nvGraphicFramePr>
        <xdr:cNvPr id="2" name="Gráfico 1">
          <a:extLst>
            <a:ext uri="{FF2B5EF4-FFF2-40B4-BE49-F238E27FC236}">
              <a16:creationId xmlns:a16="http://schemas.microsoft.com/office/drawing/2014/main" id="{7150A561-BBBD-4ED3-B57B-5B430FFCA01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D:\2025\Anuario%202024\Anuario%202024\Tablas%20actualizadas%20-%20Anuario%202024%20-%20DEEH.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D:\LEIDY%20DEEH\EXPEDIENTES\ESTADISTICAS\I-2632-2019%20-DPTC%20(ANUARIO%20ESTAD&#205;STICO)\Anuario%20al%202018\CAPITULO%20II%202018.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servas LARH 2023"/>
      <sheetName val="DEEH01"/>
      <sheetName val="DEEH02"/>
      <sheetName val="DEEH03"/>
      <sheetName val="DEEH04"/>
      <sheetName val="DEEH05"/>
      <sheetName val="DEEH06"/>
      <sheetName val="DEEH07-08-09"/>
      <sheetName val="DEEH10"/>
      <sheetName val="DEEH11"/>
      <sheetName val="DEEH12"/>
      <sheetName val="DEEH13"/>
      <sheetName val="DEEH14"/>
      <sheetName val="DEEH15"/>
      <sheetName val="DEEH16"/>
      <sheetName val="DEEH18"/>
      <sheetName val="DEEH19"/>
      <sheetName val="DEEH20"/>
      <sheetName val="DEEH21"/>
      <sheetName val="DEEH22"/>
      <sheetName val="DEEH23"/>
    </sheetNames>
    <sheetDataSet>
      <sheetData sheetId="0">
        <row r="10">
          <cell r="C10" t="str">
            <v>PETRÓLEO (MMSTB)</v>
          </cell>
          <cell r="D10" t="str">
            <v>LGN (MMSTB)</v>
          </cell>
          <cell r="E10" t="str">
            <v>GAS NATURAL (TCF)</v>
          </cell>
        </row>
        <row r="11">
          <cell r="B11" t="str">
            <v>RESERVAS PROBADAS</v>
          </cell>
          <cell r="C11">
            <v>324.904</v>
          </cell>
          <cell r="D11">
            <v>348.49299999999999</v>
          </cell>
          <cell r="E11">
            <v>7.8760000000000003</v>
          </cell>
        </row>
        <row r="12">
          <cell r="B12" t="str">
            <v>RESERVAS TOTALES</v>
          </cell>
          <cell r="C12">
            <v>679.05200000000002</v>
          </cell>
          <cell r="D12">
            <v>476.43700000000001</v>
          </cell>
          <cell r="E12">
            <v>10.343</v>
          </cell>
        </row>
        <row r="13">
          <cell r="B13" t="str">
            <v>RECURSOS CONTINGENTES</v>
          </cell>
          <cell r="C13">
            <v>465.44799999999998</v>
          </cell>
          <cell r="D13">
            <v>303.57499999999999</v>
          </cell>
          <cell r="E13">
            <v>6.91</v>
          </cell>
        </row>
        <row r="14">
          <cell r="B14" t="str">
            <v>RECURSOS PROSPECTIVOS</v>
          </cell>
          <cell r="C14">
            <v>33271.133999999998</v>
          </cell>
          <cell r="D14">
            <v>527.98900000000003</v>
          </cell>
          <cell r="E14">
            <v>43.234999999999999</v>
          </cell>
        </row>
      </sheetData>
      <sheetData sheetId="1">
        <row r="34">
          <cell r="G34" t="str">
            <v>Acum. (2020-2024)</v>
          </cell>
          <cell r="I34">
            <v>331.95</v>
          </cell>
        </row>
        <row r="35">
          <cell r="G35">
            <v>2025</v>
          </cell>
          <cell r="I35">
            <v>0</v>
          </cell>
        </row>
        <row r="36">
          <cell r="G36">
            <v>2026</v>
          </cell>
          <cell r="I36">
            <v>0</v>
          </cell>
        </row>
        <row r="37">
          <cell r="G37">
            <v>2027</v>
          </cell>
          <cell r="I37">
            <v>0</v>
          </cell>
        </row>
        <row r="38">
          <cell r="G38">
            <v>2028</v>
          </cell>
          <cell r="I38">
            <v>0</v>
          </cell>
        </row>
        <row r="39">
          <cell r="G39">
            <v>2029</v>
          </cell>
          <cell r="I39">
            <v>0</v>
          </cell>
        </row>
        <row r="40">
          <cell r="G40" t="str">
            <v>Acum. (2025-2029)</v>
          </cell>
          <cell r="I40">
            <v>0</v>
          </cell>
        </row>
      </sheetData>
      <sheetData sheetId="2">
        <row r="23">
          <cell r="G23" t="str">
            <v>Acum. (2020-2024)</v>
          </cell>
          <cell r="I23">
            <v>6163</v>
          </cell>
        </row>
        <row r="24">
          <cell r="G24">
            <v>2025</v>
          </cell>
          <cell r="I24">
            <v>0</v>
          </cell>
        </row>
        <row r="25">
          <cell r="G25">
            <v>2026</v>
          </cell>
          <cell r="I25">
            <v>0</v>
          </cell>
        </row>
        <row r="26">
          <cell r="G26">
            <v>2027</v>
          </cell>
          <cell r="I26">
            <v>0</v>
          </cell>
        </row>
        <row r="27">
          <cell r="G27">
            <v>2028</v>
          </cell>
          <cell r="I27">
            <v>0</v>
          </cell>
        </row>
        <row r="28">
          <cell r="G28">
            <v>2029</v>
          </cell>
          <cell r="I28">
            <v>0</v>
          </cell>
        </row>
        <row r="29">
          <cell r="G29" t="str">
            <v>Acum. (2025-2029)</v>
          </cell>
          <cell r="I29">
            <v>0</v>
          </cell>
        </row>
      </sheetData>
      <sheetData sheetId="3"/>
      <sheetData sheetId="4">
        <row r="18">
          <cell r="J18" t="str">
            <v>Selva Central</v>
          </cell>
          <cell r="K18">
            <v>1</v>
          </cell>
        </row>
        <row r="19">
          <cell r="J19" t="str">
            <v>Noroeste</v>
          </cell>
          <cell r="K19">
            <v>1</v>
          </cell>
        </row>
        <row r="20">
          <cell r="J20" t="str">
            <v>Zócalo</v>
          </cell>
          <cell r="K20">
            <v>3</v>
          </cell>
        </row>
      </sheetData>
      <sheetData sheetId="5"/>
      <sheetData sheetId="6">
        <row r="31">
          <cell r="B31">
            <v>337</v>
          </cell>
        </row>
        <row r="32">
          <cell r="B32">
            <v>67</v>
          </cell>
        </row>
        <row r="33">
          <cell r="B33">
            <v>224</v>
          </cell>
        </row>
        <row r="34">
          <cell r="B34">
            <v>284</v>
          </cell>
        </row>
        <row r="35">
          <cell r="B35">
            <v>187</v>
          </cell>
        </row>
        <row r="36">
          <cell r="B36">
            <v>157</v>
          </cell>
        </row>
        <row r="37">
          <cell r="B37">
            <v>919</v>
          </cell>
        </row>
      </sheetData>
      <sheetData sheetId="7">
        <row r="40">
          <cell r="D40" t="str">
            <v xml:space="preserve">Costa </v>
          </cell>
          <cell r="E40">
            <v>12</v>
          </cell>
        </row>
        <row r="41">
          <cell r="D41" t="str">
            <v>Zócalo</v>
          </cell>
          <cell r="E41">
            <v>3</v>
          </cell>
        </row>
        <row r="42">
          <cell r="D42" t="str">
            <v>Selva</v>
          </cell>
          <cell r="E42">
            <v>12</v>
          </cell>
        </row>
      </sheetData>
      <sheetData sheetId="8">
        <row r="6">
          <cell r="C6" t="str">
            <v>Enero</v>
          </cell>
          <cell r="D6" t="str">
            <v>Febrero</v>
          </cell>
          <cell r="E6" t="str">
            <v>Marzo</v>
          </cell>
          <cell r="F6" t="str">
            <v>Abril</v>
          </cell>
          <cell r="G6" t="str">
            <v>Mayo</v>
          </cell>
          <cell r="H6" t="str">
            <v>Junio</v>
          </cell>
          <cell r="I6" t="str">
            <v>Julio</v>
          </cell>
          <cell r="J6" t="str">
            <v>Agosto</v>
          </cell>
          <cell r="K6" t="str">
            <v>Septiembre</v>
          </cell>
          <cell r="L6" t="str">
            <v>Octubre</v>
          </cell>
          <cell r="M6" t="str">
            <v>Noviembre</v>
          </cell>
          <cell r="N6" t="str">
            <v>Diciembre</v>
          </cell>
        </row>
        <row r="35">
          <cell r="C35">
            <v>1333714</v>
          </cell>
          <cell r="D35">
            <v>1190523</v>
          </cell>
          <cell r="E35">
            <v>1271387</v>
          </cell>
          <cell r="F35">
            <v>1220845</v>
          </cell>
          <cell r="G35">
            <v>1169918</v>
          </cell>
          <cell r="H35">
            <v>1256334</v>
          </cell>
          <cell r="I35">
            <v>1307502</v>
          </cell>
          <cell r="J35">
            <v>1195952</v>
          </cell>
          <cell r="K35">
            <v>1044215</v>
          </cell>
          <cell r="L35">
            <v>1153034</v>
          </cell>
          <cell r="M35">
            <v>1354618</v>
          </cell>
          <cell r="N35">
            <v>1372973</v>
          </cell>
        </row>
        <row r="46">
          <cell r="C46">
            <v>2530935</v>
          </cell>
          <cell r="D46">
            <v>2346046</v>
          </cell>
          <cell r="E46">
            <v>2436008</v>
          </cell>
          <cell r="F46">
            <v>2330211</v>
          </cell>
          <cell r="G46">
            <v>2512930</v>
          </cell>
          <cell r="H46">
            <v>2418650</v>
          </cell>
          <cell r="I46">
            <v>2374280</v>
          </cell>
          <cell r="J46">
            <v>2256104</v>
          </cell>
          <cell r="K46">
            <v>2362740</v>
          </cell>
          <cell r="L46">
            <v>2277678</v>
          </cell>
          <cell r="M46">
            <v>2292174</v>
          </cell>
          <cell r="N46">
            <v>2464937</v>
          </cell>
        </row>
        <row r="49">
          <cell r="T49">
            <v>2062627</v>
          </cell>
        </row>
        <row r="50">
          <cell r="T50">
            <v>35094489</v>
          </cell>
        </row>
        <row r="51">
          <cell r="T51">
            <v>6316592</v>
          </cell>
        </row>
      </sheetData>
      <sheetData sheetId="9">
        <row r="6">
          <cell r="C6">
            <v>2015</v>
          </cell>
          <cell r="D6">
            <v>2016</v>
          </cell>
          <cell r="E6">
            <v>2017</v>
          </cell>
          <cell r="F6">
            <v>2018</v>
          </cell>
          <cell r="G6">
            <v>2019</v>
          </cell>
          <cell r="H6">
            <v>2020</v>
          </cell>
          <cell r="I6">
            <v>2021</v>
          </cell>
          <cell r="J6">
            <v>2022</v>
          </cell>
          <cell r="K6">
            <v>2023</v>
          </cell>
          <cell r="L6">
            <v>2024</v>
          </cell>
        </row>
        <row r="40">
          <cell r="C40">
            <v>58</v>
          </cell>
          <cell r="D40">
            <v>40.5</v>
          </cell>
          <cell r="E40">
            <v>43.6</v>
          </cell>
          <cell r="F40">
            <v>48.9</v>
          </cell>
          <cell r="G40">
            <v>52.983750684931508</v>
          </cell>
          <cell r="H40">
            <v>39.677158469945354</v>
          </cell>
          <cell r="I40">
            <v>38.390821917808218</v>
          </cell>
          <cell r="J40">
            <v>40.538257534246576</v>
          </cell>
          <cell r="K40">
            <v>38.69537808219178</v>
          </cell>
          <cell r="L40">
            <v>40.631188524590165</v>
          </cell>
        </row>
        <row r="53">
          <cell r="C53">
            <v>91.4</v>
          </cell>
          <cell r="D53">
            <v>95</v>
          </cell>
          <cell r="E53">
            <v>90.8</v>
          </cell>
          <cell r="F53">
            <v>85.5</v>
          </cell>
          <cell r="G53">
            <v>86.737424657534248</v>
          </cell>
          <cell r="H53">
            <v>84.944653005464488</v>
          </cell>
          <cell r="I53">
            <v>81.116986301369877</v>
          </cell>
          <cell r="J53">
            <v>76.6662301369863</v>
          </cell>
          <cell r="K53">
            <v>76.412416438356161</v>
          </cell>
          <cell r="L53">
            <v>78.149434426229519</v>
          </cell>
        </row>
        <row r="59">
          <cell r="P59">
            <v>2025</v>
          </cell>
          <cell r="Q59">
            <v>2026</v>
          </cell>
          <cell r="R59">
            <v>2027</v>
          </cell>
          <cell r="S59">
            <v>2028</v>
          </cell>
          <cell r="T59">
            <v>2029</v>
          </cell>
        </row>
        <row r="60">
          <cell r="O60" t="str">
            <v>Petróleo</v>
          </cell>
          <cell r="P60">
            <v>49.22</v>
          </cell>
          <cell r="Q60">
            <v>45.12</v>
          </cell>
          <cell r="R60">
            <v>44.65</v>
          </cell>
          <cell r="S60">
            <v>42.13</v>
          </cell>
          <cell r="T60">
            <v>25.88</v>
          </cell>
        </row>
        <row r="61">
          <cell r="O61" t="str">
            <v>Líquidos de Gas Natural</v>
          </cell>
          <cell r="P61">
            <v>71.02</v>
          </cell>
          <cell r="Q61">
            <v>73.75</v>
          </cell>
          <cell r="R61">
            <v>76.5</v>
          </cell>
          <cell r="S61">
            <v>72.58</v>
          </cell>
          <cell r="T61">
            <v>66.459999999999994</v>
          </cell>
        </row>
      </sheetData>
      <sheetData sheetId="10">
        <row r="27">
          <cell r="C27">
            <v>45292</v>
          </cell>
          <cell r="D27">
            <v>45323</v>
          </cell>
          <cell r="E27">
            <v>45352</v>
          </cell>
          <cell r="F27">
            <v>45383</v>
          </cell>
          <cell r="G27">
            <v>45413</v>
          </cell>
          <cell r="H27">
            <v>45444</v>
          </cell>
          <cell r="I27">
            <v>45474</v>
          </cell>
          <cell r="J27">
            <v>45505</v>
          </cell>
          <cell r="K27">
            <v>45536</v>
          </cell>
          <cell r="L27">
            <v>45566</v>
          </cell>
          <cell r="M27">
            <v>45597</v>
          </cell>
          <cell r="N27">
            <v>45627</v>
          </cell>
        </row>
        <row r="32">
          <cell r="B32" t="str">
            <v>Total (MMPC)</v>
          </cell>
          <cell r="C32">
            <v>40477.5941399</v>
          </cell>
          <cell r="D32">
            <v>38895.068245899995</v>
          </cell>
          <cell r="E32">
            <v>41736.932406400003</v>
          </cell>
          <cell r="F32">
            <v>38888.981024399996</v>
          </cell>
          <cell r="G32">
            <v>43095.802653600003</v>
          </cell>
          <cell r="H32">
            <v>43283.709550599997</v>
          </cell>
          <cell r="I32">
            <v>44340.273656399993</v>
          </cell>
          <cell r="J32">
            <v>43002.375619000006</v>
          </cell>
          <cell r="K32">
            <v>47827.515272500001</v>
          </cell>
          <cell r="L32">
            <v>42685.461518600001</v>
          </cell>
          <cell r="M32">
            <v>45018.729288100003</v>
          </cell>
          <cell r="N32">
            <v>41424.896720099998</v>
          </cell>
        </row>
        <row r="34">
          <cell r="C34">
            <v>1842.8000758999999</v>
          </cell>
          <cell r="D34">
            <v>1733.2492349000001</v>
          </cell>
          <cell r="E34">
            <v>1789.0492488000002</v>
          </cell>
          <cell r="F34">
            <v>1860.5849175999997</v>
          </cell>
          <cell r="G34">
            <v>1907.2502637000002</v>
          </cell>
          <cell r="H34">
            <v>1766.8047575000001</v>
          </cell>
          <cell r="I34">
            <v>1763.8006988</v>
          </cell>
          <cell r="J34">
            <v>1654.7601392000001</v>
          </cell>
          <cell r="K34">
            <v>1670.9013769000001</v>
          </cell>
          <cell r="L34">
            <v>1768.3094080999999</v>
          </cell>
          <cell r="M34">
            <v>1704.8464403</v>
          </cell>
          <cell r="N34">
            <v>1769.5530758999998</v>
          </cell>
        </row>
        <row r="35">
          <cell r="C35">
            <v>38634.794063999994</v>
          </cell>
          <cell r="D35">
            <v>37161.819011</v>
          </cell>
          <cell r="E35">
            <v>39947.883157600001</v>
          </cell>
          <cell r="F35">
            <v>37028.396106799999</v>
          </cell>
          <cell r="G35">
            <v>41188.552389899996</v>
          </cell>
          <cell r="H35">
            <v>41516.904793100002</v>
          </cell>
          <cell r="I35">
            <v>42576.472957599995</v>
          </cell>
          <cell r="J35">
            <v>41347.615479799999</v>
          </cell>
          <cell r="K35">
            <v>46156.6138956</v>
          </cell>
          <cell r="L35">
            <v>40917.152110499999</v>
          </cell>
          <cell r="M35">
            <v>43313.8828478</v>
          </cell>
          <cell r="N35">
            <v>39655.343644199995</v>
          </cell>
        </row>
      </sheetData>
      <sheetData sheetId="11">
        <row r="6">
          <cell r="C6">
            <v>2015</v>
          </cell>
          <cell r="D6">
            <v>2016</v>
          </cell>
          <cell r="E6">
            <v>2017</v>
          </cell>
          <cell r="F6">
            <v>2018</v>
          </cell>
          <cell r="G6">
            <v>2019</v>
          </cell>
          <cell r="H6">
            <v>2020</v>
          </cell>
          <cell r="I6">
            <v>2021</v>
          </cell>
          <cell r="J6">
            <v>2022</v>
          </cell>
          <cell r="K6">
            <v>2023</v>
          </cell>
          <cell r="L6">
            <v>2024</v>
          </cell>
        </row>
        <row r="29">
          <cell r="C29">
            <v>1208.8900000000001</v>
          </cell>
          <cell r="D29">
            <v>1354.9</v>
          </cell>
          <cell r="E29">
            <v>1252.19</v>
          </cell>
          <cell r="F29">
            <v>1230.81</v>
          </cell>
          <cell r="G29">
            <v>1299.27</v>
          </cell>
          <cell r="H29">
            <v>1160.73</v>
          </cell>
          <cell r="I29">
            <v>1100.52</v>
          </cell>
          <cell r="J29">
            <v>1326.02</v>
          </cell>
          <cell r="K29">
            <v>1415.7209487671232</v>
          </cell>
          <cell r="L29">
            <v>1395.2932789617487</v>
          </cell>
        </row>
        <row r="85">
          <cell r="M85">
            <v>2025</v>
          </cell>
          <cell r="N85">
            <v>2026</v>
          </cell>
          <cell r="O85">
            <v>2027</v>
          </cell>
          <cell r="P85">
            <v>2028</v>
          </cell>
          <cell r="Q85">
            <v>2029</v>
          </cell>
        </row>
        <row r="86">
          <cell r="M86">
            <v>1334.01</v>
          </cell>
          <cell r="N86">
            <v>1403.09</v>
          </cell>
          <cell r="O86">
            <v>1540.82</v>
          </cell>
          <cell r="P86">
            <v>1527.46</v>
          </cell>
          <cell r="Q86">
            <v>1474.71</v>
          </cell>
        </row>
      </sheetData>
      <sheetData sheetId="12">
        <row r="6">
          <cell r="B6">
            <v>2015</v>
          </cell>
          <cell r="C6">
            <v>2016</v>
          </cell>
          <cell r="D6">
            <v>2017</v>
          </cell>
          <cell r="E6">
            <v>2018</v>
          </cell>
          <cell r="F6">
            <v>2019</v>
          </cell>
          <cell r="G6">
            <v>2020</v>
          </cell>
          <cell r="H6">
            <v>2021</v>
          </cell>
          <cell r="I6">
            <v>2022</v>
          </cell>
          <cell r="J6">
            <v>2023</v>
          </cell>
          <cell r="K6">
            <v>2024</v>
          </cell>
        </row>
        <row r="7">
          <cell r="A7" t="str">
            <v>EXPLORACIÓN</v>
          </cell>
          <cell r="B7">
            <v>316.69</v>
          </cell>
          <cell r="C7">
            <v>46.95</v>
          </cell>
          <cell r="D7">
            <v>17.079999999999998</v>
          </cell>
          <cell r="E7">
            <v>40.76</v>
          </cell>
          <cell r="F7">
            <v>57.727806999999999</v>
          </cell>
          <cell r="G7">
            <v>61.1</v>
          </cell>
          <cell r="H7">
            <v>3.2</v>
          </cell>
          <cell r="I7">
            <v>2.287328</v>
          </cell>
          <cell r="J7">
            <v>2.2733051200000003</v>
          </cell>
          <cell r="K7">
            <v>39.07</v>
          </cell>
        </row>
        <row r="8">
          <cell r="A8" t="str">
            <v>EXPLOTACIÓN</v>
          </cell>
          <cell r="B8">
            <v>438.23</v>
          </cell>
          <cell r="C8">
            <v>285.69</v>
          </cell>
          <cell r="D8">
            <v>469.79</v>
          </cell>
          <cell r="E8">
            <v>561.16999999999996</v>
          </cell>
          <cell r="F8">
            <v>561.99657999999999</v>
          </cell>
          <cell r="G8">
            <v>184.55</v>
          </cell>
          <cell r="H8">
            <v>309.61</v>
          </cell>
          <cell r="I8">
            <v>323.48644000000002</v>
          </cell>
          <cell r="J8">
            <v>321.73223604000003</v>
          </cell>
          <cell r="K8">
            <v>525.04</v>
          </cell>
        </row>
      </sheetData>
      <sheetData sheetId="13"/>
      <sheetData sheetId="14">
        <row r="5">
          <cell r="B5">
            <v>2025</v>
          </cell>
          <cell r="C5">
            <v>2026</v>
          </cell>
          <cell r="D5">
            <v>2027</v>
          </cell>
          <cell r="E5">
            <v>2028</v>
          </cell>
          <cell r="F5">
            <v>2029</v>
          </cell>
        </row>
        <row r="6">
          <cell r="A6" t="str">
            <v>EXPLORACIÓN</v>
          </cell>
          <cell r="B6">
            <v>15.03</v>
          </cell>
          <cell r="C6">
            <v>30.34</v>
          </cell>
          <cell r="D6">
            <v>18.079999999999998</v>
          </cell>
          <cell r="E6">
            <v>5.55</v>
          </cell>
          <cell r="F6">
            <v>0</v>
          </cell>
        </row>
        <row r="7">
          <cell r="A7" t="str">
            <v>EXPLOTACIÓN</v>
          </cell>
          <cell r="B7">
            <v>461.86</v>
          </cell>
          <cell r="C7">
            <v>691.29</v>
          </cell>
          <cell r="D7">
            <v>529.01</v>
          </cell>
          <cell r="E7">
            <v>422.37</v>
          </cell>
          <cell r="F7">
            <v>473.95</v>
          </cell>
        </row>
      </sheetData>
      <sheetData sheetId="15"/>
      <sheetData sheetId="16"/>
      <sheetData sheetId="17"/>
      <sheetData sheetId="18">
        <row r="5">
          <cell r="B5">
            <v>2015</v>
          </cell>
          <cell r="C5">
            <v>2016</v>
          </cell>
          <cell r="D5">
            <v>2017</v>
          </cell>
          <cell r="E5">
            <v>2018</v>
          </cell>
          <cell r="F5">
            <v>2019</v>
          </cell>
          <cell r="G5">
            <v>2020</v>
          </cell>
          <cell r="H5">
            <v>2021</v>
          </cell>
          <cell r="I5">
            <v>2022</v>
          </cell>
          <cell r="J5">
            <v>2023</v>
          </cell>
          <cell r="K5">
            <v>2024</v>
          </cell>
        </row>
        <row r="10">
          <cell r="B10">
            <v>768.96140000000003</v>
          </cell>
          <cell r="C10">
            <v>660.25459999999998</v>
          </cell>
          <cell r="D10">
            <v>828.83</v>
          </cell>
          <cell r="E10">
            <v>1092.93</v>
          </cell>
          <cell r="F10">
            <v>837.19</v>
          </cell>
          <cell r="G10">
            <v>538.28599800000006</v>
          </cell>
          <cell r="H10">
            <v>1279.093038</v>
          </cell>
          <cell r="I10">
            <v>1880.3080023125999</v>
          </cell>
          <cell r="J10">
            <v>1218.1726166707999</v>
          </cell>
          <cell r="K10">
            <v>1199.679578296</v>
          </cell>
        </row>
      </sheetData>
      <sheetData sheetId="19"/>
      <sheetData sheetId="20">
        <row r="5">
          <cell r="B5">
            <v>2015</v>
          </cell>
          <cell r="C5">
            <v>2016</v>
          </cell>
          <cell r="D5">
            <v>2017</v>
          </cell>
          <cell r="E5">
            <v>2018</v>
          </cell>
          <cell r="F5">
            <v>2019</v>
          </cell>
          <cell r="G5">
            <v>2020</v>
          </cell>
          <cell r="H5">
            <v>2021</v>
          </cell>
          <cell r="I5">
            <v>2022</v>
          </cell>
          <cell r="J5">
            <v>2023</v>
          </cell>
          <cell r="K5">
            <v>2024</v>
          </cell>
        </row>
        <row r="6">
          <cell r="A6" t="str">
            <v>Piura</v>
          </cell>
          <cell r="K6">
            <v>407.28941904110269</v>
          </cell>
        </row>
        <row r="7">
          <cell r="A7" t="str">
            <v>Tumbes</v>
          </cell>
          <cell r="K7">
            <v>109.5764121796106</v>
          </cell>
        </row>
        <row r="8">
          <cell r="A8" t="str">
            <v>Prov. Puerto Inca - Huánuco</v>
          </cell>
          <cell r="K8">
            <v>10.90519093</v>
          </cell>
        </row>
        <row r="9">
          <cell r="A9" t="str">
            <v>Loreto</v>
          </cell>
          <cell r="K9">
            <v>219.13492279000005</v>
          </cell>
        </row>
        <row r="10">
          <cell r="A10" t="str">
            <v>Ucayali</v>
          </cell>
          <cell r="K10">
            <v>60.471686210000001</v>
          </cell>
        </row>
        <row r="11">
          <cell r="A11" t="str">
            <v>Cusco</v>
          </cell>
          <cell r="K11">
            <v>1748.1083355999997</v>
          </cell>
        </row>
        <row r="12">
          <cell r="B12">
            <v>1582.6</v>
          </cell>
          <cell r="C12">
            <v>1327.76</v>
          </cell>
          <cell r="D12">
            <v>1558.22</v>
          </cell>
          <cell r="E12">
            <v>2067.77</v>
          </cell>
          <cell r="F12">
            <v>1675.43</v>
          </cell>
          <cell r="G12">
            <v>1151.8399999999999</v>
          </cell>
          <cell r="H12">
            <v>2807.94</v>
          </cell>
          <cell r="I12">
            <v>3913.8241829600001</v>
          </cell>
          <cell r="J12">
            <v>2633.6184188699999</v>
          </cell>
          <cell r="K12">
            <v>2555.485966750713</v>
          </cell>
        </row>
      </sheetData>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1"/>
      <sheetName val="2"/>
      <sheetName val="3"/>
      <sheetName val="4"/>
      <sheetName val="5"/>
      <sheetName val="6"/>
      <sheetName val="7"/>
      <sheetName val="8"/>
      <sheetName val="10"/>
      <sheetName val="11"/>
      <sheetName val="12"/>
    </sheetNames>
    <sheetDataSet>
      <sheetData sheetId="0"/>
      <sheetData sheetId="1">
        <row r="8">
          <cell r="W8" t="str">
            <v>Costa</v>
          </cell>
        </row>
      </sheetData>
      <sheetData sheetId="2">
        <row r="71">
          <cell r="R71" t="str">
            <v>ZÓCALO</v>
          </cell>
        </row>
        <row r="72">
          <cell r="R72" t="str">
            <v>SELVA</v>
          </cell>
        </row>
        <row r="73">
          <cell r="R73" t="str">
            <v>COSTA</v>
          </cell>
        </row>
      </sheetData>
      <sheetData sheetId="3"/>
      <sheetData sheetId="4">
        <row r="20">
          <cell r="W20">
            <v>43101</v>
          </cell>
          <cell r="X20">
            <v>43132</v>
          </cell>
          <cell r="Y20">
            <v>43160</v>
          </cell>
          <cell r="Z20">
            <v>43191</v>
          </cell>
          <cell r="AA20">
            <v>43221</v>
          </cell>
          <cell r="AB20">
            <v>43252</v>
          </cell>
          <cell r="AC20">
            <v>43282</v>
          </cell>
          <cell r="AD20">
            <v>43313</v>
          </cell>
          <cell r="AE20">
            <v>43344</v>
          </cell>
          <cell r="AF20">
            <v>43374</v>
          </cell>
          <cell r="AG20">
            <v>43405</v>
          </cell>
          <cell r="AH20">
            <v>43435</v>
          </cell>
        </row>
        <row r="31">
          <cell r="V31" t="str">
            <v>Ene</v>
          </cell>
        </row>
        <row r="32">
          <cell r="V32" t="str">
            <v>Feb</v>
          </cell>
        </row>
        <row r="33">
          <cell r="V33" t="str">
            <v>Mar</v>
          </cell>
        </row>
        <row r="34">
          <cell r="V34" t="str">
            <v>Abr</v>
          </cell>
        </row>
        <row r="35">
          <cell r="V35" t="str">
            <v>May</v>
          </cell>
        </row>
        <row r="36">
          <cell r="V36" t="str">
            <v>Jun</v>
          </cell>
        </row>
        <row r="37">
          <cell r="V37" t="str">
            <v>Jul</v>
          </cell>
        </row>
        <row r="38">
          <cell r="V38" t="str">
            <v>Ago</v>
          </cell>
        </row>
        <row r="39">
          <cell r="V39" t="str">
            <v>Sep</v>
          </cell>
        </row>
        <row r="40">
          <cell r="V40" t="str">
            <v>Oct</v>
          </cell>
        </row>
        <row r="41">
          <cell r="V41" t="str">
            <v>Nov</v>
          </cell>
        </row>
        <row r="42">
          <cell r="V42" t="str">
            <v>Dic</v>
          </cell>
        </row>
      </sheetData>
      <sheetData sheetId="5"/>
      <sheetData sheetId="6"/>
      <sheetData sheetId="7"/>
      <sheetData sheetId="8"/>
      <sheetData sheetId="9"/>
      <sheetData sheetId="10"/>
    </sheetDataSet>
  </externalBook>
</externalLink>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4.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2.xml.rels><?xml version="1.0" encoding="UTF-8" standalone="yes"?>
<Relationships xmlns="http://schemas.openxmlformats.org/package/2006/relationships"><Relationship Id="rId2" Type="http://schemas.openxmlformats.org/officeDocument/2006/relationships/drawing" Target="../drawings/drawing23.xml"/><Relationship Id="rId1" Type="http://schemas.openxmlformats.org/officeDocument/2006/relationships/printerSettings" Target="../printerSettings/printerSettings1.bin"/></Relationships>
</file>

<file path=xl/worksheets/_rels/sheet23.xml.rels><?xml version="1.0" encoding="UTF-8" standalone="yes"?>
<Relationships xmlns="http://schemas.openxmlformats.org/package/2006/relationships"><Relationship Id="rId2" Type="http://schemas.openxmlformats.org/officeDocument/2006/relationships/drawing" Target="../drawings/drawing24.xml"/><Relationship Id="rId1" Type="http://schemas.openxmlformats.org/officeDocument/2006/relationships/printerSettings" Target="../printerSettings/printerSettings2.bin"/></Relationships>
</file>

<file path=xl/worksheets/_rels/sheet24.xml.rels><?xml version="1.0" encoding="UTF-8" standalone="yes"?>
<Relationships xmlns="http://schemas.openxmlformats.org/package/2006/relationships"><Relationship Id="rId2" Type="http://schemas.openxmlformats.org/officeDocument/2006/relationships/drawing" Target="../drawings/drawing25.xml"/><Relationship Id="rId1" Type="http://schemas.openxmlformats.org/officeDocument/2006/relationships/printerSettings" Target="../printerSettings/printerSettings3.bin"/></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26.xml.rels><?xml version="1.0" encoding="UTF-8" standalone="yes"?>
<Relationships xmlns="http://schemas.openxmlformats.org/package/2006/relationships"><Relationship Id="rId2" Type="http://schemas.openxmlformats.org/officeDocument/2006/relationships/drawing" Target="../drawings/drawing27.xml"/><Relationship Id="rId1" Type="http://schemas.openxmlformats.org/officeDocument/2006/relationships/printerSettings" Target="../printerSettings/printerSettings4.bin"/></Relationships>
</file>

<file path=xl/worksheets/_rels/sheet27.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28.xml.rels><?xml version="1.0" encoding="UTF-8" standalone="yes"?>
<Relationships xmlns="http://schemas.openxmlformats.org/package/2006/relationships"><Relationship Id="rId2" Type="http://schemas.openxmlformats.org/officeDocument/2006/relationships/drawing" Target="../drawings/drawing28.xml"/><Relationship Id="rId1" Type="http://schemas.openxmlformats.org/officeDocument/2006/relationships/printerSettings" Target="../printerSettings/printerSettings6.bin"/></Relationships>
</file>

<file path=xl/worksheets/_rels/sheet41.xml.rels><?xml version="1.0" encoding="UTF-8" standalone="yes"?>
<Relationships xmlns="http://schemas.openxmlformats.org/package/2006/relationships"><Relationship Id="rId1" Type="http://schemas.openxmlformats.org/officeDocument/2006/relationships/drawing" Target="../drawings/drawing29.xml"/></Relationships>
</file>

<file path=xl/worksheets/_rels/sheet42.xml.rels><?xml version="1.0" encoding="UTF-8" standalone="yes"?>
<Relationships xmlns="http://schemas.openxmlformats.org/package/2006/relationships"><Relationship Id="rId1" Type="http://schemas.openxmlformats.org/officeDocument/2006/relationships/drawing" Target="../drawings/drawing30.xml"/></Relationships>
</file>

<file path=xl/worksheets/_rels/sheet43.xml.rels><?xml version="1.0" encoding="UTF-8" standalone="yes"?>
<Relationships xmlns="http://schemas.openxmlformats.org/package/2006/relationships"><Relationship Id="rId1" Type="http://schemas.openxmlformats.org/officeDocument/2006/relationships/drawing" Target="../drawings/drawing31.xml"/></Relationships>
</file>

<file path=xl/worksheets/_rels/sheet44.xml.rels><?xml version="1.0" encoding="UTF-8" standalone="yes"?>
<Relationships xmlns="http://schemas.openxmlformats.org/package/2006/relationships"><Relationship Id="rId1" Type="http://schemas.openxmlformats.org/officeDocument/2006/relationships/drawing" Target="../drawings/drawing32.xml"/></Relationships>
</file>

<file path=xl/worksheets/_rels/sheet45.xml.rels><?xml version="1.0" encoding="UTF-8" standalone="yes"?>
<Relationships xmlns="http://schemas.openxmlformats.org/package/2006/relationships"><Relationship Id="rId1" Type="http://schemas.openxmlformats.org/officeDocument/2006/relationships/drawing" Target="../drawings/drawing33.xml"/></Relationships>
</file>

<file path=xl/worksheets/_rels/sheet4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4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4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5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5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53.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50"/>
  </sheetPr>
  <dimension ref="B3:F31"/>
  <sheetViews>
    <sheetView showGridLines="0" tabSelected="1" workbookViewId="0">
      <selection activeCell="I14" sqref="I14"/>
    </sheetView>
  </sheetViews>
  <sheetFormatPr baseColWidth="10" defaultRowHeight="15"/>
  <cols>
    <col min="2" max="2" width="25" customWidth="1"/>
    <col min="3" max="3" width="18.140625" customWidth="1"/>
    <col min="4" max="4" width="12.85546875" customWidth="1"/>
    <col min="5" max="5" width="14.85546875" customWidth="1"/>
  </cols>
  <sheetData>
    <row r="3" spans="2:6">
      <c r="B3" s="216"/>
      <c r="C3" s="216" t="s">
        <v>385</v>
      </c>
      <c r="D3" s="216" t="s">
        <v>386</v>
      </c>
      <c r="E3" s="216" t="s">
        <v>387</v>
      </c>
    </row>
    <row r="4" spans="2:6">
      <c r="B4" s="216" t="s">
        <v>388</v>
      </c>
      <c r="C4" s="217">
        <v>324904</v>
      </c>
      <c r="D4" s="217">
        <v>348493</v>
      </c>
      <c r="E4" s="217">
        <v>7876</v>
      </c>
    </row>
    <row r="5" spans="2:6">
      <c r="B5" s="216" t="s">
        <v>389</v>
      </c>
      <c r="C5" s="217">
        <v>679052</v>
      </c>
      <c r="D5" s="217">
        <v>476437</v>
      </c>
      <c r="E5" s="217">
        <v>10343</v>
      </c>
    </row>
    <row r="6" spans="2:6">
      <c r="B6" s="216" t="s">
        <v>390</v>
      </c>
      <c r="C6" s="217">
        <v>465448</v>
      </c>
      <c r="D6" s="217">
        <v>303575</v>
      </c>
      <c r="E6" s="217">
        <v>6910</v>
      </c>
    </row>
    <row r="7" spans="2:6">
      <c r="B7" s="216" t="s">
        <v>391</v>
      </c>
      <c r="C7" s="217">
        <v>33271134</v>
      </c>
      <c r="D7" s="217">
        <v>527989</v>
      </c>
      <c r="E7" s="217">
        <v>43235</v>
      </c>
    </row>
    <row r="10" spans="2:6">
      <c r="B10" s="216"/>
      <c r="C10" s="216" t="s">
        <v>392</v>
      </c>
      <c r="D10" s="216" t="s">
        <v>393</v>
      </c>
      <c r="E10" s="216" t="s">
        <v>394</v>
      </c>
    </row>
    <row r="11" spans="2:6">
      <c r="B11" s="216" t="s">
        <v>388</v>
      </c>
      <c r="C11" s="218">
        <f t="shared" ref="C11:E14" si="0">+C4/1000</f>
        <v>324.904</v>
      </c>
      <c r="D11" s="218">
        <f t="shared" si="0"/>
        <v>348.49299999999999</v>
      </c>
      <c r="E11" s="218">
        <f t="shared" si="0"/>
        <v>7.8760000000000003</v>
      </c>
      <c r="F11" s="219"/>
    </row>
    <row r="12" spans="2:6">
      <c r="B12" s="216" t="s">
        <v>389</v>
      </c>
      <c r="C12" s="218">
        <f t="shared" si="0"/>
        <v>679.05200000000002</v>
      </c>
      <c r="D12" s="218">
        <f t="shared" si="0"/>
        <v>476.43700000000001</v>
      </c>
      <c r="E12" s="218">
        <f t="shared" si="0"/>
        <v>10.343</v>
      </c>
      <c r="F12" s="219"/>
    </row>
    <row r="13" spans="2:6">
      <c r="B13" s="216" t="s">
        <v>390</v>
      </c>
      <c r="C13" s="218">
        <f t="shared" si="0"/>
        <v>465.44799999999998</v>
      </c>
      <c r="D13" s="218">
        <f t="shared" si="0"/>
        <v>303.57499999999999</v>
      </c>
      <c r="E13" s="218">
        <f t="shared" si="0"/>
        <v>6.91</v>
      </c>
      <c r="F13" s="219"/>
    </row>
    <row r="14" spans="2:6">
      <c r="B14" s="216" t="s">
        <v>391</v>
      </c>
      <c r="C14" s="218">
        <f t="shared" si="0"/>
        <v>33271.133999999998</v>
      </c>
      <c r="D14" s="218">
        <f t="shared" si="0"/>
        <v>527.98900000000003</v>
      </c>
      <c r="E14" s="218">
        <f t="shared" si="0"/>
        <v>43.234999999999999</v>
      </c>
      <c r="F14" s="219"/>
    </row>
    <row r="16" spans="2:6">
      <c r="B16" t="s">
        <v>395</v>
      </c>
    </row>
    <row r="17" spans="2:2">
      <c r="B17" s="220" t="s">
        <v>396</v>
      </c>
    </row>
    <row r="30" spans="2:2">
      <c r="B30" s="221" t="s">
        <v>397</v>
      </c>
    </row>
    <row r="31" spans="2:2">
      <c r="B31" s="221" t="s">
        <v>398</v>
      </c>
    </row>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50"/>
  </sheetPr>
  <dimension ref="A1:Z56"/>
  <sheetViews>
    <sheetView showGridLines="0" zoomScale="70" zoomScaleNormal="70" workbookViewId="0">
      <selection activeCell="F20" sqref="F20"/>
    </sheetView>
  </sheetViews>
  <sheetFormatPr baseColWidth="10" defaultColWidth="9.5703125" defaultRowHeight="14.45" customHeight="1"/>
  <cols>
    <col min="1" max="1" width="14.28515625" style="221" customWidth="1"/>
    <col min="2" max="2" width="7.28515625" style="222" customWidth="1"/>
    <col min="3" max="6" width="7.140625" style="223" customWidth="1"/>
    <col min="7" max="8" width="7.140625" style="224" customWidth="1"/>
    <col min="9" max="12" width="7.140625" style="225" customWidth="1"/>
    <col min="13" max="16384" width="9.5703125" style="225"/>
  </cols>
  <sheetData>
    <row r="1" spans="1:26" ht="14.45" customHeight="1">
      <c r="A1" s="222"/>
      <c r="Z1" s="226">
        <v>1</v>
      </c>
    </row>
    <row r="2" spans="1:26" ht="14.45" customHeight="1">
      <c r="A2" s="496" t="s">
        <v>399</v>
      </c>
      <c r="B2" s="496"/>
      <c r="C2" s="496"/>
      <c r="D2" s="496"/>
      <c r="E2" s="496"/>
      <c r="F2" s="496"/>
      <c r="G2" s="496"/>
      <c r="H2" s="496"/>
      <c r="I2" s="496"/>
      <c r="Z2" s="226">
        <v>2</v>
      </c>
    </row>
    <row r="4" spans="1:26" s="228" customFormat="1" ht="20.25" customHeight="1">
      <c r="A4" s="497" t="s">
        <v>400</v>
      </c>
      <c r="B4" s="498"/>
      <c r="C4" s="498"/>
      <c r="D4" s="498"/>
      <c r="E4" s="498"/>
      <c r="F4" s="498"/>
      <c r="G4" s="498"/>
      <c r="H4" s="498"/>
      <c r="I4" s="498"/>
      <c r="J4" s="498"/>
      <c r="K4" s="498"/>
      <c r="L4" s="498"/>
    </row>
    <row r="5" spans="1:26" s="228" customFormat="1" ht="12" customHeight="1">
      <c r="A5" s="229" t="s">
        <v>401</v>
      </c>
      <c r="B5" s="229" t="s">
        <v>402</v>
      </c>
      <c r="C5" s="229">
        <v>2015</v>
      </c>
      <c r="D5" s="229">
        <v>2016</v>
      </c>
      <c r="E5" s="229">
        <v>2017</v>
      </c>
      <c r="F5" s="229">
        <v>2018</v>
      </c>
      <c r="G5" s="230">
        <v>2019</v>
      </c>
      <c r="H5" s="230">
        <v>2020</v>
      </c>
      <c r="I5" s="229">
        <v>2021</v>
      </c>
      <c r="J5" s="229">
        <v>2022</v>
      </c>
      <c r="K5" s="229">
        <v>2023</v>
      </c>
      <c r="L5" s="229">
        <v>2024</v>
      </c>
    </row>
    <row r="6" spans="1:26" ht="12" customHeight="1">
      <c r="A6" s="231" t="s">
        <v>403</v>
      </c>
      <c r="B6" s="232" t="s">
        <v>404</v>
      </c>
      <c r="C6" s="233">
        <v>54</v>
      </c>
      <c r="D6" s="233">
        <v>109</v>
      </c>
      <c r="E6" s="233">
        <v>0</v>
      </c>
      <c r="F6" s="233">
        <v>0</v>
      </c>
      <c r="G6" s="233">
        <v>0</v>
      </c>
      <c r="H6" s="233">
        <v>0</v>
      </c>
      <c r="I6" s="233">
        <v>0</v>
      </c>
      <c r="J6" s="233">
        <v>0</v>
      </c>
      <c r="K6" s="233">
        <v>0</v>
      </c>
      <c r="L6" s="233">
        <v>0</v>
      </c>
    </row>
    <row r="7" spans="1:26" ht="12" customHeight="1">
      <c r="A7" s="231" t="s">
        <v>405</v>
      </c>
      <c r="B7" s="232" t="s">
        <v>406</v>
      </c>
      <c r="C7" s="233">
        <v>0</v>
      </c>
      <c r="D7" s="233">
        <v>0</v>
      </c>
      <c r="E7" s="233">
        <v>0</v>
      </c>
      <c r="F7" s="233">
        <v>81</v>
      </c>
      <c r="G7" s="233">
        <v>63.22</v>
      </c>
      <c r="H7" s="233">
        <v>0</v>
      </c>
      <c r="I7" s="233">
        <v>0</v>
      </c>
      <c r="J7" s="233">
        <v>70</v>
      </c>
      <c r="K7" s="233">
        <v>0</v>
      </c>
      <c r="L7" s="233">
        <v>70</v>
      </c>
      <c r="O7" s="234"/>
    </row>
    <row r="8" spans="1:26" ht="12" customHeight="1">
      <c r="A8" s="499" t="s">
        <v>407</v>
      </c>
      <c r="B8" s="499"/>
      <c r="C8" s="236">
        <v>54</v>
      </c>
      <c r="D8" s="236">
        <v>109</v>
      </c>
      <c r="E8" s="236">
        <v>0</v>
      </c>
      <c r="F8" s="236">
        <v>81</v>
      </c>
      <c r="G8" s="236">
        <v>63.22</v>
      </c>
      <c r="H8" s="236">
        <f>SUM(H6:H7)</f>
        <v>0</v>
      </c>
      <c r="I8" s="236">
        <f>SUM(I6:I7)</f>
        <v>0</v>
      </c>
      <c r="J8" s="236">
        <f>SUM(J6:J7)</f>
        <v>70</v>
      </c>
      <c r="K8" s="236">
        <f>SUM(K6:K7)</f>
        <v>0</v>
      </c>
      <c r="L8" s="236">
        <f>SUM(L6:L7)</f>
        <v>70</v>
      </c>
    </row>
    <row r="9" spans="1:26" ht="12" customHeight="1">
      <c r="A9" s="231" t="s">
        <v>408</v>
      </c>
      <c r="B9" s="232" t="s">
        <v>409</v>
      </c>
      <c r="C9" s="233">
        <v>5614</v>
      </c>
      <c r="D9" s="233">
        <v>0</v>
      </c>
      <c r="E9" s="233">
        <v>0</v>
      </c>
      <c r="F9" s="233">
        <v>0</v>
      </c>
      <c r="G9" s="233">
        <v>0</v>
      </c>
      <c r="H9" s="233">
        <v>0</v>
      </c>
      <c r="I9" s="233">
        <v>0</v>
      </c>
      <c r="J9" s="233">
        <v>0</v>
      </c>
      <c r="K9" s="233">
        <v>0</v>
      </c>
      <c r="L9" s="233">
        <v>0</v>
      </c>
    </row>
    <row r="10" spans="1:26" ht="12" customHeight="1">
      <c r="A10" s="499" t="s">
        <v>410</v>
      </c>
      <c r="B10" s="499"/>
      <c r="C10" s="236">
        <v>5614</v>
      </c>
      <c r="D10" s="236">
        <v>0</v>
      </c>
      <c r="E10" s="236">
        <v>0</v>
      </c>
      <c r="F10" s="236">
        <v>0</v>
      </c>
      <c r="G10" s="236">
        <v>0</v>
      </c>
      <c r="H10" s="236">
        <f>SUM(H9:H9)</f>
        <v>0</v>
      </c>
      <c r="I10" s="236">
        <f>SUM(I9:I9)</f>
        <v>0</v>
      </c>
      <c r="J10" s="236">
        <f>SUM(J9:J9)</f>
        <v>0</v>
      </c>
      <c r="K10" s="236">
        <f>SUM(K9:K9)</f>
        <v>0</v>
      </c>
      <c r="L10" s="236">
        <f>SUM(L9:L9)</f>
        <v>0</v>
      </c>
    </row>
    <row r="11" spans="1:26" ht="12" customHeight="1">
      <c r="A11" s="231" t="s">
        <v>411</v>
      </c>
      <c r="B11" s="232">
        <v>107</v>
      </c>
      <c r="C11" s="233">
        <v>74</v>
      </c>
      <c r="D11" s="233">
        <v>0</v>
      </c>
      <c r="E11" s="233">
        <v>0</v>
      </c>
      <c r="F11" s="233">
        <v>0</v>
      </c>
      <c r="G11" s="233">
        <v>0</v>
      </c>
      <c r="H11" s="233">
        <v>0</v>
      </c>
      <c r="I11" s="233">
        <v>0</v>
      </c>
      <c r="J11" s="233">
        <v>0</v>
      </c>
      <c r="K11" s="233">
        <v>0</v>
      </c>
      <c r="L11" s="233">
        <v>0</v>
      </c>
    </row>
    <row r="12" spans="1:26" ht="12" customHeight="1">
      <c r="A12" s="231" t="s">
        <v>412</v>
      </c>
      <c r="B12" s="232">
        <v>58</v>
      </c>
      <c r="C12" s="233">
        <v>374</v>
      </c>
      <c r="D12" s="233">
        <v>0</v>
      </c>
      <c r="E12" s="233">
        <v>0</v>
      </c>
      <c r="F12" s="233">
        <v>232</v>
      </c>
      <c r="G12" s="233">
        <v>0</v>
      </c>
      <c r="H12" s="233">
        <v>0</v>
      </c>
      <c r="I12" s="233">
        <v>191.95</v>
      </c>
      <c r="J12" s="233">
        <v>0</v>
      </c>
      <c r="K12" s="233">
        <v>0</v>
      </c>
      <c r="L12" s="233">
        <v>0</v>
      </c>
    </row>
    <row r="13" spans="1:26" ht="12" customHeight="1">
      <c r="A13" s="231" t="s">
        <v>216</v>
      </c>
      <c r="B13" s="232">
        <v>108</v>
      </c>
      <c r="C13" s="233">
        <v>311</v>
      </c>
      <c r="D13" s="233">
        <v>0</v>
      </c>
      <c r="E13" s="233">
        <v>0</v>
      </c>
      <c r="F13" s="233">
        <v>0</v>
      </c>
      <c r="G13" s="233">
        <v>0</v>
      </c>
      <c r="H13" s="233">
        <v>0</v>
      </c>
      <c r="I13" s="233">
        <v>0</v>
      </c>
      <c r="J13" s="233">
        <v>0</v>
      </c>
      <c r="K13" s="233">
        <v>0</v>
      </c>
      <c r="L13" s="233">
        <v>0</v>
      </c>
    </row>
    <row r="14" spans="1:26" ht="12" customHeight="1">
      <c r="A14" s="500" t="s">
        <v>413</v>
      </c>
      <c r="B14" s="501"/>
      <c r="C14" s="236">
        <v>758</v>
      </c>
      <c r="D14" s="236">
        <v>0</v>
      </c>
      <c r="E14" s="236">
        <v>0</v>
      </c>
      <c r="F14" s="236">
        <v>232</v>
      </c>
      <c r="G14" s="236">
        <v>0</v>
      </c>
      <c r="H14" s="236">
        <f>SUM(H11:H13)</f>
        <v>0</v>
      </c>
      <c r="I14" s="236">
        <f>SUM(I11:I13)</f>
        <v>191.95</v>
      </c>
      <c r="J14" s="236">
        <f>SUM(J11:J13)</f>
        <v>0</v>
      </c>
      <c r="K14" s="236">
        <f>SUM(K11:K13)</f>
        <v>0</v>
      </c>
      <c r="L14" s="236">
        <f>SUM(L11:L13)</f>
        <v>0</v>
      </c>
    </row>
    <row r="15" spans="1:26" ht="12" customHeight="1">
      <c r="A15" s="495" t="s">
        <v>414</v>
      </c>
      <c r="B15" s="495"/>
      <c r="C15" s="238">
        <f t="shared" ref="C15:L15" si="0">+C8+C10+C14</f>
        <v>6426</v>
      </c>
      <c r="D15" s="238">
        <f t="shared" si="0"/>
        <v>109</v>
      </c>
      <c r="E15" s="238">
        <f t="shared" si="0"/>
        <v>0</v>
      </c>
      <c r="F15" s="238">
        <f t="shared" si="0"/>
        <v>313</v>
      </c>
      <c r="G15" s="238">
        <f t="shared" si="0"/>
        <v>63.22</v>
      </c>
      <c r="H15" s="238">
        <f t="shared" si="0"/>
        <v>0</v>
      </c>
      <c r="I15" s="238">
        <f t="shared" si="0"/>
        <v>191.95</v>
      </c>
      <c r="J15" s="238">
        <f t="shared" si="0"/>
        <v>70</v>
      </c>
      <c r="K15" s="238">
        <f t="shared" si="0"/>
        <v>0</v>
      </c>
      <c r="L15" s="238">
        <f t="shared" si="0"/>
        <v>70</v>
      </c>
    </row>
    <row r="17" spans="1:21" ht="14.45" customHeight="1" thickBot="1">
      <c r="A17" s="221" t="s">
        <v>415</v>
      </c>
      <c r="O17" s="239" t="s">
        <v>416</v>
      </c>
      <c r="P17" s="240"/>
      <c r="Q17" s="240"/>
      <c r="R17" s="240"/>
      <c r="S17" s="240"/>
      <c r="T17" s="240"/>
      <c r="U17" s="240"/>
    </row>
    <row r="18" spans="1:21" ht="14.45" customHeight="1" thickBot="1">
      <c r="O18" s="240"/>
      <c r="P18" s="489" t="s">
        <v>417</v>
      </c>
      <c r="Q18" s="490"/>
      <c r="R18" s="490"/>
      <c r="S18" s="490"/>
      <c r="T18" s="490"/>
      <c r="U18" s="491"/>
    </row>
    <row r="19" spans="1:21" ht="14.45" customHeight="1" thickBot="1">
      <c r="O19" s="241" t="s">
        <v>402</v>
      </c>
      <c r="P19" s="242">
        <v>2025</v>
      </c>
      <c r="Q19" s="242">
        <v>2026</v>
      </c>
      <c r="R19" s="242">
        <v>2027</v>
      </c>
      <c r="S19" s="242">
        <v>2028</v>
      </c>
      <c r="T19" s="242">
        <v>2029</v>
      </c>
      <c r="U19" s="243" t="s">
        <v>418</v>
      </c>
    </row>
    <row r="20" spans="1:21" ht="14.45" customHeight="1">
      <c r="O20" s="244">
        <v>107</v>
      </c>
      <c r="P20" s="245" t="s">
        <v>215</v>
      </c>
      <c r="Q20" s="246" t="s">
        <v>215</v>
      </c>
      <c r="R20" s="245" t="s">
        <v>215</v>
      </c>
      <c r="S20" s="245" t="s">
        <v>215</v>
      </c>
      <c r="T20" s="245" t="s">
        <v>215</v>
      </c>
      <c r="U20" s="247">
        <f t="shared" ref="U20:U26" si="1">SUM(P20:S20)</f>
        <v>0</v>
      </c>
    </row>
    <row r="21" spans="1:21" ht="14.45" customHeight="1">
      <c r="O21" s="248" t="s">
        <v>404</v>
      </c>
      <c r="P21" s="246" t="s">
        <v>215</v>
      </c>
      <c r="Q21" s="246" t="s">
        <v>215</v>
      </c>
      <c r="R21" s="246" t="s">
        <v>215</v>
      </c>
      <c r="S21" s="246" t="s">
        <v>215</v>
      </c>
      <c r="T21" s="246" t="s">
        <v>215</v>
      </c>
      <c r="U21" s="249">
        <f t="shared" si="1"/>
        <v>0</v>
      </c>
    </row>
    <row r="22" spans="1:21" ht="14.45" customHeight="1">
      <c r="O22" s="248" t="s">
        <v>419</v>
      </c>
      <c r="P22" s="246" t="s">
        <v>215</v>
      </c>
      <c r="Q22" s="246" t="s">
        <v>215</v>
      </c>
      <c r="R22" s="246" t="s">
        <v>215</v>
      </c>
      <c r="S22" s="246" t="s">
        <v>215</v>
      </c>
      <c r="T22" s="246" t="s">
        <v>215</v>
      </c>
      <c r="U22" s="249">
        <f t="shared" si="1"/>
        <v>0</v>
      </c>
    </row>
    <row r="23" spans="1:21" ht="14.45" customHeight="1">
      <c r="O23" s="248" t="s">
        <v>420</v>
      </c>
      <c r="P23" s="246" t="s">
        <v>215</v>
      </c>
      <c r="Q23" s="246" t="s">
        <v>215</v>
      </c>
      <c r="R23" s="246" t="s">
        <v>215</v>
      </c>
      <c r="S23" s="246" t="s">
        <v>215</v>
      </c>
      <c r="T23" s="246" t="s">
        <v>215</v>
      </c>
      <c r="U23" s="249">
        <f t="shared" si="1"/>
        <v>0</v>
      </c>
    </row>
    <row r="24" spans="1:21" ht="14.45" customHeight="1">
      <c r="O24" s="248" t="s">
        <v>421</v>
      </c>
      <c r="P24" s="246" t="s">
        <v>215</v>
      </c>
      <c r="Q24" s="246" t="s">
        <v>215</v>
      </c>
      <c r="R24" s="246" t="s">
        <v>215</v>
      </c>
      <c r="S24" s="246" t="s">
        <v>215</v>
      </c>
      <c r="T24" s="246" t="s">
        <v>215</v>
      </c>
      <c r="U24" s="249">
        <f t="shared" si="1"/>
        <v>0</v>
      </c>
    </row>
    <row r="25" spans="1:21" ht="14.45" customHeight="1">
      <c r="O25" s="248" t="s">
        <v>422</v>
      </c>
      <c r="P25" s="246" t="s">
        <v>215</v>
      </c>
      <c r="Q25" s="246" t="s">
        <v>215</v>
      </c>
      <c r="R25" s="246" t="s">
        <v>215</v>
      </c>
      <c r="S25" s="246" t="s">
        <v>215</v>
      </c>
      <c r="T25" s="246" t="s">
        <v>215</v>
      </c>
      <c r="U25" s="249">
        <f t="shared" si="1"/>
        <v>0</v>
      </c>
    </row>
    <row r="26" spans="1:21" ht="14.45" customHeight="1" thickBot="1">
      <c r="O26" s="250" t="s">
        <v>423</v>
      </c>
      <c r="P26" s="251" t="s">
        <v>215</v>
      </c>
      <c r="Q26" s="251" t="s">
        <v>215</v>
      </c>
      <c r="R26" s="251" t="s">
        <v>215</v>
      </c>
      <c r="S26" s="251" t="s">
        <v>215</v>
      </c>
      <c r="T26" s="251" t="s">
        <v>215</v>
      </c>
      <c r="U26" s="252">
        <f t="shared" si="1"/>
        <v>0</v>
      </c>
    </row>
    <row r="27" spans="1:21" ht="14.45" customHeight="1" thickBot="1">
      <c r="O27" s="253" t="s">
        <v>18</v>
      </c>
      <c r="P27" s="254">
        <f t="shared" ref="P27:S27" si="2">SUM(P20:P26)</f>
        <v>0</v>
      </c>
      <c r="Q27" s="254">
        <f t="shared" si="2"/>
        <v>0</v>
      </c>
      <c r="R27" s="254">
        <f t="shared" si="2"/>
        <v>0</v>
      </c>
      <c r="S27" s="254">
        <f t="shared" si="2"/>
        <v>0</v>
      </c>
      <c r="T27" s="254">
        <f>SUM(T20:T26)</f>
        <v>0</v>
      </c>
      <c r="U27" s="255">
        <f>SUM(U20:U26)</f>
        <v>0</v>
      </c>
    </row>
    <row r="29" spans="1:21" ht="14.45" customHeight="1">
      <c r="O29" s="256" t="s">
        <v>424</v>
      </c>
    </row>
    <row r="30" spans="1:21" ht="14.45" customHeight="1">
      <c r="E30" s="240"/>
      <c r="F30" s="240"/>
      <c r="G30" s="240"/>
      <c r="H30" s="240"/>
      <c r="I30" s="240"/>
      <c r="J30" s="240"/>
      <c r="K30" s="240"/>
      <c r="L30" s="240"/>
      <c r="O30" s="257" t="s">
        <v>425</v>
      </c>
    </row>
    <row r="31" spans="1:21" ht="14.45" customHeight="1">
      <c r="E31" s="258"/>
      <c r="F31" s="240"/>
      <c r="G31" s="225"/>
      <c r="H31" s="225"/>
    </row>
    <row r="32" spans="1:21" ht="31.15" customHeight="1">
      <c r="F32" s="221"/>
      <c r="G32" s="221"/>
      <c r="H32" s="223"/>
      <c r="I32" s="223"/>
      <c r="J32" s="223"/>
      <c r="K32" s="223"/>
      <c r="L32" s="223"/>
      <c r="M32" s="492" t="s">
        <v>426</v>
      </c>
      <c r="N32" s="492"/>
      <c r="O32" s="492"/>
      <c r="P32" s="492"/>
      <c r="Q32" s="492"/>
      <c r="R32" s="492"/>
    </row>
    <row r="33" spans="1:16" ht="14.45" customHeight="1">
      <c r="F33" s="221"/>
      <c r="G33" s="222"/>
      <c r="H33" s="223"/>
      <c r="I33" s="223"/>
      <c r="J33" s="223"/>
      <c r="K33" s="223"/>
      <c r="L33" s="223"/>
      <c r="M33" s="223"/>
      <c r="N33" s="223"/>
      <c r="O33" s="223"/>
      <c r="P33" s="224"/>
    </row>
    <row r="34" spans="1:16" ht="14.45" customHeight="1">
      <c r="F34" s="221"/>
      <c r="G34" s="222" t="s">
        <v>427</v>
      </c>
      <c r="H34" s="225"/>
      <c r="I34" s="260">
        <f>SUM(H15:L15)</f>
        <v>331.95</v>
      </c>
      <c r="J34" s="260"/>
      <c r="K34" s="260"/>
      <c r="L34" s="260"/>
      <c r="M34" s="223"/>
      <c r="N34" s="223"/>
      <c r="O34" s="223"/>
      <c r="P34" s="224"/>
    </row>
    <row r="35" spans="1:16" ht="14.45" customHeight="1">
      <c r="F35" s="221"/>
      <c r="G35" s="222">
        <v>2025</v>
      </c>
      <c r="H35" s="225"/>
      <c r="I35" s="260">
        <f>+P27</f>
        <v>0</v>
      </c>
      <c r="J35" s="260"/>
      <c r="K35" s="260"/>
      <c r="L35" s="260"/>
      <c r="M35" s="223"/>
      <c r="N35" s="223"/>
      <c r="O35" s="223"/>
      <c r="P35" s="224"/>
    </row>
    <row r="36" spans="1:16" ht="14.45" customHeight="1">
      <c r="F36" s="221"/>
      <c r="G36" s="222">
        <v>2026</v>
      </c>
      <c r="H36" s="225"/>
      <c r="I36" s="260">
        <f>+Q27</f>
        <v>0</v>
      </c>
      <c r="J36" s="260"/>
      <c r="K36" s="260"/>
      <c r="L36" s="260"/>
      <c r="M36" s="223"/>
      <c r="N36" s="223"/>
      <c r="O36" s="223"/>
      <c r="P36" s="224"/>
    </row>
    <row r="37" spans="1:16" ht="14.45" customHeight="1">
      <c r="F37" s="221"/>
      <c r="G37" s="222">
        <v>2027</v>
      </c>
      <c r="H37" s="225"/>
      <c r="I37" s="260">
        <f>+R27</f>
        <v>0</v>
      </c>
      <c r="J37" s="260"/>
      <c r="K37" s="260"/>
      <c r="L37" s="260"/>
      <c r="M37" s="223"/>
      <c r="N37" s="223"/>
      <c r="O37" s="223"/>
      <c r="P37" s="224"/>
    </row>
    <row r="38" spans="1:16" ht="14.45" customHeight="1">
      <c r="F38" s="221"/>
      <c r="G38" s="222">
        <v>2028</v>
      </c>
      <c r="H38" s="223"/>
      <c r="I38" s="260">
        <f>+S27</f>
        <v>0</v>
      </c>
      <c r="J38" s="260"/>
      <c r="K38" s="260"/>
      <c r="L38" s="260"/>
      <c r="M38" s="223"/>
      <c r="N38" s="223"/>
      <c r="O38" s="223"/>
      <c r="P38" s="224"/>
    </row>
    <row r="39" spans="1:16" ht="14.45" customHeight="1">
      <c r="F39" s="221"/>
      <c r="G39" s="222">
        <v>2029</v>
      </c>
      <c r="I39" s="260">
        <f>+T27</f>
        <v>0</v>
      </c>
      <c r="J39" s="260"/>
      <c r="K39" s="260"/>
      <c r="L39" s="260"/>
      <c r="M39" s="223"/>
      <c r="N39" s="223"/>
      <c r="O39" s="223"/>
      <c r="P39" s="224"/>
    </row>
    <row r="40" spans="1:16" ht="14.45" customHeight="1">
      <c r="F40" s="221"/>
      <c r="G40" s="222" t="s">
        <v>428</v>
      </c>
      <c r="H40" s="225"/>
      <c r="I40" s="260">
        <f>SUM(I35:I39)</f>
        <v>0</v>
      </c>
      <c r="J40" s="260"/>
      <c r="K40" s="260"/>
      <c r="L40" s="260"/>
      <c r="M40" s="223"/>
      <c r="N40" s="223"/>
      <c r="O40" s="223"/>
      <c r="P40" s="224"/>
    </row>
    <row r="41" spans="1:16" ht="14.45" customHeight="1">
      <c r="A41"/>
      <c r="B41"/>
      <c r="C41"/>
      <c r="D41"/>
      <c r="F41" s="221"/>
      <c r="G41" s="222"/>
      <c r="H41" s="223"/>
      <c r="I41" s="223"/>
      <c r="J41" s="223"/>
      <c r="K41" s="223"/>
      <c r="L41" s="223"/>
      <c r="M41" s="223"/>
      <c r="N41" s="223"/>
      <c r="O41" s="223"/>
      <c r="P41" s="224"/>
    </row>
    <row r="42" spans="1:16" ht="14.45" customHeight="1">
      <c r="A42"/>
      <c r="B42"/>
      <c r="C42"/>
      <c r="D42"/>
      <c r="F42" s="221"/>
      <c r="G42" s="222"/>
      <c r="H42" s="223"/>
      <c r="I42" s="223"/>
      <c r="J42" s="223"/>
      <c r="K42" s="223"/>
      <c r="L42" s="223"/>
      <c r="M42" s="223"/>
      <c r="N42" s="223"/>
      <c r="O42" s="223"/>
      <c r="P42" s="224"/>
    </row>
    <row r="43" spans="1:16" ht="14.45" customHeight="1">
      <c r="A43"/>
      <c r="B43"/>
      <c r="C43"/>
      <c r="D43"/>
      <c r="F43" s="221"/>
      <c r="G43" s="222"/>
      <c r="H43" s="223"/>
      <c r="I43" s="223"/>
      <c r="J43" s="223"/>
      <c r="K43" s="223"/>
      <c r="L43" s="223"/>
      <c r="M43" s="223"/>
      <c r="N43" s="223"/>
      <c r="O43" s="223"/>
      <c r="P43" s="224"/>
    </row>
    <row r="44" spans="1:16" ht="14.45" customHeight="1">
      <c r="A44"/>
      <c r="B44"/>
      <c r="C44"/>
      <c r="D44"/>
      <c r="F44" s="221"/>
      <c r="G44" s="222"/>
      <c r="H44" s="223"/>
      <c r="I44" s="223"/>
      <c r="J44" s="223"/>
      <c r="K44" s="223"/>
      <c r="L44" s="223"/>
      <c r="M44" s="223"/>
      <c r="N44" s="223"/>
      <c r="O44" s="223"/>
      <c r="P44" s="224"/>
    </row>
    <row r="45" spans="1:16" ht="14.45" customHeight="1">
      <c r="F45" s="221"/>
      <c r="G45" s="222"/>
      <c r="H45" s="223"/>
      <c r="I45" s="223"/>
      <c r="J45" s="223"/>
      <c r="K45" s="223"/>
      <c r="L45" s="223"/>
      <c r="M45" s="223"/>
      <c r="N45" s="223"/>
      <c r="O45" s="223"/>
      <c r="P45" s="224"/>
    </row>
    <row r="46" spans="1:16" ht="14.45" customHeight="1">
      <c r="A46" s="240"/>
      <c r="B46" s="240"/>
      <c r="C46" s="240"/>
      <c r="D46" s="240"/>
      <c r="E46" s="240"/>
      <c r="F46" s="221"/>
      <c r="G46" s="222"/>
      <c r="H46" s="223"/>
      <c r="I46" s="223"/>
      <c r="J46" s="223"/>
      <c r="K46" s="223"/>
      <c r="L46" s="223"/>
      <c r="M46" s="223"/>
      <c r="N46" s="223"/>
      <c r="O46" s="223"/>
      <c r="P46" s="224"/>
    </row>
    <row r="47" spans="1:16" ht="14.45" customHeight="1">
      <c r="A47" s="493"/>
      <c r="B47" s="493"/>
      <c r="C47" s="240"/>
      <c r="D47" s="240"/>
      <c r="E47" s="240"/>
      <c r="F47" s="221"/>
      <c r="G47" s="222"/>
      <c r="H47" s="223"/>
      <c r="I47" s="223"/>
      <c r="J47" s="223"/>
      <c r="K47" s="223"/>
      <c r="L47" s="223"/>
      <c r="M47" s="223"/>
      <c r="N47" s="223"/>
      <c r="O47" s="223"/>
      <c r="P47" s="224"/>
    </row>
    <row r="48" spans="1:16" ht="14.45" customHeight="1">
      <c r="A48" s="493" t="s">
        <v>415</v>
      </c>
      <c r="B48" s="493"/>
      <c r="F48" s="221"/>
      <c r="G48" s="222"/>
      <c r="H48" s="223"/>
      <c r="I48" s="223"/>
      <c r="J48" s="223"/>
      <c r="K48" s="223"/>
      <c r="L48" s="223"/>
      <c r="M48" s="223"/>
      <c r="N48" s="223"/>
      <c r="O48" s="223"/>
      <c r="P48" s="224"/>
    </row>
    <row r="49" spans="6:20" ht="14.45" customHeight="1">
      <c r="F49" s="221"/>
      <c r="G49" s="222"/>
      <c r="H49" s="223"/>
      <c r="I49" s="223"/>
      <c r="J49" s="223"/>
      <c r="K49" s="223"/>
      <c r="L49" s="223"/>
      <c r="M49" s="223"/>
      <c r="N49" s="223"/>
      <c r="O49" s="223"/>
      <c r="P49" s="224"/>
    </row>
    <row r="50" spans="6:20" ht="14.45" customHeight="1">
      <c r="F50" s="221"/>
      <c r="G50" s="222"/>
      <c r="H50" s="223"/>
      <c r="I50" s="223"/>
      <c r="J50" s="223"/>
      <c r="K50" s="223"/>
      <c r="L50" s="223"/>
      <c r="M50" s="494" t="s">
        <v>429</v>
      </c>
      <c r="N50" s="494"/>
      <c r="O50" s="494"/>
      <c r="P50" s="494"/>
      <c r="Q50" s="494"/>
      <c r="R50" s="494"/>
    </row>
    <row r="51" spans="6:20" ht="14.45" customHeight="1">
      <c r="F51" s="225"/>
      <c r="G51" s="225"/>
      <c r="H51" s="225"/>
      <c r="M51" s="494"/>
      <c r="N51" s="494"/>
      <c r="O51" s="494"/>
      <c r="P51" s="494"/>
      <c r="Q51" s="494"/>
      <c r="R51" s="494"/>
    </row>
    <row r="52" spans="6:20" ht="14.45" customHeight="1">
      <c r="M52" s="494"/>
      <c r="N52" s="494"/>
      <c r="O52" s="494"/>
      <c r="P52" s="494"/>
      <c r="Q52" s="494"/>
      <c r="R52" s="494"/>
    </row>
    <row r="56" spans="6:20" ht="14.45" customHeight="1">
      <c r="T56" s="225" t="s">
        <v>430</v>
      </c>
    </row>
  </sheetData>
  <mergeCells count="11">
    <mergeCell ref="A15:B15"/>
    <mergeCell ref="A2:I2"/>
    <mergeCell ref="A4:L4"/>
    <mergeCell ref="A8:B8"/>
    <mergeCell ref="A10:B10"/>
    <mergeCell ref="A14:B14"/>
    <mergeCell ref="P18:U18"/>
    <mergeCell ref="M32:R32"/>
    <mergeCell ref="A47:B47"/>
    <mergeCell ref="A48:B48"/>
    <mergeCell ref="M50:R52"/>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50"/>
  </sheetPr>
  <dimension ref="A1:AB44"/>
  <sheetViews>
    <sheetView showGridLines="0" workbookViewId="0">
      <selection activeCell="P16" sqref="P16"/>
    </sheetView>
  </sheetViews>
  <sheetFormatPr baseColWidth="10" defaultRowHeight="15"/>
  <cols>
    <col min="1" max="1" width="18.7109375" style="223" customWidth="1"/>
    <col min="2" max="2" width="6.5703125" style="222" customWidth="1"/>
    <col min="3" max="8" width="4.42578125" style="223" customWidth="1"/>
    <col min="9" max="9" width="5.7109375" customWidth="1"/>
    <col min="10" max="11" width="4.42578125" customWidth="1"/>
    <col min="12" max="12" width="5.7109375" customWidth="1"/>
    <col min="13" max="20" width="8.85546875" customWidth="1"/>
    <col min="21" max="21" width="14.42578125" customWidth="1"/>
  </cols>
  <sheetData>
    <row r="1" spans="1:28">
      <c r="Z1" s="226">
        <v>1</v>
      </c>
    </row>
    <row r="2" spans="1:28">
      <c r="A2" s="262" t="s">
        <v>431</v>
      </c>
      <c r="B2" s="263"/>
      <c r="C2" s="263"/>
      <c r="D2" s="263"/>
      <c r="E2" s="263"/>
      <c r="F2" s="263"/>
      <c r="G2" s="263"/>
      <c r="H2" s="263"/>
      <c r="I2" s="263"/>
      <c r="J2" s="263"/>
      <c r="Z2" s="226">
        <v>2</v>
      </c>
    </row>
    <row r="4" spans="1:28" s="264" customFormat="1" ht="20.25" customHeight="1">
      <c r="A4" s="502" t="s">
        <v>432</v>
      </c>
      <c r="B4" s="503"/>
      <c r="C4" s="503"/>
      <c r="D4" s="503"/>
      <c r="E4" s="503"/>
      <c r="F4" s="503"/>
      <c r="G4" s="503"/>
      <c r="H4" s="503"/>
      <c r="I4" s="503"/>
      <c r="J4" s="503"/>
      <c r="K4" s="503"/>
      <c r="L4" s="503"/>
    </row>
    <row r="5" spans="1:28" s="264" customFormat="1" ht="12" customHeight="1">
      <c r="A5" s="229" t="s">
        <v>401</v>
      </c>
      <c r="B5" s="229" t="s">
        <v>402</v>
      </c>
      <c r="C5" s="229">
        <v>2015</v>
      </c>
      <c r="D5" s="229">
        <v>2016</v>
      </c>
      <c r="E5" s="229">
        <v>2017</v>
      </c>
      <c r="F5" s="229">
        <v>2018</v>
      </c>
      <c r="G5" s="229">
        <v>2019</v>
      </c>
      <c r="H5" s="229">
        <v>2020</v>
      </c>
      <c r="I5" s="229">
        <v>2021</v>
      </c>
      <c r="J5" s="229">
        <v>2022</v>
      </c>
      <c r="K5" s="229">
        <v>2023</v>
      </c>
      <c r="L5" s="229">
        <v>2024</v>
      </c>
    </row>
    <row r="6" spans="1:28" s="264" customFormat="1" ht="12" customHeight="1">
      <c r="A6" s="231" t="s">
        <v>433</v>
      </c>
      <c r="B6" s="232" t="s">
        <v>406</v>
      </c>
      <c r="C6" s="265" t="s">
        <v>215</v>
      </c>
      <c r="D6" s="265" t="s">
        <v>215</v>
      </c>
      <c r="E6" s="265" t="s">
        <v>215</v>
      </c>
      <c r="F6" s="265" t="s">
        <v>215</v>
      </c>
      <c r="G6" s="265" t="s">
        <v>215</v>
      </c>
      <c r="H6" s="265" t="s">
        <v>215</v>
      </c>
      <c r="I6" s="265" t="s">
        <v>215</v>
      </c>
      <c r="J6" s="265" t="s">
        <v>215</v>
      </c>
      <c r="K6" s="265" t="s">
        <v>215</v>
      </c>
      <c r="L6" s="265">
        <v>50</v>
      </c>
    </row>
    <row r="7" spans="1:28" ht="12" customHeight="1">
      <c r="A7" s="499" t="s">
        <v>407</v>
      </c>
      <c r="B7" s="499"/>
      <c r="C7" s="266">
        <v>0</v>
      </c>
      <c r="D7" s="266">
        <v>0</v>
      </c>
      <c r="E7" s="266">
        <v>0</v>
      </c>
      <c r="F7" s="266">
        <v>0</v>
      </c>
      <c r="G7" s="266">
        <v>0</v>
      </c>
      <c r="H7" s="266">
        <v>0</v>
      </c>
      <c r="I7" s="266">
        <v>0</v>
      </c>
      <c r="J7" s="266">
        <v>0</v>
      </c>
      <c r="K7" s="266">
        <v>0</v>
      </c>
      <c r="L7" s="266">
        <f>+L6</f>
        <v>50</v>
      </c>
    </row>
    <row r="8" spans="1:28" ht="12" customHeight="1">
      <c r="A8" s="231" t="s">
        <v>434</v>
      </c>
      <c r="B8" s="232" t="s">
        <v>421</v>
      </c>
      <c r="C8" s="265" t="s">
        <v>215</v>
      </c>
      <c r="D8" s="265" t="s">
        <v>215</v>
      </c>
      <c r="E8" s="265" t="s">
        <v>215</v>
      </c>
      <c r="F8" s="265" t="s">
        <v>215</v>
      </c>
      <c r="G8" s="265" t="s">
        <v>215</v>
      </c>
      <c r="H8" s="265" t="s">
        <v>215</v>
      </c>
      <c r="I8" s="265" t="s">
        <v>215</v>
      </c>
      <c r="J8" s="265" t="s">
        <v>215</v>
      </c>
      <c r="K8" s="265" t="s">
        <v>215</v>
      </c>
      <c r="L8" s="265">
        <v>1634.01</v>
      </c>
    </row>
    <row r="9" spans="1:28" ht="12" customHeight="1">
      <c r="A9" s="231" t="s">
        <v>434</v>
      </c>
      <c r="B9" s="232" t="s">
        <v>422</v>
      </c>
      <c r="C9" s="265" t="s">
        <v>215</v>
      </c>
      <c r="D9" s="265" t="s">
        <v>215</v>
      </c>
      <c r="E9" s="265" t="s">
        <v>215</v>
      </c>
      <c r="F9" s="265" t="s">
        <v>215</v>
      </c>
      <c r="G9" s="265" t="s">
        <v>215</v>
      </c>
      <c r="H9" s="265" t="s">
        <v>215</v>
      </c>
      <c r="I9" s="265" t="s">
        <v>215</v>
      </c>
      <c r="J9" s="265" t="s">
        <v>215</v>
      </c>
      <c r="K9" s="265" t="s">
        <v>215</v>
      </c>
      <c r="L9" s="265">
        <v>2506.9</v>
      </c>
    </row>
    <row r="10" spans="1:28" ht="12" customHeight="1">
      <c r="A10" s="231" t="s">
        <v>434</v>
      </c>
      <c r="B10" s="232" t="s">
        <v>423</v>
      </c>
      <c r="C10" s="265" t="s">
        <v>215</v>
      </c>
      <c r="D10" s="265" t="s">
        <v>215</v>
      </c>
      <c r="E10" s="265" t="s">
        <v>215</v>
      </c>
      <c r="F10" s="265" t="s">
        <v>215</v>
      </c>
      <c r="G10" s="265" t="s">
        <v>215</v>
      </c>
      <c r="H10" s="265" t="s">
        <v>215</v>
      </c>
      <c r="I10" s="265" t="s">
        <v>215</v>
      </c>
      <c r="J10" s="265" t="s">
        <v>215</v>
      </c>
      <c r="K10" s="265" t="s">
        <v>215</v>
      </c>
      <c r="L10" s="265">
        <v>1877.09</v>
      </c>
    </row>
    <row r="11" spans="1:28" ht="12" customHeight="1">
      <c r="A11" s="499" t="s">
        <v>410</v>
      </c>
      <c r="B11" s="499"/>
      <c r="C11" s="266">
        <v>0</v>
      </c>
      <c r="D11" s="266">
        <v>0</v>
      </c>
      <c r="E11" s="266">
        <v>0</v>
      </c>
      <c r="F11" s="266">
        <v>0</v>
      </c>
      <c r="G11" s="266">
        <v>0</v>
      </c>
      <c r="H11" s="266">
        <v>0</v>
      </c>
      <c r="I11" s="266">
        <v>0</v>
      </c>
      <c r="J11" s="266">
        <v>0</v>
      </c>
      <c r="K11" s="266">
        <v>0</v>
      </c>
      <c r="L11" s="266">
        <f>SUM(L8:L10)</f>
        <v>6018</v>
      </c>
    </row>
    <row r="12" spans="1:28" ht="12" customHeight="1">
      <c r="A12" s="231" t="s">
        <v>214</v>
      </c>
      <c r="B12" s="232" t="s">
        <v>435</v>
      </c>
      <c r="C12" s="265" t="s">
        <v>215</v>
      </c>
      <c r="D12" s="265" t="s">
        <v>215</v>
      </c>
      <c r="E12" s="265" t="s">
        <v>215</v>
      </c>
      <c r="F12" s="265" t="s">
        <v>215</v>
      </c>
      <c r="G12" s="267" t="s">
        <v>215</v>
      </c>
      <c r="H12" s="267" t="s">
        <v>215</v>
      </c>
      <c r="I12" s="267" t="s">
        <v>215</v>
      </c>
      <c r="J12" s="267" t="s">
        <v>215</v>
      </c>
      <c r="K12" s="267" t="s">
        <v>215</v>
      </c>
      <c r="L12" s="267">
        <v>95</v>
      </c>
    </row>
    <row r="13" spans="1:28" ht="12" customHeight="1">
      <c r="A13" s="499" t="s">
        <v>413</v>
      </c>
      <c r="B13" s="499"/>
      <c r="C13" s="266">
        <v>0</v>
      </c>
      <c r="D13" s="266">
        <v>0</v>
      </c>
      <c r="E13" s="266">
        <v>0</v>
      </c>
      <c r="F13" s="266">
        <v>0</v>
      </c>
      <c r="G13" s="266">
        <v>0</v>
      </c>
      <c r="H13" s="266">
        <v>0</v>
      </c>
      <c r="I13" s="266">
        <v>0</v>
      </c>
      <c r="J13" s="266">
        <v>0</v>
      </c>
      <c r="K13" s="266">
        <v>0</v>
      </c>
      <c r="L13" s="266">
        <f>+L12</f>
        <v>95</v>
      </c>
    </row>
    <row r="14" spans="1:28" ht="12" customHeight="1">
      <c r="A14" s="495" t="s">
        <v>414</v>
      </c>
      <c r="B14" s="495"/>
      <c r="C14" s="268">
        <f t="shared" ref="C14:L14" si="0">+C7+C11+C13</f>
        <v>0</v>
      </c>
      <c r="D14" s="268">
        <f t="shared" si="0"/>
        <v>0</v>
      </c>
      <c r="E14" s="268">
        <f t="shared" si="0"/>
        <v>0</v>
      </c>
      <c r="F14" s="268">
        <f t="shared" si="0"/>
        <v>0</v>
      </c>
      <c r="G14" s="268">
        <f t="shared" si="0"/>
        <v>0</v>
      </c>
      <c r="H14" s="268">
        <f t="shared" si="0"/>
        <v>0</v>
      </c>
      <c r="I14" s="268">
        <f t="shared" si="0"/>
        <v>0</v>
      </c>
      <c r="J14" s="268">
        <f t="shared" si="0"/>
        <v>0</v>
      </c>
      <c r="K14" s="268">
        <f t="shared" si="0"/>
        <v>0</v>
      </c>
      <c r="L14" s="268">
        <f t="shared" si="0"/>
        <v>6163</v>
      </c>
    </row>
    <row r="15" spans="1:28">
      <c r="C15" s="269"/>
      <c r="D15" s="269"/>
      <c r="E15" s="269"/>
      <c r="F15" s="269"/>
      <c r="G15" s="269"/>
      <c r="H15" s="269"/>
    </row>
    <row r="16" spans="1:28" ht="15.75" thickBot="1">
      <c r="A16" s="221" t="s">
        <v>415</v>
      </c>
      <c r="B16" s="223"/>
      <c r="V16" s="239" t="s">
        <v>416</v>
      </c>
      <c r="W16" s="240"/>
      <c r="X16" s="240"/>
      <c r="Y16" s="240"/>
      <c r="Z16" s="240"/>
      <c r="AA16" s="240"/>
      <c r="AB16" s="240"/>
    </row>
    <row r="17" spans="1:28" ht="15.75" thickBot="1">
      <c r="V17" s="240"/>
      <c r="W17" s="489" t="s">
        <v>436</v>
      </c>
      <c r="X17" s="490"/>
      <c r="Y17" s="490"/>
      <c r="Z17" s="490"/>
      <c r="AA17" s="490"/>
      <c r="AB17" s="491"/>
    </row>
    <row r="18" spans="1:28" ht="15.75" thickBot="1">
      <c r="V18" s="241" t="s">
        <v>402</v>
      </c>
      <c r="W18" s="242">
        <v>2025</v>
      </c>
      <c r="X18" s="242">
        <v>2026</v>
      </c>
      <c r="Y18" s="242">
        <v>2027</v>
      </c>
      <c r="Z18" s="242">
        <v>2028</v>
      </c>
      <c r="AA18" s="242">
        <v>2029</v>
      </c>
      <c r="AB18" s="270" t="s">
        <v>437</v>
      </c>
    </row>
    <row r="19" spans="1:28">
      <c r="O19" s="225"/>
      <c r="P19" s="225"/>
      <c r="Q19" s="225"/>
      <c r="R19" s="225"/>
      <c r="S19" s="225"/>
      <c r="T19" s="225"/>
      <c r="U19" s="225"/>
      <c r="V19" s="244">
        <v>107</v>
      </c>
      <c r="W19" s="245" t="s">
        <v>215</v>
      </c>
      <c r="X19" s="245" t="s">
        <v>215</v>
      </c>
      <c r="Y19" s="245" t="s">
        <v>215</v>
      </c>
      <c r="Z19" s="245" t="s">
        <v>215</v>
      </c>
      <c r="AA19" s="245" t="s">
        <v>215</v>
      </c>
      <c r="AB19" s="247">
        <f t="shared" ref="AB19:AB24" si="1">SUM(W19:Z19)</f>
        <v>0</v>
      </c>
    </row>
    <row r="20" spans="1:28">
      <c r="F20" s="240"/>
      <c r="G20" s="225"/>
      <c r="H20" s="225"/>
      <c r="I20" s="225"/>
      <c r="J20" s="225"/>
      <c r="K20" s="225"/>
      <c r="L20" s="225"/>
      <c r="M20" s="225"/>
      <c r="N20" s="225"/>
      <c r="O20" s="259"/>
      <c r="P20" s="259"/>
      <c r="Q20" s="259"/>
      <c r="R20" s="259"/>
      <c r="U20" s="225"/>
      <c r="V20" s="248" t="s">
        <v>419</v>
      </c>
      <c r="W20" s="246" t="s">
        <v>215</v>
      </c>
      <c r="X20" s="246" t="s">
        <v>215</v>
      </c>
      <c r="Y20" s="246" t="s">
        <v>215</v>
      </c>
      <c r="Z20" s="246" t="s">
        <v>215</v>
      </c>
      <c r="AA20" s="246" t="s">
        <v>215</v>
      </c>
      <c r="AB20" s="249">
        <f t="shared" si="1"/>
        <v>0</v>
      </c>
    </row>
    <row r="21" spans="1:28">
      <c r="F21" s="221"/>
      <c r="G21" s="221"/>
      <c r="I21" s="223"/>
      <c r="J21" s="223"/>
      <c r="K21" s="223"/>
      <c r="L21" s="223"/>
      <c r="M21" s="492" t="s">
        <v>438</v>
      </c>
      <c r="N21" s="492"/>
      <c r="O21" s="492"/>
      <c r="P21" s="492"/>
      <c r="Q21" s="492"/>
      <c r="R21" s="492"/>
      <c r="S21" s="492"/>
      <c r="T21" s="259"/>
      <c r="U21" s="225"/>
      <c r="V21" s="248" t="s">
        <v>420</v>
      </c>
      <c r="W21" s="246" t="s">
        <v>215</v>
      </c>
      <c r="X21" s="246" t="s">
        <v>215</v>
      </c>
      <c r="Y21" s="246" t="s">
        <v>215</v>
      </c>
      <c r="Z21" s="246" t="s">
        <v>215</v>
      </c>
      <c r="AA21" s="246" t="s">
        <v>215</v>
      </c>
      <c r="AB21" s="249">
        <f t="shared" si="1"/>
        <v>0</v>
      </c>
    </row>
    <row r="22" spans="1:28">
      <c r="F22" s="221"/>
      <c r="G22" s="222"/>
      <c r="I22" s="223"/>
      <c r="J22" s="223"/>
      <c r="K22" s="223"/>
      <c r="L22" s="223"/>
      <c r="M22" s="223"/>
      <c r="N22" s="223"/>
      <c r="O22" s="223"/>
      <c r="P22" s="223"/>
      <c r="Q22" s="224"/>
      <c r="R22" s="225"/>
      <c r="S22" s="225"/>
      <c r="T22" s="225"/>
      <c r="U22" s="225"/>
      <c r="V22" s="248" t="s">
        <v>421</v>
      </c>
      <c r="W22" s="246" t="s">
        <v>215</v>
      </c>
      <c r="X22" s="246" t="s">
        <v>215</v>
      </c>
      <c r="Y22" s="246" t="s">
        <v>215</v>
      </c>
      <c r="Z22" s="246" t="s">
        <v>215</v>
      </c>
      <c r="AA22" s="246" t="s">
        <v>215</v>
      </c>
      <c r="AB22" s="249">
        <f t="shared" si="1"/>
        <v>0</v>
      </c>
    </row>
    <row r="23" spans="1:28">
      <c r="F23" s="221"/>
      <c r="G23" s="222" t="s">
        <v>427</v>
      </c>
      <c r="H23" s="225"/>
      <c r="I23" s="271">
        <f>+SUM(H14:L14)</f>
        <v>6163</v>
      </c>
      <c r="J23" s="271"/>
      <c r="K23" s="271"/>
      <c r="L23" s="271"/>
      <c r="M23" s="223"/>
      <c r="N23" s="223"/>
      <c r="O23" s="223"/>
      <c r="P23" s="223"/>
      <c r="Q23" s="224"/>
      <c r="R23" s="225"/>
      <c r="S23" s="225"/>
      <c r="T23" s="225"/>
      <c r="U23" s="225"/>
      <c r="V23" s="248" t="s">
        <v>422</v>
      </c>
      <c r="W23" s="246" t="s">
        <v>215</v>
      </c>
      <c r="X23" s="246" t="s">
        <v>215</v>
      </c>
      <c r="Y23" s="246" t="s">
        <v>215</v>
      </c>
      <c r="Z23" s="246" t="s">
        <v>215</v>
      </c>
      <c r="AA23" s="246" t="s">
        <v>215</v>
      </c>
      <c r="AB23" s="249">
        <f t="shared" si="1"/>
        <v>0</v>
      </c>
    </row>
    <row r="24" spans="1:28" ht="15.75" thickBot="1">
      <c r="F24" s="221"/>
      <c r="G24" s="222">
        <f>+W18</f>
        <v>2025</v>
      </c>
      <c r="H24" s="225"/>
      <c r="I24" s="271">
        <f>+W25</f>
        <v>0</v>
      </c>
      <c r="J24" s="271"/>
      <c r="K24" s="271"/>
      <c r="L24" s="271"/>
      <c r="M24" s="223"/>
      <c r="N24" s="223"/>
      <c r="O24" s="223"/>
      <c r="P24" s="223"/>
      <c r="Q24" s="224"/>
      <c r="R24" s="225"/>
      <c r="S24" s="225"/>
      <c r="T24" s="225"/>
      <c r="U24" s="225"/>
      <c r="V24" s="250" t="s">
        <v>423</v>
      </c>
      <c r="W24" s="251" t="s">
        <v>215</v>
      </c>
      <c r="X24" s="251" t="s">
        <v>215</v>
      </c>
      <c r="Y24" s="251" t="s">
        <v>215</v>
      </c>
      <c r="Z24" s="251" t="s">
        <v>215</v>
      </c>
      <c r="AA24" s="251" t="s">
        <v>215</v>
      </c>
      <c r="AB24" s="252">
        <f t="shared" si="1"/>
        <v>0</v>
      </c>
    </row>
    <row r="25" spans="1:28" ht="15.75" thickBot="1">
      <c r="F25" s="221"/>
      <c r="G25" s="222">
        <f>+G24+1</f>
        <v>2026</v>
      </c>
      <c r="H25" s="225"/>
      <c r="I25" s="271">
        <f>+X25</f>
        <v>0</v>
      </c>
      <c r="J25" s="271"/>
      <c r="K25" s="271"/>
      <c r="L25" s="271"/>
      <c r="M25" s="223"/>
      <c r="N25" s="223"/>
      <c r="O25" s="223"/>
      <c r="P25" s="223"/>
      <c r="Q25" s="224"/>
      <c r="R25" s="225"/>
      <c r="S25" s="225"/>
      <c r="T25" s="225"/>
      <c r="U25" s="225"/>
      <c r="V25" s="253" t="s">
        <v>18</v>
      </c>
      <c r="W25" s="254">
        <f t="shared" ref="W25:AB25" si="2">SUM(W19:W24)</f>
        <v>0</v>
      </c>
      <c r="X25" s="254">
        <f t="shared" si="2"/>
        <v>0</v>
      </c>
      <c r="Y25" s="254">
        <f t="shared" si="2"/>
        <v>0</v>
      </c>
      <c r="Z25" s="254">
        <f t="shared" si="2"/>
        <v>0</v>
      </c>
      <c r="AA25" s="254">
        <f t="shared" si="2"/>
        <v>0</v>
      </c>
      <c r="AB25" s="255">
        <f t="shared" si="2"/>
        <v>0</v>
      </c>
    </row>
    <row r="26" spans="1:28">
      <c r="F26" s="221"/>
      <c r="G26" s="222">
        <f t="shared" ref="G26:G28" si="3">+G25+1</f>
        <v>2027</v>
      </c>
      <c r="H26" s="225"/>
      <c r="I26" s="271">
        <f>+Y25</f>
        <v>0</v>
      </c>
      <c r="J26" s="271"/>
      <c r="K26" s="271"/>
      <c r="L26" s="271"/>
      <c r="M26" s="223"/>
      <c r="N26" s="223"/>
      <c r="O26" s="223"/>
      <c r="P26" s="223"/>
      <c r="Q26" s="224"/>
      <c r="R26" s="225"/>
      <c r="S26" s="225"/>
      <c r="T26" s="225"/>
      <c r="U26" s="225"/>
    </row>
    <row r="27" spans="1:28">
      <c r="F27" s="221"/>
      <c r="G27" s="222">
        <f t="shared" si="3"/>
        <v>2028</v>
      </c>
      <c r="H27" s="225"/>
      <c r="I27" s="271">
        <f>+Z25</f>
        <v>0</v>
      </c>
      <c r="J27" s="271"/>
      <c r="K27" s="271"/>
      <c r="L27" s="271"/>
      <c r="M27" s="223"/>
      <c r="N27" s="223"/>
      <c r="O27" s="223"/>
      <c r="P27" s="223"/>
      <c r="Q27" s="224"/>
      <c r="R27" s="225"/>
      <c r="S27" s="225"/>
      <c r="T27" s="225"/>
      <c r="U27" s="225"/>
      <c r="V27" s="221" t="s">
        <v>415</v>
      </c>
      <c r="W27" s="223"/>
      <c r="X27" s="223"/>
      <c r="Y27" s="223"/>
    </row>
    <row r="28" spans="1:28">
      <c r="F28" s="221"/>
      <c r="G28" s="222">
        <f t="shared" si="3"/>
        <v>2029</v>
      </c>
      <c r="I28" s="269">
        <f>+AA25</f>
        <v>0</v>
      </c>
      <c r="J28" s="269"/>
      <c r="K28" s="269"/>
      <c r="L28" s="269"/>
      <c r="M28" s="223"/>
      <c r="N28" s="223"/>
      <c r="O28" s="223"/>
      <c r="P28" s="223"/>
      <c r="Q28" s="224"/>
      <c r="R28" s="225"/>
      <c r="S28" s="225"/>
      <c r="T28" s="225"/>
      <c r="U28" s="225"/>
    </row>
    <row r="29" spans="1:28">
      <c r="F29" s="221"/>
      <c r="G29" s="222" t="s">
        <v>428</v>
      </c>
      <c r="H29" s="225"/>
      <c r="I29" s="271">
        <f>+AB25</f>
        <v>0</v>
      </c>
      <c r="J29" s="271"/>
      <c r="K29" s="271"/>
      <c r="L29" s="271"/>
      <c r="M29" s="223"/>
      <c r="N29" s="223"/>
      <c r="O29" s="223"/>
      <c r="P29" s="223"/>
      <c r="Q29" s="224"/>
      <c r="R29" s="225"/>
      <c r="S29" s="225"/>
      <c r="T29" s="225"/>
      <c r="U29" s="225"/>
    </row>
    <row r="30" spans="1:28">
      <c r="F30" s="221"/>
      <c r="G30" s="222"/>
      <c r="I30" s="223"/>
      <c r="J30" s="223"/>
      <c r="K30" s="223"/>
      <c r="L30" s="223"/>
      <c r="M30" s="223"/>
      <c r="N30" s="223"/>
      <c r="O30" s="223"/>
      <c r="P30" s="223"/>
      <c r="Q30" s="224"/>
      <c r="R30" s="225"/>
      <c r="S30" s="225"/>
      <c r="T30" s="225"/>
      <c r="U30" s="225"/>
    </row>
    <row r="31" spans="1:28">
      <c r="A31"/>
      <c r="B31"/>
      <c r="C31"/>
      <c r="D31"/>
      <c r="F31" s="221"/>
      <c r="G31" s="222"/>
      <c r="I31" s="223"/>
      <c r="J31" s="223"/>
      <c r="K31" s="223"/>
      <c r="L31" s="223"/>
      <c r="M31" s="223"/>
      <c r="N31" s="223"/>
      <c r="O31" s="223"/>
      <c r="P31" s="223"/>
      <c r="Q31" s="224"/>
      <c r="R31" s="225"/>
      <c r="S31" s="225"/>
      <c r="T31" s="225"/>
      <c r="U31" s="225"/>
    </row>
    <row r="32" spans="1:28">
      <c r="A32"/>
      <c r="B32"/>
      <c r="C32"/>
      <c r="D32"/>
      <c r="F32" s="221"/>
      <c r="G32" s="222"/>
      <c r="I32" s="223"/>
      <c r="J32" s="223"/>
      <c r="K32" s="223"/>
      <c r="L32" s="223"/>
      <c r="M32" s="223"/>
      <c r="N32" s="223"/>
      <c r="O32" s="223"/>
      <c r="P32" s="223"/>
      <c r="Q32" s="224"/>
      <c r="R32" s="225"/>
      <c r="S32" s="225"/>
      <c r="T32" s="225"/>
      <c r="U32" s="225"/>
    </row>
    <row r="33" spans="1:21">
      <c r="A33" s="240"/>
      <c r="B33" s="240"/>
      <c r="C33" s="240"/>
      <c r="D33" s="240"/>
      <c r="F33" s="221"/>
      <c r="G33" s="222"/>
      <c r="I33" s="223"/>
      <c r="J33" s="223"/>
      <c r="K33" s="223"/>
      <c r="L33" s="223"/>
      <c r="M33" s="223"/>
      <c r="N33" s="223"/>
      <c r="O33" s="223"/>
      <c r="P33" s="223"/>
      <c r="Q33" s="224"/>
      <c r="R33" s="225"/>
      <c r="S33" s="225"/>
      <c r="T33" s="225"/>
      <c r="U33" s="225"/>
    </row>
    <row r="34" spans="1:21">
      <c r="A34" s="493"/>
      <c r="B34" s="493"/>
      <c r="C34" s="240"/>
      <c r="D34" s="240"/>
      <c r="F34" s="221"/>
      <c r="G34" s="222"/>
      <c r="I34" s="223"/>
      <c r="J34" s="223"/>
      <c r="K34" s="223"/>
      <c r="L34" s="223"/>
      <c r="M34" s="223"/>
      <c r="N34" s="223"/>
      <c r="O34" s="223"/>
      <c r="P34" s="223"/>
      <c r="Q34" s="224"/>
      <c r="R34" s="225"/>
      <c r="S34" s="225"/>
      <c r="T34" s="225"/>
      <c r="U34" s="225"/>
    </row>
    <row r="35" spans="1:21">
      <c r="A35" s="221"/>
      <c r="F35" s="221"/>
      <c r="G35" s="222"/>
      <c r="I35" s="223"/>
      <c r="J35" s="223"/>
      <c r="K35" s="223"/>
      <c r="L35" s="223"/>
      <c r="M35" s="223"/>
      <c r="N35" s="223"/>
      <c r="O35" s="223"/>
      <c r="P35" s="223"/>
      <c r="Q35" s="224"/>
      <c r="R35" s="225"/>
      <c r="S35" s="225"/>
      <c r="T35" s="225"/>
      <c r="U35" s="225"/>
    </row>
    <row r="36" spans="1:21">
      <c r="F36" s="221"/>
      <c r="G36" s="222"/>
      <c r="I36" s="223"/>
      <c r="J36" s="223"/>
      <c r="K36" s="223"/>
      <c r="L36" s="223"/>
      <c r="M36" s="223"/>
      <c r="N36" s="223"/>
      <c r="O36" s="223"/>
      <c r="P36" s="223"/>
      <c r="Q36" s="224"/>
      <c r="R36" s="225"/>
      <c r="S36" s="225"/>
      <c r="T36" s="225"/>
      <c r="U36" s="225"/>
    </row>
    <row r="37" spans="1:21">
      <c r="F37" s="221"/>
      <c r="G37" s="222"/>
      <c r="I37" s="223"/>
      <c r="J37" s="223"/>
      <c r="K37" s="223"/>
      <c r="L37" s="223"/>
      <c r="M37" s="223"/>
      <c r="N37" s="223"/>
      <c r="O37" s="223"/>
      <c r="P37" s="223"/>
      <c r="Q37" s="224"/>
      <c r="R37" s="225"/>
      <c r="S37" s="225"/>
      <c r="T37" s="225"/>
      <c r="U37" s="225"/>
    </row>
    <row r="38" spans="1:21">
      <c r="F38" s="221"/>
      <c r="G38" s="222"/>
      <c r="I38" s="223"/>
      <c r="J38" s="223"/>
      <c r="K38" s="223"/>
      <c r="L38" s="223"/>
      <c r="M38" s="223"/>
      <c r="N38" s="223"/>
      <c r="U38" s="225"/>
    </row>
    <row r="39" spans="1:21" ht="15" customHeight="1">
      <c r="F39" s="221"/>
      <c r="G39" s="222"/>
      <c r="I39" s="223"/>
      <c r="J39" s="223"/>
      <c r="K39" s="223"/>
      <c r="L39" s="223"/>
      <c r="M39" s="223"/>
      <c r="N39" s="494" t="s">
        <v>439</v>
      </c>
      <c r="O39" s="494"/>
      <c r="P39" s="494"/>
      <c r="Q39" s="494"/>
      <c r="R39" s="494"/>
      <c r="S39" s="494"/>
      <c r="T39" s="261"/>
      <c r="U39" s="225"/>
    </row>
    <row r="40" spans="1:21">
      <c r="F40" s="225"/>
      <c r="G40" s="225"/>
      <c r="H40" s="225"/>
      <c r="I40" s="225"/>
      <c r="J40" s="225"/>
      <c r="K40" s="225"/>
      <c r="L40" s="225"/>
      <c r="M40" s="225"/>
      <c r="N40" s="494"/>
      <c r="O40" s="494"/>
      <c r="P40" s="494"/>
      <c r="Q40" s="494"/>
      <c r="R40" s="494"/>
      <c r="S40" s="494"/>
      <c r="T40" s="261"/>
      <c r="U40" s="225"/>
    </row>
    <row r="41" spans="1:21">
      <c r="G41" s="224"/>
      <c r="H41" s="224"/>
      <c r="I41" s="225"/>
      <c r="J41" s="225"/>
      <c r="K41" s="225"/>
      <c r="L41" s="225"/>
      <c r="M41" s="225"/>
      <c r="N41" s="494"/>
      <c r="O41" s="494"/>
      <c r="P41" s="494"/>
      <c r="Q41" s="494"/>
      <c r="R41" s="494"/>
      <c r="S41" s="494"/>
      <c r="T41" s="261"/>
      <c r="U41" s="225"/>
    </row>
    <row r="42" spans="1:21">
      <c r="G42" s="224"/>
      <c r="H42" s="224"/>
      <c r="I42" s="225"/>
      <c r="J42" s="225"/>
      <c r="K42" s="225"/>
      <c r="L42" s="225"/>
      <c r="M42" s="225"/>
      <c r="N42" s="225"/>
    </row>
    <row r="44" spans="1:21">
      <c r="K44" s="272" t="s">
        <v>415</v>
      </c>
      <c r="L44" s="272"/>
      <c r="M44" s="273"/>
    </row>
  </sheetData>
  <mergeCells count="9">
    <mergeCell ref="W17:AB17"/>
    <mergeCell ref="M21:S21"/>
    <mergeCell ref="A34:B34"/>
    <mergeCell ref="N39:S41"/>
    <mergeCell ref="A4:L4"/>
    <mergeCell ref="A7:B7"/>
    <mergeCell ref="A11:B11"/>
    <mergeCell ref="A13:B13"/>
    <mergeCell ref="A14:B14"/>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rgb="FF00B050"/>
  </sheetPr>
  <dimension ref="A1:AA25"/>
  <sheetViews>
    <sheetView workbookViewId="0">
      <selection sqref="A1:XFD1048576"/>
    </sheetView>
  </sheetViews>
  <sheetFormatPr baseColWidth="10" defaultColWidth="9.85546875" defaultRowHeight="11.25"/>
  <cols>
    <col min="1" max="1" width="15" style="221" customWidth="1"/>
    <col min="2" max="2" width="9.5703125" style="222" customWidth="1"/>
    <col min="3" max="12" width="5.42578125" style="223" customWidth="1"/>
    <col min="13" max="16384" width="9.85546875" style="223"/>
  </cols>
  <sheetData>
    <row r="1" spans="1:27" ht="15">
      <c r="AA1" s="226">
        <v>3</v>
      </c>
    </row>
    <row r="2" spans="1:27" ht="12.75">
      <c r="A2" s="505" t="s">
        <v>440</v>
      </c>
      <c r="B2" s="505"/>
      <c r="C2" s="505"/>
      <c r="D2" s="505"/>
      <c r="E2" s="505"/>
      <c r="F2" s="505"/>
      <c r="G2" s="505"/>
      <c r="H2" s="505"/>
      <c r="I2" s="505"/>
      <c r="J2" s="227"/>
      <c r="K2" s="227"/>
      <c r="L2" s="227"/>
    </row>
    <row r="4" spans="1:27" s="222" customFormat="1">
      <c r="A4" s="506" t="s">
        <v>441</v>
      </c>
      <c r="B4" s="507"/>
      <c r="C4" s="507"/>
      <c r="D4" s="507"/>
      <c r="E4" s="507"/>
      <c r="F4" s="507"/>
      <c r="G4" s="507"/>
      <c r="H4" s="507"/>
      <c r="I4" s="507"/>
      <c r="J4" s="507"/>
      <c r="K4" s="507"/>
      <c r="L4" s="507"/>
    </row>
    <row r="5" spans="1:27" s="222" customFormat="1">
      <c r="A5" s="274" t="s">
        <v>401</v>
      </c>
      <c r="B5" s="274" t="s">
        <v>402</v>
      </c>
      <c r="C5" s="274">
        <v>2015</v>
      </c>
      <c r="D5" s="274">
        <v>2016</v>
      </c>
      <c r="E5" s="274">
        <v>2017</v>
      </c>
      <c r="F5" s="274">
        <v>2018</v>
      </c>
      <c r="G5" s="274">
        <v>2019</v>
      </c>
      <c r="H5" s="274">
        <v>2020</v>
      </c>
      <c r="I5" s="274">
        <v>2021</v>
      </c>
      <c r="J5" s="274">
        <v>2022</v>
      </c>
      <c r="K5" s="274">
        <v>2023</v>
      </c>
      <c r="L5" s="274">
        <v>2024</v>
      </c>
    </row>
    <row r="6" spans="1:27">
      <c r="A6" s="275" t="s">
        <v>442</v>
      </c>
      <c r="B6" s="276" t="s">
        <v>443</v>
      </c>
      <c r="C6" s="276" t="s">
        <v>215</v>
      </c>
      <c r="D6" s="276" t="s">
        <v>215</v>
      </c>
      <c r="E6" s="276">
        <v>1</v>
      </c>
      <c r="F6" s="276" t="s">
        <v>215</v>
      </c>
      <c r="G6" s="276" t="s">
        <v>215</v>
      </c>
      <c r="H6" s="276" t="s">
        <v>215</v>
      </c>
      <c r="I6" s="276">
        <v>1</v>
      </c>
      <c r="J6" s="276" t="s">
        <v>215</v>
      </c>
      <c r="K6" s="276" t="s">
        <v>215</v>
      </c>
      <c r="L6" s="276">
        <v>1</v>
      </c>
    </row>
    <row r="7" spans="1:27">
      <c r="A7" s="275" t="s">
        <v>442</v>
      </c>
      <c r="B7" s="276" t="s">
        <v>444</v>
      </c>
      <c r="C7" s="276" t="s">
        <v>215</v>
      </c>
      <c r="D7" s="276" t="s">
        <v>215</v>
      </c>
      <c r="E7" s="276" t="s">
        <v>215</v>
      </c>
      <c r="F7" s="276">
        <v>1</v>
      </c>
      <c r="G7" s="276" t="s">
        <v>215</v>
      </c>
      <c r="H7" s="276" t="s">
        <v>215</v>
      </c>
      <c r="I7" s="276" t="s">
        <v>215</v>
      </c>
      <c r="J7" s="276" t="s">
        <v>215</v>
      </c>
      <c r="K7" s="276" t="s">
        <v>215</v>
      </c>
      <c r="L7" s="276" t="s">
        <v>215</v>
      </c>
    </row>
    <row r="8" spans="1:27">
      <c r="A8" s="275" t="s">
        <v>412</v>
      </c>
      <c r="B8" s="276" t="s">
        <v>445</v>
      </c>
      <c r="C8" s="276" t="s">
        <v>215</v>
      </c>
      <c r="D8" s="276" t="s">
        <v>215</v>
      </c>
      <c r="E8" s="276" t="s">
        <v>215</v>
      </c>
      <c r="F8" s="276">
        <v>1</v>
      </c>
      <c r="G8" s="276" t="s">
        <v>215</v>
      </c>
      <c r="H8" s="276" t="s">
        <v>215</v>
      </c>
      <c r="I8" s="276" t="s">
        <v>215</v>
      </c>
      <c r="J8" s="276" t="s">
        <v>215</v>
      </c>
      <c r="K8" s="276" t="s">
        <v>215</v>
      </c>
      <c r="L8" s="276" t="s">
        <v>215</v>
      </c>
    </row>
    <row r="9" spans="1:27">
      <c r="A9" s="275" t="s">
        <v>433</v>
      </c>
      <c r="B9" s="276" t="s">
        <v>406</v>
      </c>
      <c r="C9" s="276" t="s">
        <v>215</v>
      </c>
      <c r="D9" s="276" t="s">
        <v>215</v>
      </c>
      <c r="E9" s="276">
        <v>1</v>
      </c>
      <c r="F9" s="276">
        <v>1</v>
      </c>
      <c r="G9" s="276">
        <v>1</v>
      </c>
      <c r="H9" s="276" t="s">
        <v>215</v>
      </c>
      <c r="I9" s="276" t="s">
        <v>215</v>
      </c>
      <c r="J9" s="276" t="s">
        <v>215</v>
      </c>
      <c r="K9" s="276" t="s">
        <v>215</v>
      </c>
      <c r="L9" s="276">
        <v>1</v>
      </c>
    </row>
    <row r="10" spans="1:27">
      <c r="A10" s="275" t="s">
        <v>446</v>
      </c>
      <c r="B10" s="276" t="s">
        <v>419</v>
      </c>
      <c r="C10" s="276" t="s">
        <v>215</v>
      </c>
      <c r="D10" s="276" t="s">
        <v>215</v>
      </c>
      <c r="E10" s="276" t="s">
        <v>215</v>
      </c>
      <c r="F10" s="276">
        <v>1</v>
      </c>
      <c r="G10" s="276" t="s">
        <v>215</v>
      </c>
      <c r="H10" s="276" t="s">
        <v>215</v>
      </c>
      <c r="I10" s="276" t="s">
        <v>215</v>
      </c>
      <c r="J10" s="276" t="s">
        <v>215</v>
      </c>
      <c r="K10" s="276" t="s">
        <v>215</v>
      </c>
      <c r="L10" s="276" t="s">
        <v>215</v>
      </c>
    </row>
    <row r="11" spans="1:27">
      <c r="A11" s="508" t="s">
        <v>407</v>
      </c>
      <c r="B11" s="508"/>
      <c r="C11" s="278">
        <v>0</v>
      </c>
      <c r="D11" s="278">
        <v>0</v>
      </c>
      <c r="E11" s="278">
        <v>2</v>
      </c>
      <c r="F11" s="278">
        <v>4</v>
      </c>
      <c r="G11" s="278">
        <v>1</v>
      </c>
      <c r="H11" s="278">
        <f ca="1">SUM(H6:H11)</f>
        <v>0</v>
      </c>
      <c r="I11" s="278">
        <v>1</v>
      </c>
      <c r="J11" s="278">
        <f ca="1">SUM(J6:J11)</f>
        <v>0</v>
      </c>
      <c r="K11" s="278">
        <f ca="1">SUM(K6:K11)</f>
        <v>0</v>
      </c>
      <c r="L11" s="278">
        <f>SUM(L6:L10)</f>
        <v>2</v>
      </c>
    </row>
    <row r="12" spans="1:27">
      <c r="A12" s="275" t="s">
        <v>447</v>
      </c>
      <c r="B12" s="276" t="s">
        <v>448</v>
      </c>
      <c r="C12" s="276" t="s">
        <v>215</v>
      </c>
      <c r="D12" s="276" t="s">
        <v>215</v>
      </c>
      <c r="E12" s="276" t="s">
        <v>215</v>
      </c>
      <c r="F12" s="276">
        <v>1</v>
      </c>
      <c r="G12" s="276" t="s">
        <v>215</v>
      </c>
      <c r="H12" s="276" t="s">
        <v>215</v>
      </c>
      <c r="I12" s="276" t="s">
        <v>215</v>
      </c>
      <c r="J12" s="276" t="s">
        <v>215</v>
      </c>
      <c r="K12" s="276" t="s">
        <v>215</v>
      </c>
      <c r="L12" s="276" t="s">
        <v>215</v>
      </c>
    </row>
    <row r="13" spans="1:27">
      <c r="A13" s="275" t="s">
        <v>449</v>
      </c>
      <c r="B13" s="276" t="s">
        <v>450</v>
      </c>
      <c r="C13" s="276" t="s">
        <v>215</v>
      </c>
      <c r="D13" s="276" t="s">
        <v>215</v>
      </c>
      <c r="E13" s="276" t="s">
        <v>215</v>
      </c>
      <c r="F13" s="276" t="s">
        <v>215</v>
      </c>
      <c r="G13" s="276" t="s">
        <v>215</v>
      </c>
      <c r="H13" s="276">
        <v>1</v>
      </c>
      <c r="I13" s="276" t="s">
        <v>215</v>
      </c>
      <c r="J13" s="276" t="s">
        <v>215</v>
      </c>
      <c r="K13" s="276" t="s">
        <v>215</v>
      </c>
      <c r="L13" s="276" t="s">
        <v>215</v>
      </c>
    </row>
    <row r="14" spans="1:27">
      <c r="A14" s="508" t="s">
        <v>410</v>
      </c>
      <c r="B14" s="508"/>
      <c r="C14" s="278">
        <v>0</v>
      </c>
      <c r="D14" s="278">
        <v>0</v>
      </c>
      <c r="E14" s="278">
        <v>0</v>
      </c>
      <c r="F14" s="278">
        <v>1</v>
      </c>
      <c r="G14" s="278">
        <v>0</v>
      </c>
      <c r="H14" s="278">
        <f>SUM(H12:H13)</f>
        <v>1</v>
      </c>
      <c r="I14" s="278">
        <f>SUM(I12:I13)</f>
        <v>0</v>
      </c>
      <c r="J14" s="278">
        <f>SUM(J12:J13)</f>
        <v>0</v>
      </c>
      <c r="K14" s="278">
        <f>SUM(K12:K13)</f>
        <v>0</v>
      </c>
      <c r="L14" s="278">
        <f>SUM(L12:L13)</f>
        <v>0</v>
      </c>
    </row>
    <row r="15" spans="1:27">
      <c r="A15" s="275" t="s">
        <v>451</v>
      </c>
      <c r="B15" s="276">
        <v>57</v>
      </c>
      <c r="C15" s="276" t="s">
        <v>215</v>
      </c>
      <c r="D15" s="276" t="s">
        <v>215</v>
      </c>
      <c r="E15" s="276">
        <v>1</v>
      </c>
      <c r="F15" s="276" t="s">
        <v>215</v>
      </c>
      <c r="G15" s="276" t="s">
        <v>215</v>
      </c>
      <c r="H15" s="276" t="s">
        <v>215</v>
      </c>
      <c r="I15" s="276" t="s">
        <v>215</v>
      </c>
      <c r="J15" s="276" t="s">
        <v>215</v>
      </c>
      <c r="K15" s="276" t="s">
        <v>215</v>
      </c>
      <c r="L15" s="276" t="s">
        <v>215</v>
      </c>
    </row>
    <row r="16" spans="1:27">
      <c r="A16" s="275" t="s">
        <v>452</v>
      </c>
      <c r="B16" s="276">
        <v>76</v>
      </c>
      <c r="C16" s="276">
        <v>1</v>
      </c>
      <c r="D16" s="276" t="s">
        <v>215</v>
      </c>
      <c r="E16" s="276" t="s">
        <v>215</v>
      </c>
      <c r="F16" s="276" t="s">
        <v>215</v>
      </c>
      <c r="G16" s="276" t="s">
        <v>215</v>
      </c>
      <c r="H16" s="276" t="s">
        <v>215</v>
      </c>
      <c r="I16" s="276" t="s">
        <v>215</v>
      </c>
      <c r="J16" s="276" t="s">
        <v>215</v>
      </c>
      <c r="K16" s="276" t="s">
        <v>215</v>
      </c>
      <c r="L16" s="276" t="s">
        <v>215</v>
      </c>
    </row>
    <row r="17" spans="1:12">
      <c r="A17" s="275" t="s">
        <v>216</v>
      </c>
      <c r="B17" s="276">
        <v>88</v>
      </c>
      <c r="C17" s="276">
        <v>1</v>
      </c>
      <c r="D17" s="276" t="s">
        <v>215</v>
      </c>
      <c r="E17" s="276" t="s">
        <v>215</v>
      </c>
      <c r="F17" s="276" t="s">
        <v>215</v>
      </c>
      <c r="G17" s="276" t="s">
        <v>215</v>
      </c>
      <c r="H17" s="276" t="s">
        <v>215</v>
      </c>
      <c r="I17" s="276" t="s">
        <v>215</v>
      </c>
      <c r="J17" s="276" t="s">
        <v>215</v>
      </c>
      <c r="K17" s="276" t="s">
        <v>215</v>
      </c>
      <c r="L17" s="276" t="s">
        <v>215</v>
      </c>
    </row>
    <row r="18" spans="1:12">
      <c r="A18" s="275" t="s">
        <v>453</v>
      </c>
      <c r="B18" s="276">
        <v>95</v>
      </c>
      <c r="C18" s="276">
        <v>1</v>
      </c>
      <c r="D18" s="276" t="s">
        <v>215</v>
      </c>
      <c r="E18" s="276" t="s">
        <v>215</v>
      </c>
      <c r="F18" s="276" t="s">
        <v>215</v>
      </c>
      <c r="G18" s="276">
        <v>1</v>
      </c>
      <c r="H18" s="276" t="s">
        <v>215</v>
      </c>
      <c r="I18" s="276" t="s">
        <v>215</v>
      </c>
      <c r="J18" s="276" t="s">
        <v>215</v>
      </c>
      <c r="K18" s="276" t="s">
        <v>215</v>
      </c>
      <c r="L18" s="276" t="s">
        <v>215</v>
      </c>
    </row>
    <row r="19" spans="1:12">
      <c r="A19" s="275" t="s">
        <v>216</v>
      </c>
      <c r="B19" s="276">
        <v>108</v>
      </c>
      <c r="C19" s="276" t="s">
        <v>215</v>
      </c>
      <c r="D19" s="276" t="s">
        <v>215</v>
      </c>
      <c r="E19" s="276" t="s">
        <v>215</v>
      </c>
      <c r="F19" s="276" t="s">
        <v>215</v>
      </c>
      <c r="G19" s="276">
        <v>1</v>
      </c>
      <c r="H19" s="276" t="s">
        <v>215</v>
      </c>
      <c r="I19" s="276" t="s">
        <v>215</v>
      </c>
      <c r="J19" s="276" t="s">
        <v>215</v>
      </c>
      <c r="K19" s="276" t="s">
        <v>215</v>
      </c>
      <c r="L19" s="276" t="s">
        <v>215</v>
      </c>
    </row>
    <row r="20" spans="1:12">
      <c r="A20" s="275" t="s">
        <v>454</v>
      </c>
      <c r="B20" s="276">
        <v>131</v>
      </c>
      <c r="C20" s="276">
        <v>1</v>
      </c>
      <c r="D20" s="276" t="s">
        <v>215</v>
      </c>
      <c r="E20" s="276">
        <v>1</v>
      </c>
      <c r="F20" s="276" t="s">
        <v>215</v>
      </c>
      <c r="G20" s="276" t="s">
        <v>215</v>
      </c>
      <c r="H20" s="276" t="s">
        <v>215</v>
      </c>
      <c r="I20" s="276" t="s">
        <v>215</v>
      </c>
      <c r="J20" s="276" t="s">
        <v>215</v>
      </c>
      <c r="K20" s="276" t="s">
        <v>215</v>
      </c>
      <c r="L20" s="276" t="s">
        <v>215</v>
      </c>
    </row>
    <row r="21" spans="1:12">
      <c r="A21" s="508" t="s">
        <v>413</v>
      </c>
      <c r="B21" s="508"/>
      <c r="C21" s="278">
        <v>4</v>
      </c>
      <c r="D21" s="278">
        <v>0</v>
      </c>
      <c r="E21" s="278">
        <v>2</v>
      </c>
      <c r="F21" s="278">
        <v>0</v>
      </c>
      <c r="G21" s="278">
        <v>2</v>
      </c>
      <c r="H21" s="278">
        <f>SUM(H15:H20)</f>
        <v>0</v>
      </c>
      <c r="I21" s="278">
        <f>SUM(I15:I20)</f>
        <v>0</v>
      </c>
      <c r="J21" s="278">
        <f>SUM(J15:J20)</f>
        <v>0</v>
      </c>
      <c r="K21" s="278">
        <f>SUM(K15:K20)</f>
        <v>0</v>
      </c>
      <c r="L21" s="278">
        <f>SUM(L15:L20)</f>
        <v>0</v>
      </c>
    </row>
    <row r="22" spans="1:12">
      <c r="A22" s="504" t="s">
        <v>414</v>
      </c>
      <c r="B22" s="504"/>
      <c r="C22" s="280">
        <v>4</v>
      </c>
      <c r="D22" s="280">
        <v>0</v>
      </c>
      <c r="E22" s="280">
        <v>4</v>
      </c>
      <c r="F22" s="280">
        <v>5</v>
      </c>
      <c r="G22" s="280">
        <v>3</v>
      </c>
      <c r="H22" s="280">
        <v>1</v>
      </c>
      <c r="I22" s="280">
        <v>1</v>
      </c>
      <c r="J22" s="280">
        <v>0</v>
      </c>
      <c r="K22" s="280">
        <v>0</v>
      </c>
      <c r="L22" s="280">
        <f>+L11+L14+L21</f>
        <v>2</v>
      </c>
    </row>
    <row r="25" spans="1:12">
      <c r="A25" s="221" t="s">
        <v>415</v>
      </c>
    </row>
  </sheetData>
  <mergeCells count="6">
    <mergeCell ref="A22:B22"/>
    <mergeCell ref="A2:I2"/>
    <mergeCell ref="A4:L4"/>
    <mergeCell ref="A11:B11"/>
    <mergeCell ref="A14:B14"/>
    <mergeCell ref="A21:B21"/>
  </mergeCells>
  <pageMargins left="0.7" right="0.7" top="0.75" bottom="0.75" header="0.3" footer="0.3"/>
  <legacy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50"/>
  </sheetPr>
  <dimension ref="A1:S38"/>
  <sheetViews>
    <sheetView workbookViewId="0">
      <selection sqref="A1:XFD1048576"/>
    </sheetView>
  </sheetViews>
  <sheetFormatPr baseColWidth="10" defaultRowHeight="15"/>
  <cols>
    <col min="1" max="1" width="8.28515625" style="222" customWidth="1"/>
    <col min="2" max="2" width="7.28515625" style="222" customWidth="1"/>
    <col min="3" max="3" width="22" style="221" customWidth="1"/>
    <col min="4" max="4" width="12.5703125" style="223" customWidth="1"/>
    <col min="5" max="5" width="11.140625" style="223" customWidth="1"/>
    <col min="6" max="6" width="10.42578125" style="223" customWidth="1"/>
    <col min="7" max="7" width="8.85546875" style="223" customWidth="1"/>
  </cols>
  <sheetData>
    <row r="1" spans="1:19">
      <c r="Q1" s="281">
        <v>30</v>
      </c>
    </row>
    <row r="2" spans="1:19">
      <c r="A2" s="496" t="s">
        <v>455</v>
      </c>
      <c r="B2" s="496"/>
      <c r="C2" s="496"/>
      <c r="D2" s="496"/>
      <c r="E2" s="496"/>
      <c r="F2" s="496"/>
      <c r="G2" s="496"/>
      <c r="H2" s="263"/>
      <c r="I2" s="263"/>
      <c r="J2" s="263"/>
      <c r="K2" s="263"/>
      <c r="L2" s="263"/>
    </row>
    <row r="4" spans="1:19" s="264" customFormat="1" ht="14.45" customHeight="1">
      <c r="A4" s="509" t="s">
        <v>456</v>
      </c>
      <c r="B4" s="509"/>
      <c r="C4" s="509"/>
      <c r="D4" s="509"/>
      <c r="E4" s="509"/>
      <c r="F4" s="509"/>
      <c r="G4" s="509"/>
    </row>
    <row r="5" spans="1:19" s="264" customFormat="1" ht="14.45" customHeight="1">
      <c r="A5" s="509" t="s">
        <v>457</v>
      </c>
      <c r="B5" s="509"/>
      <c r="C5" s="509"/>
      <c r="D5" s="509"/>
      <c r="E5" s="509"/>
      <c r="F5" s="509"/>
      <c r="G5" s="509"/>
    </row>
    <row r="6" spans="1:19" s="264" customFormat="1" ht="14.45" customHeight="1">
      <c r="A6" s="516" t="s">
        <v>458</v>
      </c>
      <c r="B6" s="516" t="s">
        <v>402</v>
      </c>
      <c r="C6" s="516" t="s">
        <v>459</v>
      </c>
      <c r="D6" s="274" t="s">
        <v>460</v>
      </c>
      <c r="E6" s="274" t="s">
        <v>461</v>
      </c>
      <c r="F6" s="274" t="s">
        <v>461</v>
      </c>
      <c r="G6" s="274" t="s">
        <v>462</v>
      </c>
    </row>
    <row r="7" spans="1:19" s="264" customFormat="1" ht="14.45" customHeight="1">
      <c r="A7" s="516"/>
      <c r="B7" s="516"/>
      <c r="C7" s="516"/>
      <c r="D7" s="274" t="s">
        <v>463</v>
      </c>
      <c r="E7" s="274" t="s">
        <v>464</v>
      </c>
      <c r="F7" s="274" t="s">
        <v>465</v>
      </c>
      <c r="G7" s="274" t="s">
        <v>466</v>
      </c>
    </row>
    <row r="8" spans="1:19" s="264" customFormat="1" ht="14.45" customHeight="1">
      <c r="A8" s="514" t="s">
        <v>467</v>
      </c>
      <c r="B8" s="514">
        <v>107</v>
      </c>
      <c r="C8" s="514" t="s">
        <v>468</v>
      </c>
      <c r="D8" s="276" t="s">
        <v>469</v>
      </c>
      <c r="E8" s="282">
        <v>38575</v>
      </c>
      <c r="F8" s="282">
        <v>38596</v>
      </c>
      <c r="G8" s="511" t="s">
        <v>470</v>
      </c>
    </row>
    <row r="9" spans="1:19" s="264" customFormat="1" ht="14.45" customHeight="1">
      <c r="A9" s="514"/>
      <c r="B9" s="514"/>
      <c r="C9" s="514"/>
      <c r="D9" s="276" t="s">
        <v>471</v>
      </c>
      <c r="E9" s="282">
        <v>40403</v>
      </c>
      <c r="F9" s="282">
        <v>40408</v>
      </c>
      <c r="G9" s="512"/>
    </row>
    <row r="10" spans="1:19" s="264" customFormat="1" ht="14.45" customHeight="1">
      <c r="A10" s="514"/>
      <c r="B10" s="514"/>
      <c r="C10" s="514"/>
      <c r="D10" s="276" t="s">
        <v>472</v>
      </c>
      <c r="E10" s="282">
        <v>42124</v>
      </c>
      <c r="F10" s="282">
        <v>42157</v>
      </c>
      <c r="G10" s="512"/>
    </row>
    <row r="11" spans="1:19" s="264" customFormat="1" ht="14.45" customHeight="1">
      <c r="A11" s="514"/>
      <c r="B11" s="514"/>
      <c r="C11" s="514"/>
      <c r="D11" s="276" t="s">
        <v>473</v>
      </c>
      <c r="E11" s="282">
        <v>42747</v>
      </c>
      <c r="F11" s="282">
        <v>43003</v>
      </c>
      <c r="G11" s="512"/>
    </row>
    <row r="12" spans="1:19" s="264" customFormat="1" ht="14.45" customHeight="1">
      <c r="A12" s="514"/>
      <c r="B12" s="514"/>
      <c r="C12" s="514"/>
      <c r="D12" s="276" t="s">
        <v>474</v>
      </c>
      <c r="E12" s="282">
        <v>43449</v>
      </c>
      <c r="F12" s="282">
        <v>43550</v>
      </c>
      <c r="G12" s="513"/>
    </row>
    <row r="13" spans="1:19" ht="14.25" customHeight="1">
      <c r="A13" s="514" t="s">
        <v>475</v>
      </c>
      <c r="B13" s="514" t="s">
        <v>419</v>
      </c>
      <c r="C13" s="515" t="s">
        <v>476</v>
      </c>
      <c r="D13" s="276" t="s">
        <v>477</v>
      </c>
      <c r="E13" s="282">
        <v>39407</v>
      </c>
      <c r="F13" s="282">
        <v>39407</v>
      </c>
      <c r="G13" s="511" t="s">
        <v>470</v>
      </c>
      <c r="S13" s="209"/>
    </row>
    <row r="14" spans="1:19" ht="14.45" customHeight="1">
      <c r="A14" s="514"/>
      <c r="B14" s="514"/>
      <c r="C14" s="515"/>
      <c r="D14" s="276" t="s">
        <v>478</v>
      </c>
      <c r="E14" s="282">
        <v>42872</v>
      </c>
      <c r="F14" s="282">
        <v>42872</v>
      </c>
      <c r="G14" s="513"/>
    </row>
    <row r="15" spans="1:19" ht="18">
      <c r="A15" s="511" t="s">
        <v>479</v>
      </c>
      <c r="B15" s="276" t="s">
        <v>421</v>
      </c>
      <c r="C15" s="275" t="s">
        <v>480</v>
      </c>
      <c r="D15" s="276" t="s">
        <v>481</v>
      </c>
      <c r="E15" s="282">
        <v>42996</v>
      </c>
      <c r="F15" s="282">
        <v>43017</v>
      </c>
      <c r="G15" s="276" t="s">
        <v>470</v>
      </c>
    </row>
    <row r="16" spans="1:19" ht="14.25" customHeight="1">
      <c r="A16" s="512"/>
      <c r="B16" s="511" t="s">
        <v>422</v>
      </c>
      <c r="C16" s="511" t="s">
        <v>480</v>
      </c>
      <c r="D16" s="283" t="s">
        <v>482</v>
      </c>
      <c r="E16" s="282">
        <v>42996</v>
      </c>
      <c r="F16" s="282">
        <v>43017</v>
      </c>
      <c r="G16" s="511" t="s">
        <v>470</v>
      </c>
    </row>
    <row r="17" spans="1:14" ht="14.25" customHeight="1">
      <c r="A17" s="512"/>
      <c r="B17" s="513"/>
      <c r="C17" s="513"/>
      <c r="D17" s="283" t="s">
        <v>483</v>
      </c>
      <c r="E17" s="282">
        <v>45370</v>
      </c>
      <c r="F17" s="282">
        <v>45406</v>
      </c>
      <c r="G17" s="513"/>
      <c r="J17" s="264"/>
      <c r="K17" s="264" t="s">
        <v>484</v>
      </c>
      <c r="L17" s="264"/>
      <c r="M17" s="264"/>
      <c r="N17" s="264"/>
    </row>
    <row r="18" spans="1:14" ht="14.25" customHeight="1">
      <c r="A18" s="512"/>
      <c r="B18" s="511" t="s">
        <v>423</v>
      </c>
      <c r="C18" s="511" t="s">
        <v>480</v>
      </c>
      <c r="D18" s="276" t="s">
        <v>485</v>
      </c>
      <c r="E18" s="282">
        <v>42996</v>
      </c>
      <c r="F18" s="282">
        <v>43017</v>
      </c>
      <c r="G18" s="276" t="s">
        <v>470</v>
      </c>
      <c r="J18" s="264" t="s">
        <v>467</v>
      </c>
      <c r="K18" s="264">
        <v>1</v>
      </c>
      <c r="L18" s="264"/>
      <c r="M18" s="284">
        <f>+K18/$K$21</f>
        <v>0.2</v>
      </c>
      <c r="N18" s="264"/>
    </row>
    <row r="19" spans="1:14" ht="14.25" customHeight="1">
      <c r="A19" s="513"/>
      <c r="B19" s="513"/>
      <c r="C19" s="513"/>
      <c r="D19" s="276" t="s">
        <v>486</v>
      </c>
      <c r="E19" s="282">
        <v>45567</v>
      </c>
      <c r="F19" s="282">
        <v>45593</v>
      </c>
      <c r="G19" s="276" t="s">
        <v>470</v>
      </c>
      <c r="J19" s="264" t="s">
        <v>475</v>
      </c>
      <c r="K19" s="264">
        <v>1</v>
      </c>
      <c r="L19" s="264"/>
      <c r="M19" s="284">
        <f>+K19/$K$21</f>
        <v>0.2</v>
      </c>
      <c r="N19" s="264"/>
    </row>
    <row r="20" spans="1:14" ht="14.45" customHeight="1">
      <c r="A20" s="509" t="s">
        <v>487</v>
      </c>
      <c r="B20" s="509"/>
      <c r="C20" s="509"/>
      <c r="D20" s="509">
        <v>5</v>
      </c>
      <c r="E20" s="509"/>
      <c r="F20" s="509"/>
      <c r="G20" s="509"/>
      <c r="J20" s="264" t="s">
        <v>479</v>
      </c>
      <c r="K20" s="264">
        <v>3</v>
      </c>
      <c r="L20" s="264"/>
      <c r="M20" s="284">
        <f>+K20/$K$21</f>
        <v>0.6</v>
      </c>
      <c r="N20" s="264"/>
    </row>
    <row r="21" spans="1:14">
      <c r="J21" s="264"/>
      <c r="K21" s="264">
        <f>SUM(K18:K20)</f>
        <v>5</v>
      </c>
      <c r="L21" s="264"/>
      <c r="M21" s="264"/>
      <c r="N21" s="264"/>
    </row>
    <row r="22" spans="1:14">
      <c r="A22" s="221"/>
      <c r="B22" s="221" t="s">
        <v>415</v>
      </c>
    </row>
    <row r="23" spans="1:14">
      <c r="J23" s="510" t="s">
        <v>488</v>
      </c>
      <c r="K23" s="510"/>
      <c r="L23" s="510"/>
      <c r="M23" s="510"/>
      <c r="N23" s="510"/>
    </row>
    <row r="24" spans="1:14">
      <c r="J24" s="510"/>
      <c r="K24" s="510"/>
      <c r="L24" s="510"/>
      <c r="M24" s="510"/>
      <c r="N24" s="510"/>
    </row>
    <row r="37" spans="10:14">
      <c r="J37" s="494" t="s">
        <v>489</v>
      </c>
      <c r="K37" s="494"/>
      <c r="L37" s="494"/>
      <c r="M37" s="494"/>
      <c r="N37" s="494"/>
    </row>
    <row r="38" spans="10:14">
      <c r="J38" s="494"/>
      <c r="K38" s="494"/>
      <c r="L38" s="494"/>
      <c r="M38" s="494"/>
      <c r="N38" s="494"/>
    </row>
  </sheetData>
  <mergeCells count="24">
    <mergeCell ref="A2:G2"/>
    <mergeCell ref="A4:G4"/>
    <mergeCell ref="A5:G5"/>
    <mergeCell ref="A6:A7"/>
    <mergeCell ref="B6:B7"/>
    <mergeCell ref="C6:C7"/>
    <mergeCell ref="A8:A12"/>
    <mergeCell ref="B8:B12"/>
    <mergeCell ref="C8:C12"/>
    <mergeCell ref="G8:G12"/>
    <mergeCell ref="A13:A14"/>
    <mergeCell ref="B13:B14"/>
    <mergeCell ref="C13:C14"/>
    <mergeCell ref="G13:G14"/>
    <mergeCell ref="A20:C20"/>
    <mergeCell ref="D20:G20"/>
    <mergeCell ref="J23:N24"/>
    <mergeCell ref="J37:N38"/>
    <mergeCell ref="A15:A19"/>
    <mergeCell ref="B16:B17"/>
    <mergeCell ref="C16:C17"/>
    <mergeCell ref="G16:G17"/>
    <mergeCell ref="B18:B19"/>
    <mergeCell ref="C18:C19"/>
  </mergeCell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50"/>
  </sheetPr>
  <dimension ref="B1:O10"/>
  <sheetViews>
    <sheetView workbookViewId="0">
      <selection sqref="A1:XFD1048576"/>
    </sheetView>
  </sheetViews>
  <sheetFormatPr baseColWidth="10" defaultRowHeight="14.45" customHeight="1"/>
  <cols>
    <col min="2" max="2" width="10.5703125" style="228" customWidth="1"/>
    <col min="3" max="3" width="6.7109375" style="225" customWidth="1"/>
    <col min="4" max="4" width="47.42578125" style="225" customWidth="1"/>
    <col min="5" max="5" width="7.7109375" style="225" customWidth="1"/>
    <col min="6" max="6" width="12" style="225" customWidth="1"/>
  </cols>
  <sheetData>
    <row r="1" spans="2:15" ht="14.45" customHeight="1">
      <c r="O1" s="281">
        <v>32</v>
      </c>
    </row>
    <row r="2" spans="2:15" ht="14.45" customHeight="1">
      <c r="B2" s="517" t="s">
        <v>490</v>
      </c>
      <c r="C2" s="517"/>
      <c r="D2" s="517"/>
      <c r="E2" s="517"/>
      <c r="F2" s="517"/>
    </row>
    <row r="4" spans="2:15" s="264" customFormat="1" ht="14.45" customHeight="1">
      <c r="B4" s="509" t="s">
        <v>491</v>
      </c>
      <c r="C4" s="509"/>
      <c r="D4" s="509"/>
      <c r="E4" s="509"/>
      <c r="F4" s="509"/>
    </row>
    <row r="5" spans="2:15" s="264" customFormat="1" ht="18">
      <c r="B5" s="274" t="s">
        <v>492</v>
      </c>
      <c r="C5" s="274" t="s">
        <v>493</v>
      </c>
      <c r="D5" s="274" t="s">
        <v>494</v>
      </c>
      <c r="E5" s="274" t="s">
        <v>495</v>
      </c>
      <c r="F5" s="274" t="s">
        <v>496</v>
      </c>
    </row>
    <row r="6" spans="2:15" ht="15">
      <c r="B6" s="511" t="s">
        <v>497</v>
      </c>
      <c r="C6" s="276" t="s">
        <v>445</v>
      </c>
      <c r="D6" s="275" t="s">
        <v>498</v>
      </c>
      <c r="E6" s="286" t="s">
        <v>499</v>
      </c>
      <c r="F6" s="287">
        <v>45431</v>
      </c>
    </row>
    <row r="7" spans="2:15" ht="15">
      <c r="B7" s="512"/>
      <c r="C7" s="276" t="s">
        <v>420</v>
      </c>
      <c r="D7" s="275" t="s">
        <v>500</v>
      </c>
      <c r="E7" s="286" t="s">
        <v>501</v>
      </c>
      <c r="F7" s="287">
        <v>45533</v>
      </c>
    </row>
    <row r="8" spans="2:15" ht="14.45" customHeight="1">
      <c r="B8" s="280" t="s">
        <v>18</v>
      </c>
      <c r="C8" s="288">
        <v>2</v>
      </c>
      <c r="D8" s="289"/>
      <c r="E8" s="290"/>
      <c r="F8" s="289"/>
    </row>
    <row r="9" spans="2:15" ht="14.45" customHeight="1">
      <c r="B9" s="234"/>
    </row>
    <row r="10" spans="2:15" ht="14.45" customHeight="1">
      <c r="B10" s="221" t="s">
        <v>415</v>
      </c>
    </row>
  </sheetData>
  <mergeCells count="3">
    <mergeCell ref="B2:F2"/>
    <mergeCell ref="B4:F4"/>
    <mergeCell ref="B6:B7"/>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50"/>
  </sheetPr>
  <dimension ref="A1:W49"/>
  <sheetViews>
    <sheetView workbookViewId="0">
      <selection sqref="A1:XFD1048576"/>
    </sheetView>
  </sheetViews>
  <sheetFormatPr baseColWidth="10" defaultColWidth="9.5703125" defaultRowHeight="14.45" customHeight="1"/>
  <cols>
    <col min="1" max="1" width="16.7109375" style="221" customWidth="1"/>
    <col min="2" max="2" width="7.28515625" style="223" customWidth="1"/>
    <col min="3" max="12" width="6.42578125" style="223" customWidth="1"/>
    <col min="13" max="16384" width="9.5703125" style="223"/>
  </cols>
  <sheetData>
    <row r="1" spans="1:23" ht="14.45" customHeight="1">
      <c r="W1" s="281">
        <v>3</v>
      </c>
    </row>
    <row r="2" spans="1:23" ht="14.45" customHeight="1">
      <c r="A2" s="518" t="s">
        <v>502</v>
      </c>
      <c r="B2" s="518"/>
      <c r="C2" s="518"/>
      <c r="D2" s="518"/>
      <c r="E2" s="518"/>
      <c r="F2" s="518"/>
      <c r="G2" s="518"/>
      <c r="H2" s="518"/>
      <c r="I2" s="518"/>
      <c r="J2" s="518"/>
      <c r="K2" s="258"/>
      <c r="L2" s="258"/>
      <c r="W2" s="281">
        <v>4</v>
      </c>
    </row>
    <row r="3" spans="1:23" ht="12">
      <c r="A3" s="258"/>
      <c r="B3" s="258"/>
    </row>
    <row r="4" spans="1:23" s="222" customFormat="1" ht="11.25">
      <c r="A4" s="502" t="s">
        <v>503</v>
      </c>
      <c r="B4" s="503"/>
      <c r="C4" s="503"/>
      <c r="D4" s="503"/>
      <c r="E4" s="503"/>
      <c r="F4" s="503"/>
      <c r="G4" s="503"/>
      <c r="H4" s="503"/>
      <c r="I4" s="503"/>
      <c r="J4" s="503"/>
      <c r="K4" s="503"/>
      <c r="L4" s="503"/>
    </row>
    <row r="5" spans="1:23" s="222" customFormat="1" ht="11.25">
      <c r="A5" s="292" t="s">
        <v>401</v>
      </c>
      <c r="B5" s="229" t="s">
        <v>402</v>
      </c>
      <c r="C5" s="229">
        <v>2015</v>
      </c>
      <c r="D5" s="229">
        <v>2016</v>
      </c>
      <c r="E5" s="229">
        <v>2017</v>
      </c>
      <c r="F5" s="229">
        <v>2018</v>
      </c>
      <c r="G5" s="229">
        <v>2019</v>
      </c>
      <c r="H5" s="229">
        <v>2020</v>
      </c>
      <c r="I5" s="229">
        <v>2021</v>
      </c>
      <c r="J5" s="229">
        <v>2022</v>
      </c>
      <c r="K5" s="229">
        <v>2023</v>
      </c>
      <c r="L5" s="229">
        <v>2024</v>
      </c>
    </row>
    <row r="6" spans="1:23" ht="11.25">
      <c r="A6" s="231" t="s">
        <v>504</v>
      </c>
      <c r="B6" s="232" t="s">
        <v>505</v>
      </c>
      <c r="C6" s="232">
        <v>2</v>
      </c>
      <c r="D6" s="232" t="s">
        <v>215</v>
      </c>
      <c r="E6" s="232" t="s">
        <v>215</v>
      </c>
      <c r="F6" s="232" t="s">
        <v>215</v>
      </c>
      <c r="G6" s="232" t="s">
        <v>215</v>
      </c>
      <c r="H6" s="232" t="s">
        <v>215</v>
      </c>
      <c r="I6" s="232" t="s">
        <v>215</v>
      </c>
      <c r="J6" s="232" t="s">
        <v>215</v>
      </c>
      <c r="K6" s="232" t="s">
        <v>215</v>
      </c>
      <c r="L6" s="232" t="s">
        <v>215</v>
      </c>
      <c r="M6" s="223">
        <f t="shared" ref="M6:M23" si="0">SUM(C6:L6)</f>
        <v>2</v>
      </c>
    </row>
    <row r="7" spans="1:23" ht="11.25">
      <c r="A7" s="231" t="s">
        <v>506</v>
      </c>
      <c r="B7" s="232" t="s">
        <v>507</v>
      </c>
      <c r="C7" s="232" t="s">
        <v>215</v>
      </c>
      <c r="D7" s="232" t="s">
        <v>215</v>
      </c>
      <c r="E7" s="232" t="s">
        <v>215</v>
      </c>
      <c r="F7" s="232" t="s">
        <v>215</v>
      </c>
      <c r="G7" s="232">
        <v>4</v>
      </c>
      <c r="H7" s="232">
        <v>2</v>
      </c>
      <c r="I7" s="232">
        <v>3</v>
      </c>
      <c r="J7" s="232" t="s">
        <v>215</v>
      </c>
      <c r="K7" s="232">
        <v>4</v>
      </c>
      <c r="L7" s="232" t="s">
        <v>215</v>
      </c>
      <c r="M7" s="223">
        <f t="shared" si="0"/>
        <v>13</v>
      </c>
    </row>
    <row r="8" spans="1:23" ht="11.25">
      <c r="A8" s="231" t="s">
        <v>508</v>
      </c>
      <c r="B8" s="232" t="s">
        <v>444</v>
      </c>
      <c r="C8" s="232" t="s">
        <v>215</v>
      </c>
      <c r="D8" s="232" t="s">
        <v>215</v>
      </c>
      <c r="E8" s="232" t="s">
        <v>215</v>
      </c>
      <c r="F8" s="232" t="s">
        <v>215</v>
      </c>
      <c r="G8" s="232" t="s">
        <v>215</v>
      </c>
      <c r="H8" s="232" t="s">
        <v>215</v>
      </c>
      <c r="I8" s="232" t="s">
        <v>215</v>
      </c>
      <c r="J8" s="232">
        <v>20</v>
      </c>
      <c r="K8" s="232">
        <v>11</v>
      </c>
      <c r="L8" s="232">
        <v>18</v>
      </c>
      <c r="M8" s="223">
        <f t="shared" si="0"/>
        <v>49</v>
      </c>
    </row>
    <row r="9" spans="1:23" ht="11.25">
      <c r="A9" s="231" t="s">
        <v>508</v>
      </c>
      <c r="B9" s="232" t="s">
        <v>443</v>
      </c>
      <c r="C9" s="232" t="s">
        <v>215</v>
      </c>
      <c r="D9" s="232">
        <v>11</v>
      </c>
      <c r="E9" s="232">
        <v>22</v>
      </c>
      <c r="F9" s="232">
        <v>33</v>
      </c>
      <c r="G9" s="232">
        <v>33</v>
      </c>
      <c r="H9" s="232">
        <v>18</v>
      </c>
      <c r="I9" s="232">
        <v>15</v>
      </c>
      <c r="J9" s="232">
        <v>49</v>
      </c>
      <c r="K9" s="232">
        <v>17</v>
      </c>
      <c r="L9" s="232">
        <v>34</v>
      </c>
      <c r="M9" s="223">
        <f t="shared" si="0"/>
        <v>232</v>
      </c>
    </row>
    <row r="10" spans="1:23" ht="11.25">
      <c r="A10" s="231" t="s">
        <v>508</v>
      </c>
      <c r="B10" s="232" t="s">
        <v>509</v>
      </c>
      <c r="C10" s="232">
        <v>1</v>
      </c>
      <c r="D10" s="232" t="s">
        <v>215</v>
      </c>
      <c r="E10" s="232" t="s">
        <v>215</v>
      </c>
      <c r="F10" s="232" t="s">
        <v>215</v>
      </c>
      <c r="G10" s="232" t="s">
        <v>215</v>
      </c>
      <c r="H10" s="232" t="s">
        <v>215</v>
      </c>
      <c r="I10" s="232" t="s">
        <v>215</v>
      </c>
      <c r="J10" s="232" t="s">
        <v>215</v>
      </c>
      <c r="K10" s="232" t="s">
        <v>215</v>
      </c>
      <c r="L10" s="232" t="s">
        <v>215</v>
      </c>
      <c r="M10" s="223">
        <f t="shared" si="0"/>
        <v>1</v>
      </c>
    </row>
    <row r="11" spans="1:23" ht="11.25">
      <c r="A11" s="231" t="s">
        <v>510</v>
      </c>
      <c r="B11" s="232" t="s">
        <v>511</v>
      </c>
      <c r="C11" s="232" t="s">
        <v>215</v>
      </c>
      <c r="D11" s="232">
        <v>23</v>
      </c>
      <c r="E11" s="232">
        <v>16</v>
      </c>
      <c r="F11" s="232">
        <v>18</v>
      </c>
      <c r="G11" s="232">
        <v>22</v>
      </c>
      <c r="H11" s="232" t="s">
        <v>215</v>
      </c>
      <c r="I11" s="232">
        <v>41</v>
      </c>
      <c r="J11" s="232" t="s">
        <v>215</v>
      </c>
      <c r="K11" s="232" t="s">
        <v>215</v>
      </c>
      <c r="L11" s="232" t="s">
        <v>215</v>
      </c>
      <c r="M11" s="223">
        <f t="shared" si="0"/>
        <v>120</v>
      </c>
    </row>
    <row r="12" spans="1:23" ht="11.25">
      <c r="A12" s="231" t="s">
        <v>412</v>
      </c>
      <c r="B12" s="232" t="s">
        <v>445</v>
      </c>
      <c r="C12" s="232">
        <v>62</v>
      </c>
      <c r="D12" s="232" t="s">
        <v>215</v>
      </c>
      <c r="E12" s="232">
        <v>92</v>
      </c>
      <c r="F12" s="232">
        <v>112</v>
      </c>
      <c r="G12" s="232">
        <v>118</v>
      </c>
      <c r="H12" s="232">
        <v>15</v>
      </c>
      <c r="I12" s="232">
        <v>44</v>
      </c>
      <c r="J12" s="232">
        <v>10</v>
      </c>
      <c r="K12" s="232" t="s">
        <v>215</v>
      </c>
      <c r="L12" s="232" t="s">
        <v>215</v>
      </c>
      <c r="M12" s="223">
        <f t="shared" si="0"/>
        <v>453</v>
      </c>
    </row>
    <row r="13" spans="1:23" ht="11.25">
      <c r="A13" s="231" t="s">
        <v>433</v>
      </c>
      <c r="B13" s="232" t="s">
        <v>406</v>
      </c>
      <c r="C13" s="232">
        <v>11</v>
      </c>
      <c r="D13" s="232">
        <v>8</v>
      </c>
      <c r="E13" s="232">
        <v>5</v>
      </c>
      <c r="F13" s="232">
        <v>6</v>
      </c>
      <c r="G13" s="232">
        <v>9</v>
      </c>
      <c r="H13" s="232">
        <v>2</v>
      </c>
      <c r="I13" s="232">
        <v>3</v>
      </c>
      <c r="J13" s="232">
        <v>8</v>
      </c>
      <c r="K13" s="232">
        <v>6</v>
      </c>
      <c r="L13" s="232" t="s">
        <v>215</v>
      </c>
      <c r="M13" s="223">
        <f t="shared" si="0"/>
        <v>58</v>
      </c>
    </row>
    <row r="14" spans="1:23" ht="11.25">
      <c r="A14" s="231" t="s">
        <v>506</v>
      </c>
      <c r="B14" s="232" t="s">
        <v>512</v>
      </c>
      <c r="C14" s="232" t="s">
        <v>215</v>
      </c>
      <c r="D14" s="232" t="s">
        <v>215</v>
      </c>
      <c r="E14" s="232" t="s">
        <v>215</v>
      </c>
      <c r="F14" s="232" t="s">
        <v>215</v>
      </c>
      <c r="G14" s="232">
        <v>1</v>
      </c>
      <c r="H14" s="232" t="s">
        <v>215</v>
      </c>
      <c r="I14" s="232" t="s">
        <v>215</v>
      </c>
      <c r="J14" s="232" t="s">
        <v>215</v>
      </c>
      <c r="K14" s="232" t="s">
        <v>215</v>
      </c>
      <c r="L14" s="232" t="s">
        <v>215</v>
      </c>
      <c r="M14" s="223">
        <f t="shared" si="0"/>
        <v>1</v>
      </c>
    </row>
    <row r="15" spans="1:23" ht="11.25">
      <c r="A15" s="499" t="s">
        <v>407</v>
      </c>
      <c r="B15" s="499"/>
      <c r="C15" s="293">
        <v>76</v>
      </c>
      <c r="D15" s="293">
        <v>42</v>
      </c>
      <c r="E15" s="293">
        <f>+SUM(E6:E14)</f>
        <v>135</v>
      </c>
      <c r="F15" s="293">
        <v>169</v>
      </c>
      <c r="G15" s="293">
        <v>187</v>
      </c>
      <c r="H15" s="293">
        <v>37</v>
      </c>
      <c r="I15" s="293">
        <f>SUM(I6:I14)</f>
        <v>106</v>
      </c>
      <c r="J15" s="293">
        <f>SUM(J6:J14)</f>
        <v>87</v>
      </c>
      <c r="K15" s="293">
        <f>SUM(K6:K14)</f>
        <v>38</v>
      </c>
      <c r="L15" s="293">
        <f>SUM(L6:L14)</f>
        <v>52</v>
      </c>
      <c r="M15" s="223">
        <f t="shared" si="0"/>
        <v>929</v>
      </c>
      <c r="O15" s="294"/>
    </row>
    <row r="16" spans="1:23" ht="11.25">
      <c r="A16" s="231" t="s">
        <v>447</v>
      </c>
      <c r="B16" s="232" t="s">
        <v>448</v>
      </c>
      <c r="C16" s="232">
        <v>3</v>
      </c>
      <c r="D16" s="232" t="s">
        <v>215</v>
      </c>
      <c r="E16" s="232" t="s">
        <v>215</v>
      </c>
      <c r="F16" s="232" t="s">
        <v>215</v>
      </c>
      <c r="G16" s="232" t="s">
        <v>215</v>
      </c>
      <c r="H16" s="232" t="s">
        <v>215</v>
      </c>
      <c r="I16" s="232" t="s">
        <v>215</v>
      </c>
      <c r="J16" s="232" t="s">
        <v>215</v>
      </c>
      <c r="K16" s="232" t="s">
        <v>215</v>
      </c>
      <c r="L16" s="232" t="s">
        <v>215</v>
      </c>
      <c r="M16" s="223">
        <f t="shared" si="0"/>
        <v>3</v>
      </c>
    </row>
    <row r="17" spans="1:13" ht="11.25">
      <c r="A17" s="499" t="s">
        <v>410</v>
      </c>
      <c r="B17" s="499"/>
      <c r="C17" s="293">
        <v>3</v>
      </c>
      <c r="D17" s="293">
        <v>0</v>
      </c>
      <c r="E17" s="293">
        <v>0</v>
      </c>
      <c r="F17" s="293">
        <v>0</v>
      </c>
      <c r="G17" s="293">
        <v>0</v>
      </c>
      <c r="H17" s="293">
        <v>0</v>
      </c>
      <c r="I17" s="293">
        <f>SUM(I16:I16)</f>
        <v>0</v>
      </c>
      <c r="J17" s="293">
        <f>SUM(J16:J16)</f>
        <v>0</v>
      </c>
      <c r="K17" s="293">
        <f>SUM(K16:K16)</f>
        <v>0</v>
      </c>
      <c r="L17" s="293">
        <f>SUM(L16:L16)</f>
        <v>0</v>
      </c>
      <c r="M17" s="223">
        <f t="shared" si="0"/>
        <v>3</v>
      </c>
    </row>
    <row r="18" spans="1:13" ht="11.25">
      <c r="A18" s="231" t="s">
        <v>451</v>
      </c>
      <c r="B18" s="232">
        <v>57</v>
      </c>
      <c r="C18" s="232" t="s">
        <v>215</v>
      </c>
      <c r="D18" s="232">
        <v>2</v>
      </c>
      <c r="E18" s="232" t="s">
        <v>215</v>
      </c>
      <c r="F18" s="232" t="s">
        <v>215</v>
      </c>
      <c r="G18" s="232" t="s">
        <v>215</v>
      </c>
      <c r="H18" s="232" t="s">
        <v>215</v>
      </c>
      <c r="I18" s="232" t="s">
        <v>215</v>
      </c>
      <c r="J18" s="232" t="s">
        <v>215</v>
      </c>
      <c r="K18" s="232" t="s">
        <v>215</v>
      </c>
      <c r="L18" s="232" t="s">
        <v>215</v>
      </c>
      <c r="M18" s="223">
        <f t="shared" si="0"/>
        <v>2</v>
      </c>
    </row>
    <row r="19" spans="1:13" ht="11.25">
      <c r="A19" s="231" t="s">
        <v>513</v>
      </c>
      <c r="B19" s="232">
        <v>67</v>
      </c>
      <c r="C19" s="232">
        <v>1</v>
      </c>
      <c r="D19" s="232" t="s">
        <v>215</v>
      </c>
      <c r="E19" s="232" t="s">
        <v>215</v>
      </c>
      <c r="F19" s="232" t="s">
        <v>215</v>
      </c>
      <c r="G19" s="232" t="s">
        <v>215</v>
      </c>
      <c r="H19" s="232" t="s">
        <v>215</v>
      </c>
      <c r="I19" s="232" t="s">
        <v>215</v>
      </c>
      <c r="J19" s="232" t="s">
        <v>215</v>
      </c>
      <c r="K19" s="232" t="s">
        <v>215</v>
      </c>
      <c r="L19" s="232" t="s">
        <v>215</v>
      </c>
      <c r="M19" s="223">
        <f t="shared" si="0"/>
        <v>1</v>
      </c>
    </row>
    <row r="20" spans="1:13" ht="11.25">
      <c r="A20" s="231" t="s">
        <v>454</v>
      </c>
      <c r="B20" s="232">
        <v>131</v>
      </c>
      <c r="C20" s="232" t="s">
        <v>215</v>
      </c>
      <c r="D20" s="232" t="s">
        <v>215</v>
      </c>
      <c r="E20" s="232" t="s">
        <v>215</v>
      </c>
      <c r="F20" s="232">
        <v>1</v>
      </c>
      <c r="G20" s="232" t="s">
        <v>215</v>
      </c>
      <c r="H20" s="232" t="s">
        <v>215</v>
      </c>
      <c r="I20" s="232" t="s">
        <v>215</v>
      </c>
      <c r="J20" s="232" t="s">
        <v>215</v>
      </c>
      <c r="K20" s="232" t="s">
        <v>215</v>
      </c>
      <c r="L20" s="232" t="s">
        <v>215</v>
      </c>
      <c r="M20" s="223">
        <f t="shared" si="0"/>
        <v>1</v>
      </c>
    </row>
    <row r="21" spans="1:13" ht="11.25">
      <c r="A21" s="231" t="s">
        <v>453</v>
      </c>
      <c r="B21" s="232">
        <v>95</v>
      </c>
      <c r="C21" s="232" t="s">
        <v>215</v>
      </c>
      <c r="D21" s="232" t="s">
        <v>215</v>
      </c>
      <c r="E21" s="232" t="s">
        <v>215</v>
      </c>
      <c r="F21" s="232"/>
      <c r="G21" s="232" t="s">
        <v>215</v>
      </c>
      <c r="H21" s="232">
        <v>1</v>
      </c>
      <c r="I21" s="232">
        <v>3</v>
      </c>
      <c r="J21" s="232">
        <v>4</v>
      </c>
      <c r="K21" s="232">
        <v>3</v>
      </c>
      <c r="L21" s="232">
        <v>6</v>
      </c>
      <c r="M21" s="223">
        <f t="shared" si="0"/>
        <v>17</v>
      </c>
    </row>
    <row r="22" spans="1:13" ht="11.25">
      <c r="A22" s="499" t="s">
        <v>413</v>
      </c>
      <c r="B22" s="499"/>
      <c r="C22" s="295">
        <v>1</v>
      </c>
      <c r="D22" s="295">
        <v>2</v>
      </c>
      <c r="E22" s="295">
        <v>0</v>
      </c>
      <c r="F22" s="295">
        <v>1</v>
      </c>
      <c r="G22" s="295">
        <v>0</v>
      </c>
      <c r="H22" s="295">
        <v>1</v>
      </c>
      <c r="I22" s="295">
        <f>SUM(I18:I21)</f>
        <v>3</v>
      </c>
      <c r="J22" s="295">
        <f>SUM(J18:J21)</f>
        <v>4</v>
      </c>
      <c r="K22" s="295">
        <f>SUM(K18:K21)</f>
        <v>3</v>
      </c>
      <c r="L22" s="295">
        <f>SUM(L18:L21)</f>
        <v>6</v>
      </c>
      <c r="M22" s="223">
        <f t="shared" si="0"/>
        <v>21</v>
      </c>
    </row>
    <row r="23" spans="1:13" ht="11.25">
      <c r="A23" s="495" t="s">
        <v>514</v>
      </c>
      <c r="B23" s="495"/>
      <c r="C23" s="296">
        <f>+C15+C17+C22</f>
        <v>80</v>
      </c>
      <c r="D23" s="296">
        <f>+D15+D17+D22</f>
        <v>44</v>
      </c>
      <c r="E23" s="296">
        <f>+E15+E17+E22</f>
        <v>135</v>
      </c>
      <c r="F23" s="296">
        <f>+F15+F17+F22</f>
        <v>170</v>
      </c>
      <c r="G23" s="296">
        <f>+G15+G17+G22</f>
        <v>187</v>
      </c>
      <c r="H23" s="296">
        <v>38</v>
      </c>
      <c r="I23" s="296">
        <f>+I22+I17+I15</f>
        <v>109</v>
      </c>
      <c r="J23" s="296">
        <f>+J22+J17+J15</f>
        <v>91</v>
      </c>
      <c r="K23" s="296">
        <f>+K22+K17+K15</f>
        <v>41</v>
      </c>
      <c r="L23" s="296">
        <f>+L22+L17+L15</f>
        <v>58</v>
      </c>
      <c r="M23" s="223">
        <f t="shared" si="0"/>
        <v>953</v>
      </c>
    </row>
    <row r="24" spans="1:13" ht="11.25">
      <c r="A24" s="221" t="s">
        <v>515</v>
      </c>
    </row>
    <row r="28" spans="1:13" ht="11.25">
      <c r="A28" s="225"/>
      <c r="B28" s="225"/>
      <c r="C28" s="225"/>
      <c r="D28" s="225"/>
      <c r="E28" s="225"/>
      <c r="F28" s="225"/>
      <c r="G28" s="225"/>
      <c r="H28" s="225"/>
      <c r="I28" s="225"/>
      <c r="J28" s="225"/>
      <c r="K28" s="225"/>
      <c r="L28" s="225"/>
    </row>
    <row r="29" spans="1:13" ht="12">
      <c r="C29" s="239"/>
      <c r="D29" s="239"/>
      <c r="E29" s="239" t="s">
        <v>516</v>
      </c>
      <c r="F29" s="239"/>
      <c r="G29" s="239"/>
      <c r="H29" s="239"/>
      <c r="I29" s="239"/>
      <c r="J29" s="239"/>
      <c r="K29" s="239"/>
      <c r="L29" s="239"/>
      <c r="M29" s="297"/>
    </row>
    <row r="30" spans="1:13" ht="11.25">
      <c r="A30" s="222"/>
      <c r="F30" s="224"/>
      <c r="G30" s="225"/>
      <c r="H30" s="225"/>
      <c r="I30" s="225"/>
      <c r="J30" s="225"/>
      <c r="K30" s="225"/>
      <c r="L30" s="225"/>
    </row>
    <row r="31" spans="1:13" ht="11.25">
      <c r="A31" s="222" t="s">
        <v>427</v>
      </c>
      <c r="B31" s="271">
        <f>+SUM(H23:L23)</f>
        <v>337</v>
      </c>
      <c r="F31" s="224"/>
      <c r="G31" s="225"/>
      <c r="H31" s="225"/>
      <c r="I31" s="225"/>
      <c r="J31" s="225"/>
      <c r="K31" s="225"/>
      <c r="L31" s="225"/>
    </row>
    <row r="32" spans="1:13" ht="11.25">
      <c r="A32" s="222">
        <v>2025</v>
      </c>
      <c r="B32" s="271">
        <v>67</v>
      </c>
      <c r="F32" s="224"/>
      <c r="G32" s="225"/>
      <c r="H32" s="225"/>
      <c r="I32" s="225"/>
      <c r="J32" s="225"/>
      <c r="K32" s="225"/>
      <c r="L32" s="225"/>
    </row>
    <row r="33" spans="1:12" ht="11.25">
      <c r="A33" s="222">
        <f>+A32+1</f>
        <v>2026</v>
      </c>
      <c r="B33" s="271">
        <v>224</v>
      </c>
      <c r="F33" s="224"/>
      <c r="G33" s="225"/>
      <c r="H33" s="225"/>
      <c r="I33" s="225"/>
      <c r="J33" s="225"/>
      <c r="K33" s="225"/>
      <c r="L33" s="225"/>
    </row>
    <row r="34" spans="1:12" ht="11.25">
      <c r="A34" s="222">
        <f t="shared" ref="A34:A36" si="1">+A33+1</f>
        <v>2027</v>
      </c>
      <c r="B34" s="271">
        <v>284</v>
      </c>
      <c r="F34" s="224"/>
      <c r="G34" s="225"/>
      <c r="H34" s="225"/>
      <c r="I34" s="225"/>
      <c r="J34" s="225"/>
      <c r="K34" s="225"/>
      <c r="L34" s="225"/>
    </row>
    <row r="35" spans="1:12" ht="11.25">
      <c r="A35" s="222">
        <f t="shared" si="1"/>
        <v>2028</v>
      </c>
      <c r="B35" s="271">
        <v>187</v>
      </c>
      <c r="F35" s="224"/>
      <c r="G35" s="225"/>
      <c r="H35" s="225"/>
      <c r="I35" s="225"/>
      <c r="J35" s="225"/>
      <c r="K35" s="225"/>
      <c r="L35" s="225"/>
    </row>
    <row r="36" spans="1:12" ht="11.25">
      <c r="A36" s="222">
        <f t="shared" si="1"/>
        <v>2029</v>
      </c>
      <c r="B36" s="269">
        <v>157</v>
      </c>
      <c r="F36" s="224"/>
      <c r="G36" s="225"/>
      <c r="H36" s="225"/>
      <c r="I36" s="225"/>
      <c r="J36" s="225"/>
      <c r="K36" s="225"/>
      <c r="L36" s="225"/>
    </row>
    <row r="37" spans="1:12" ht="11.25">
      <c r="A37" s="222" t="s">
        <v>428</v>
      </c>
      <c r="B37" s="271">
        <f>+SUM(B32:B36)</f>
        <v>919</v>
      </c>
      <c r="F37" s="224"/>
      <c r="G37" s="225"/>
      <c r="H37" s="225"/>
      <c r="I37" s="225"/>
      <c r="J37" s="225"/>
      <c r="K37" s="225"/>
      <c r="L37" s="225"/>
    </row>
    <row r="38" spans="1:12" ht="11.25">
      <c r="A38" s="222"/>
      <c r="F38" s="224"/>
      <c r="G38" s="225"/>
      <c r="H38" s="225"/>
      <c r="I38" s="225"/>
      <c r="J38" s="225"/>
      <c r="K38" s="225"/>
      <c r="L38" s="225"/>
    </row>
    <row r="39" spans="1:12" ht="11.25">
      <c r="A39" s="222"/>
      <c r="F39" s="224"/>
      <c r="G39" s="225"/>
      <c r="H39" s="225"/>
      <c r="I39" s="225"/>
      <c r="J39" s="225"/>
      <c r="K39" s="225"/>
      <c r="L39" s="225"/>
    </row>
    <row r="40" spans="1:12" ht="11.25">
      <c r="A40" s="222"/>
      <c r="F40" s="224"/>
      <c r="G40" s="225"/>
      <c r="H40" s="225"/>
      <c r="I40" s="225"/>
      <c r="J40" s="225"/>
      <c r="K40" s="225"/>
      <c r="L40" s="225"/>
    </row>
    <row r="41" spans="1:12" ht="11.25">
      <c r="A41" s="222"/>
      <c r="F41" s="224"/>
      <c r="G41" s="225"/>
      <c r="H41" s="225"/>
      <c r="I41" s="225"/>
      <c r="J41" s="225"/>
      <c r="K41" s="225"/>
      <c r="L41" s="225"/>
    </row>
    <row r="42" spans="1:12" ht="11.25">
      <c r="A42" s="222"/>
      <c r="F42" s="224"/>
      <c r="G42" s="225"/>
      <c r="H42" s="225"/>
      <c r="I42" s="225"/>
      <c r="J42" s="225"/>
      <c r="K42" s="225"/>
      <c r="L42" s="225"/>
    </row>
    <row r="43" spans="1:12" ht="11.25">
      <c r="A43" s="222"/>
      <c r="F43" s="224"/>
      <c r="G43" s="225"/>
      <c r="H43" s="225"/>
      <c r="I43" s="225"/>
      <c r="J43" s="225"/>
      <c r="K43" s="225"/>
      <c r="L43" s="225"/>
    </row>
    <row r="44" spans="1:12" ht="11.25">
      <c r="A44" s="222"/>
      <c r="F44" s="224"/>
      <c r="G44" s="225"/>
      <c r="H44" s="225"/>
      <c r="I44" s="225"/>
      <c r="J44" s="225"/>
      <c r="K44" s="225"/>
      <c r="L44" s="225"/>
    </row>
    <row r="45" spans="1:12" ht="11.25">
      <c r="A45" s="222"/>
      <c r="F45" s="224"/>
      <c r="G45" s="225"/>
      <c r="H45" s="225"/>
      <c r="I45" s="225"/>
      <c r="J45" s="225"/>
      <c r="K45" s="225"/>
      <c r="L45" s="225"/>
    </row>
    <row r="46" spans="1:12" ht="11.25">
      <c r="A46" s="222"/>
      <c r="F46" s="224"/>
      <c r="G46" s="225"/>
      <c r="H46" s="225"/>
      <c r="I46" s="225"/>
      <c r="J46" s="225"/>
      <c r="K46" s="225"/>
      <c r="L46" s="225"/>
    </row>
    <row r="47" spans="1:12" ht="11.25">
      <c r="A47" s="222"/>
      <c r="C47" s="494" t="s">
        <v>517</v>
      </c>
      <c r="D47" s="494"/>
      <c r="E47" s="494"/>
      <c r="F47" s="494"/>
      <c r="G47" s="494"/>
      <c r="H47" s="494"/>
      <c r="I47" s="225"/>
      <c r="J47" s="225"/>
      <c r="K47" s="225"/>
      <c r="L47" s="225"/>
    </row>
    <row r="48" spans="1:12" ht="11.25">
      <c r="A48" s="225"/>
      <c r="B48" s="225"/>
      <c r="C48" s="494"/>
      <c r="D48" s="494"/>
      <c r="E48" s="494"/>
      <c r="F48" s="494"/>
      <c r="G48" s="494"/>
      <c r="H48" s="494"/>
      <c r="I48" s="225"/>
      <c r="J48" s="225"/>
      <c r="K48" s="225"/>
      <c r="L48" s="225"/>
    </row>
    <row r="49" spans="1:12" ht="11.25">
      <c r="A49" s="224"/>
      <c r="B49" s="224"/>
      <c r="C49" s="494"/>
      <c r="D49" s="494"/>
      <c r="E49" s="494"/>
      <c r="F49" s="494"/>
      <c r="G49" s="494"/>
      <c r="H49" s="494"/>
      <c r="I49" s="225"/>
      <c r="J49" s="225"/>
      <c r="K49" s="225"/>
      <c r="L49" s="225"/>
    </row>
  </sheetData>
  <mergeCells count="7">
    <mergeCell ref="C47:H49"/>
    <mergeCell ref="A2:J2"/>
    <mergeCell ref="A4:L4"/>
    <mergeCell ref="A15:B15"/>
    <mergeCell ref="A17:B17"/>
    <mergeCell ref="A22:B22"/>
    <mergeCell ref="A23:B23"/>
  </mergeCells>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50"/>
  </sheetPr>
  <dimension ref="B1:T67"/>
  <sheetViews>
    <sheetView topLeftCell="A5" zoomScale="55" zoomScaleNormal="55" workbookViewId="0">
      <selection sqref="A1:XFD1048576"/>
    </sheetView>
  </sheetViews>
  <sheetFormatPr baseColWidth="10" defaultColWidth="11.42578125" defaultRowHeight="11.25"/>
  <cols>
    <col min="1" max="1" width="5" style="223" customWidth="1"/>
    <col min="2" max="2" width="7.42578125" style="222" customWidth="1"/>
    <col min="3" max="3" width="48.28515625" style="221" bestFit="1" customWidth="1"/>
    <col min="4" max="4" width="13.85546875" style="222" bestFit="1" customWidth="1"/>
    <col min="5" max="5" width="12.7109375" style="222" bestFit="1" customWidth="1"/>
    <col min="6" max="6" width="13.7109375" style="222" bestFit="1" customWidth="1"/>
    <col min="7" max="7" width="12.28515625" style="222" customWidth="1"/>
    <col min="8" max="8" width="11.28515625" style="222" customWidth="1"/>
    <col min="9" max="15" width="11.42578125" style="223"/>
    <col min="16" max="16" width="14.28515625" style="223" customWidth="1"/>
    <col min="17" max="16384" width="11.42578125" style="223"/>
  </cols>
  <sheetData>
    <row r="1" spans="2:20" ht="15">
      <c r="O1" s="281">
        <v>30</v>
      </c>
    </row>
    <row r="2" spans="2:20" ht="15">
      <c r="B2" s="517" t="s">
        <v>518</v>
      </c>
      <c r="C2" s="517"/>
      <c r="D2" s="517"/>
      <c r="E2" s="517"/>
      <c r="F2" s="517"/>
      <c r="G2" s="517"/>
      <c r="H2" s="517"/>
      <c r="T2"/>
    </row>
    <row r="3" spans="2:20" ht="12">
      <c r="B3" s="258"/>
      <c r="C3" s="258"/>
      <c r="D3" s="258"/>
      <c r="E3" s="258"/>
      <c r="F3" s="258"/>
      <c r="G3" s="258"/>
      <c r="H3" s="258"/>
    </row>
    <row r="4" spans="2:20" s="222" customFormat="1">
      <c r="B4" s="519" t="s">
        <v>519</v>
      </c>
      <c r="C4" s="520"/>
      <c r="D4" s="520"/>
      <c r="E4" s="520"/>
      <c r="F4" s="520"/>
      <c r="G4" s="520"/>
      <c r="H4" s="521"/>
    </row>
    <row r="5" spans="2:20" s="222" customFormat="1" ht="18">
      <c r="B5" s="298" t="s">
        <v>402</v>
      </c>
      <c r="C5" s="299" t="s">
        <v>459</v>
      </c>
      <c r="D5" s="300" t="s">
        <v>520</v>
      </c>
      <c r="E5" s="301" t="s">
        <v>521</v>
      </c>
      <c r="F5" s="301" t="s">
        <v>465</v>
      </c>
      <c r="G5" s="301" t="s">
        <v>522</v>
      </c>
      <c r="H5" s="301" t="s">
        <v>523</v>
      </c>
    </row>
    <row r="6" spans="2:20" ht="36">
      <c r="B6" s="302">
        <v>8</v>
      </c>
      <c r="C6" s="303" t="s">
        <v>524</v>
      </c>
      <c r="D6" s="304">
        <v>100</v>
      </c>
      <c r="E6" s="305" t="s">
        <v>525</v>
      </c>
      <c r="F6" s="306" t="s">
        <v>526</v>
      </c>
      <c r="G6" s="306" t="s">
        <v>527</v>
      </c>
      <c r="H6" s="305" t="s">
        <v>528</v>
      </c>
      <c r="I6" s="307" t="s">
        <v>529</v>
      </c>
    </row>
    <row r="7" spans="2:20" ht="36">
      <c r="B7" s="302" t="s">
        <v>435</v>
      </c>
      <c r="C7" s="303" t="s">
        <v>530</v>
      </c>
      <c r="D7" s="304">
        <v>100</v>
      </c>
      <c r="E7" s="305" t="s">
        <v>531</v>
      </c>
      <c r="F7" s="306" t="s">
        <v>532</v>
      </c>
      <c r="G7" s="306" t="s">
        <v>533</v>
      </c>
      <c r="H7" s="305" t="s">
        <v>534</v>
      </c>
      <c r="I7" s="307" t="s">
        <v>529</v>
      </c>
    </row>
    <row r="8" spans="2:20" ht="36">
      <c r="B8" s="302">
        <v>39</v>
      </c>
      <c r="C8" s="303" t="s">
        <v>535</v>
      </c>
      <c r="D8" s="304" t="s">
        <v>536</v>
      </c>
      <c r="E8" s="305" t="s">
        <v>531</v>
      </c>
      <c r="F8" s="306" t="s">
        <v>537</v>
      </c>
      <c r="G8" s="306" t="s">
        <v>538</v>
      </c>
      <c r="H8" s="305" t="s">
        <v>539</v>
      </c>
      <c r="I8" s="307" t="s">
        <v>529</v>
      </c>
    </row>
    <row r="9" spans="2:20" ht="63">
      <c r="B9" s="302">
        <v>56</v>
      </c>
      <c r="C9" s="303" t="s">
        <v>540</v>
      </c>
      <c r="D9" s="304" t="s">
        <v>541</v>
      </c>
      <c r="E9" s="305" t="s">
        <v>531</v>
      </c>
      <c r="F9" s="306" t="s">
        <v>542</v>
      </c>
      <c r="G9" s="306" t="s">
        <v>543</v>
      </c>
      <c r="H9" s="305" t="s">
        <v>544</v>
      </c>
      <c r="I9" s="307" t="s">
        <v>529</v>
      </c>
    </row>
    <row r="10" spans="2:20" ht="36">
      <c r="B10" s="302">
        <v>57</v>
      </c>
      <c r="C10" s="303" t="s">
        <v>545</v>
      </c>
      <c r="D10" s="304" t="s">
        <v>546</v>
      </c>
      <c r="E10" s="305" t="s">
        <v>531</v>
      </c>
      <c r="F10" s="306" t="s">
        <v>547</v>
      </c>
      <c r="G10" s="306" t="s">
        <v>548</v>
      </c>
      <c r="H10" s="305" t="s">
        <v>549</v>
      </c>
      <c r="I10" s="307" t="s">
        <v>529</v>
      </c>
    </row>
    <row r="11" spans="2:20" ht="36">
      <c r="B11" s="302">
        <v>58</v>
      </c>
      <c r="C11" s="303" t="s">
        <v>550</v>
      </c>
      <c r="D11" s="304">
        <v>100</v>
      </c>
      <c r="E11" s="305" t="s">
        <v>531</v>
      </c>
      <c r="F11" s="306" t="s">
        <v>551</v>
      </c>
      <c r="G11" s="306" t="s">
        <v>552</v>
      </c>
      <c r="H11" s="305" t="s">
        <v>553</v>
      </c>
      <c r="I11" s="307" t="s">
        <v>529</v>
      </c>
    </row>
    <row r="12" spans="2:20" ht="36">
      <c r="B12" s="302">
        <v>64</v>
      </c>
      <c r="C12" s="303" t="s">
        <v>554</v>
      </c>
      <c r="D12" s="304">
        <v>100</v>
      </c>
      <c r="E12" s="305" t="s">
        <v>531</v>
      </c>
      <c r="F12" s="306" t="s">
        <v>555</v>
      </c>
      <c r="G12" s="306" t="s">
        <v>556</v>
      </c>
      <c r="H12" s="305" t="s">
        <v>557</v>
      </c>
      <c r="I12" s="307" t="s">
        <v>529</v>
      </c>
    </row>
    <row r="13" spans="2:20" ht="36">
      <c r="B13" s="302">
        <v>67</v>
      </c>
      <c r="C13" s="303" t="s">
        <v>558</v>
      </c>
      <c r="D13" s="304" t="s">
        <v>559</v>
      </c>
      <c r="E13" s="305" t="s">
        <v>531</v>
      </c>
      <c r="F13" s="306" t="s">
        <v>560</v>
      </c>
      <c r="G13" s="306" t="s">
        <v>561</v>
      </c>
      <c r="H13" s="305" t="s">
        <v>562</v>
      </c>
      <c r="I13" s="307" t="s">
        <v>529</v>
      </c>
    </row>
    <row r="14" spans="2:20" ht="63">
      <c r="B14" s="302">
        <v>88</v>
      </c>
      <c r="C14" s="303" t="s">
        <v>563</v>
      </c>
      <c r="D14" s="304" t="s">
        <v>541</v>
      </c>
      <c r="E14" s="305" t="s">
        <v>531</v>
      </c>
      <c r="F14" s="306" t="s">
        <v>564</v>
      </c>
      <c r="G14" s="306" t="s">
        <v>565</v>
      </c>
      <c r="H14" s="305" t="s">
        <v>566</v>
      </c>
      <c r="I14" s="307" t="s">
        <v>529</v>
      </c>
    </row>
    <row r="15" spans="2:20" ht="36">
      <c r="B15" s="302">
        <v>95</v>
      </c>
      <c r="C15" s="303" t="s">
        <v>567</v>
      </c>
      <c r="D15" s="304">
        <v>100</v>
      </c>
      <c r="E15" s="305" t="s">
        <v>531</v>
      </c>
      <c r="F15" s="306" t="s">
        <v>568</v>
      </c>
      <c r="G15" s="306" t="s">
        <v>569</v>
      </c>
      <c r="H15" s="305" t="s">
        <v>570</v>
      </c>
      <c r="I15" s="307" t="s">
        <v>529</v>
      </c>
    </row>
    <row r="16" spans="2:20" ht="36">
      <c r="B16" s="302">
        <v>131</v>
      </c>
      <c r="C16" s="303" t="s">
        <v>571</v>
      </c>
      <c r="D16" s="304">
        <v>100</v>
      </c>
      <c r="E16" s="305" t="s">
        <v>531</v>
      </c>
      <c r="F16" s="306" t="s">
        <v>572</v>
      </c>
      <c r="G16" s="306" t="s">
        <v>573</v>
      </c>
      <c r="H16" s="305" t="s">
        <v>574</v>
      </c>
      <c r="I16" s="307" t="s">
        <v>529</v>
      </c>
    </row>
    <row r="17" spans="2:9" ht="36">
      <c r="B17" s="302">
        <v>192</v>
      </c>
      <c r="C17" s="303" t="s">
        <v>575</v>
      </c>
      <c r="D17" s="304" t="s">
        <v>576</v>
      </c>
      <c r="E17" s="305" t="s">
        <v>531</v>
      </c>
      <c r="F17" s="306" t="s">
        <v>577</v>
      </c>
      <c r="G17" s="306" t="s">
        <v>578</v>
      </c>
      <c r="H17" s="305" t="s">
        <v>579</v>
      </c>
      <c r="I17" s="307" t="s">
        <v>529</v>
      </c>
    </row>
    <row r="18" spans="2:9" ht="36">
      <c r="B18" s="302" t="s">
        <v>505</v>
      </c>
      <c r="C18" s="303" t="s">
        <v>580</v>
      </c>
      <c r="D18" s="304">
        <v>100</v>
      </c>
      <c r="E18" s="305" t="s">
        <v>531</v>
      </c>
      <c r="F18" s="306" t="s">
        <v>581</v>
      </c>
      <c r="G18" s="306" t="s">
        <v>582</v>
      </c>
      <c r="H18" s="305" t="s">
        <v>583</v>
      </c>
      <c r="I18" s="307" t="s">
        <v>475</v>
      </c>
    </row>
    <row r="19" spans="2:9" ht="36">
      <c r="B19" s="302" t="s">
        <v>507</v>
      </c>
      <c r="C19" s="303" t="s">
        <v>584</v>
      </c>
      <c r="D19" s="304">
        <v>100</v>
      </c>
      <c r="E19" s="305" t="s">
        <v>531</v>
      </c>
      <c r="F19" s="306" t="s">
        <v>585</v>
      </c>
      <c r="G19" s="306" t="s">
        <v>586</v>
      </c>
      <c r="H19" s="305" t="s">
        <v>587</v>
      </c>
      <c r="I19" s="307" t="s">
        <v>475</v>
      </c>
    </row>
    <row r="20" spans="2:9" ht="36">
      <c r="B20" s="302" t="s">
        <v>444</v>
      </c>
      <c r="C20" s="303" t="s">
        <v>588</v>
      </c>
      <c r="D20" s="304">
        <v>100</v>
      </c>
      <c r="E20" s="305" t="s">
        <v>531</v>
      </c>
      <c r="F20" s="306" t="s">
        <v>589</v>
      </c>
      <c r="G20" s="306" t="s">
        <v>590</v>
      </c>
      <c r="H20" s="305" t="s">
        <v>591</v>
      </c>
      <c r="I20" s="307" t="s">
        <v>475</v>
      </c>
    </row>
    <row r="21" spans="2:9" ht="36">
      <c r="B21" s="302" t="s">
        <v>443</v>
      </c>
      <c r="C21" s="303" t="s">
        <v>588</v>
      </c>
      <c r="D21" s="304">
        <v>100</v>
      </c>
      <c r="E21" s="305" t="s">
        <v>531</v>
      </c>
      <c r="F21" s="306" t="s">
        <v>592</v>
      </c>
      <c r="G21" s="306" t="s">
        <v>590</v>
      </c>
      <c r="H21" s="305" t="s">
        <v>591</v>
      </c>
      <c r="I21" s="307" t="s">
        <v>475</v>
      </c>
    </row>
    <row r="22" spans="2:9" ht="36">
      <c r="B22" s="302" t="s">
        <v>509</v>
      </c>
      <c r="C22" s="303" t="s">
        <v>593</v>
      </c>
      <c r="D22" s="304">
        <v>100</v>
      </c>
      <c r="E22" s="305" t="s">
        <v>531</v>
      </c>
      <c r="F22" s="306" t="s">
        <v>594</v>
      </c>
      <c r="G22" s="306" t="s">
        <v>595</v>
      </c>
      <c r="H22" s="305" t="s">
        <v>596</v>
      </c>
      <c r="I22" s="307" t="s">
        <v>475</v>
      </c>
    </row>
    <row r="23" spans="2:9" ht="36">
      <c r="B23" s="302" t="s">
        <v>597</v>
      </c>
      <c r="C23" s="303" t="s">
        <v>554</v>
      </c>
      <c r="D23" s="304">
        <v>100</v>
      </c>
      <c r="E23" s="305" t="s">
        <v>531</v>
      </c>
      <c r="F23" s="306" t="s">
        <v>598</v>
      </c>
      <c r="G23" s="306" t="s">
        <v>582</v>
      </c>
      <c r="H23" s="305" t="s">
        <v>599</v>
      </c>
      <c r="I23" s="307" t="s">
        <v>475</v>
      </c>
    </row>
    <row r="24" spans="2:9" ht="36">
      <c r="B24" s="302" t="s">
        <v>600</v>
      </c>
      <c r="C24" s="303" t="s">
        <v>601</v>
      </c>
      <c r="D24" s="304">
        <v>100</v>
      </c>
      <c r="E24" s="305" t="s">
        <v>531</v>
      </c>
      <c r="F24" s="306" t="s">
        <v>602</v>
      </c>
      <c r="G24" s="306" t="s">
        <v>582</v>
      </c>
      <c r="H24" s="305" t="s">
        <v>603</v>
      </c>
      <c r="I24" s="307" t="s">
        <v>475</v>
      </c>
    </row>
    <row r="25" spans="2:9" ht="36">
      <c r="B25" s="302" t="s">
        <v>604</v>
      </c>
      <c r="C25" s="303" t="s">
        <v>605</v>
      </c>
      <c r="D25" s="304">
        <v>100</v>
      </c>
      <c r="E25" s="305" t="s">
        <v>606</v>
      </c>
      <c r="F25" s="306" t="s">
        <v>607</v>
      </c>
      <c r="G25" s="306" t="s">
        <v>608</v>
      </c>
      <c r="H25" s="305" t="s">
        <v>609</v>
      </c>
      <c r="I25" s="307" t="s">
        <v>475</v>
      </c>
    </row>
    <row r="26" spans="2:9" ht="36">
      <c r="B26" s="302" t="s">
        <v>445</v>
      </c>
      <c r="C26" s="303" t="s">
        <v>610</v>
      </c>
      <c r="D26" s="304" t="s">
        <v>611</v>
      </c>
      <c r="E26" s="305" t="s">
        <v>531</v>
      </c>
      <c r="F26" s="306" t="s">
        <v>612</v>
      </c>
      <c r="G26" s="306" t="s">
        <v>613</v>
      </c>
      <c r="H26" s="305" t="s">
        <v>614</v>
      </c>
      <c r="I26" s="307" t="s">
        <v>475</v>
      </c>
    </row>
    <row r="27" spans="2:9" ht="36">
      <c r="B27" s="302" t="s">
        <v>406</v>
      </c>
      <c r="C27" s="303" t="s">
        <v>601</v>
      </c>
      <c r="D27" s="304">
        <v>100</v>
      </c>
      <c r="E27" s="305" t="s">
        <v>531</v>
      </c>
      <c r="F27" s="306" t="s">
        <v>615</v>
      </c>
      <c r="G27" s="306" t="s">
        <v>616</v>
      </c>
      <c r="H27" s="305" t="s">
        <v>617</v>
      </c>
      <c r="I27" s="307" t="s">
        <v>475</v>
      </c>
    </row>
    <row r="28" spans="2:9" ht="27">
      <c r="B28" s="302" t="s">
        <v>512</v>
      </c>
      <c r="C28" s="303" t="s">
        <v>584</v>
      </c>
      <c r="D28" s="304">
        <v>100</v>
      </c>
      <c r="E28" s="305" t="s">
        <v>531</v>
      </c>
      <c r="F28" s="306" t="s">
        <v>618</v>
      </c>
      <c r="G28" s="306" t="s">
        <v>619</v>
      </c>
      <c r="H28" s="305" t="s">
        <v>620</v>
      </c>
      <c r="I28" s="307" t="s">
        <v>475</v>
      </c>
    </row>
    <row r="29" spans="2:9" ht="27">
      <c r="B29" s="302" t="s">
        <v>621</v>
      </c>
      <c r="C29" s="303" t="s">
        <v>584</v>
      </c>
      <c r="D29" s="304">
        <v>100</v>
      </c>
      <c r="E29" s="305" t="s">
        <v>531</v>
      </c>
      <c r="F29" s="306" t="s">
        <v>622</v>
      </c>
      <c r="G29" s="306" t="s">
        <v>623</v>
      </c>
      <c r="H29" s="305" t="s">
        <v>624</v>
      </c>
      <c r="I29" s="307" t="s">
        <v>475</v>
      </c>
    </row>
    <row r="30" spans="2:9" ht="27">
      <c r="B30" s="302" t="s">
        <v>448</v>
      </c>
      <c r="C30" s="303" t="s">
        <v>447</v>
      </c>
      <c r="D30" s="304">
        <v>100</v>
      </c>
      <c r="E30" s="305" t="s">
        <v>531</v>
      </c>
      <c r="F30" s="306" t="s">
        <v>625</v>
      </c>
      <c r="G30" s="306" t="s">
        <v>626</v>
      </c>
      <c r="H30" s="305" t="s">
        <v>627</v>
      </c>
      <c r="I30" s="307" t="s">
        <v>479</v>
      </c>
    </row>
    <row r="31" spans="2:9" ht="27">
      <c r="B31" s="302" t="s">
        <v>628</v>
      </c>
      <c r="C31" s="303" t="s">
        <v>629</v>
      </c>
      <c r="D31" s="304">
        <v>100</v>
      </c>
      <c r="E31" s="305" t="s">
        <v>531</v>
      </c>
      <c r="F31" s="306" t="s">
        <v>630</v>
      </c>
      <c r="G31" s="306" t="s">
        <v>631</v>
      </c>
      <c r="H31" s="305" t="s">
        <v>632</v>
      </c>
      <c r="I31" s="307" t="s">
        <v>479</v>
      </c>
    </row>
    <row r="32" spans="2:9" ht="36">
      <c r="B32" s="302" t="s">
        <v>633</v>
      </c>
      <c r="C32" s="303" t="s">
        <v>634</v>
      </c>
      <c r="D32" s="304">
        <v>100</v>
      </c>
      <c r="E32" s="305" t="s">
        <v>531</v>
      </c>
      <c r="F32" s="306" t="s">
        <v>635</v>
      </c>
      <c r="G32" s="306" t="s">
        <v>636</v>
      </c>
      <c r="H32" s="305" t="s">
        <v>637</v>
      </c>
      <c r="I32" s="307" t="s">
        <v>479</v>
      </c>
    </row>
    <row r="33" spans="2:9">
      <c r="B33" s="221" t="s">
        <v>638</v>
      </c>
      <c r="H33" s="222" t="s">
        <v>639</v>
      </c>
      <c r="I33" s="223">
        <f>+COUNTIF($I$6:$I$32,"Noroeste")</f>
        <v>12</v>
      </c>
    </row>
    <row r="34" spans="2:9">
      <c r="B34" s="221" t="s">
        <v>640</v>
      </c>
      <c r="H34" s="222" t="s">
        <v>641</v>
      </c>
      <c r="I34" s="223">
        <f>+COUNTIF($I$6:$I$32,"Zócalo")</f>
        <v>3</v>
      </c>
    </row>
    <row r="35" spans="2:9">
      <c r="B35" s="221" t="s">
        <v>515</v>
      </c>
      <c r="H35" s="222" t="s">
        <v>642</v>
      </c>
      <c r="I35" s="223">
        <f>+COUNTIF($I$6:$I$32,"Selva")</f>
        <v>12</v>
      </c>
    </row>
    <row r="36" spans="2:9">
      <c r="I36" s="223">
        <f>SUM(I33:I35)</f>
        <v>27</v>
      </c>
    </row>
    <row r="39" spans="2:9">
      <c r="C39" s="222"/>
      <c r="I39" s="222"/>
    </row>
    <row r="40" spans="2:9">
      <c r="C40" s="222"/>
      <c r="D40" s="222" t="s">
        <v>643</v>
      </c>
      <c r="E40" s="222">
        <f>+I33</f>
        <v>12</v>
      </c>
      <c r="F40" s="308">
        <f>+E40/$E$43</f>
        <v>0.44444444444444442</v>
      </c>
      <c r="H40" s="223"/>
    </row>
    <row r="41" spans="2:9">
      <c r="C41" s="222"/>
      <c r="D41" s="222" t="s">
        <v>479</v>
      </c>
      <c r="E41" s="222">
        <f>+I34</f>
        <v>3</v>
      </c>
      <c r="F41" s="308">
        <f>+E41/$E$43</f>
        <v>0.1111111111111111</v>
      </c>
      <c r="I41" s="222"/>
    </row>
    <row r="42" spans="2:9">
      <c r="C42" s="222"/>
      <c r="D42" s="222" t="s">
        <v>529</v>
      </c>
      <c r="E42" s="222">
        <f>+I35</f>
        <v>12</v>
      </c>
      <c r="F42" s="308">
        <f>+E42/$E$43</f>
        <v>0.44444444444444442</v>
      </c>
      <c r="I42" s="222"/>
    </row>
    <row r="43" spans="2:9">
      <c r="B43" s="223"/>
      <c r="C43" s="223"/>
      <c r="E43" s="222">
        <f>SUM(E40:E42)</f>
        <v>27</v>
      </c>
    </row>
    <row r="44" spans="2:9" ht="12">
      <c r="B44" s="223"/>
      <c r="C44" s="492" t="s">
        <v>644</v>
      </c>
      <c r="D44" s="492"/>
      <c r="E44" s="492"/>
      <c r="F44" s="492"/>
      <c r="G44" s="492"/>
      <c r="H44" s="492"/>
      <c r="I44" s="309"/>
    </row>
    <row r="45" spans="2:9">
      <c r="B45" s="223"/>
      <c r="C45" s="223"/>
    </row>
    <row r="46" spans="2:9">
      <c r="B46" s="223"/>
      <c r="C46" s="223"/>
    </row>
    <row r="47" spans="2:9">
      <c r="B47" s="223"/>
      <c r="C47" s="223"/>
    </row>
    <row r="48" spans="2:9">
      <c r="B48" s="223"/>
      <c r="C48" s="223"/>
    </row>
    <row r="49" spans="2:9">
      <c r="B49" s="223"/>
      <c r="C49" s="223"/>
    </row>
    <row r="50" spans="2:9">
      <c r="B50" s="223"/>
      <c r="C50" s="223"/>
    </row>
    <row r="51" spans="2:9">
      <c r="B51" s="223"/>
      <c r="C51" s="223"/>
    </row>
    <row r="52" spans="2:9">
      <c r="B52" s="223"/>
      <c r="C52" s="223"/>
    </row>
    <row r="53" spans="2:9">
      <c r="B53" s="223"/>
      <c r="C53" s="223"/>
    </row>
    <row r="54" spans="2:9">
      <c r="B54" s="223"/>
      <c r="C54" s="223"/>
    </row>
    <row r="55" spans="2:9">
      <c r="B55" s="223"/>
      <c r="C55" s="223"/>
    </row>
    <row r="56" spans="2:9">
      <c r="B56" s="223"/>
      <c r="C56" s="223"/>
    </row>
    <row r="57" spans="2:9">
      <c r="B57" s="223"/>
      <c r="C57" s="223"/>
    </row>
    <row r="58" spans="2:9">
      <c r="B58" s="223"/>
      <c r="C58" s="223"/>
    </row>
    <row r="59" spans="2:9">
      <c r="B59" s="223"/>
      <c r="C59" s="223"/>
    </row>
    <row r="60" spans="2:9">
      <c r="B60" s="223"/>
      <c r="C60" s="223"/>
    </row>
    <row r="61" spans="2:9">
      <c r="B61" s="223"/>
      <c r="C61" s="223"/>
    </row>
    <row r="62" spans="2:9">
      <c r="B62" s="223"/>
      <c r="C62" s="223"/>
    </row>
    <row r="63" spans="2:9">
      <c r="B63" s="223"/>
      <c r="C63" s="221" t="s">
        <v>515</v>
      </c>
      <c r="H63" s="310"/>
      <c r="I63" s="225"/>
    </row>
    <row r="64" spans="2:9">
      <c r="B64" s="223"/>
      <c r="C64" s="494" t="s">
        <v>645</v>
      </c>
      <c r="D64" s="494"/>
      <c r="E64" s="494"/>
      <c r="F64" s="494"/>
      <c r="G64" s="494"/>
      <c r="H64" s="494"/>
      <c r="I64" s="494"/>
    </row>
    <row r="65" spans="2:9">
      <c r="B65" s="223"/>
      <c r="C65" s="494"/>
      <c r="D65" s="494"/>
      <c r="E65" s="494"/>
      <c r="F65" s="494"/>
      <c r="G65" s="494"/>
      <c r="H65" s="494"/>
      <c r="I65" s="494"/>
    </row>
    <row r="66" spans="2:9">
      <c r="B66" s="223"/>
      <c r="C66" s="494"/>
      <c r="D66" s="494"/>
      <c r="E66" s="494"/>
      <c r="F66" s="494"/>
      <c r="G66" s="494"/>
      <c r="H66" s="494"/>
      <c r="I66" s="494"/>
    </row>
    <row r="67" spans="2:9">
      <c r="B67" s="223"/>
      <c r="C67" s="223"/>
    </row>
  </sheetData>
  <mergeCells count="4">
    <mergeCell ref="B2:H2"/>
    <mergeCell ref="B4:H4"/>
    <mergeCell ref="C44:H44"/>
    <mergeCell ref="C64:I66"/>
  </mergeCells>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50"/>
  </sheetPr>
  <dimension ref="A1:AF52"/>
  <sheetViews>
    <sheetView workbookViewId="0">
      <selection sqref="A1:XFD1048576"/>
    </sheetView>
  </sheetViews>
  <sheetFormatPr baseColWidth="10" defaultColWidth="9.5703125" defaultRowHeight="11.25"/>
  <cols>
    <col min="1" max="1" width="18.5703125" style="311" customWidth="1"/>
    <col min="2" max="2" width="6.7109375" style="311" customWidth="1"/>
    <col min="3" max="5" width="9.5703125" style="311" bestFit="1"/>
    <col min="6" max="6" width="9.28515625" style="311" bestFit="1" customWidth="1"/>
    <col min="7" max="10" width="9.5703125" style="311" bestFit="1"/>
    <col min="11" max="11" width="10.42578125" style="311" bestFit="1" customWidth="1"/>
    <col min="12" max="12" width="9.5703125" style="311" bestFit="1"/>
    <col min="13" max="13" width="9.7109375" style="311" bestFit="1" customWidth="1"/>
    <col min="14" max="14" width="9.5703125" style="311" bestFit="1"/>
    <col min="15" max="15" width="10.5703125" style="311" bestFit="1" customWidth="1"/>
    <col min="16" max="16384" width="9.5703125" style="311"/>
  </cols>
  <sheetData>
    <row r="1" spans="1:27">
      <c r="U1" s="312" t="s">
        <v>646</v>
      </c>
      <c r="V1" s="313"/>
      <c r="W1" s="313"/>
      <c r="X1" s="313"/>
      <c r="Y1" s="313"/>
      <c r="Z1" s="314"/>
      <c r="AA1" s="314"/>
    </row>
    <row r="2" spans="1:27" ht="12">
      <c r="A2" s="517" t="s">
        <v>647</v>
      </c>
      <c r="B2" s="517"/>
      <c r="C2" s="517"/>
      <c r="D2" s="517"/>
      <c r="E2" s="517"/>
      <c r="F2" s="517"/>
      <c r="G2" s="517"/>
      <c r="H2" s="517"/>
      <c r="I2" s="517"/>
      <c r="J2" s="517"/>
      <c r="K2" s="517"/>
      <c r="L2" s="517"/>
      <c r="M2" s="517"/>
      <c r="N2" s="517"/>
      <c r="O2" s="517"/>
    </row>
    <row r="4" spans="1:27">
      <c r="A4" s="524" t="s">
        <v>648</v>
      </c>
      <c r="B4" s="524"/>
      <c r="C4" s="524"/>
      <c r="D4" s="524"/>
      <c r="E4" s="524"/>
      <c r="F4" s="524"/>
      <c r="G4" s="524"/>
      <c r="H4" s="524"/>
      <c r="I4" s="524"/>
      <c r="J4" s="524"/>
      <c r="K4" s="524"/>
      <c r="L4" s="524"/>
      <c r="M4" s="524"/>
      <c r="N4" s="524"/>
      <c r="O4" s="524"/>
    </row>
    <row r="5" spans="1:27">
      <c r="A5" s="524">
        <v>2024</v>
      </c>
      <c r="B5" s="524"/>
      <c r="C5" s="524"/>
      <c r="D5" s="524"/>
      <c r="E5" s="524"/>
      <c r="F5" s="524"/>
      <c r="G5" s="524"/>
      <c r="H5" s="524"/>
      <c r="I5" s="524"/>
      <c r="J5" s="524"/>
      <c r="K5" s="524"/>
      <c r="L5" s="524"/>
      <c r="M5" s="524"/>
      <c r="N5" s="524"/>
      <c r="O5" s="524"/>
    </row>
    <row r="6" spans="1:27">
      <c r="A6" s="315" t="s">
        <v>401</v>
      </c>
      <c r="B6" s="315" t="s">
        <v>402</v>
      </c>
      <c r="C6" s="315" t="s">
        <v>649</v>
      </c>
      <c r="D6" s="315" t="s">
        <v>650</v>
      </c>
      <c r="E6" s="315" t="s">
        <v>651</v>
      </c>
      <c r="F6" s="315" t="s">
        <v>652</v>
      </c>
      <c r="G6" s="315" t="s">
        <v>653</v>
      </c>
      <c r="H6" s="315" t="s">
        <v>654</v>
      </c>
      <c r="I6" s="315" t="s">
        <v>655</v>
      </c>
      <c r="J6" s="315" t="s">
        <v>656</v>
      </c>
      <c r="K6" s="315" t="s">
        <v>657</v>
      </c>
      <c r="L6" s="315" t="s">
        <v>658</v>
      </c>
      <c r="M6" s="315" t="s">
        <v>659</v>
      </c>
      <c r="N6" s="315" t="s">
        <v>660</v>
      </c>
      <c r="O6" s="315" t="s">
        <v>18</v>
      </c>
    </row>
    <row r="7" spans="1:27" ht="12">
      <c r="A7" s="525" t="s">
        <v>661</v>
      </c>
      <c r="B7" s="525"/>
      <c r="C7" s="525"/>
      <c r="D7" s="525"/>
      <c r="E7" s="525"/>
      <c r="F7" s="525"/>
      <c r="G7" s="525"/>
      <c r="H7" s="525"/>
      <c r="I7" s="525"/>
      <c r="J7" s="525"/>
      <c r="K7" s="525"/>
      <c r="L7" s="525"/>
      <c r="M7" s="525"/>
      <c r="N7" s="525"/>
      <c r="O7" s="525"/>
      <c r="Q7" s="510" t="s">
        <v>662</v>
      </c>
      <c r="R7" s="510"/>
      <c r="S7" s="510"/>
      <c r="T7" s="510"/>
      <c r="U7" s="510"/>
      <c r="V7" s="510"/>
      <c r="W7" s="510"/>
      <c r="X7" s="510"/>
      <c r="Y7" s="510"/>
      <c r="Z7" s="510"/>
    </row>
    <row r="8" spans="1:27" ht="12">
      <c r="A8" s="316" t="s">
        <v>504</v>
      </c>
      <c r="B8" s="317" t="s">
        <v>663</v>
      </c>
      <c r="C8" s="318">
        <v>14309</v>
      </c>
      <c r="D8" s="319">
        <v>13655</v>
      </c>
      <c r="E8" s="319">
        <v>14153</v>
      </c>
      <c r="F8" s="319">
        <v>13153</v>
      </c>
      <c r="G8" s="319">
        <v>14011</v>
      </c>
      <c r="H8" s="319">
        <v>13944</v>
      </c>
      <c r="I8" s="319">
        <v>14395</v>
      </c>
      <c r="J8" s="319">
        <v>14803</v>
      </c>
      <c r="K8" s="319">
        <v>14772</v>
      </c>
      <c r="L8" s="319">
        <v>15738</v>
      </c>
      <c r="M8" s="319">
        <v>13983</v>
      </c>
      <c r="N8" s="319">
        <v>14646</v>
      </c>
      <c r="O8" s="320">
        <f t="shared" ref="O8:O21" si="0">SUM(C8:N8)</f>
        <v>171562</v>
      </c>
      <c r="Q8" s="285"/>
      <c r="R8" s="285"/>
      <c r="S8" s="285"/>
      <c r="T8" s="285"/>
      <c r="U8" s="285"/>
      <c r="V8" s="285"/>
      <c r="W8" s="285"/>
      <c r="X8" s="285"/>
    </row>
    <row r="9" spans="1:27">
      <c r="A9" s="316" t="s">
        <v>664</v>
      </c>
      <c r="B9" s="317" t="s">
        <v>507</v>
      </c>
      <c r="C9" s="318">
        <v>15725</v>
      </c>
      <c r="D9" s="319">
        <v>12881</v>
      </c>
      <c r="E9" s="319">
        <v>12881</v>
      </c>
      <c r="F9" s="319">
        <v>12421</v>
      </c>
      <c r="G9" s="319">
        <v>11894</v>
      </c>
      <c r="H9" s="319">
        <v>11424</v>
      </c>
      <c r="I9" s="319">
        <v>11653</v>
      </c>
      <c r="J9" s="319">
        <v>11260</v>
      </c>
      <c r="K9" s="319">
        <v>10823</v>
      </c>
      <c r="L9" s="319">
        <v>10896</v>
      </c>
      <c r="M9" s="319">
        <v>10269</v>
      </c>
      <c r="N9" s="319">
        <v>10492</v>
      </c>
      <c r="O9" s="320">
        <f t="shared" si="0"/>
        <v>142619</v>
      </c>
    </row>
    <row r="10" spans="1:27">
      <c r="A10" s="316" t="s">
        <v>213</v>
      </c>
      <c r="B10" s="317" t="s">
        <v>444</v>
      </c>
      <c r="C10" s="318">
        <v>48984</v>
      </c>
      <c r="D10" s="319">
        <v>53481</v>
      </c>
      <c r="E10" s="319">
        <v>57470</v>
      </c>
      <c r="F10" s="319">
        <v>49986</v>
      </c>
      <c r="G10" s="319">
        <v>45929</v>
      </c>
      <c r="H10" s="319">
        <v>41039</v>
      </c>
      <c r="I10" s="319">
        <v>42867</v>
      </c>
      <c r="J10" s="319">
        <v>45050</v>
      </c>
      <c r="K10" s="319">
        <v>49242</v>
      </c>
      <c r="L10" s="319">
        <v>55268</v>
      </c>
      <c r="M10" s="319">
        <v>55735</v>
      </c>
      <c r="N10" s="319">
        <v>67457</v>
      </c>
      <c r="O10" s="320">
        <f t="shared" si="0"/>
        <v>612508</v>
      </c>
    </row>
    <row r="11" spans="1:27">
      <c r="A11" s="316" t="s">
        <v>213</v>
      </c>
      <c r="B11" s="317" t="s">
        <v>443</v>
      </c>
      <c r="C11" s="318">
        <v>67634</v>
      </c>
      <c r="D11" s="319">
        <v>56981</v>
      </c>
      <c r="E11" s="319">
        <v>62899</v>
      </c>
      <c r="F11" s="319">
        <v>64246</v>
      </c>
      <c r="G11" s="319">
        <v>78057</v>
      </c>
      <c r="H11" s="319">
        <v>80105</v>
      </c>
      <c r="I11" s="319">
        <v>85690</v>
      </c>
      <c r="J11" s="319">
        <v>88002</v>
      </c>
      <c r="K11" s="319">
        <v>85828</v>
      </c>
      <c r="L11" s="319">
        <v>83253</v>
      </c>
      <c r="M11" s="319">
        <v>86836</v>
      </c>
      <c r="N11" s="319">
        <v>89908</v>
      </c>
      <c r="O11" s="320">
        <f t="shared" si="0"/>
        <v>929439</v>
      </c>
    </row>
    <row r="12" spans="1:27">
      <c r="A12" s="316" t="s">
        <v>665</v>
      </c>
      <c r="B12" s="317" t="s">
        <v>666</v>
      </c>
      <c r="C12" s="319">
        <v>2173</v>
      </c>
      <c r="D12" s="319">
        <v>1892</v>
      </c>
      <c r="E12" s="319">
        <v>2233</v>
      </c>
      <c r="F12" s="319">
        <v>1487</v>
      </c>
      <c r="G12" s="319">
        <v>0</v>
      </c>
      <c r="H12" s="319">
        <v>2466</v>
      </c>
      <c r="I12" s="319">
        <v>4573</v>
      </c>
      <c r="J12" s="319">
        <v>2557</v>
      </c>
      <c r="K12" s="319">
        <v>3452</v>
      </c>
      <c r="L12" s="319">
        <v>3597</v>
      </c>
      <c r="M12" s="319">
        <v>8082</v>
      </c>
      <c r="N12" s="319">
        <v>8579</v>
      </c>
      <c r="O12" s="320">
        <f t="shared" si="0"/>
        <v>41091</v>
      </c>
    </row>
    <row r="13" spans="1:27">
      <c r="A13" s="316" t="s">
        <v>510</v>
      </c>
      <c r="B13" s="317" t="s">
        <v>667</v>
      </c>
      <c r="C13" s="319">
        <v>0</v>
      </c>
      <c r="D13" s="319">
        <v>0</v>
      </c>
      <c r="E13" s="319">
        <v>5702</v>
      </c>
      <c r="F13" s="319">
        <v>0</v>
      </c>
      <c r="G13" s="319">
        <v>0</v>
      </c>
      <c r="H13" s="319">
        <v>846</v>
      </c>
      <c r="I13" s="319">
        <v>0</v>
      </c>
      <c r="J13" s="319">
        <v>0</v>
      </c>
      <c r="K13" s="319">
        <v>0</v>
      </c>
      <c r="L13" s="319">
        <v>0</v>
      </c>
      <c r="M13" s="319"/>
      <c r="N13" s="319"/>
      <c r="O13" s="320">
        <f t="shared" si="0"/>
        <v>6548</v>
      </c>
    </row>
    <row r="14" spans="1:27">
      <c r="A14" s="316" t="s">
        <v>504</v>
      </c>
      <c r="B14" s="317" t="s">
        <v>668</v>
      </c>
      <c r="C14" s="319">
        <v>60577</v>
      </c>
      <c r="D14" s="319">
        <v>52290</v>
      </c>
      <c r="E14" s="319">
        <v>50948</v>
      </c>
      <c r="F14" s="319">
        <v>53509</v>
      </c>
      <c r="G14" s="319">
        <v>55767</v>
      </c>
      <c r="H14" s="319">
        <v>54084</v>
      </c>
      <c r="I14" s="319">
        <v>55444</v>
      </c>
      <c r="J14" s="319">
        <v>54057</v>
      </c>
      <c r="K14" s="319">
        <v>51679</v>
      </c>
      <c r="L14" s="319">
        <v>52201</v>
      </c>
      <c r="M14" s="319">
        <v>48642</v>
      </c>
      <c r="N14" s="319">
        <v>49842</v>
      </c>
      <c r="O14" s="320">
        <f t="shared" si="0"/>
        <v>639040</v>
      </c>
    </row>
    <row r="15" spans="1:27">
      <c r="A15" s="316" t="s">
        <v>433</v>
      </c>
      <c r="B15" s="317" t="s">
        <v>600</v>
      </c>
      <c r="C15" s="319">
        <v>27190</v>
      </c>
      <c r="D15" s="319">
        <v>25835</v>
      </c>
      <c r="E15" s="319">
        <v>26276</v>
      </c>
      <c r="F15" s="319">
        <v>29021</v>
      </c>
      <c r="G15" s="319">
        <v>28318</v>
      </c>
      <c r="H15" s="319">
        <v>27031</v>
      </c>
      <c r="I15" s="319">
        <v>28570</v>
      </c>
      <c r="J15" s="319">
        <v>31599</v>
      </c>
      <c r="K15" s="319">
        <v>30591</v>
      </c>
      <c r="L15" s="319">
        <v>33090</v>
      </c>
      <c r="M15" s="319">
        <v>32577</v>
      </c>
      <c r="N15" s="319">
        <v>31712</v>
      </c>
      <c r="O15" s="320">
        <f t="shared" si="0"/>
        <v>351810</v>
      </c>
    </row>
    <row r="16" spans="1:27">
      <c r="A16" s="316" t="s">
        <v>669</v>
      </c>
      <c r="B16" s="317" t="s">
        <v>604</v>
      </c>
      <c r="C16" s="318">
        <v>4867</v>
      </c>
      <c r="D16" s="319">
        <v>4471</v>
      </c>
      <c r="E16" s="319">
        <v>4868</v>
      </c>
      <c r="F16" s="319">
        <v>4569</v>
      </c>
      <c r="G16" s="319">
        <v>4815</v>
      </c>
      <c r="H16" s="319">
        <v>4586</v>
      </c>
      <c r="I16" s="319">
        <v>4666</v>
      </c>
      <c r="J16" s="319">
        <v>4834</v>
      </c>
      <c r="K16" s="319">
        <v>4377</v>
      </c>
      <c r="L16" s="319">
        <v>4657</v>
      </c>
      <c r="M16" s="319">
        <v>4503</v>
      </c>
      <c r="N16" s="319">
        <v>4660</v>
      </c>
      <c r="O16" s="320">
        <f t="shared" si="0"/>
        <v>55873</v>
      </c>
    </row>
    <row r="17" spans="1:32">
      <c r="A17" s="316" t="s">
        <v>412</v>
      </c>
      <c r="B17" s="317" t="s">
        <v>445</v>
      </c>
      <c r="C17" s="318">
        <v>274555</v>
      </c>
      <c r="D17" s="319">
        <v>251758</v>
      </c>
      <c r="E17" s="319">
        <v>265399</v>
      </c>
      <c r="F17" s="319">
        <v>248537</v>
      </c>
      <c r="G17" s="319">
        <v>140890</v>
      </c>
      <c r="H17" s="319">
        <v>0</v>
      </c>
      <c r="I17" s="319">
        <v>0</v>
      </c>
      <c r="J17" s="319">
        <v>0</v>
      </c>
      <c r="K17" s="319">
        <v>33359</v>
      </c>
      <c r="L17" s="319">
        <v>0</v>
      </c>
      <c r="M17" s="319"/>
      <c r="N17" s="319"/>
      <c r="O17" s="320">
        <f t="shared" si="0"/>
        <v>1214498</v>
      </c>
    </row>
    <row r="18" spans="1:32">
      <c r="A18" s="316" t="s">
        <v>670</v>
      </c>
      <c r="B18" s="317" t="s">
        <v>671</v>
      </c>
      <c r="C18" s="318"/>
      <c r="D18" s="319"/>
      <c r="E18" s="319"/>
      <c r="F18" s="319"/>
      <c r="G18" s="319">
        <v>88196</v>
      </c>
      <c r="H18" s="319">
        <v>232773</v>
      </c>
      <c r="I18" s="319">
        <v>240381</v>
      </c>
      <c r="J18" s="319">
        <v>238764</v>
      </c>
      <c r="K18" s="319">
        <v>203314</v>
      </c>
      <c r="L18" s="319">
        <v>241609</v>
      </c>
      <c r="M18" s="319">
        <v>236873</v>
      </c>
      <c r="N18" s="319">
        <v>243895</v>
      </c>
      <c r="O18" s="320">
        <f t="shared" si="0"/>
        <v>1725805</v>
      </c>
    </row>
    <row r="19" spans="1:32">
      <c r="A19" s="316" t="s">
        <v>433</v>
      </c>
      <c r="B19" s="317" t="s">
        <v>406</v>
      </c>
      <c r="C19" s="318">
        <v>41459</v>
      </c>
      <c r="D19" s="319">
        <v>37010</v>
      </c>
      <c r="E19" s="319">
        <v>38499</v>
      </c>
      <c r="F19" s="319">
        <v>37500</v>
      </c>
      <c r="G19" s="319">
        <v>37701</v>
      </c>
      <c r="H19" s="319">
        <v>34639</v>
      </c>
      <c r="I19" s="319">
        <v>33663</v>
      </c>
      <c r="J19" s="319">
        <v>32391</v>
      </c>
      <c r="K19" s="319">
        <v>29814</v>
      </c>
      <c r="L19" s="319">
        <v>30611</v>
      </c>
      <c r="M19" s="319">
        <v>29868</v>
      </c>
      <c r="N19" s="319">
        <v>30843</v>
      </c>
      <c r="O19" s="320">
        <f t="shared" si="0"/>
        <v>413998</v>
      </c>
    </row>
    <row r="20" spans="1:32">
      <c r="A20" s="316" t="s">
        <v>664</v>
      </c>
      <c r="B20" s="317" t="s">
        <v>512</v>
      </c>
      <c r="C20" s="318">
        <v>725</v>
      </c>
      <c r="D20" s="319">
        <v>575</v>
      </c>
      <c r="E20" s="319">
        <v>692</v>
      </c>
      <c r="F20" s="319">
        <v>606</v>
      </c>
      <c r="G20" s="319">
        <v>629</v>
      </c>
      <c r="H20" s="319">
        <v>610</v>
      </c>
      <c r="I20" s="319">
        <v>591</v>
      </c>
      <c r="J20" s="319">
        <v>625</v>
      </c>
      <c r="K20" s="321">
        <v>590</v>
      </c>
      <c r="L20" s="321">
        <v>601</v>
      </c>
      <c r="M20" s="319">
        <v>554</v>
      </c>
      <c r="N20" s="319">
        <v>565</v>
      </c>
      <c r="O20" s="320">
        <f>SUM(C20:N20)</f>
        <v>7363</v>
      </c>
    </row>
    <row r="21" spans="1:32">
      <c r="A21" s="316" t="s">
        <v>664</v>
      </c>
      <c r="B21" s="317" t="s">
        <v>621</v>
      </c>
      <c r="C21" s="311">
        <v>401</v>
      </c>
      <c r="D21" s="321">
        <v>407</v>
      </c>
      <c r="E21" s="321">
        <v>359</v>
      </c>
      <c r="F21" s="321">
        <v>367</v>
      </c>
      <c r="G21" s="321">
        <v>365</v>
      </c>
      <c r="H21" s="321">
        <v>351</v>
      </c>
      <c r="I21" s="321">
        <v>390</v>
      </c>
      <c r="J21" s="321">
        <v>351</v>
      </c>
      <c r="K21" s="321">
        <v>345</v>
      </c>
      <c r="L21" s="321">
        <v>371</v>
      </c>
      <c r="M21" s="321">
        <v>341</v>
      </c>
      <c r="N21" s="321">
        <v>390</v>
      </c>
      <c r="O21" s="320">
        <f t="shared" si="0"/>
        <v>4438</v>
      </c>
    </row>
    <row r="22" spans="1:32">
      <c r="A22" s="322" t="s">
        <v>672</v>
      </c>
      <c r="B22" s="322"/>
      <c r="C22" s="323">
        <f t="shared" ref="C22:O22" si="1">SUM(C8:C21)</f>
        <v>558599</v>
      </c>
      <c r="D22" s="323">
        <f>SUM(D8:D21)</f>
        <v>511236</v>
      </c>
      <c r="E22" s="323">
        <f t="shared" si="1"/>
        <v>542379</v>
      </c>
      <c r="F22" s="323">
        <f t="shared" si="1"/>
        <v>515402</v>
      </c>
      <c r="G22" s="323">
        <f t="shared" si="1"/>
        <v>506572</v>
      </c>
      <c r="H22" s="323">
        <f t="shared" si="1"/>
        <v>503898</v>
      </c>
      <c r="I22" s="323">
        <f t="shared" si="1"/>
        <v>522883</v>
      </c>
      <c r="J22" s="323">
        <f t="shared" si="1"/>
        <v>524293</v>
      </c>
      <c r="K22" s="323">
        <f t="shared" si="1"/>
        <v>518186</v>
      </c>
      <c r="L22" s="323">
        <f t="shared" si="1"/>
        <v>531892</v>
      </c>
      <c r="M22" s="323">
        <f t="shared" si="1"/>
        <v>528263</v>
      </c>
      <c r="N22" s="323">
        <f t="shared" si="1"/>
        <v>552989</v>
      </c>
      <c r="O22" s="323">
        <f t="shared" si="1"/>
        <v>6316592</v>
      </c>
    </row>
    <row r="23" spans="1:32">
      <c r="A23" s="316" t="s">
        <v>447</v>
      </c>
      <c r="B23" s="317" t="s">
        <v>448</v>
      </c>
      <c r="C23" s="318">
        <v>0</v>
      </c>
      <c r="D23" s="319">
        <v>0</v>
      </c>
      <c r="E23" s="319">
        <v>0</v>
      </c>
      <c r="F23" s="319">
        <v>0</v>
      </c>
      <c r="G23" s="319">
        <v>0</v>
      </c>
      <c r="H23" s="319">
        <v>0</v>
      </c>
      <c r="I23" s="319">
        <v>0</v>
      </c>
      <c r="J23" s="319">
        <v>70127</v>
      </c>
      <c r="K23" s="321">
        <v>62863</v>
      </c>
      <c r="L23" s="321">
        <v>0</v>
      </c>
      <c r="M23" s="319">
        <v>59744</v>
      </c>
      <c r="N23" s="319">
        <v>0</v>
      </c>
      <c r="O23" s="320">
        <f>SUM(C23:N23)</f>
        <v>192734</v>
      </c>
    </row>
    <row r="24" spans="1:32">
      <c r="A24" s="316" t="s">
        <v>217</v>
      </c>
      <c r="B24" s="317" t="s">
        <v>628</v>
      </c>
      <c r="C24" s="318">
        <v>0</v>
      </c>
      <c r="D24" s="319">
        <v>0</v>
      </c>
      <c r="E24" s="319">
        <v>0</v>
      </c>
      <c r="F24" s="319">
        <v>0</v>
      </c>
      <c r="G24" s="319">
        <v>0</v>
      </c>
      <c r="H24" s="319">
        <v>0</v>
      </c>
      <c r="I24" s="319">
        <v>0</v>
      </c>
      <c r="J24" s="319">
        <v>0</v>
      </c>
      <c r="K24" s="321">
        <v>0</v>
      </c>
      <c r="L24" s="321">
        <v>0</v>
      </c>
      <c r="M24" s="319">
        <v>0</v>
      </c>
      <c r="N24" s="319">
        <v>0</v>
      </c>
      <c r="O24" s="320">
        <f>SUM(C24:N24)</f>
        <v>0</v>
      </c>
    </row>
    <row r="25" spans="1:32">
      <c r="A25" s="316" t="s">
        <v>504</v>
      </c>
      <c r="B25" s="317" t="s">
        <v>673</v>
      </c>
      <c r="C25" s="318">
        <v>155736</v>
      </c>
      <c r="D25" s="319">
        <v>126704</v>
      </c>
      <c r="E25" s="319">
        <v>150930</v>
      </c>
      <c r="F25" s="319">
        <v>128626</v>
      </c>
      <c r="G25" s="319">
        <v>152807</v>
      </c>
      <c r="H25" s="319">
        <v>131000</v>
      </c>
      <c r="I25" s="319">
        <v>145947</v>
      </c>
      <c r="J25" s="319">
        <v>134956</v>
      </c>
      <c r="K25" s="321">
        <v>133342</v>
      </c>
      <c r="L25" s="321">
        <v>131623</v>
      </c>
      <c r="M25" s="319">
        <v>125010</v>
      </c>
      <c r="N25" s="319">
        <v>133101</v>
      </c>
      <c r="O25" s="320">
        <f>SUM(C25:N25)</f>
        <v>1649782</v>
      </c>
    </row>
    <row r="26" spans="1:32">
      <c r="A26" s="322" t="s">
        <v>674</v>
      </c>
      <c r="B26" s="322"/>
      <c r="C26" s="323">
        <f>SUM(C23:C25)</f>
        <v>155736</v>
      </c>
      <c r="D26" s="323">
        <f t="shared" ref="D26:O26" si="2">SUM(D23:D25)</f>
        <v>126704</v>
      </c>
      <c r="E26" s="323">
        <f t="shared" si="2"/>
        <v>150930</v>
      </c>
      <c r="F26" s="323">
        <f t="shared" si="2"/>
        <v>128626</v>
      </c>
      <c r="G26" s="323">
        <f t="shared" si="2"/>
        <v>152807</v>
      </c>
      <c r="H26" s="323">
        <f t="shared" si="2"/>
        <v>131000</v>
      </c>
      <c r="I26" s="323">
        <f t="shared" si="2"/>
        <v>145947</v>
      </c>
      <c r="J26" s="323">
        <f t="shared" si="2"/>
        <v>205083</v>
      </c>
      <c r="K26" s="323">
        <f t="shared" si="2"/>
        <v>196205</v>
      </c>
      <c r="L26" s="323">
        <f t="shared" si="2"/>
        <v>131623</v>
      </c>
      <c r="M26" s="323">
        <f t="shared" si="2"/>
        <v>184754</v>
      </c>
      <c r="N26" s="323">
        <f t="shared" si="2"/>
        <v>133101</v>
      </c>
      <c r="O26" s="323">
        <f t="shared" si="2"/>
        <v>1842516</v>
      </c>
      <c r="Q26" s="221" t="s">
        <v>515</v>
      </c>
    </row>
    <row r="27" spans="1:32">
      <c r="A27" s="311" t="s">
        <v>675</v>
      </c>
      <c r="B27" s="228">
        <v>8</v>
      </c>
      <c r="C27" s="311">
        <v>0</v>
      </c>
      <c r="D27" s="311">
        <v>0</v>
      </c>
      <c r="E27" s="311">
        <v>0</v>
      </c>
      <c r="F27" s="311">
        <v>0</v>
      </c>
      <c r="G27" s="311">
        <v>0</v>
      </c>
      <c r="H27" s="311">
        <v>0</v>
      </c>
      <c r="I27" s="311">
        <v>0</v>
      </c>
      <c r="J27" s="311">
        <v>0</v>
      </c>
      <c r="K27" s="311">
        <v>0</v>
      </c>
      <c r="L27" s="311">
        <v>5279</v>
      </c>
      <c r="M27" s="311">
        <v>0</v>
      </c>
      <c r="N27" s="311">
        <v>0</v>
      </c>
      <c r="O27" s="320">
        <f t="shared" ref="O27:O32" si="3">SUM(C27:N27)</f>
        <v>5279</v>
      </c>
    </row>
    <row r="28" spans="1:32">
      <c r="A28" s="316" t="s">
        <v>676</v>
      </c>
      <c r="B28" s="324" t="s">
        <v>677</v>
      </c>
      <c r="C28" s="311">
        <v>0</v>
      </c>
      <c r="D28" s="311">
        <v>0</v>
      </c>
      <c r="E28" s="311">
        <v>0</v>
      </c>
      <c r="F28" s="311">
        <v>0</v>
      </c>
      <c r="G28" s="311">
        <v>0</v>
      </c>
      <c r="H28" s="311">
        <v>0</v>
      </c>
      <c r="I28" s="311">
        <v>0</v>
      </c>
      <c r="J28" s="311">
        <v>0</v>
      </c>
      <c r="K28" s="311">
        <v>0</v>
      </c>
      <c r="L28" s="311">
        <v>0</v>
      </c>
      <c r="M28" s="311">
        <v>0</v>
      </c>
      <c r="N28" s="319">
        <v>29789</v>
      </c>
      <c r="O28" s="320">
        <f t="shared" si="3"/>
        <v>29789</v>
      </c>
    </row>
    <row r="29" spans="1:32" ht="12">
      <c r="A29" s="316" t="s">
        <v>513</v>
      </c>
      <c r="B29" s="317">
        <v>67</v>
      </c>
      <c r="C29" s="311">
        <v>0</v>
      </c>
      <c r="D29" s="311">
        <v>0</v>
      </c>
      <c r="E29" s="311">
        <v>0</v>
      </c>
      <c r="F29" s="311">
        <v>0</v>
      </c>
      <c r="G29" s="311">
        <v>0</v>
      </c>
      <c r="H29" s="311">
        <v>0</v>
      </c>
      <c r="I29" s="311">
        <v>0</v>
      </c>
      <c r="J29" s="311">
        <v>0</v>
      </c>
      <c r="K29" s="311">
        <v>0</v>
      </c>
      <c r="L29" s="311">
        <v>0</v>
      </c>
      <c r="M29" s="311">
        <v>0</v>
      </c>
      <c r="N29" s="311">
        <v>0</v>
      </c>
      <c r="O29" s="320">
        <f t="shared" si="3"/>
        <v>0</v>
      </c>
      <c r="S29" s="522"/>
      <c r="T29" s="522"/>
      <c r="U29" s="522"/>
      <c r="V29" s="522"/>
      <c r="W29" s="522"/>
      <c r="X29" s="522"/>
      <c r="Y29" s="522"/>
    </row>
    <row r="30" spans="1:32">
      <c r="A30" s="316" t="s">
        <v>453</v>
      </c>
      <c r="B30" s="317">
        <v>95</v>
      </c>
      <c r="C30" s="326">
        <v>587731</v>
      </c>
      <c r="D30" s="326">
        <v>525921</v>
      </c>
      <c r="E30" s="326">
        <v>550196</v>
      </c>
      <c r="F30" s="326">
        <v>550214</v>
      </c>
      <c r="G30" s="326">
        <v>484974</v>
      </c>
      <c r="H30" s="326">
        <v>598184</v>
      </c>
      <c r="I30" s="326">
        <v>616132</v>
      </c>
      <c r="J30" s="326">
        <v>445259</v>
      </c>
      <c r="K30" s="326">
        <v>309981</v>
      </c>
      <c r="L30" s="326">
        <v>464693</v>
      </c>
      <c r="M30" s="326">
        <v>623777</v>
      </c>
      <c r="N30" s="326">
        <v>638775</v>
      </c>
      <c r="O30" s="320">
        <f t="shared" si="3"/>
        <v>6395837</v>
      </c>
      <c r="S30" s="522" t="s">
        <v>678</v>
      </c>
      <c r="T30" s="522"/>
      <c r="U30" s="522"/>
      <c r="V30" s="522"/>
      <c r="W30" s="522"/>
      <c r="X30" s="522"/>
      <c r="Y30" s="522"/>
    </row>
    <row r="31" spans="1:32">
      <c r="A31" s="316" t="s">
        <v>454</v>
      </c>
      <c r="B31" s="317">
        <v>131</v>
      </c>
      <c r="C31" s="319">
        <v>31648</v>
      </c>
      <c r="D31" s="319">
        <v>26662</v>
      </c>
      <c r="E31" s="319">
        <v>27882</v>
      </c>
      <c r="F31" s="319">
        <v>26603</v>
      </c>
      <c r="G31" s="319">
        <v>25565</v>
      </c>
      <c r="H31" s="319">
        <v>23252</v>
      </c>
      <c r="I31" s="319">
        <v>22540</v>
      </c>
      <c r="J31" s="319">
        <v>21317</v>
      </c>
      <c r="K31" s="319">
        <v>19843</v>
      </c>
      <c r="L31" s="319">
        <v>19547</v>
      </c>
      <c r="M31" s="319">
        <v>17824</v>
      </c>
      <c r="N31" s="319">
        <v>18319</v>
      </c>
      <c r="O31" s="320">
        <f t="shared" si="3"/>
        <v>281002</v>
      </c>
      <c r="S31" s="522"/>
      <c r="T31" s="522"/>
      <c r="U31" s="522"/>
      <c r="V31" s="522"/>
      <c r="W31" s="522"/>
      <c r="X31" s="522"/>
      <c r="Y31" s="522"/>
    </row>
    <row r="32" spans="1:32">
      <c r="A32" s="316" t="s">
        <v>504</v>
      </c>
      <c r="B32" s="317">
        <v>192</v>
      </c>
      <c r="C32" s="311">
        <v>0</v>
      </c>
      <c r="D32" s="311">
        <v>0</v>
      </c>
      <c r="E32" s="311">
        <v>0</v>
      </c>
      <c r="F32" s="311">
        <v>0</v>
      </c>
      <c r="G32" s="311">
        <v>0</v>
      </c>
      <c r="H32" s="311">
        <v>0</v>
      </c>
      <c r="I32" s="311">
        <v>0</v>
      </c>
      <c r="J32" s="311">
        <v>0</v>
      </c>
      <c r="K32" s="311">
        <v>0</v>
      </c>
      <c r="L32" s="311">
        <v>0</v>
      </c>
      <c r="M32" s="311">
        <v>0</v>
      </c>
      <c r="N32" s="311">
        <v>0</v>
      </c>
      <c r="O32" s="320">
        <f t="shared" si="3"/>
        <v>0</v>
      </c>
      <c r="S32" s="522"/>
      <c r="T32" s="522"/>
      <c r="U32" s="522"/>
      <c r="V32" s="522"/>
      <c r="W32" s="522"/>
      <c r="X32" s="522"/>
      <c r="Y32" s="522"/>
      <c r="Z32" s="494" t="s">
        <v>679</v>
      </c>
      <c r="AA32" s="494"/>
      <c r="AB32" s="494"/>
      <c r="AC32" s="327"/>
      <c r="AD32" s="327"/>
      <c r="AE32" s="327"/>
      <c r="AF32" s="327"/>
    </row>
    <row r="33" spans="1:32">
      <c r="A33" s="328" t="s">
        <v>680</v>
      </c>
      <c r="B33" s="328"/>
      <c r="C33" s="329">
        <f>SUM(C27:C32)</f>
        <v>619379</v>
      </c>
      <c r="D33" s="329">
        <f t="shared" ref="D33:O33" si="4">SUM(D27:D32)</f>
        <v>552583</v>
      </c>
      <c r="E33" s="329">
        <f t="shared" si="4"/>
        <v>578078</v>
      </c>
      <c r="F33" s="329">
        <f t="shared" si="4"/>
        <v>576817</v>
      </c>
      <c r="G33" s="329">
        <f t="shared" si="4"/>
        <v>510539</v>
      </c>
      <c r="H33" s="329">
        <f t="shared" si="4"/>
        <v>621436</v>
      </c>
      <c r="I33" s="329">
        <f t="shared" si="4"/>
        <v>638672</v>
      </c>
      <c r="J33" s="329">
        <f t="shared" si="4"/>
        <v>466576</v>
      </c>
      <c r="K33" s="329">
        <f t="shared" si="4"/>
        <v>329824</v>
      </c>
      <c r="L33" s="329">
        <f t="shared" si="4"/>
        <v>489519</v>
      </c>
      <c r="M33" s="329">
        <f t="shared" si="4"/>
        <v>641601</v>
      </c>
      <c r="N33" s="329">
        <f t="shared" si="4"/>
        <v>686883</v>
      </c>
      <c r="O33" s="329">
        <f t="shared" si="4"/>
        <v>6711907</v>
      </c>
      <c r="Z33" s="494"/>
      <c r="AA33" s="494"/>
      <c r="AB33" s="494"/>
      <c r="AC33" s="327"/>
      <c r="AD33" s="327"/>
      <c r="AE33" s="327"/>
      <c r="AF33" s="327"/>
    </row>
    <row r="34" spans="1:32">
      <c r="A34" s="330"/>
      <c r="B34" s="330"/>
      <c r="C34" s="330"/>
      <c r="D34" s="330"/>
      <c r="E34" s="330"/>
      <c r="F34" s="330"/>
      <c r="G34" s="330"/>
      <c r="H34" s="330"/>
      <c r="I34" s="330"/>
      <c r="J34" s="330"/>
      <c r="K34" s="330"/>
      <c r="L34" s="330"/>
      <c r="M34" s="330"/>
      <c r="N34" s="330"/>
      <c r="O34" s="330"/>
      <c r="Z34" s="494"/>
      <c r="AA34" s="494"/>
      <c r="AB34" s="494"/>
      <c r="AC34" s="327"/>
      <c r="AD34" s="327"/>
      <c r="AE34" s="327"/>
      <c r="AF34" s="327"/>
    </row>
    <row r="35" spans="1:32">
      <c r="A35" s="526" t="s">
        <v>681</v>
      </c>
      <c r="B35" s="526"/>
      <c r="C35" s="331">
        <f t="shared" ref="C35:O35" si="5">SUM(C33+C26+C22)</f>
        <v>1333714</v>
      </c>
      <c r="D35" s="331">
        <f t="shared" si="5"/>
        <v>1190523</v>
      </c>
      <c r="E35" s="331">
        <f t="shared" si="5"/>
        <v>1271387</v>
      </c>
      <c r="F35" s="331">
        <f t="shared" si="5"/>
        <v>1220845</v>
      </c>
      <c r="G35" s="331">
        <f t="shared" si="5"/>
        <v>1169918</v>
      </c>
      <c r="H35" s="331">
        <f t="shared" si="5"/>
        <v>1256334</v>
      </c>
      <c r="I35" s="331">
        <f t="shared" si="5"/>
        <v>1307502</v>
      </c>
      <c r="J35" s="331">
        <f t="shared" si="5"/>
        <v>1195952</v>
      </c>
      <c r="K35" s="331">
        <f t="shared" si="5"/>
        <v>1044215</v>
      </c>
      <c r="L35" s="331">
        <f t="shared" si="5"/>
        <v>1153034</v>
      </c>
      <c r="M35" s="331">
        <f t="shared" si="5"/>
        <v>1354618</v>
      </c>
      <c r="N35" s="331">
        <f t="shared" si="5"/>
        <v>1372973</v>
      </c>
      <c r="O35" s="331">
        <f t="shared" si="5"/>
        <v>14871015</v>
      </c>
      <c r="Q35" s="332"/>
      <c r="Z35" s="494"/>
      <c r="AA35" s="494"/>
      <c r="AB35" s="494"/>
    </row>
    <row r="36" spans="1:32">
      <c r="A36" s="333"/>
      <c r="B36" s="333"/>
      <c r="C36" s="334"/>
      <c r="D36" s="334"/>
      <c r="E36" s="334"/>
      <c r="F36" s="334"/>
      <c r="G36" s="334"/>
      <c r="H36" s="334"/>
      <c r="I36" s="334"/>
      <c r="J36" s="334"/>
      <c r="K36" s="334"/>
      <c r="L36" s="334"/>
      <c r="M36" s="334"/>
      <c r="N36" s="334"/>
      <c r="O36" s="334"/>
      <c r="Z36" s="327"/>
      <c r="AA36" s="327"/>
      <c r="AB36" s="327"/>
    </row>
    <row r="37" spans="1:32">
      <c r="A37" s="525" t="s">
        <v>682</v>
      </c>
      <c r="B37" s="525"/>
      <c r="C37" s="525"/>
      <c r="D37" s="525"/>
      <c r="E37" s="525"/>
      <c r="F37" s="525"/>
      <c r="G37" s="525"/>
      <c r="H37" s="525"/>
      <c r="I37" s="525"/>
      <c r="J37" s="525"/>
      <c r="K37" s="525"/>
      <c r="L37" s="525"/>
      <c r="M37" s="525"/>
      <c r="N37" s="525"/>
      <c r="O37" s="525"/>
      <c r="Z37" s="327"/>
      <c r="AA37" s="327"/>
      <c r="AB37" s="327"/>
    </row>
    <row r="38" spans="1:32">
      <c r="A38" s="316" t="s">
        <v>504</v>
      </c>
      <c r="B38" s="335" t="s">
        <v>673</v>
      </c>
      <c r="C38" s="319">
        <v>18707</v>
      </c>
      <c r="D38" s="319">
        <v>17169</v>
      </c>
      <c r="E38" s="319">
        <v>18687</v>
      </c>
      <c r="F38" s="319">
        <v>17154</v>
      </c>
      <c r="G38" s="319">
        <v>11036</v>
      </c>
      <c r="H38" s="319">
        <v>19984</v>
      </c>
      <c r="I38" s="319">
        <v>20730</v>
      </c>
      <c r="J38" s="319">
        <v>19943</v>
      </c>
      <c r="K38" s="319">
        <v>18671</v>
      </c>
      <c r="L38" s="319">
        <v>19155</v>
      </c>
      <c r="M38" s="319">
        <v>18763</v>
      </c>
      <c r="N38" s="319">
        <v>20112</v>
      </c>
      <c r="O38" s="320">
        <f>SUM(C38:N38)</f>
        <v>220111</v>
      </c>
      <c r="Z38" s="327"/>
      <c r="AA38" s="327"/>
      <c r="AB38" s="327"/>
    </row>
    <row r="39" spans="1:32">
      <c r="A39" s="322" t="s">
        <v>683</v>
      </c>
      <c r="B39" s="336"/>
      <c r="C39" s="337">
        <f t="shared" ref="C39:O39" si="6">SUM(C38:C38)</f>
        <v>18707</v>
      </c>
      <c r="D39" s="337">
        <f t="shared" si="6"/>
        <v>17169</v>
      </c>
      <c r="E39" s="337">
        <f t="shared" si="6"/>
        <v>18687</v>
      </c>
      <c r="F39" s="337">
        <f t="shared" si="6"/>
        <v>17154</v>
      </c>
      <c r="G39" s="337">
        <f t="shared" si="6"/>
        <v>11036</v>
      </c>
      <c r="H39" s="337">
        <f t="shared" si="6"/>
        <v>19984</v>
      </c>
      <c r="I39" s="337">
        <f t="shared" si="6"/>
        <v>20730</v>
      </c>
      <c r="J39" s="337">
        <f t="shared" si="6"/>
        <v>19943</v>
      </c>
      <c r="K39" s="337">
        <f t="shared" si="6"/>
        <v>18671</v>
      </c>
      <c r="L39" s="337">
        <f t="shared" si="6"/>
        <v>19155</v>
      </c>
      <c r="M39" s="337">
        <f t="shared" si="6"/>
        <v>18763</v>
      </c>
      <c r="N39" s="337">
        <f t="shared" si="6"/>
        <v>20112</v>
      </c>
      <c r="O39" s="337">
        <f t="shared" si="6"/>
        <v>220111</v>
      </c>
      <c r="Z39" s="327"/>
      <c r="AA39" s="327"/>
      <c r="AB39" s="327"/>
    </row>
    <row r="40" spans="1:32">
      <c r="A40" s="316" t="s">
        <v>684</v>
      </c>
      <c r="B40" s="317" t="s">
        <v>435</v>
      </c>
      <c r="C40" s="319">
        <v>2707</v>
      </c>
      <c r="D40" s="319">
        <v>2048</v>
      </c>
      <c r="E40" s="319">
        <v>4445</v>
      </c>
      <c r="F40" s="319">
        <v>3219</v>
      </c>
      <c r="G40" s="319">
        <v>1854</v>
      </c>
      <c r="H40" s="319">
        <v>3055</v>
      </c>
      <c r="I40" s="319">
        <v>3557</v>
      </c>
      <c r="J40" s="319">
        <v>3296</v>
      </c>
      <c r="K40" s="319">
        <v>2784</v>
      </c>
      <c r="L40" s="319">
        <v>1120</v>
      </c>
      <c r="M40" s="319">
        <v>1201</v>
      </c>
      <c r="N40" s="319">
        <v>220</v>
      </c>
      <c r="O40" s="320">
        <f>SUM(C40:N40)</f>
        <v>29506</v>
      </c>
    </row>
    <row r="41" spans="1:32">
      <c r="A41" s="316" t="s">
        <v>216</v>
      </c>
      <c r="B41" s="317">
        <v>88</v>
      </c>
      <c r="C41" s="319">
        <v>1589273</v>
      </c>
      <c r="D41" s="319">
        <v>1484365</v>
      </c>
      <c r="E41" s="319">
        <v>1483557</v>
      </c>
      <c r="F41" s="319">
        <v>1423962</v>
      </c>
      <c r="G41" s="319">
        <v>1623728</v>
      </c>
      <c r="H41" s="319">
        <v>1543618</v>
      </c>
      <c r="I41" s="319">
        <v>1595196</v>
      </c>
      <c r="J41" s="319">
        <v>1508421</v>
      </c>
      <c r="K41" s="319">
        <v>1474206</v>
      </c>
      <c r="L41" s="319">
        <v>1568551</v>
      </c>
      <c r="M41" s="319">
        <v>1427900</v>
      </c>
      <c r="N41" s="319">
        <v>1574864</v>
      </c>
      <c r="O41" s="320">
        <f>SUM(C41:N41)</f>
        <v>18297641</v>
      </c>
    </row>
    <row r="42" spans="1:32">
      <c r="A42" s="316" t="s">
        <v>451</v>
      </c>
      <c r="B42" s="317">
        <v>57</v>
      </c>
      <c r="C42" s="319">
        <v>495185</v>
      </c>
      <c r="D42" s="319">
        <v>439028</v>
      </c>
      <c r="E42" s="319">
        <v>510405</v>
      </c>
      <c r="F42" s="319">
        <v>487788</v>
      </c>
      <c r="G42" s="319">
        <v>477387</v>
      </c>
      <c r="H42" s="319">
        <v>472454</v>
      </c>
      <c r="I42" s="319">
        <v>405520</v>
      </c>
      <c r="J42" s="319">
        <v>366888</v>
      </c>
      <c r="K42" s="319">
        <v>500790</v>
      </c>
      <c r="L42" s="319">
        <v>352245</v>
      </c>
      <c r="M42" s="319">
        <v>488302</v>
      </c>
      <c r="N42" s="319">
        <v>496637</v>
      </c>
      <c r="O42" s="320">
        <f>SUM(C42:N42)</f>
        <v>5492629</v>
      </c>
    </row>
    <row r="43" spans="1:32">
      <c r="A43" s="316" t="s">
        <v>216</v>
      </c>
      <c r="B43" s="317">
        <v>56</v>
      </c>
      <c r="C43" s="319">
        <v>425063</v>
      </c>
      <c r="D43" s="319">
        <v>403436</v>
      </c>
      <c r="E43" s="319">
        <v>418914</v>
      </c>
      <c r="F43" s="319">
        <v>398088</v>
      </c>
      <c r="G43" s="319">
        <v>398925</v>
      </c>
      <c r="H43" s="319">
        <v>379539</v>
      </c>
      <c r="I43" s="319">
        <v>349277</v>
      </c>
      <c r="J43" s="319">
        <v>357556</v>
      </c>
      <c r="K43" s="319">
        <v>366289</v>
      </c>
      <c r="L43" s="319">
        <v>336607</v>
      </c>
      <c r="M43" s="319">
        <v>356008</v>
      </c>
      <c r="N43" s="319">
        <v>373104</v>
      </c>
      <c r="O43" s="320">
        <f>SUM(C43:N43)</f>
        <v>4562806</v>
      </c>
    </row>
    <row r="44" spans="1:32">
      <c r="A44" s="322" t="s">
        <v>685</v>
      </c>
      <c r="B44" s="322"/>
      <c r="C44" s="337">
        <f>SUM(C40:C43)</f>
        <v>2512228</v>
      </c>
      <c r="D44" s="337">
        <f>SUM(D40:D43)</f>
        <v>2328877</v>
      </c>
      <c r="E44" s="337">
        <f t="shared" ref="E44:N44" si="7">SUM(E40:E43)</f>
        <v>2417321</v>
      </c>
      <c r="F44" s="337">
        <f t="shared" si="7"/>
        <v>2313057</v>
      </c>
      <c r="G44" s="337">
        <f t="shared" si="7"/>
        <v>2501894</v>
      </c>
      <c r="H44" s="337">
        <f t="shared" si="7"/>
        <v>2398666</v>
      </c>
      <c r="I44" s="337">
        <f t="shared" si="7"/>
        <v>2353550</v>
      </c>
      <c r="J44" s="337">
        <f t="shared" si="7"/>
        <v>2236161</v>
      </c>
      <c r="K44" s="337">
        <f t="shared" si="7"/>
        <v>2344069</v>
      </c>
      <c r="L44" s="337">
        <f t="shared" si="7"/>
        <v>2258523</v>
      </c>
      <c r="M44" s="337">
        <f t="shared" si="7"/>
        <v>2273411</v>
      </c>
      <c r="N44" s="337">
        <f t="shared" si="7"/>
        <v>2444825</v>
      </c>
      <c r="O44" s="323">
        <f>SUM(O40:O43)</f>
        <v>28382582</v>
      </c>
    </row>
    <row r="45" spans="1:32">
      <c r="A45" s="317"/>
      <c r="B45" s="317"/>
      <c r="C45" s="330"/>
      <c r="D45" s="330"/>
      <c r="E45" s="330"/>
      <c r="F45" s="330"/>
      <c r="G45" s="330"/>
      <c r="H45" s="330"/>
      <c r="I45" s="330"/>
      <c r="J45" s="330"/>
      <c r="K45" s="330"/>
      <c r="L45" s="330"/>
      <c r="M45" s="330"/>
      <c r="N45" s="330"/>
      <c r="O45" s="330"/>
    </row>
    <row r="46" spans="1:32">
      <c r="A46" s="526" t="s">
        <v>686</v>
      </c>
      <c r="B46" s="526"/>
      <c r="C46" s="331">
        <f t="shared" ref="C46:O46" si="8">SUM(C39+C44)</f>
        <v>2530935</v>
      </c>
      <c r="D46" s="331">
        <f t="shared" si="8"/>
        <v>2346046</v>
      </c>
      <c r="E46" s="331">
        <f t="shared" si="8"/>
        <v>2436008</v>
      </c>
      <c r="F46" s="331">
        <f t="shared" si="8"/>
        <v>2330211</v>
      </c>
      <c r="G46" s="331">
        <f t="shared" si="8"/>
        <v>2512930</v>
      </c>
      <c r="H46" s="331">
        <f t="shared" si="8"/>
        <v>2418650</v>
      </c>
      <c r="I46" s="331">
        <f t="shared" si="8"/>
        <v>2374280</v>
      </c>
      <c r="J46" s="331">
        <f t="shared" si="8"/>
        <v>2256104</v>
      </c>
      <c r="K46" s="331">
        <f t="shared" si="8"/>
        <v>2362740</v>
      </c>
      <c r="L46" s="331">
        <f t="shared" si="8"/>
        <v>2277678</v>
      </c>
      <c r="M46" s="331">
        <f t="shared" si="8"/>
        <v>2292174</v>
      </c>
      <c r="N46" s="331">
        <f t="shared" si="8"/>
        <v>2464937</v>
      </c>
      <c r="O46" s="331">
        <f t="shared" si="8"/>
        <v>28602693</v>
      </c>
      <c r="Q46" s="332"/>
      <c r="S46" s="221" t="s">
        <v>515</v>
      </c>
    </row>
    <row r="47" spans="1:32">
      <c r="A47" s="333"/>
      <c r="B47" s="333"/>
      <c r="C47" s="321"/>
      <c r="D47" s="321"/>
      <c r="E47" s="321"/>
      <c r="F47" s="321"/>
      <c r="G47" s="321"/>
      <c r="H47" s="321"/>
      <c r="I47" s="321"/>
      <c r="J47" s="321"/>
      <c r="K47" s="321"/>
      <c r="L47" s="321"/>
      <c r="M47" s="321"/>
      <c r="N47" s="321"/>
      <c r="O47" s="321"/>
    </row>
    <row r="48" spans="1:32">
      <c r="A48" s="523" t="s">
        <v>687</v>
      </c>
      <c r="B48" s="523"/>
      <c r="C48" s="338">
        <f t="shared" ref="C48:O48" si="9">C35+C46</f>
        <v>3864649</v>
      </c>
      <c r="D48" s="338">
        <f t="shared" si="9"/>
        <v>3536569</v>
      </c>
      <c r="E48" s="338">
        <f t="shared" si="9"/>
        <v>3707395</v>
      </c>
      <c r="F48" s="338">
        <f t="shared" si="9"/>
        <v>3551056</v>
      </c>
      <c r="G48" s="338">
        <f t="shared" si="9"/>
        <v>3682848</v>
      </c>
      <c r="H48" s="338">
        <f t="shared" si="9"/>
        <v>3674984</v>
      </c>
      <c r="I48" s="338">
        <f t="shared" si="9"/>
        <v>3681782</v>
      </c>
      <c r="J48" s="338">
        <f t="shared" si="9"/>
        <v>3452056</v>
      </c>
      <c r="K48" s="338">
        <f t="shared" si="9"/>
        <v>3406955</v>
      </c>
      <c r="L48" s="338">
        <f t="shared" si="9"/>
        <v>3430712</v>
      </c>
      <c r="M48" s="338">
        <f t="shared" si="9"/>
        <v>3646792</v>
      </c>
      <c r="N48" s="338">
        <f t="shared" si="9"/>
        <v>3837910</v>
      </c>
      <c r="O48" s="338">
        <f t="shared" si="9"/>
        <v>43473708</v>
      </c>
    </row>
    <row r="49" spans="1:21" ht="12.75">
      <c r="S49" s="339" t="s">
        <v>688</v>
      </c>
      <c r="T49" s="340">
        <f>+O26+O39</f>
        <v>2062627</v>
      </c>
      <c r="U49" s="341">
        <f>+T49/$T$52</f>
        <v>4.7445389291385039E-2</v>
      </c>
    </row>
    <row r="50" spans="1:21" ht="12.75">
      <c r="A50" s="221" t="s">
        <v>515</v>
      </c>
      <c r="N50" s="342"/>
      <c r="S50" s="339" t="s">
        <v>689</v>
      </c>
      <c r="T50" s="340">
        <f>+O33+O44</f>
        <v>35094489</v>
      </c>
      <c r="U50" s="341">
        <f>+T50/$T$52</f>
        <v>0.80725777980567015</v>
      </c>
    </row>
    <row r="51" spans="1:21" ht="12.75">
      <c r="S51" s="339" t="s">
        <v>690</v>
      </c>
      <c r="T51" s="340">
        <f>+O22</f>
        <v>6316592</v>
      </c>
      <c r="U51" s="341">
        <f>+T51/$T$52</f>
        <v>0.14529683090294485</v>
      </c>
    </row>
    <row r="52" spans="1:21" ht="12.75">
      <c r="S52" s="339"/>
      <c r="T52" s="340">
        <f>+SUM(T49:T51)</f>
        <v>43473708</v>
      </c>
      <c r="U52" s="341">
        <f>+T52/$T$52</f>
        <v>1</v>
      </c>
    </row>
  </sheetData>
  <mergeCells count="12">
    <mergeCell ref="Q7:Z7"/>
    <mergeCell ref="S29:Y29"/>
    <mergeCell ref="A48:B48"/>
    <mergeCell ref="A2:O2"/>
    <mergeCell ref="A4:O4"/>
    <mergeCell ref="A5:O5"/>
    <mergeCell ref="A7:O7"/>
    <mergeCell ref="S30:Y32"/>
    <mergeCell ref="Z32:AB35"/>
    <mergeCell ref="A35:B35"/>
    <mergeCell ref="A37:O37"/>
    <mergeCell ref="A46:B46"/>
  </mergeCell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50"/>
  </sheetPr>
  <dimension ref="A1:Y77"/>
  <sheetViews>
    <sheetView workbookViewId="0">
      <selection sqref="A1:XFD1048576"/>
    </sheetView>
  </sheetViews>
  <sheetFormatPr baseColWidth="10" defaultColWidth="11.42578125" defaultRowHeight="14.45" customHeight="1"/>
  <cols>
    <col min="1" max="1" width="18.5703125" style="12" customWidth="1"/>
    <col min="2" max="2" width="9.28515625" style="12" customWidth="1"/>
    <col min="3" max="12" width="8.7109375" style="12" bestFit="1" customWidth="1"/>
    <col min="13" max="14" width="11.42578125" style="12"/>
    <col min="15" max="15" width="17.7109375" style="12" customWidth="1"/>
    <col min="16" max="19" width="11.42578125" style="12"/>
    <col min="20" max="20" width="7.5703125" style="12" customWidth="1"/>
    <col min="21" max="16384" width="11.42578125" style="12"/>
  </cols>
  <sheetData>
    <row r="1" spans="1:25" ht="14.45" customHeight="1">
      <c r="Y1" s="281">
        <v>13</v>
      </c>
    </row>
    <row r="2" spans="1:25" ht="14.45" customHeight="1">
      <c r="A2" s="518" t="s">
        <v>691</v>
      </c>
      <c r="B2" s="518"/>
      <c r="C2" s="518"/>
      <c r="D2" s="518"/>
      <c r="E2" s="518"/>
      <c r="F2" s="518"/>
      <c r="G2" s="518"/>
      <c r="H2" s="518"/>
      <c r="I2" s="518"/>
      <c r="J2" s="518"/>
      <c r="K2" s="258"/>
      <c r="L2" s="258"/>
      <c r="M2" s="239"/>
      <c r="N2" s="239"/>
      <c r="O2" s="239"/>
      <c r="P2" s="239"/>
      <c r="Q2" s="239"/>
      <c r="Y2" s="281">
        <v>15</v>
      </c>
    </row>
    <row r="4" spans="1:25" ht="22.5" customHeight="1">
      <c r="A4" s="532" t="s">
        <v>692</v>
      </c>
      <c r="B4" s="533"/>
      <c r="C4" s="533"/>
      <c r="D4" s="533"/>
      <c r="E4" s="533"/>
      <c r="F4" s="533"/>
      <c r="G4" s="533"/>
      <c r="H4" s="533"/>
      <c r="I4" s="533"/>
      <c r="J4" s="533"/>
      <c r="K4" s="533"/>
      <c r="L4" s="533"/>
    </row>
    <row r="5" spans="1:25" ht="11.25">
      <c r="A5" s="534" t="s">
        <v>693</v>
      </c>
      <c r="B5" s="535"/>
      <c r="C5" s="535"/>
      <c r="D5" s="535"/>
      <c r="E5" s="535"/>
      <c r="F5" s="535"/>
      <c r="G5" s="535"/>
      <c r="H5" s="535"/>
      <c r="I5" s="535"/>
      <c r="J5" s="535"/>
      <c r="K5" s="535"/>
      <c r="L5" s="535"/>
    </row>
    <row r="6" spans="1:25" ht="11.25">
      <c r="A6" s="343" t="s">
        <v>401</v>
      </c>
      <c r="B6" s="343" t="s">
        <v>402</v>
      </c>
      <c r="C6" s="343">
        <v>2015</v>
      </c>
      <c r="D6" s="343">
        <v>2016</v>
      </c>
      <c r="E6" s="343">
        <v>2017</v>
      </c>
      <c r="F6" s="343">
        <v>2018</v>
      </c>
      <c r="G6" s="343">
        <v>2019</v>
      </c>
      <c r="H6" s="343">
        <v>2020</v>
      </c>
      <c r="I6" s="343">
        <v>2021</v>
      </c>
      <c r="J6" s="343">
        <v>2022</v>
      </c>
      <c r="K6" s="343">
        <v>2023</v>
      </c>
      <c r="L6" s="343">
        <v>2024</v>
      </c>
    </row>
    <row r="7" spans="1:25" ht="11.25">
      <c r="A7" s="231" t="s">
        <v>504</v>
      </c>
      <c r="B7" s="344" t="s">
        <v>694</v>
      </c>
      <c r="C7" s="345">
        <v>506.9</v>
      </c>
      <c r="D7" s="345">
        <v>381.3</v>
      </c>
      <c r="E7" s="345">
        <v>310.39999999999998</v>
      </c>
      <c r="F7" s="345">
        <v>263.3</v>
      </c>
      <c r="G7" s="346">
        <v>236.24100000000001</v>
      </c>
      <c r="H7" s="346">
        <v>219.62100000000001</v>
      </c>
      <c r="I7" s="346">
        <f>195898/1000</f>
        <v>195.898</v>
      </c>
      <c r="J7" s="346">
        <v>183.51599999999999</v>
      </c>
      <c r="K7" s="346">
        <v>138.512</v>
      </c>
      <c r="L7" s="346">
        <v>0</v>
      </c>
      <c r="M7" s="317"/>
    </row>
    <row r="8" spans="1:25" ht="11.25">
      <c r="A8" s="231" t="s">
        <v>504</v>
      </c>
      <c r="B8" s="344" t="s">
        <v>695</v>
      </c>
      <c r="C8" s="345">
        <v>0</v>
      </c>
      <c r="D8" s="345">
        <v>0</v>
      </c>
      <c r="E8" s="345">
        <v>0</v>
      </c>
      <c r="F8" s="345">
        <v>0</v>
      </c>
      <c r="G8" s="345">
        <v>0</v>
      </c>
      <c r="H8" s="345">
        <v>0</v>
      </c>
      <c r="I8" s="345">
        <v>0</v>
      </c>
      <c r="J8" s="345">
        <v>0</v>
      </c>
      <c r="K8" s="346">
        <v>33.826999999999998</v>
      </c>
      <c r="L8" s="346">
        <v>171.56200000000001</v>
      </c>
      <c r="M8" s="317"/>
    </row>
    <row r="9" spans="1:25" ht="11.25">
      <c r="A9" s="231" t="s">
        <v>664</v>
      </c>
      <c r="B9" s="232" t="s">
        <v>696</v>
      </c>
      <c r="C9" s="345">
        <v>129.9</v>
      </c>
      <c r="D9" s="345">
        <v>116.1</v>
      </c>
      <c r="E9" s="345">
        <v>104.2</v>
      </c>
      <c r="F9" s="345">
        <v>112.5</v>
      </c>
      <c r="G9" s="346">
        <v>120.003</v>
      </c>
      <c r="H9" s="346">
        <v>144.40199999999999</v>
      </c>
      <c r="I9" s="346">
        <v>140.21299999999999</v>
      </c>
      <c r="J9" s="346">
        <v>153.71299999999999</v>
      </c>
      <c r="K9" s="346">
        <v>135.75899999999999</v>
      </c>
      <c r="L9" s="346">
        <v>142.619</v>
      </c>
      <c r="M9" s="317"/>
      <c r="N9" s="536" t="s">
        <v>697</v>
      </c>
      <c r="O9" s="536"/>
      <c r="P9" s="536"/>
      <c r="Q9" s="536"/>
      <c r="R9" s="536"/>
      <c r="S9" s="536"/>
    </row>
    <row r="10" spans="1:25" ht="11.25">
      <c r="A10" s="231" t="s">
        <v>213</v>
      </c>
      <c r="B10" s="344" t="s">
        <v>444</v>
      </c>
      <c r="C10" s="345">
        <v>450.2</v>
      </c>
      <c r="D10" s="345">
        <v>347.7</v>
      </c>
      <c r="E10" s="345">
        <v>268.2</v>
      </c>
      <c r="F10" s="345">
        <v>275.3</v>
      </c>
      <c r="G10" s="346">
        <v>263.86</v>
      </c>
      <c r="H10" s="346">
        <v>247.74199999999999</v>
      </c>
      <c r="I10" s="346">
        <v>192.37799999999999</v>
      </c>
      <c r="J10" s="346">
        <v>228.767</v>
      </c>
      <c r="K10" s="346">
        <v>587.15899999999999</v>
      </c>
      <c r="L10" s="346">
        <v>612.50800000000004</v>
      </c>
      <c r="M10" s="317"/>
      <c r="N10" s="536"/>
      <c r="O10" s="536"/>
      <c r="P10" s="536"/>
      <c r="Q10" s="536"/>
      <c r="R10" s="536"/>
      <c r="S10" s="536"/>
    </row>
    <row r="11" spans="1:25" ht="11.25">
      <c r="A11" s="231" t="s">
        <v>213</v>
      </c>
      <c r="B11" s="344" t="s">
        <v>443</v>
      </c>
      <c r="C11" s="345">
        <v>233</v>
      </c>
      <c r="D11" s="345">
        <v>232.7</v>
      </c>
      <c r="E11" s="345">
        <v>531.20000000000005</v>
      </c>
      <c r="F11" s="345">
        <v>754.5</v>
      </c>
      <c r="G11" s="346">
        <v>946.48400000000004</v>
      </c>
      <c r="H11" s="346">
        <v>785.44899999999996</v>
      </c>
      <c r="I11" s="346">
        <v>690.68399999999997</v>
      </c>
      <c r="J11" s="346">
        <v>852.06299999999999</v>
      </c>
      <c r="K11" s="346">
        <v>877.58299999999997</v>
      </c>
      <c r="L11" s="346">
        <v>929.43899999999996</v>
      </c>
      <c r="M11" s="317"/>
    </row>
    <row r="12" spans="1:25" ht="11.25">
      <c r="A12" s="231" t="s">
        <v>213</v>
      </c>
      <c r="B12" s="344" t="s">
        <v>509</v>
      </c>
      <c r="C12" s="345">
        <v>59.1</v>
      </c>
      <c r="D12" s="345">
        <v>46.9</v>
      </c>
      <c r="E12" s="345">
        <v>36.200000000000003</v>
      </c>
      <c r="F12" s="345">
        <v>39.9</v>
      </c>
      <c r="G12" s="346">
        <v>38.347000000000001</v>
      </c>
      <c r="H12" s="346">
        <v>34.567999999999998</v>
      </c>
      <c r="I12" s="346">
        <v>34.090000000000003</v>
      </c>
      <c r="J12" s="346">
        <v>38.314</v>
      </c>
      <c r="K12" s="346">
        <v>23.777000000000001</v>
      </c>
      <c r="L12" s="346">
        <v>0</v>
      </c>
      <c r="M12" s="317"/>
    </row>
    <row r="13" spans="1:25" ht="11.25">
      <c r="A13" s="231" t="s">
        <v>665</v>
      </c>
      <c r="B13" s="344" t="s">
        <v>666</v>
      </c>
      <c r="C13" s="345">
        <v>0</v>
      </c>
      <c r="D13" s="345">
        <v>0</v>
      </c>
      <c r="E13" s="345">
        <v>0</v>
      </c>
      <c r="F13" s="345">
        <v>0</v>
      </c>
      <c r="G13" s="345">
        <v>0</v>
      </c>
      <c r="H13" s="345">
        <v>0</v>
      </c>
      <c r="I13" s="345">
        <v>0</v>
      </c>
      <c r="J13" s="345">
        <v>0</v>
      </c>
      <c r="K13" s="346">
        <v>4.9829999999999997</v>
      </c>
      <c r="L13" s="346">
        <v>41.091000000000001</v>
      </c>
      <c r="M13" s="317"/>
    </row>
    <row r="14" spans="1:25" ht="11.25">
      <c r="A14" s="231" t="s">
        <v>510</v>
      </c>
      <c r="B14" s="344" t="s">
        <v>698</v>
      </c>
      <c r="C14" s="345">
        <v>1246.9000000000001</v>
      </c>
      <c r="D14" s="345">
        <v>1172.4000000000001</v>
      </c>
      <c r="E14" s="345">
        <v>1132.7</v>
      </c>
      <c r="F14" s="345">
        <v>1377.2</v>
      </c>
      <c r="G14" s="346">
        <v>1422.4659999999999</v>
      </c>
      <c r="H14" s="346">
        <v>1273.002</v>
      </c>
      <c r="I14" s="346">
        <v>1436.5940000000001</v>
      </c>
      <c r="J14" s="346">
        <v>1300.604</v>
      </c>
      <c r="K14" s="346">
        <v>816.46100000000001</v>
      </c>
      <c r="L14" s="346">
        <v>6.548</v>
      </c>
      <c r="M14" s="317"/>
    </row>
    <row r="15" spans="1:25" ht="11.25">
      <c r="A15" s="231" t="s">
        <v>504</v>
      </c>
      <c r="B15" s="344" t="s">
        <v>668</v>
      </c>
      <c r="C15" s="345">
        <v>0</v>
      </c>
      <c r="D15" s="345">
        <v>0</v>
      </c>
      <c r="E15" s="345">
        <v>0</v>
      </c>
      <c r="F15" s="345">
        <v>0</v>
      </c>
      <c r="G15" s="345">
        <v>0</v>
      </c>
      <c r="H15" s="345">
        <v>0</v>
      </c>
      <c r="I15" s="345">
        <v>0</v>
      </c>
      <c r="J15" s="345">
        <v>0</v>
      </c>
      <c r="K15" s="346">
        <v>136.08799999999999</v>
      </c>
      <c r="L15" s="346">
        <v>639.04</v>
      </c>
      <c r="M15" s="317"/>
    </row>
    <row r="16" spans="1:25" ht="11.25">
      <c r="A16" s="231" t="s">
        <v>433</v>
      </c>
      <c r="B16" s="344" t="s">
        <v>600</v>
      </c>
      <c r="C16" s="345">
        <v>0</v>
      </c>
      <c r="D16" s="345">
        <v>0</v>
      </c>
      <c r="E16" s="345">
        <v>0</v>
      </c>
      <c r="F16" s="345">
        <v>0</v>
      </c>
      <c r="G16" s="345">
        <v>0</v>
      </c>
      <c r="H16" s="345">
        <v>0</v>
      </c>
      <c r="I16" s="345">
        <v>0</v>
      </c>
      <c r="J16" s="345">
        <v>0</v>
      </c>
      <c r="K16" s="346">
        <v>58.393999999999998</v>
      </c>
      <c r="L16" s="346">
        <v>351.81</v>
      </c>
      <c r="M16" s="317"/>
    </row>
    <row r="17" spans="1:23" ht="11.25">
      <c r="A17" s="231" t="s">
        <v>669</v>
      </c>
      <c r="B17" s="344" t="s">
        <v>604</v>
      </c>
      <c r="C17" s="345">
        <v>65.599999999999994</v>
      </c>
      <c r="D17" s="345">
        <v>69.3</v>
      </c>
      <c r="E17" s="345">
        <v>63.6</v>
      </c>
      <c r="F17" s="345">
        <v>63</v>
      </c>
      <c r="G17" s="346">
        <v>61.78</v>
      </c>
      <c r="H17" s="346">
        <v>59.177999999999997</v>
      </c>
      <c r="I17" s="346">
        <v>56.58</v>
      </c>
      <c r="J17" s="346">
        <v>55.945999999999998</v>
      </c>
      <c r="K17" s="346">
        <v>55.887</v>
      </c>
      <c r="L17" s="346">
        <v>55.872999999999998</v>
      </c>
      <c r="M17" s="317"/>
    </row>
    <row r="18" spans="1:23" ht="11.25">
      <c r="A18" s="231" t="s">
        <v>412</v>
      </c>
      <c r="B18" s="344" t="s">
        <v>445</v>
      </c>
      <c r="C18" s="345">
        <v>3900.5</v>
      </c>
      <c r="D18" s="345">
        <v>3941.7</v>
      </c>
      <c r="E18" s="345">
        <v>4085.3</v>
      </c>
      <c r="F18" s="345">
        <v>4827.2</v>
      </c>
      <c r="G18" s="346">
        <v>5227.6310000000003</v>
      </c>
      <c r="H18" s="346">
        <v>4798.0129999999999</v>
      </c>
      <c r="I18" s="346">
        <v>4407.6289999999999</v>
      </c>
      <c r="J18" s="346">
        <v>4149.8339999999998</v>
      </c>
      <c r="K18" s="346">
        <v>3553.3029999999999</v>
      </c>
      <c r="L18" s="346">
        <v>1214.498</v>
      </c>
      <c r="M18" s="317"/>
    </row>
    <row r="19" spans="1:23" ht="11.25">
      <c r="A19" s="231" t="s">
        <v>670</v>
      </c>
      <c r="B19" s="344" t="s">
        <v>671</v>
      </c>
      <c r="C19" s="345">
        <v>0</v>
      </c>
      <c r="D19" s="345">
        <v>0</v>
      </c>
      <c r="E19" s="345">
        <v>0</v>
      </c>
      <c r="F19" s="345">
        <v>0</v>
      </c>
      <c r="G19" s="345">
        <v>0</v>
      </c>
      <c r="H19" s="345">
        <v>0</v>
      </c>
      <c r="I19" s="345">
        <v>0</v>
      </c>
      <c r="J19" s="345">
        <v>0</v>
      </c>
      <c r="K19" s="346">
        <v>0</v>
      </c>
      <c r="L19" s="346">
        <v>1725.8050000000001</v>
      </c>
      <c r="M19" s="317"/>
    </row>
    <row r="20" spans="1:23" ht="11.25">
      <c r="A20" s="231" t="s">
        <v>433</v>
      </c>
      <c r="B20" s="344" t="s">
        <v>406</v>
      </c>
      <c r="C20" s="345">
        <v>1488.1</v>
      </c>
      <c r="D20" s="345">
        <v>1338.7</v>
      </c>
      <c r="E20" s="345">
        <v>989.1</v>
      </c>
      <c r="F20" s="345">
        <v>715.7</v>
      </c>
      <c r="G20" s="346">
        <v>717.73900000000003</v>
      </c>
      <c r="H20" s="346">
        <v>509.14600000000002</v>
      </c>
      <c r="I20" s="346">
        <v>430.73399999999998</v>
      </c>
      <c r="J20" s="346">
        <v>654.61</v>
      </c>
      <c r="K20" s="346">
        <v>495.24799999999999</v>
      </c>
      <c r="L20" s="346">
        <v>413.99799999999999</v>
      </c>
      <c r="M20" s="317"/>
    </row>
    <row r="21" spans="1:23" ht="11.25">
      <c r="A21" s="231" t="s">
        <v>664</v>
      </c>
      <c r="B21" s="344" t="s">
        <v>512</v>
      </c>
      <c r="C21" s="345">
        <v>21.5</v>
      </c>
      <c r="D21" s="345">
        <v>17.600000000000001</v>
      </c>
      <c r="E21" s="345">
        <v>14.4</v>
      </c>
      <c r="F21" s="345">
        <v>13</v>
      </c>
      <c r="G21" s="346">
        <v>13.388</v>
      </c>
      <c r="H21" s="346">
        <v>12.891999999999999</v>
      </c>
      <c r="I21" s="346">
        <v>10.803000000000001</v>
      </c>
      <c r="J21" s="346">
        <v>10.263999999999999</v>
      </c>
      <c r="K21" s="346">
        <v>9.1069999999999993</v>
      </c>
      <c r="L21" s="346">
        <v>7.3630000000000004</v>
      </c>
      <c r="M21" s="317"/>
      <c r="U21" s="347">
        <f>+L40/K40-1</f>
        <v>5.0026916348680839E-2</v>
      </c>
    </row>
    <row r="22" spans="1:23" ht="11.25">
      <c r="A22" s="231" t="s">
        <v>664</v>
      </c>
      <c r="B22" s="344" t="s">
        <v>621</v>
      </c>
      <c r="C22" s="345">
        <v>7</v>
      </c>
      <c r="D22" s="345">
        <v>5.4</v>
      </c>
      <c r="E22" s="345">
        <v>4.5</v>
      </c>
      <c r="F22" s="345">
        <v>8.1999999999999993</v>
      </c>
      <c r="G22" s="346">
        <v>5.7469999999999999</v>
      </c>
      <c r="H22" s="346">
        <v>5.0510000000000002</v>
      </c>
      <c r="I22" s="346">
        <v>4.3230000000000004</v>
      </c>
      <c r="J22" s="346">
        <v>3.847</v>
      </c>
      <c r="K22" s="346">
        <v>3.6829999999999998</v>
      </c>
      <c r="L22" s="346">
        <v>4.4379999999999997</v>
      </c>
      <c r="M22" s="317"/>
    </row>
    <row r="23" spans="1:23" ht="11.25">
      <c r="A23" s="235" t="s">
        <v>672</v>
      </c>
      <c r="B23" s="293"/>
      <c r="C23" s="348">
        <v>8108.6</v>
      </c>
      <c r="D23" s="348">
        <v>7669.9</v>
      </c>
      <c r="E23" s="348">
        <v>7539.8</v>
      </c>
      <c r="F23" s="348">
        <v>8449.7000000000007</v>
      </c>
      <c r="G23" s="349">
        <f t="shared" ref="G23:K23" si="0">SUM(G7:G22)</f>
        <v>9053.6859999999997</v>
      </c>
      <c r="H23" s="349">
        <f t="shared" si="0"/>
        <v>8089.0639999999994</v>
      </c>
      <c r="I23" s="349">
        <f t="shared" si="0"/>
        <v>7599.9260000000004</v>
      </c>
      <c r="J23" s="349">
        <f t="shared" si="0"/>
        <v>7631.4779999999992</v>
      </c>
      <c r="K23" s="349">
        <f t="shared" si="0"/>
        <v>6929.7709999999997</v>
      </c>
      <c r="L23" s="349">
        <f>SUM(L7:L22)</f>
        <v>6316.5919999999996</v>
      </c>
      <c r="U23" s="530" t="s">
        <v>699</v>
      </c>
      <c r="V23" s="530"/>
      <c r="W23" s="530"/>
    </row>
    <row r="24" spans="1:23" ht="11.25">
      <c r="A24" s="231" t="s">
        <v>217</v>
      </c>
      <c r="B24" s="344" t="s">
        <v>700</v>
      </c>
      <c r="C24" s="345">
        <v>3507.4</v>
      </c>
      <c r="D24" s="345">
        <v>3060.5</v>
      </c>
      <c r="E24" s="345">
        <v>2866.8</v>
      </c>
      <c r="F24" s="345">
        <v>2795.4</v>
      </c>
      <c r="G24" s="346">
        <v>2611.7800000000002</v>
      </c>
      <c r="H24" s="346">
        <v>2272.8820000000001</v>
      </c>
      <c r="I24" s="346">
        <v>2130.4389999999999</v>
      </c>
      <c r="J24" s="346">
        <v>1936.989</v>
      </c>
      <c r="K24" s="346">
        <v>1555.6679999999999</v>
      </c>
      <c r="L24" s="346">
        <v>0</v>
      </c>
      <c r="U24" s="530"/>
      <c r="V24" s="530"/>
      <c r="W24" s="530"/>
    </row>
    <row r="25" spans="1:23" ht="11.25">
      <c r="A25" s="231" t="s">
        <v>217</v>
      </c>
      <c r="B25" s="344" t="s">
        <v>628</v>
      </c>
      <c r="C25" s="345" t="s">
        <v>215</v>
      </c>
      <c r="D25" s="345" t="s">
        <v>215</v>
      </c>
      <c r="E25" s="345" t="s">
        <v>215</v>
      </c>
      <c r="F25" s="345" t="s">
        <v>215</v>
      </c>
      <c r="G25" s="350">
        <v>3.4350000000000001</v>
      </c>
      <c r="H25" s="350">
        <v>0</v>
      </c>
      <c r="I25" s="350">
        <v>0</v>
      </c>
      <c r="J25" s="350">
        <v>0</v>
      </c>
      <c r="K25" s="346">
        <v>0</v>
      </c>
      <c r="L25" s="346">
        <v>0</v>
      </c>
      <c r="U25" s="530"/>
      <c r="V25" s="530"/>
      <c r="W25" s="530"/>
    </row>
    <row r="26" spans="1:23" ht="11.25">
      <c r="A26" s="231" t="s">
        <v>447</v>
      </c>
      <c r="B26" s="344" t="s">
        <v>448</v>
      </c>
      <c r="C26" s="345">
        <v>1422.1</v>
      </c>
      <c r="D26" s="345">
        <v>1019.8</v>
      </c>
      <c r="E26" s="345">
        <v>850.7</v>
      </c>
      <c r="F26" s="345">
        <v>574.20000000000005</v>
      </c>
      <c r="G26" s="346">
        <v>476.95400000000001</v>
      </c>
      <c r="H26" s="346">
        <v>32.491999999999997</v>
      </c>
      <c r="I26" s="350">
        <v>0</v>
      </c>
      <c r="J26" s="350">
        <v>0</v>
      </c>
      <c r="K26" s="346">
        <v>0</v>
      </c>
      <c r="L26" s="346">
        <v>192.73400000000001</v>
      </c>
    </row>
    <row r="27" spans="1:23" ht="11.25">
      <c r="A27" s="231" t="s">
        <v>504</v>
      </c>
      <c r="B27" s="344" t="s">
        <v>633</v>
      </c>
      <c r="C27" s="350">
        <v>0</v>
      </c>
      <c r="D27" s="350">
        <v>0</v>
      </c>
      <c r="E27" s="350">
        <v>0</v>
      </c>
      <c r="F27" s="350">
        <v>0</v>
      </c>
      <c r="G27" s="350">
        <v>0</v>
      </c>
      <c r="H27" s="350">
        <v>0</v>
      </c>
      <c r="I27" s="350">
        <v>0</v>
      </c>
      <c r="J27" s="350">
        <v>0</v>
      </c>
      <c r="K27" s="346">
        <v>137.024</v>
      </c>
      <c r="L27" s="346">
        <v>1649.7819999999999</v>
      </c>
    </row>
    <row r="28" spans="1:23" ht="11.25">
      <c r="A28" s="235" t="s">
        <v>701</v>
      </c>
      <c r="B28" s="293"/>
      <c r="C28" s="349">
        <f t="shared" ref="C28:I28" si="1">SUM(C24:C27)</f>
        <v>4929.5</v>
      </c>
      <c r="D28" s="349">
        <f t="shared" si="1"/>
        <v>4080.3</v>
      </c>
      <c r="E28" s="349">
        <f t="shared" si="1"/>
        <v>3717.5</v>
      </c>
      <c r="F28" s="349">
        <f t="shared" si="1"/>
        <v>3369.6000000000004</v>
      </c>
      <c r="G28" s="349">
        <f t="shared" si="1"/>
        <v>3092.1690000000003</v>
      </c>
      <c r="H28" s="349">
        <f t="shared" si="1"/>
        <v>2305.3740000000003</v>
      </c>
      <c r="I28" s="349">
        <f t="shared" si="1"/>
        <v>2130.4389999999999</v>
      </c>
      <c r="J28" s="349">
        <f>SUM(J24:J27)</f>
        <v>1936.989</v>
      </c>
      <c r="K28" s="349">
        <f>SUM(K24:K27)</f>
        <v>1692.692</v>
      </c>
      <c r="L28" s="349">
        <f>SUM(L24:L27)</f>
        <v>1842.5159999999998</v>
      </c>
    </row>
    <row r="29" spans="1:23" ht="11.25">
      <c r="A29" s="231" t="s">
        <v>216</v>
      </c>
      <c r="B29" s="344" t="s">
        <v>702</v>
      </c>
      <c r="C29" s="345">
        <v>2594.6</v>
      </c>
      <c r="D29" s="345" t="s">
        <v>215</v>
      </c>
      <c r="E29" s="345" t="s">
        <v>215</v>
      </c>
      <c r="F29" s="345" t="s">
        <v>215</v>
      </c>
      <c r="G29" s="346" t="s">
        <v>215</v>
      </c>
      <c r="H29" s="346">
        <v>0</v>
      </c>
      <c r="I29" s="346">
        <v>0</v>
      </c>
      <c r="J29" s="350">
        <v>0</v>
      </c>
      <c r="K29" s="350">
        <v>0</v>
      </c>
      <c r="L29" s="350">
        <v>0</v>
      </c>
    </row>
    <row r="30" spans="1:23" ht="11.25">
      <c r="A30" s="231" t="s">
        <v>504</v>
      </c>
      <c r="B30" s="232">
        <v>192</v>
      </c>
      <c r="C30" s="345">
        <v>877.7</v>
      </c>
      <c r="D30" s="345">
        <v>414.9</v>
      </c>
      <c r="E30" s="345">
        <v>1387.7</v>
      </c>
      <c r="F30" s="345">
        <v>2642</v>
      </c>
      <c r="G30" s="346">
        <v>2458.9830000000002</v>
      </c>
      <c r="H30" s="346">
        <v>475.53500000000003</v>
      </c>
      <c r="I30" s="346">
        <v>0</v>
      </c>
      <c r="J30" s="350">
        <v>0</v>
      </c>
      <c r="K30" s="350">
        <v>0</v>
      </c>
      <c r="L30" s="350">
        <v>0</v>
      </c>
    </row>
    <row r="31" spans="1:23" ht="11.25">
      <c r="A31" s="231" t="s">
        <v>703</v>
      </c>
      <c r="B31" s="344">
        <v>8</v>
      </c>
      <c r="C31" s="345">
        <v>2806.4</v>
      </c>
      <c r="D31" s="345">
        <v>1601.3</v>
      </c>
      <c r="E31" s="345">
        <v>2132</v>
      </c>
      <c r="F31" s="345">
        <v>2058.4</v>
      </c>
      <c r="G31" s="346">
        <v>1611</v>
      </c>
      <c r="H31" s="346">
        <v>593.93299999999999</v>
      </c>
      <c r="I31" s="346">
        <v>0</v>
      </c>
      <c r="J31" s="350">
        <v>0</v>
      </c>
      <c r="K31" s="346">
        <v>0</v>
      </c>
      <c r="L31" s="346">
        <v>5.2789999999999999</v>
      </c>
      <c r="N31" s="221" t="s">
        <v>515</v>
      </c>
    </row>
    <row r="32" spans="1:23" ht="11.25">
      <c r="A32" s="231" t="s">
        <v>676</v>
      </c>
      <c r="B32" s="344">
        <v>8</v>
      </c>
      <c r="C32" s="345"/>
      <c r="D32" s="345"/>
      <c r="E32" s="345"/>
      <c r="F32" s="345"/>
      <c r="G32" s="346"/>
      <c r="H32" s="346"/>
      <c r="I32" s="346"/>
      <c r="J32" s="350"/>
      <c r="K32" s="346">
        <v>0</v>
      </c>
      <c r="L32" s="346">
        <v>29.789000000000001</v>
      </c>
      <c r="N32" s="221"/>
    </row>
    <row r="33" spans="1:23" ht="11.25">
      <c r="A33" s="231" t="s">
        <v>513</v>
      </c>
      <c r="B33" s="344">
        <v>67</v>
      </c>
      <c r="C33" s="345">
        <v>555.1</v>
      </c>
      <c r="D33" s="345">
        <v>131.6</v>
      </c>
      <c r="E33" s="345" t="s">
        <v>215</v>
      </c>
      <c r="F33" s="345">
        <v>134.80000000000001</v>
      </c>
      <c r="G33" s="346">
        <v>504.66800000000001</v>
      </c>
      <c r="H33" s="346">
        <v>246.72900000000001</v>
      </c>
      <c r="I33" s="346">
        <v>516.70899999999995</v>
      </c>
      <c r="J33" s="346">
        <v>366.61900000000003</v>
      </c>
      <c r="K33" s="346">
        <v>20.029</v>
      </c>
      <c r="L33" s="346">
        <v>0</v>
      </c>
    </row>
    <row r="34" spans="1:23" ht="12">
      <c r="A34" s="231" t="s">
        <v>453</v>
      </c>
      <c r="B34" s="344">
        <v>95</v>
      </c>
      <c r="C34" s="345" t="s">
        <v>215</v>
      </c>
      <c r="D34" s="345" t="s">
        <v>215</v>
      </c>
      <c r="E34" s="345" t="s">
        <v>215</v>
      </c>
      <c r="F34" s="345">
        <v>170.4</v>
      </c>
      <c r="G34" s="346">
        <v>1498.825</v>
      </c>
      <c r="H34" s="346">
        <v>2065.4409999999998</v>
      </c>
      <c r="I34" s="346">
        <v>3229.123</v>
      </c>
      <c r="J34" s="346">
        <v>4407.4620000000004</v>
      </c>
      <c r="K34" s="346">
        <v>5160.8959999999997</v>
      </c>
      <c r="L34" s="346">
        <v>6395.8370000000004</v>
      </c>
      <c r="N34" s="531" t="s">
        <v>704</v>
      </c>
      <c r="O34" s="531"/>
      <c r="P34" s="531"/>
      <c r="Q34" s="531"/>
      <c r="R34" s="531"/>
      <c r="S34" s="531"/>
    </row>
    <row r="35" spans="1:23" ht="11.25">
      <c r="A35" s="231" t="s">
        <v>705</v>
      </c>
      <c r="B35" s="344" t="s">
        <v>706</v>
      </c>
      <c r="C35" s="345">
        <v>96.7</v>
      </c>
      <c r="D35" s="345">
        <v>38.5</v>
      </c>
      <c r="E35" s="345">
        <v>27.4</v>
      </c>
      <c r="F35" s="345">
        <v>7.4</v>
      </c>
      <c r="G35" s="346" t="s">
        <v>215</v>
      </c>
      <c r="H35" s="346">
        <v>0</v>
      </c>
      <c r="I35" s="346">
        <v>0</v>
      </c>
      <c r="J35" s="350">
        <v>0</v>
      </c>
      <c r="K35" s="346">
        <v>0</v>
      </c>
      <c r="L35" s="346">
        <v>0</v>
      </c>
    </row>
    <row r="36" spans="1:23" ht="11.25">
      <c r="A36" s="231" t="s">
        <v>705</v>
      </c>
      <c r="B36" s="344" t="s">
        <v>707</v>
      </c>
      <c r="C36" s="345">
        <v>24.9</v>
      </c>
      <c r="D36" s="345">
        <v>15.9</v>
      </c>
      <c r="E36" s="345">
        <v>10.5</v>
      </c>
      <c r="F36" s="345">
        <v>2.7</v>
      </c>
      <c r="G36" s="346" t="s">
        <v>215</v>
      </c>
      <c r="H36" s="346">
        <v>0</v>
      </c>
      <c r="I36" s="346">
        <v>0</v>
      </c>
      <c r="J36" s="350">
        <v>0</v>
      </c>
      <c r="K36" s="346">
        <v>0</v>
      </c>
      <c r="L36" s="346">
        <v>0</v>
      </c>
    </row>
    <row r="37" spans="1:23" ht="11.25">
      <c r="A37" s="231" t="s">
        <v>708</v>
      </c>
      <c r="B37" s="344">
        <v>131</v>
      </c>
      <c r="C37" s="345">
        <v>1179.3</v>
      </c>
      <c r="D37" s="345">
        <v>820.7</v>
      </c>
      <c r="E37" s="345">
        <v>1085.5</v>
      </c>
      <c r="F37" s="345">
        <v>1002.2</v>
      </c>
      <c r="G37" s="346">
        <v>1119.7380000000001</v>
      </c>
      <c r="H37" s="346">
        <v>745.76400000000001</v>
      </c>
      <c r="I37" s="346">
        <v>536.45299999999997</v>
      </c>
      <c r="J37" s="346">
        <v>453.916</v>
      </c>
      <c r="K37" s="346">
        <v>320.42500000000001</v>
      </c>
      <c r="L37" s="346">
        <v>281.00200000000001</v>
      </c>
    </row>
    <row r="38" spans="1:23" ht="11.25">
      <c r="A38" s="235" t="s">
        <v>680</v>
      </c>
      <c r="B38" s="235"/>
      <c r="C38" s="349">
        <f t="shared" ref="C38:K38" si="2">SUM(C29:C37)</f>
        <v>8134.7000000000007</v>
      </c>
      <c r="D38" s="349">
        <f t="shared" si="2"/>
        <v>3022.8999999999996</v>
      </c>
      <c r="E38" s="349">
        <f t="shared" si="2"/>
        <v>4643.1000000000004</v>
      </c>
      <c r="F38" s="349">
        <f t="shared" si="2"/>
        <v>6017.8999999999987</v>
      </c>
      <c r="G38" s="349">
        <f t="shared" si="2"/>
        <v>7193.2139999999999</v>
      </c>
      <c r="H38" s="349">
        <f t="shared" si="2"/>
        <v>4127.402</v>
      </c>
      <c r="I38" s="349">
        <f t="shared" si="2"/>
        <v>4282.2849999999999</v>
      </c>
      <c r="J38" s="349">
        <f t="shared" si="2"/>
        <v>5227.9970000000003</v>
      </c>
      <c r="K38" s="349">
        <f t="shared" si="2"/>
        <v>5501.35</v>
      </c>
      <c r="L38" s="349">
        <f>SUM(L29:L37)</f>
        <v>6711.9070000000011</v>
      </c>
    </row>
    <row r="39" spans="1:23" ht="11.25">
      <c r="A39" s="527" t="s">
        <v>709</v>
      </c>
      <c r="B39" s="527"/>
      <c r="C39" s="351">
        <v>21172.799999999999</v>
      </c>
      <c r="D39" s="351">
        <v>14773</v>
      </c>
      <c r="E39" s="351">
        <v>15900.3</v>
      </c>
      <c r="F39" s="351">
        <v>17837</v>
      </c>
      <c r="G39" s="352">
        <f t="shared" ref="G39:K39" si="3">SUM(G23+G28+G38)</f>
        <v>19339.069</v>
      </c>
      <c r="H39" s="352">
        <f t="shared" si="3"/>
        <v>14521.84</v>
      </c>
      <c r="I39" s="352">
        <f t="shared" si="3"/>
        <v>14012.65</v>
      </c>
      <c r="J39" s="352">
        <f t="shared" si="3"/>
        <v>14796.464</v>
      </c>
      <c r="K39" s="352">
        <f t="shared" si="3"/>
        <v>14123.813</v>
      </c>
      <c r="L39" s="352">
        <f>SUM(L23+L28+L38)</f>
        <v>14871.014999999999</v>
      </c>
    </row>
    <row r="40" spans="1:23" ht="11.25">
      <c r="A40" s="527" t="s">
        <v>710</v>
      </c>
      <c r="B40" s="527"/>
      <c r="C40" s="353">
        <v>58</v>
      </c>
      <c r="D40" s="353">
        <v>40.5</v>
      </c>
      <c r="E40" s="353">
        <v>43.6</v>
      </c>
      <c r="F40" s="353">
        <v>48.9</v>
      </c>
      <c r="G40" s="354">
        <f>G39/365</f>
        <v>52.983750684931508</v>
      </c>
      <c r="H40" s="354">
        <f>H39/366</f>
        <v>39.677158469945354</v>
      </c>
      <c r="I40" s="354">
        <f>I39/365</f>
        <v>38.390821917808218</v>
      </c>
      <c r="J40" s="354">
        <f>J39/365</f>
        <v>40.538257534246576</v>
      </c>
      <c r="K40" s="354">
        <f>K39/365</f>
        <v>38.69537808219178</v>
      </c>
      <c r="L40" s="354">
        <f>L39/366</f>
        <v>40.631188524590165</v>
      </c>
    </row>
    <row r="41" spans="1:23" ht="14.45" customHeight="1">
      <c r="A41" s="537"/>
      <c r="B41" s="537"/>
      <c r="C41" s="537"/>
      <c r="D41" s="537"/>
      <c r="E41" s="537"/>
      <c r="F41" s="537"/>
      <c r="G41" s="355"/>
      <c r="H41" s="355"/>
      <c r="I41" s="355"/>
      <c r="J41" s="355"/>
      <c r="K41" s="355"/>
      <c r="L41" s="355"/>
    </row>
    <row r="42" spans="1:23" ht="11.25">
      <c r="A42" s="534" t="s">
        <v>711</v>
      </c>
      <c r="B42" s="535"/>
      <c r="C42" s="535"/>
      <c r="D42" s="535"/>
      <c r="E42" s="535"/>
      <c r="F42" s="535"/>
      <c r="G42" s="535"/>
      <c r="H42" s="535"/>
      <c r="I42" s="535"/>
      <c r="J42" s="535"/>
      <c r="K42" s="356"/>
      <c r="L42" s="356"/>
    </row>
    <row r="43" spans="1:23" ht="12">
      <c r="A43" s="343" t="s">
        <v>401</v>
      </c>
      <c r="B43" s="343" t="s">
        <v>402</v>
      </c>
      <c r="C43" s="343">
        <v>2015</v>
      </c>
      <c r="D43" s="343">
        <v>2016</v>
      </c>
      <c r="E43" s="343">
        <v>2017</v>
      </c>
      <c r="F43" s="343">
        <v>2018</v>
      </c>
      <c r="G43" s="343">
        <v>2019</v>
      </c>
      <c r="H43" s="343">
        <v>2020</v>
      </c>
      <c r="I43" s="343">
        <v>2021</v>
      </c>
      <c r="J43" s="343">
        <v>2022</v>
      </c>
      <c r="K43" s="343">
        <v>2023</v>
      </c>
      <c r="L43" s="343">
        <v>2024</v>
      </c>
      <c r="U43" s="357">
        <f>+L53/K53-1</f>
        <v>2.2732143136379612E-2</v>
      </c>
    </row>
    <row r="44" spans="1:23" ht="11.25">
      <c r="A44" s="231" t="s">
        <v>217</v>
      </c>
      <c r="B44" s="344" t="s">
        <v>700</v>
      </c>
      <c r="C44" s="346">
        <v>470.5</v>
      </c>
      <c r="D44" s="346">
        <v>429.7</v>
      </c>
      <c r="E44" s="346">
        <v>374.7</v>
      </c>
      <c r="F44" s="346">
        <v>374</v>
      </c>
      <c r="G44" s="346">
        <v>349.291</v>
      </c>
      <c r="H44" s="346">
        <v>351.20400000000001</v>
      </c>
      <c r="I44" s="346">
        <v>280.02499999999998</v>
      </c>
      <c r="J44" s="346">
        <v>225.69800000000001</v>
      </c>
      <c r="K44" s="346">
        <v>164.77199999999999</v>
      </c>
      <c r="L44" s="346">
        <v>0</v>
      </c>
    </row>
    <row r="45" spans="1:23" ht="11.25">
      <c r="A45" s="231" t="s">
        <v>504</v>
      </c>
      <c r="B45" s="344" t="s">
        <v>633</v>
      </c>
      <c r="C45" s="346">
        <v>0</v>
      </c>
      <c r="D45" s="346">
        <v>0</v>
      </c>
      <c r="E45" s="346">
        <v>0</v>
      </c>
      <c r="F45" s="346">
        <v>0</v>
      </c>
      <c r="G45" s="346">
        <v>0</v>
      </c>
      <c r="H45" s="346">
        <v>0</v>
      </c>
      <c r="I45" s="346">
        <v>0</v>
      </c>
      <c r="J45" s="346">
        <v>0</v>
      </c>
      <c r="K45" s="346">
        <v>28.425000000000001</v>
      </c>
      <c r="L45" s="346">
        <v>220.11099999999999</v>
      </c>
    </row>
    <row r="46" spans="1:23" ht="11.25">
      <c r="A46" s="235" t="s">
        <v>683</v>
      </c>
      <c r="B46" s="358"/>
      <c r="C46" s="349">
        <v>470.5</v>
      </c>
      <c r="D46" s="349">
        <v>429.7</v>
      </c>
      <c r="E46" s="349">
        <v>374.7</v>
      </c>
      <c r="F46" s="349">
        <v>374</v>
      </c>
      <c r="G46" s="349">
        <f>SUM(G44:G45)</f>
        <v>349.291</v>
      </c>
      <c r="H46" s="349">
        <f t="shared" ref="H46:L46" si="4">SUM(H44:H45)</f>
        <v>351.20400000000001</v>
      </c>
      <c r="I46" s="349">
        <f t="shared" si="4"/>
        <v>280.02499999999998</v>
      </c>
      <c r="J46" s="349">
        <f t="shared" si="4"/>
        <v>225.69800000000001</v>
      </c>
      <c r="K46" s="349">
        <f t="shared" si="4"/>
        <v>193.197</v>
      </c>
      <c r="L46" s="349">
        <f t="shared" si="4"/>
        <v>220.11099999999999</v>
      </c>
      <c r="U46" s="538" t="s">
        <v>712</v>
      </c>
      <c r="V46" s="538"/>
      <c r="W46" s="538"/>
    </row>
    <row r="47" spans="1:23" ht="11.25">
      <c r="A47" s="231" t="s">
        <v>713</v>
      </c>
      <c r="B47" s="344" t="s">
        <v>714</v>
      </c>
      <c r="C47" s="346">
        <v>720.5</v>
      </c>
      <c r="D47" s="346">
        <v>471.5</v>
      </c>
      <c r="E47" s="346">
        <v>410</v>
      </c>
      <c r="F47" s="346">
        <v>382.1</v>
      </c>
      <c r="G47" s="346">
        <v>275.7</v>
      </c>
      <c r="H47" s="346">
        <v>168.126</v>
      </c>
      <c r="I47" s="346">
        <v>83.043000000000006</v>
      </c>
      <c r="J47" s="346">
        <v>83.015000000000001</v>
      </c>
      <c r="K47" s="346">
        <v>58.747</v>
      </c>
      <c r="L47" s="346">
        <v>29.506</v>
      </c>
      <c r="U47" s="538"/>
      <c r="V47" s="538"/>
      <c r="W47" s="538"/>
    </row>
    <row r="48" spans="1:23" ht="11.25">
      <c r="A48" s="231" t="s">
        <v>216</v>
      </c>
      <c r="B48" s="344">
        <v>88</v>
      </c>
      <c r="C48" s="346">
        <v>18818.400000000001</v>
      </c>
      <c r="D48" s="346">
        <v>18371.8</v>
      </c>
      <c r="E48" s="346">
        <v>17865</v>
      </c>
      <c r="F48" s="346">
        <v>16975.599999999999</v>
      </c>
      <c r="G48" s="346">
        <v>17338.600999999999</v>
      </c>
      <c r="H48" s="346">
        <v>17833.251</v>
      </c>
      <c r="I48" s="346">
        <v>18092.481</v>
      </c>
      <c r="J48" s="346">
        <v>18089.940999999999</v>
      </c>
      <c r="K48" s="346">
        <v>18052.650000000001</v>
      </c>
      <c r="L48" s="346">
        <v>18297.641</v>
      </c>
      <c r="U48" s="538"/>
      <c r="V48" s="538"/>
      <c r="W48" s="538"/>
    </row>
    <row r="49" spans="1:20" ht="11.25">
      <c r="A49" s="231" t="s">
        <v>451</v>
      </c>
      <c r="B49" s="344">
        <v>57</v>
      </c>
      <c r="C49" s="346">
        <v>1755.2</v>
      </c>
      <c r="D49" s="346">
        <v>3214.3</v>
      </c>
      <c r="E49" s="346">
        <v>3700</v>
      </c>
      <c r="F49" s="346">
        <v>4493.6000000000004</v>
      </c>
      <c r="G49" s="346">
        <v>4459.2550000000001</v>
      </c>
      <c r="H49" s="346">
        <v>4362.8249999999998</v>
      </c>
      <c r="I49" s="346">
        <v>2837.4059999999999</v>
      </c>
      <c r="J49" s="346">
        <v>3851.7710000000002</v>
      </c>
      <c r="K49" s="346">
        <v>4530.28</v>
      </c>
      <c r="L49" s="346">
        <v>5492.6289999999999</v>
      </c>
    </row>
    <row r="50" spans="1:20" ht="11.25">
      <c r="A50" s="231" t="s">
        <v>216</v>
      </c>
      <c r="B50" s="344">
        <v>56</v>
      </c>
      <c r="C50" s="346">
        <v>11595.3</v>
      </c>
      <c r="D50" s="346">
        <v>12184.4</v>
      </c>
      <c r="E50" s="346">
        <v>10784.5</v>
      </c>
      <c r="F50" s="346">
        <v>8973.6</v>
      </c>
      <c r="G50" s="346">
        <v>9236.3130000000001</v>
      </c>
      <c r="H50" s="346">
        <v>8374.3369999999995</v>
      </c>
      <c r="I50" s="346">
        <v>8314.7450000000008</v>
      </c>
      <c r="J50" s="346">
        <v>5732.7489999999998</v>
      </c>
      <c r="K50" s="346">
        <v>5055.6580000000004</v>
      </c>
      <c r="L50" s="346">
        <v>4562.8059999999996</v>
      </c>
    </row>
    <row r="51" spans="1:20" ht="11.25">
      <c r="A51" s="235" t="s">
        <v>685</v>
      </c>
      <c r="B51" s="358"/>
      <c r="C51" s="349">
        <v>32889.5</v>
      </c>
      <c r="D51" s="349">
        <v>34242</v>
      </c>
      <c r="E51" s="349">
        <v>32759.5</v>
      </c>
      <c r="F51" s="349">
        <v>30825</v>
      </c>
      <c r="G51" s="349">
        <f t="shared" ref="G51:K51" si="5">SUM(G47:G50)</f>
        <v>31309.868999999999</v>
      </c>
      <c r="H51" s="349">
        <f t="shared" si="5"/>
        <v>30738.539000000001</v>
      </c>
      <c r="I51" s="349">
        <f t="shared" si="5"/>
        <v>29327.675000000003</v>
      </c>
      <c r="J51" s="349">
        <f t="shared" si="5"/>
        <v>27757.475999999999</v>
      </c>
      <c r="K51" s="349">
        <f t="shared" si="5"/>
        <v>27697.334999999999</v>
      </c>
      <c r="L51" s="349">
        <f>SUM(L47:L50)</f>
        <v>28382.582000000002</v>
      </c>
    </row>
    <row r="52" spans="1:20" ht="21" customHeight="1">
      <c r="A52" s="527" t="s">
        <v>715</v>
      </c>
      <c r="B52" s="527"/>
      <c r="C52" s="352">
        <v>33360</v>
      </c>
      <c r="D52" s="352">
        <v>34671.699999999997</v>
      </c>
      <c r="E52" s="352">
        <v>33134.199999999997</v>
      </c>
      <c r="F52" s="352">
        <v>31199</v>
      </c>
      <c r="G52" s="352">
        <f t="shared" ref="G52:L52" si="6">SUM(G46+G51)</f>
        <v>31659.16</v>
      </c>
      <c r="H52" s="352">
        <f t="shared" si="6"/>
        <v>31089.743000000002</v>
      </c>
      <c r="I52" s="352">
        <f t="shared" si="6"/>
        <v>29607.700000000004</v>
      </c>
      <c r="J52" s="352">
        <f t="shared" si="6"/>
        <v>27983.173999999999</v>
      </c>
      <c r="K52" s="352">
        <f t="shared" si="6"/>
        <v>27890.531999999999</v>
      </c>
      <c r="L52" s="352">
        <f t="shared" si="6"/>
        <v>28602.693000000003</v>
      </c>
      <c r="N52" s="221" t="s">
        <v>515</v>
      </c>
    </row>
    <row r="53" spans="1:20" ht="21" customHeight="1">
      <c r="A53" s="527" t="s">
        <v>716</v>
      </c>
      <c r="B53" s="527"/>
      <c r="C53" s="352">
        <v>91.4</v>
      </c>
      <c r="D53" s="352">
        <v>95</v>
      </c>
      <c r="E53" s="352">
        <v>90.8</v>
      </c>
      <c r="F53" s="352">
        <v>85.5</v>
      </c>
      <c r="G53" s="352">
        <f>G52/365</f>
        <v>86.737424657534248</v>
      </c>
      <c r="H53" s="352">
        <f>H52/366</f>
        <v>84.944653005464488</v>
      </c>
      <c r="I53" s="352">
        <f>I52/365</f>
        <v>81.116986301369877</v>
      </c>
      <c r="J53" s="352">
        <f>J52/365</f>
        <v>76.6662301369863</v>
      </c>
      <c r="K53" s="352">
        <f>K52/365</f>
        <v>76.412416438356161</v>
      </c>
      <c r="L53" s="352">
        <f>L52/366</f>
        <v>78.149434426229519</v>
      </c>
      <c r="N53" s="221"/>
    </row>
    <row r="54" spans="1:20" ht="14.45" customHeight="1">
      <c r="A54" s="528"/>
      <c r="B54" s="528"/>
      <c r="C54" s="359"/>
      <c r="D54" s="359"/>
      <c r="E54" s="359"/>
      <c r="F54" s="359"/>
      <c r="G54" s="360"/>
      <c r="H54" s="360"/>
      <c r="I54" s="360"/>
      <c r="J54" s="360"/>
      <c r="K54" s="360"/>
      <c r="L54" s="360"/>
      <c r="M54" s="361"/>
    </row>
    <row r="55" spans="1:20" ht="24" customHeight="1">
      <c r="A55" s="495" t="s">
        <v>717</v>
      </c>
      <c r="B55" s="495"/>
      <c r="C55" s="362">
        <v>54532.800000000003</v>
      </c>
      <c r="D55" s="362">
        <v>49444.7</v>
      </c>
      <c r="E55" s="362">
        <v>49034.5</v>
      </c>
      <c r="F55" s="362">
        <v>49036</v>
      </c>
      <c r="G55" s="363">
        <f t="shared" ref="G55:K55" si="7">SUM(G39+G52)</f>
        <v>50998.228999999999</v>
      </c>
      <c r="H55" s="363">
        <f t="shared" si="7"/>
        <v>45611.582999999999</v>
      </c>
      <c r="I55" s="363">
        <f t="shared" si="7"/>
        <v>43620.350000000006</v>
      </c>
      <c r="J55" s="363">
        <f t="shared" si="7"/>
        <v>42779.637999999999</v>
      </c>
      <c r="K55" s="363">
        <f t="shared" si="7"/>
        <v>42014.345000000001</v>
      </c>
      <c r="L55" s="363">
        <f>SUM(L39+L52)</f>
        <v>43473.707999999999</v>
      </c>
    </row>
    <row r="56" spans="1:20" ht="24" customHeight="1">
      <c r="A56" s="495" t="s">
        <v>718</v>
      </c>
      <c r="B56" s="495"/>
      <c r="C56" s="296">
        <v>149.4</v>
      </c>
      <c r="D56" s="296">
        <v>135.5</v>
      </c>
      <c r="E56" s="296">
        <v>134.30000000000001</v>
      </c>
      <c r="F56" s="296">
        <v>134.30000000000001</v>
      </c>
      <c r="G56" s="363">
        <v>139.721</v>
      </c>
      <c r="H56" s="363">
        <f>+H55/366</f>
        <v>124.62181147540983</v>
      </c>
      <c r="I56" s="363">
        <f>+I55/365</f>
        <v>119.5078082191781</v>
      </c>
      <c r="J56" s="363">
        <f>+J55/365</f>
        <v>117.20448767123287</v>
      </c>
      <c r="K56" s="363">
        <f>+K55/365</f>
        <v>115.10779452054796</v>
      </c>
      <c r="L56" s="363">
        <f>+L55/366</f>
        <v>118.78062295081966</v>
      </c>
    </row>
    <row r="57" spans="1:20" ht="14.45" customHeight="1">
      <c r="F57" s="364"/>
      <c r="O57" s="529" t="s">
        <v>719</v>
      </c>
      <c r="P57" s="529"/>
      <c r="Q57" s="529"/>
      <c r="R57" s="529"/>
      <c r="S57" s="529"/>
      <c r="T57" s="529"/>
    </row>
    <row r="58" spans="1:20" ht="14.45" customHeight="1">
      <c r="A58" s="221" t="s">
        <v>515</v>
      </c>
      <c r="O58" s="529"/>
      <c r="P58" s="529"/>
      <c r="Q58" s="529"/>
      <c r="R58" s="529"/>
      <c r="S58" s="529"/>
      <c r="T58" s="529"/>
    </row>
    <row r="59" spans="1:20" ht="14.45" customHeight="1">
      <c r="O59" s="365"/>
      <c r="P59" s="366">
        <v>2025</v>
      </c>
      <c r="Q59" s="366">
        <f>+P59+1</f>
        <v>2026</v>
      </c>
      <c r="R59" s="366">
        <f>+Q59+1</f>
        <v>2027</v>
      </c>
      <c r="S59" s="366">
        <f>+R59+1</f>
        <v>2028</v>
      </c>
      <c r="T59" s="366">
        <f>+S59+1</f>
        <v>2029</v>
      </c>
    </row>
    <row r="60" spans="1:20" ht="14.45" customHeight="1">
      <c r="O60" s="365" t="s">
        <v>720</v>
      </c>
      <c r="P60" s="367">
        <v>49.22</v>
      </c>
      <c r="Q60" s="367">
        <v>45.12</v>
      </c>
      <c r="R60" s="367">
        <v>44.65</v>
      </c>
      <c r="S60" s="367">
        <v>42.13</v>
      </c>
      <c r="T60" s="367">
        <v>25.88</v>
      </c>
    </row>
    <row r="61" spans="1:20" ht="14.45" customHeight="1">
      <c r="O61" s="365" t="s">
        <v>721</v>
      </c>
      <c r="P61" s="367">
        <v>71.02</v>
      </c>
      <c r="Q61" s="367">
        <v>73.75</v>
      </c>
      <c r="R61" s="367">
        <v>76.5</v>
      </c>
      <c r="S61" s="367">
        <v>72.58</v>
      </c>
      <c r="T61" s="367">
        <v>66.459999999999994</v>
      </c>
    </row>
    <row r="62" spans="1:20" ht="14.45" customHeight="1">
      <c r="P62" s="368">
        <f>SUM(P60:P61)</f>
        <v>120.24</v>
      </c>
      <c r="Q62" s="368">
        <f>SUM(Q60:Q61)</f>
        <v>118.87</v>
      </c>
      <c r="R62" s="368">
        <f>SUM(R60:R61)</f>
        <v>121.15</v>
      </c>
      <c r="S62" s="368">
        <f>SUM(S60:S61)</f>
        <v>114.71000000000001</v>
      </c>
      <c r="T62" s="368">
        <f>SUM(T60:T61)</f>
        <v>92.339999999999989</v>
      </c>
    </row>
    <row r="77" spans="15:15" ht="14.45" customHeight="1">
      <c r="O77" s="369" t="s">
        <v>515</v>
      </c>
    </row>
  </sheetData>
  <mergeCells count="17">
    <mergeCell ref="U23:W25"/>
    <mergeCell ref="N34:S34"/>
    <mergeCell ref="A52:B52"/>
    <mergeCell ref="A2:J2"/>
    <mergeCell ref="A4:L4"/>
    <mergeCell ref="A5:L5"/>
    <mergeCell ref="N9:S10"/>
    <mergeCell ref="A39:B39"/>
    <mergeCell ref="A40:B40"/>
    <mergeCell ref="A41:F41"/>
    <mergeCell ref="A42:J42"/>
    <mergeCell ref="U46:W48"/>
    <mergeCell ref="A53:B53"/>
    <mergeCell ref="A54:B54"/>
    <mergeCell ref="A55:B55"/>
    <mergeCell ref="A56:B56"/>
    <mergeCell ref="O57:T58"/>
  </mergeCells>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50"/>
  </sheetPr>
  <dimension ref="A1:V72"/>
  <sheetViews>
    <sheetView workbookViewId="0">
      <selection sqref="A1:XFD1048576"/>
    </sheetView>
  </sheetViews>
  <sheetFormatPr baseColWidth="10" defaultColWidth="13.7109375" defaultRowHeight="14.45" customHeight="1"/>
  <cols>
    <col min="1" max="1" width="14.28515625" style="221" customWidth="1"/>
    <col min="2" max="2" width="8" style="222" customWidth="1"/>
    <col min="3" max="3" width="8.85546875" style="223" customWidth="1"/>
    <col min="4" max="10" width="8.7109375" style="223" bestFit="1" customWidth="1"/>
    <col min="11" max="11" width="10.28515625" style="223" bestFit="1" customWidth="1"/>
    <col min="12" max="12" width="8.7109375" style="223" bestFit="1" customWidth="1"/>
    <col min="13" max="13" width="9.5703125" style="223" bestFit="1" customWidth="1"/>
    <col min="14" max="14" width="9" style="223" bestFit="1" customWidth="1"/>
    <col min="15" max="15" width="10.140625" style="223" customWidth="1"/>
    <col min="16" max="16384" width="13.7109375" style="223"/>
  </cols>
  <sheetData>
    <row r="1" spans="1:22" ht="14.45" customHeight="1">
      <c r="R1" s="312" t="s">
        <v>646</v>
      </c>
      <c r="S1" s="370"/>
      <c r="T1" s="370"/>
      <c r="U1" s="370"/>
      <c r="V1" s="370"/>
    </row>
    <row r="2" spans="1:22" ht="14.45" customHeight="1">
      <c r="A2" s="517" t="s">
        <v>722</v>
      </c>
      <c r="B2" s="517"/>
      <c r="C2" s="517"/>
      <c r="D2" s="517"/>
      <c r="E2" s="517"/>
      <c r="F2" s="517"/>
      <c r="G2" s="517"/>
      <c r="H2" s="517"/>
      <c r="I2" s="517"/>
      <c r="J2" s="517"/>
      <c r="K2" s="517"/>
      <c r="L2" s="517"/>
      <c r="M2" s="517"/>
      <c r="N2" s="517"/>
      <c r="O2" s="517"/>
      <c r="T2"/>
    </row>
    <row r="4" spans="1:22" s="222" customFormat="1" ht="14.45" customHeight="1">
      <c r="A4" s="539" t="s">
        <v>723</v>
      </c>
      <c r="B4" s="539"/>
      <c r="C4" s="539"/>
      <c r="D4" s="539"/>
      <c r="E4" s="539"/>
      <c r="F4" s="539"/>
      <c r="G4" s="539"/>
      <c r="H4" s="539"/>
      <c r="I4" s="539"/>
      <c r="J4" s="539"/>
      <c r="K4" s="539"/>
      <c r="L4" s="539"/>
      <c r="M4" s="539"/>
      <c r="N4" s="539"/>
      <c r="O4" s="539"/>
    </row>
    <row r="5" spans="1:22" s="222" customFormat="1" ht="14.45" customHeight="1">
      <c r="A5" s="539"/>
      <c r="B5" s="539"/>
      <c r="C5" s="539"/>
      <c r="D5" s="539"/>
      <c r="E5" s="539"/>
      <c r="F5" s="539"/>
      <c r="G5" s="539"/>
      <c r="H5" s="539"/>
      <c r="I5" s="539"/>
      <c r="J5" s="539"/>
      <c r="K5" s="539"/>
      <c r="L5" s="539"/>
      <c r="M5" s="539"/>
      <c r="N5" s="539"/>
      <c r="O5" s="539"/>
    </row>
    <row r="6" spans="1:22" s="222" customFormat="1" ht="14.45" customHeight="1">
      <c r="A6" s="229" t="s">
        <v>401</v>
      </c>
      <c r="B6" s="229" t="s">
        <v>402</v>
      </c>
      <c r="C6" s="229" t="s">
        <v>649</v>
      </c>
      <c r="D6" s="229" t="s">
        <v>650</v>
      </c>
      <c r="E6" s="229" t="s">
        <v>651</v>
      </c>
      <c r="F6" s="229" t="s">
        <v>652</v>
      </c>
      <c r="G6" s="229" t="s">
        <v>653</v>
      </c>
      <c r="H6" s="229" t="s">
        <v>654</v>
      </c>
      <c r="I6" s="229" t="s">
        <v>655</v>
      </c>
      <c r="J6" s="229" t="s">
        <v>656</v>
      </c>
      <c r="K6" s="229" t="s">
        <v>657</v>
      </c>
      <c r="L6" s="229" t="s">
        <v>658</v>
      </c>
      <c r="M6" s="229" t="s">
        <v>659</v>
      </c>
      <c r="N6" s="229" t="s">
        <v>660</v>
      </c>
      <c r="O6" s="229" t="s">
        <v>151</v>
      </c>
    </row>
    <row r="7" spans="1:22" ht="14.45" customHeight="1">
      <c r="A7" s="231" t="s">
        <v>504</v>
      </c>
      <c r="B7" s="232" t="s">
        <v>663</v>
      </c>
      <c r="C7" s="265">
        <v>79278.013999999996</v>
      </c>
      <c r="D7" s="265">
        <v>76737.586199999991</v>
      </c>
      <c r="E7" s="265">
        <v>78648.903000000006</v>
      </c>
      <c r="F7" s="265">
        <v>77390.598199999993</v>
      </c>
      <c r="G7" s="265">
        <v>82078.235000000001</v>
      </c>
      <c r="H7" s="265">
        <v>74580.817999999999</v>
      </c>
      <c r="I7" s="265">
        <v>77264.815199999997</v>
      </c>
      <c r="J7" s="265">
        <v>66049.607900000003</v>
      </c>
      <c r="K7" s="265">
        <v>73751.024999999994</v>
      </c>
      <c r="L7" s="265">
        <v>73708.8554</v>
      </c>
      <c r="M7" s="265">
        <v>71547.172999999995</v>
      </c>
      <c r="N7" s="265">
        <v>74565.756299999994</v>
      </c>
      <c r="O7" s="265">
        <f t="shared" ref="O7:O15" si="0">SUM(C7:N7)</f>
        <v>905601.38719999988</v>
      </c>
    </row>
    <row r="8" spans="1:22" ht="14.45" customHeight="1">
      <c r="A8" s="231" t="s">
        <v>506</v>
      </c>
      <c r="B8" s="232" t="s">
        <v>507</v>
      </c>
      <c r="C8" s="265">
        <v>31669.808199999999</v>
      </c>
      <c r="D8" s="265">
        <v>27159.25</v>
      </c>
      <c r="E8" s="265">
        <v>27669.576300000001</v>
      </c>
      <c r="F8" s="265">
        <v>27229.105500000001</v>
      </c>
      <c r="G8" s="265">
        <v>37682.234600000003</v>
      </c>
      <c r="H8" s="265">
        <v>33281.287600000003</v>
      </c>
      <c r="I8" s="265">
        <v>29660.7261</v>
      </c>
      <c r="J8" s="265">
        <v>19437.4107</v>
      </c>
      <c r="K8" s="265">
        <v>19591.572499999998</v>
      </c>
      <c r="L8" s="265">
        <v>30237.589800000002</v>
      </c>
      <c r="M8" s="265">
        <v>25533.771499999999</v>
      </c>
      <c r="N8" s="265">
        <v>19551.075499999999</v>
      </c>
      <c r="O8" s="265">
        <f t="shared" si="0"/>
        <v>328703.40830000001</v>
      </c>
    </row>
    <row r="9" spans="1:22" ht="14.45" customHeight="1">
      <c r="A9" s="231" t="s">
        <v>213</v>
      </c>
      <c r="B9" s="232" t="s">
        <v>444</v>
      </c>
      <c r="C9" s="265">
        <v>9247.4253000000008</v>
      </c>
      <c r="D9" s="265">
        <v>0</v>
      </c>
      <c r="E9" s="265">
        <v>0</v>
      </c>
      <c r="F9" s="265">
        <v>43647.661599999999</v>
      </c>
      <c r="G9" s="265">
        <v>63866.595699999998</v>
      </c>
      <c r="H9" s="265">
        <v>15287.626</v>
      </c>
      <c r="I9" s="265">
        <v>13212.447</v>
      </c>
      <c r="J9" s="265">
        <v>1292.057</v>
      </c>
      <c r="K9" s="265">
        <v>3992.1570999999999</v>
      </c>
      <c r="L9" s="265">
        <v>32761.5484</v>
      </c>
      <c r="M9" s="265">
        <v>20997.075799999999</v>
      </c>
      <c r="N9" s="265">
        <v>16690.442800000001</v>
      </c>
      <c r="O9" s="265">
        <f t="shared" si="0"/>
        <v>220995.03669999997</v>
      </c>
    </row>
    <row r="10" spans="1:22" ht="14.45" customHeight="1">
      <c r="A10" s="231" t="s">
        <v>213</v>
      </c>
      <c r="B10" s="232" t="s">
        <v>443</v>
      </c>
      <c r="C10" s="265">
        <v>66241.652400000006</v>
      </c>
      <c r="D10" s="265">
        <v>64957.154200000004</v>
      </c>
      <c r="E10" s="265">
        <v>66803.184200000003</v>
      </c>
      <c r="F10" s="265">
        <v>64137.8488</v>
      </c>
      <c r="G10" s="265">
        <v>88930.671100000007</v>
      </c>
      <c r="H10" s="265">
        <v>89173.305600000007</v>
      </c>
      <c r="I10" s="265">
        <v>86937.078899999993</v>
      </c>
      <c r="J10" s="265">
        <v>69318.201300000001</v>
      </c>
      <c r="K10" s="265">
        <v>75553.599100000007</v>
      </c>
      <c r="L10" s="265">
        <v>85661.326400000005</v>
      </c>
      <c r="M10" s="265">
        <v>99486.061900000001</v>
      </c>
      <c r="N10" s="265">
        <v>89823.598800000007</v>
      </c>
      <c r="O10" s="265">
        <f t="shared" si="0"/>
        <v>947023.6827</v>
      </c>
    </row>
    <row r="11" spans="1:22" ht="14.45" customHeight="1">
      <c r="A11" s="231" t="s">
        <v>504</v>
      </c>
      <c r="B11" s="232" t="s">
        <v>668</v>
      </c>
      <c r="C11" s="265">
        <v>95898.930999999997</v>
      </c>
      <c r="D11" s="265">
        <v>87387.095700000005</v>
      </c>
      <c r="E11" s="265">
        <v>94836.092999999993</v>
      </c>
      <c r="F11" s="265">
        <v>92699.944900000002</v>
      </c>
      <c r="G11" s="265">
        <v>96789.905799999993</v>
      </c>
      <c r="H11" s="265">
        <v>101996.39380000001</v>
      </c>
      <c r="I11" s="265">
        <v>111610.678</v>
      </c>
      <c r="J11" s="265">
        <v>84906.804000000004</v>
      </c>
      <c r="K11" s="265">
        <v>104156.64</v>
      </c>
      <c r="L11" s="265">
        <v>111250.44100000001</v>
      </c>
      <c r="M11" s="265">
        <v>98676.74</v>
      </c>
      <c r="N11" s="265">
        <v>98203.739000000001</v>
      </c>
      <c r="O11" s="265">
        <f t="shared" si="0"/>
        <v>1178413.4062000001</v>
      </c>
    </row>
    <row r="12" spans="1:22" ht="14.45" customHeight="1">
      <c r="A12" s="231" t="s">
        <v>433</v>
      </c>
      <c r="B12" s="232" t="s">
        <v>600</v>
      </c>
      <c r="C12" s="265">
        <v>0</v>
      </c>
      <c r="D12" s="265">
        <v>0</v>
      </c>
      <c r="E12" s="265">
        <v>0</v>
      </c>
      <c r="F12" s="265">
        <v>0</v>
      </c>
      <c r="G12" s="265">
        <v>0</v>
      </c>
      <c r="H12" s="265">
        <v>0</v>
      </c>
      <c r="I12" s="265">
        <v>0</v>
      </c>
      <c r="J12" s="265">
        <v>0</v>
      </c>
      <c r="K12" s="265">
        <v>0</v>
      </c>
      <c r="L12" s="265">
        <v>0</v>
      </c>
      <c r="M12" s="265">
        <v>0</v>
      </c>
      <c r="N12" s="265">
        <v>0</v>
      </c>
      <c r="O12" s="265">
        <f t="shared" si="0"/>
        <v>0</v>
      </c>
    </row>
    <row r="13" spans="1:22" ht="14.45" customHeight="1">
      <c r="A13" s="231" t="s">
        <v>412</v>
      </c>
      <c r="B13" s="232" t="s">
        <v>445</v>
      </c>
      <c r="C13" s="265">
        <v>392498</v>
      </c>
      <c r="D13" s="265">
        <v>337973</v>
      </c>
      <c r="E13" s="265">
        <v>395420</v>
      </c>
      <c r="F13" s="265">
        <v>378735</v>
      </c>
      <c r="G13" s="265">
        <v>233151</v>
      </c>
      <c r="H13" s="265">
        <v>0</v>
      </c>
      <c r="I13" s="265">
        <v>0</v>
      </c>
      <c r="J13" s="265">
        <v>0</v>
      </c>
      <c r="K13" s="265">
        <v>0</v>
      </c>
      <c r="L13" s="265">
        <v>0</v>
      </c>
      <c r="M13" s="265">
        <v>0</v>
      </c>
      <c r="N13" s="265">
        <v>0</v>
      </c>
      <c r="O13" s="265">
        <f t="shared" si="0"/>
        <v>1737777</v>
      </c>
    </row>
    <row r="14" spans="1:22" ht="14.45" customHeight="1">
      <c r="A14" s="231" t="s">
        <v>670</v>
      </c>
      <c r="B14" s="232" t="s">
        <v>671</v>
      </c>
      <c r="C14" s="265"/>
      <c r="D14" s="265"/>
      <c r="E14" s="265"/>
      <c r="F14" s="265"/>
      <c r="G14" s="265">
        <v>151539</v>
      </c>
      <c r="H14" s="265">
        <v>361709</v>
      </c>
      <c r="I14" s="265">
        <v>371714</v>
      </c>
      <c r="J14" s="265">
        <v>367656</v>
      </c>
      <c r="K14" s="265">
        <v>349195</v>
      </c>
      <c r="L14" s="265">
        <v>368219</v>
      </c>
      <c r="M14" s="265">
        <v>345059</v>
      </c>
      <c r="N14" s="265">
        <v>390192</v>
      </c>
      <c r="O14" s="265">
        <f t="shared" si="0"/>
        <v>2705283</v>
      </c>
    </row>
    <row r="15" spans="1:22" ht="14.45" customHeight="1">
      <c r="A15" s="231" t="s">
        <v>433</v>
      </c>
      <c r="B15" s="232" t="s">
        <v>406</v>
      </c>
      <c r="C15" s="265">
        <v>841076.56200000003</v>
      </c>
      <c r="D15" s="265">
        <v>826963.79139999999</v>
      </c>
      <c r="E15" s="265">
        <v>826313.66890000005</v>
      </c>
      <c r="F15" s="265">
        <v>880493.30429999996</v>
      </c>
      <c r="G15" s="265">
        <v>879911.20880000002</v>
      </c>
      <c r="H15" s="265">
        <v>845279.46669999999</v>
      </c>
      <c r="I15" s="265">
        <v>811811.65150000004</v>
      </c>
      <c r="J15" s="265">
        <v>785957.57640000002</v>
      </c>
      <c r="K15" s="265">
        <v>752454.94380000001</v>
      </c>
      <c r="L15" s="265">
        <v>781232.85569999996</v>
      </c>
      <c r="M15" s="265">
        <v>776007.01820000005</v>
      </c>
      <c r="N15" s="265">
        <v>835786.86659999995</v>
      </c>
      <c r="O15" s="265">
        <f t="shared" si="0"/>
        <v>9843288.9142999984</v>
      </c>
    </row>
    <row r="16" spans="1:22" ht="14.45" customHeight="1">
      <c r="A16" s="499" t="s">
        <v>672</v>
      </c>
      <c r="B16" s="499"/>
      <c r="C16" s="266">
        <f t="shared" ref="C16:O16" si="1">SUM(C7:C15)</f>
        <v>1515910.3928999999</v>
      </c>
      <c r="D16" s="266">
        <f t="shared" si="1"/>
        <v>1421177.8774999999</v>
      </c>
      <c r="E16" s="266">
        <f t="shared" si="1"/>
        <v>1489691.4254000001</v>
      </c>
      <c r="F16" s="266">
        <f t="shared" si="1"/>
        <v>1564333.4632999999</v>
      </c>
      <c r="G16" s="266">
        <f t="shared" si="1"/>
        <v>1633948.8510000003</v>
      </c>
      <c r="H16" s="266">
        <f t="shared" si="1"/>
        <v>1521307.8977000001</v>
      </c>
      <c r="I16" s="266">
        <f t="shared" si="1"/>
        <v>1502211.3966999999</v>
      </c>
      <c r="J16" s="266">
        <f t="shared" si="1"/>
        <v>1394617.6573000001</v>
      </c>
      <c r="K16" s="266">
        <f t="shared" si="1"/>
        <v>1378694.9375</v>
      </c>
      <c r="L16" s="266">
        <f t="shared" si="1"/>
        <v>1483071.6166999999</v>
      </c>
      <c r="M16" s="266">
        <f t="shared" si="1"/>
        <v>1437306.8404000001</v>
      </c>
      <c r="N16" s="266">
        <f t="shared" si="1"/>
        <v>1524813.4789999998</v>
      </c>
      <c r="O16" s="266">
        <f t="shared" si="1"/>
        <v>17867085.8354</v>
      </c>
    </row>
    <row r="17" spans="1:17" ht="14.45" customHeight="1">
      <c r="A17" s="231" t="s">
        <v>504</v>
      </c>
      <c r="B17" s="232" t="s">
        <v>673</v>
      </c>
      <c r="C17" s="265">
        <v>326889.68300000002</v>
      </c>
      <c r="D17" s="265">
        <v>312071.35739999998</v>
      </c>
      <c r="E17" s="265">
        <v>299357.82339999999</v>
      </c>
      <c r="F17" s="265">
        <v>296251.45429999998</v>
      </c>
      <c r="G17" s="265">
        <v>273301.41269999999</v>
      </c>
      <c r="H17" s="265">
        <v>245496.85980000001</v>
      </c>
      <c r="I17" s="265">
        <v>261589.3021</v>
      </c>
      <c r="J17" s="265">
        <v>260142.48190000001</v>
      </c>
      <c r="K17" s="265">
        <v>292206.43939999997</v>
      </c>
      <c r="L17" s="265">
        <v>285237.79139999999</v>
      </c>
      <c r="M17" s="265">
        <v>267539.59989999997</v>
      </c>
      <c r="N17" s="265">
        <v>244739.5969</v>
      </c>
      <c r="O17" s="265">
        <f>SUM(C17:N17)</f>
        <v>3364823.8021999998</v>
      </c>
    </row>
    <row r="18" spans="1:17" ht="14.45" customHeight="1">
      <c r="A18" s="499" t="s">
        <v>724</v>
      </c>
      <c r="B18" s="499"/>
      <c r="C18" s="266">
        <f t="shared" ref="C18:O18" si="2">SUM(C17:C17)</f>
        <v>326889.68300000002</v>
      </c>
      <c r="D18" s="266">
        <f t="shared" si="2"/>
        <v>312071.35739999998</v>
      </c>
      <c r="E18" s="266">
        <f t="shared" si="2"/>
        <v>299357.82339999999</v>
      </c>
      <c r="F18" s="266">
        <f t="shared" si="2"/>
        <v>296251.45429999998</v>
      </c>
      <c r="G18" s="266">
        <f t="shared" si="2"/>
        <v>273301.41269999999</v>
      </c>
      <c r="H18" s="266">
        <f t="shared" si="2"/>
        <v>245496.85980000001</v>
      </c>
      <c r="I18" s="266">
        <f t="shared" si="2"/>
        <v>261589.3021</v>
      </c>
      <c r="J18" s="266">
        <f t="shared" si="2"/>
        <v>260142.48190000001</v>
      </c>
      <c r="K18" s="266">
        <f t="shared" si="2"/>
        <v>292206.43939999997</v>
      </c>
      <c r="L18" s="266">
        <f t="shared" si="2"/>
        <v>285237.79139999999</v>
      </c>
      <c r="M18" s="266">
        <f t="shared" si="2"/>
        <v>267539.59989999997</v>
      </c>
      <c r="N18" s="266">
        <f t="shared" si="2"/>
        <v>244739.5969</v>
      </c>
      <c r="O18" s="266">
        <f t="shared" si="2"/>
        <v>3364823.8021999998</v>
      </c>
    </row>
    <row r="19" spans="1:17" ht="14.45" customHeight="1">
      <c r="A19" s="231" t="s">
        <v>214</v>
      </c>
      <c r="B19" s="232" t="s">
        <v>714</v>
      </c>
      <c r="C19" s="265">
        <v>189990.18900000001</v>
      </c>
      <c r="D19" s="265">
        <v>154446.12280000001</v>
      </c>
      <c r="E19" s="265">
        <v>23296.620299999999</v>
      </c>
      <c r="F19" s="265">
        <v>34144.550499999998</v>
      </c>
      <c r="G19" s="265">
        <v>24917.8488</v>
      </c>
      <c r="H19" s="265">
        <v>182832.72330000001</v>
      </c>
      <c r="I19" s="265">
        <v>522441.7966</v>
      </c>
      <c r="J19" s="265">
        <v>376536.06349999999</v>
      </c>
      <c r="K19" s="265">
        <v>437909.53100000002</v>
      </c>
      <c r="L19" s="265">
        <v>428911.1005</v>
      </c>
      <c r="M19" s="265">
        <v>172550.58199999999</v>
      </c>
      <c r="N19" s="265">
        <v>531.66179999999997</v>
      </c>
      <c r="O19" s="265">
        <f>SUM(C19:N19)</f>
        <v>2548508.7900999999</v>
      </c>
    </row>
    <row r="20" spans="1:17" ht="14.45" customHeight="1">
      <c r="A20" s="231" t="s">
        <v>451</v>
      </c>
      <c r="B20" s="232">
        <v>57</v>
      </c>
      <c r="C20" s="265">
        <v>7394982.5826000003</v>
      </c>
      <c r="D20" s="265">
        <v>6608627.0910999998</v>
      </c>
      <c r="E20" s="265">
        <v>7738160.5546000004</v>
      </c>
      <c r="F20" s="265">
        <v>7486063.3265000004</v>
      </c>
      <c r="G20" s="265">
        <v>7474998.2856000001</v>
      </c>
      <c r="H20" s="265">
        <v>7389345.1003999999</v>
      </c>
      <c r="I20" s="265">
        <v>6296238.3492000001</v>
      </c>
      <c r="J20" s="265">
        <v>5861100.6057000002</v>
      </c>
      <c r="K20" s="265">
        <v>7863247.5652000001</v>
      </c>
      <c r="L20" s="265">
        <v>5456159.1520999996</v>
      </c>
      <c r="M20" s="265">
        <v>7767780.6522000004</v>
      </c>
      <c r="N20" s="265">
        <v>7816671.0176999997</v>
      </c>
      <c r="O20" s="265">
        <f>SUM(C20:N20)</f>
        <v>85153374.282900006</v>
      </c>
    </row>
    <row r="21" spans="1:17" ht="14.45" customHeight="1">
      <c r="A21" s="540" t="s">
        <v>725</v>
      </c>
      <c r="B21" s="232">
        <v>56</v>
      </c>
      <c r="C21" s="265">
        <v>10035876.407500001</v>
      </c>
      <c r="D21" s="265">
        <v>9172163.0968999993</v>
      </c>
      <c r="E21" s="265">
        <v>9730603.5042000003</v>
      </c>
      <c r="F21" s="265">
        <v>9077224.9262000006</v>
      </c>
      <c r="G21" s="265">
        <v>9163576.4722000007</v>
      </c>
      <c r="H21" s="265">
        <v>8267665.6156000001</v>
      </c>
      <c r="I21" s="265">
        <v>7020041.4347999999</v>
      </c>
      <c r="J21" s="265">
        <v>6877874.5132999998</v>
      </c>
      <c r="K21" s="265">
        <v>9687293.3181999996</v>
      </c>
      <c r="L21" s="265">
        <v>7448868.7654999997</v>
      </c>
      <c r="M21" s="265">
        <v>9922658.8657000009</v>
      </c>
      <c r="N21" s="265">
        <v>9913343.2849000003</v>
      </c>
      <c r="O21" s="265">
        <f>SUM(C21:N21)</f>
        <v>106317190.20499998</v>
      </c>
    </row>
    <row r="22" spans="1:17" ht="14.45" customHeight="1">
      <c r="A22" s="540"/>
      <c r="B22" s="232">
        <v>88</v>
      </c>
      <c r="C22" s="265">
        <v>21013944.8849</v>
      </c>
      <c r="D22" s="265">
        <v>21226582.700199999</v>
      </c>
      <c r="E22" s="265">
        <v>22455822.478500001</v>
      </c>
      <c r="F22" s="265">
        <v>20430963.303599998</v>
      </c>
      <c r="G22" s="265">
        <v>24525059.783300001</v>
      </c>
      <c r="H22" s="265">
        <v>25677061.353799999</v>
      </c>
      <c r="I22" s="265">
        <v>28737751.377</v>
      </c>
      <c r="J22" s="265">
        <v>28232104.2973</v>
      </c>
      <c r="K22" s="265">
        <v>28168163.481199998</v>
      </c>
      <c r="L22" s="265">
        <v>27583213.092399999</v>
      </c>
      <c r="M22" s="265">
        <v>25450892.747900002</v>
      </c>
      <c r="N22" s="265">
        <v>21924797.6798</v>
      </c>
      <c r="O22" s="265">
        <f>SUM(C22:N22)</f>
        <v>295426357.17989999</v>
      </c>
    </row>
    <row r="23" spans="1:17" ht="14.45" customHeight="1">
      <c r="A23" s="499" t="s">
        <v>680</v>
      </c>
      <c r="B23" s="499"/>
      <c r="C23" s="266">
        <f>SUM(C19:C22)</f>
        <v>38634794.063999996</v>
      </c>
      <c r="D23" s="266">
        <f t="shared" ref="D23:O23" si="3">SUM(D19:D22)</f>
        <v>37161819.011</v>
      </c>
      <c r="E23" s="266">
        <f t="shared" si="3"/>
        <v>39947883.157600001</v>
      </c>
      <c r="F23" s="266">
        <f t="shared" si="3"/>
        <v>37028396.106799997</v>
      </c>
      <c r="G23" s="266">
        <f t="shared" si="3"/>
        <v>41188552.389899999</v>
      </c>
      <c r="H23" s="266">
        <f t="shared" si="3"/>
        <v>41516904.793099999</v>
      </c>
      <c r="I23" s="266">
        <f t="shared" si="3"/>
        <v>42576472.957599998</v>
      </c>
      <c r="J23" s="266">
        <f t="shared" si="3"/>
        <v>41347615.479800001</v>
      </c>
      <c r="K23" s="266">
        <f t="shared" si="3"/>
        <v>46156613.895599999</v>
      </c>
      <c r="L23" s="266">
        <f t="shared" si="3"/>
        <v>40917152.1105</v>
      </c>
      <c r="M23" s="266">
        <f t="shared" si="3"/>
        <v>43313882.847800002</v>
      </c>
      <c r="N23" s="266">
        <f t="shared" si="3"/>
        <v>39655343.644199997</v>
      </c>
      <c r="O23" s="266">
        <f t="shared" si="3"/>
        <v>489445430.45789999</v>
      </c>
    </row>
    <row r="24" spans="1:17" ht="14.45" customHeight="1">
      <c r="A24" s="237" t="s">
        <v>514</v>
      </c>
      <c r="B24" s="296"/>
      <c r="C24" s="268">
        <f>SUM(C16+C18+C23)</f>
        <v>40477594.139899999</v>
      </c>
      <c r="D24" s="268">
        <f>SUM(D16+D18+D23)</f>
        <v>38895068.245899998</v>
      </c>
      <c r="E24" s="268">
        <f>SUM(E16+E18+E23)</f>
        <v>41736932.406400003</v>
      </c>
      <c r="F24" s="268">
        <f>SUM(F16+F18+F23)-1</f>
        <v>38888980.024399996</v>
      </c>
      <c r="G24" s="268">
        <f>SUM(G16+G18+G23)</f>
        <v>43095802.6536</v>
      </c>
      <c r="H24" s="268">
        <f>SUM(H16+H18+H23)</f>
        <v>43283709.5506</v>
      </c>
      <c r="I24" s="268">
        <f>SUM(I16+I18+I23)</f>
        <v>44340273.656399995</v>
      </c>
      <c r="J24" s="268">
        <f>SUM(J16+J18+J23)+1</f>
        <v>43002376.619000003</v>
      </c>
      <c r="K24" s="268">
        <f>SUM(K16+K18+K23)-1</f>
        <v>47827514.272500001</v>
      </c>
      <c r="L24" s="268">
        <f>SUM(L16+L18+L23)</f>
        <v>42685461.518600002</v>
      </c>
      <c r="M24" s="268">
        <f>SUM(M16+M18+M23)</f>
        <v>45018729.288100004</v>
      </c>
      <c r="N24" s="268">
        <f>SUM(N16+N18+N23)+1</f>
        <v>41424897.720100001</v>
      </c>
      <c r="O24" s="268">
        <f>SUM(O16+O18+O23)</f>
        <v>510677340.09549999</v>
      </c>
      <c r="Q24" s="224"/>
    </row>
    <row r="26" spans="1:17" ht="14.45" customHeight="1">
      <c r="A26" s="221" t="s">
        <v>515</v>
      </c>
    </row>
    <row r="27" spans="1:17" ht="14.45" customHeight="1">
      <c r="B27" s="371"/>
      <c r="C27" s="372">
        <v>45292</v>
      </c>
      <c r="D27" s="372">
        <v>45323</v>
      </c>
      <c r="E27" s="372">
        <v>45352</v>
      </c>
      <c r="F27" s="372">
        <v>45383</v>
      </c>
      <c r="G27" s="372">
        <v>45413</v>
      </c>
      <c r="H27" s="372">
        <v>45444</v>
      </c>
      <c r="I27" s="372">
        <v>45474</v>
      </c>
      <c r="J27" s="372">
        <v>45505</v>
      </c>
      <c r="K27" s="372">
        <v>45536</v>
      </c>
      <c r="L27" s="372">
        <v>45566</v>
      </c>
      <c r="M27" s="372">
        <v>45597</v>
      </c>
      <c r="N27" s="372">
        <v>45627</v>
      </c>
      <c r="O27" s="371"/>
    </row>
    <row r="28" spans="1:17" ht="14.45" customHeight="1">
      <c r="B28" s="371" t="s">
        <v>726</v>
      </c>
      <c r="C28" s="373">
        <f t="shared" ref="C28:M28" si="4">+C16+C18</f>
        <v>1842800.0758999998</v>
      </c>
      <c r="D28" s="373">
        <f t="shared" si="4"/>
        <v>1733249.2349</v>
      </c>
      <c r="E28" s="373">
        <f t="shared" si="4"/>
        <v>1789049.2488000002</v>
      </c>
      <c r="F28" s="373">
        <f t="shared" si="4"/>
        <v>1860584.9175999998</v>
      </c>
      <c r="G28" s="373">
        <f t="shared" si="4"/>
        <v>1907250.2637000002</v>
      </c>
      <c r="H28" s="373">
        <f t="shared" si="4"/>
        <v>1766804.7575000001</v>
      </c>
      <c r="I28" s="373">
        <f t="shared" si="4"/>
        <v>1763800.6987999999</v>
      </c>
      <c r="J28" s="373">
        <f t="shared" si="4"/>
        <v>1654760.1392000001</v>
      </c>
      <c r="K28" s="373">
        <f t="shared" si="4"/>
        <v>1670901.3769</v>
      </c>
      <c r="L28" s="373">
        <f t="shared" si="4"/>
        <v>1768309.4080999999</v>
      </c>
      <c r="M28" s="373">
        <f t="shared" si="4"/>
        <v>1704846.4403000001</v>
      </c>
      <c r="N28" s="373">
        <f>+N16+N18</f>
        <v>1769553.0758999998</v>
      </c>
      <c r="O28" s="371"/>
    </row>
    <row r="29" spans="1:17" ht="14.45" customHeight="1">
      <c r="B29" s="371" t="s">
        <v>727</v>
      </c>
      <c r="C29" s="373">
        <f>+C23</f>
        <v>38634794.063999996</v>
      </c>
      <c r="D29" s="373">
        <f t="shared" ref="D29:M29" si="5">+D23</f>
        <v>37161819.011</v>
      </c>
      <c r="E29" s="373">
        <f t="shared" si="5"/>
        <v>39947883.157600001</v>
      </c>
      <c r="F29" s="373">
        <f t="shared" si="5"/>
        <v>37028396.106799997</v>
      </c>
      <c r="G29" s="373">
        <f t="shared" si="5"/>
        <v>41188552.389899999</v>
      </c>
      <c r="H29" s="373">
        <f t="shared" si="5"/>
        <v>41516904.793099999</v>
      </c>
      <c r="I29" s="373">
        <f t="shared" si="5"/>
        <v>42576472.957599998</v>
      </c>
      <c r="J29" s="373">
        <f t="shared" si="5"/>
        <v>41347615.479800001</v>
      </c>
      <c r="K29" s="373">
        <f t="shared" si="5"/>
        <v>46156613.895599999</v>
      </c>
      <c r="L29" s="373">
        <f t="shared" si="5"/>
        <v>40917152.1105</v>
      </c>
      <c r="M29" s="373">
        <f t="shared" si="5"/>
        <v>43313882.847800002</v>
      </c>
      <c r="N29" s="373">
        <f>+N23</f>
        <v>39655343.644199997</v>
      </c>
      <c r="O29" s="371"/>
    </row>
    <row r="30" spans="1:17" ht="14.45" customHeight="1">
      <c r="B30" s="371"/>
      <c r="C30" s="374"/>
      <c r="D30" s="374"/>
      <c r="E30" s="374"/>
      <c r="F30" s="374"/>
      <c r="G30" s="374"/>
      <c r="H30" s="374"/>
      <c r="I30" s="374"/>
      <c r="J30" s="374"/>
      <c r="K30" s="374"/>
      <c r="L30" s="374"/>
      <c r="M30" s="374"/>
      <c r="N30" s="374"/>
      <c r="O30" s="371"/>
    </row>
    <row r="31" spans="1:17" ht="14.45" customHeight="1">
      <c r="B31" s="371" t="s">
        <v>151</v>
      </c>
      <c r="C31" s="373">
        <f>+C28+C29</f>
        <v>40477594.139899999</v>
      </c>
      <c r="D31" s="373">
        <f t="shared" ref="D31:M31" si="6">+D28+D29</f>
        <v>38895068.245899998</v>
      </c>
      <c r="E31" s="373">
        <f t="shared" si="6"/>
        <v>41736932.406400003</v>
      </c>
      <c r="F31" s="373">
        <f t="shared" si="6"/>
        <v>38888981.024399996</v>
      </c>
      <c r="G31" s="373">
        <f t="shared" si="6"/>
        <v>43095802.6536</v>
      </c>
      <c r="H31" s="373">
        <f t="shared" si="6"/>
        <v>43283709.5506</v>
      </c>
      <c r="I31" s="373">
        <f t="shared" si="6"/>
        <v>44340273.656399995</v>
      </c>
      <c r="J31" s="373">
        <f t="shared" si="6"/>
        <v>43002375.619000003</v>
      </c>
      <c r="K31" s="373">
        <f t="shared" si="6"/>
        <v>47827515.272500001</v>
      </c>
      <c r="L31" s="373">
        <f t="shared" si="6"/>
        <v>42685461.518600002</v>
      </c>
      <c r="M31" s="373">
        <f t="shared" si="6"/>
        <v>45018729.288100004</v>
      </c>
      <c r="N31" s="373">
        <f>+N28+N29</f>
        <v>41424896.720100001</v>
      </c>
      <c r="O31" s="371"/>
    </row>
    <row r="32" spans="1:17" ht="14.45" customHeight="1">
      <c r="B32" s="371" t="s">
        <v>728</v>
      </c>
      <c r="C32" s="373">
        <f>C31/1000</f>
        <v>40477.5941399</v>
      </c>
      <c r="D32" s="373">
        <f t="shared" ref="D32:M32" si="7">D31/1000</f>
        <v>38895.068245899995</v>
      </c>
      <c r="E32" s="373">
        <f t="shared" si="7"/>
        <v>41736.932406400003</v>
      </c>
      <c r="F32" s="373">
        <f t="shared" si="7"/>
        <v>38888.981024399996</v>
      </c>
      <c r="G32" s="373">
        <f t="shared" si="7"/>
        <v>43095.802653600003</v>
      </c>
      <c r="H32" s="373">
        <f t="shared" si="7"/>
        <v>43283.709550599997</v>
      </c>
      <c r="I32" s="373">
        <f t="shared" si="7"/>
        <v>44340.273656399993</v>
      </c>
      <c r="J32" s="373">
        <f t="shared" si="7"/>
        <v>43002.375619000006</v>
      </c>
      <c r="K32" s="373">
        <f t="shared" si="7"/>
        <v>47827.515272500001</v>
      </c>
      <c r="L32" s="373">
        <f t="shared" si="7"/>
        <v>42685.461518600001</v>
      </c>
      <c r="M32" s="373">
        <f t="shared" si="7"/>
        <v>45018.729288100003</v>
      </c>
      <c r="N32" s="373">
        <f>N31/1000</f>
        <v>41424.896720099998</v>
      </c>
      <c r="O32" s="371"/>
    </row>
    <row r="33" spans="2:15" ht="14.45" customHeight="1">
      <c r="B33" s="371"/>
      <c r="C33" s="374"/>
      <c r="D33" s="374"/>
      <c r="E33" s="374"/>
      <c r="F33" s="374"/>
      <c r="G33" s="374"/>
      <c r="H33" s="374"/>
      <c r="I33" s="374"/>
      <c r="J33" s="374"/>
      <c r="K33" s="374"/>
      <c r="L33" s="374"/>
      <c r="M33" s="374"/>
      <c r="N33" s="374"/>
      <c r="O33" s="371"/>
    </row>
    <row r="34" spans="2:15" ht="14.45" customHeight="1">
      <c r="B34" s="371" t="s">
        <v>726</v>
      </c>
      <c r="C34" s="375">
        <f>C28/1000</f>
        <v>1842.8000758999999</v>
      </c>
      <c r="D34" s="375">
        <f t="shared" ref="D34:M35" si="8">D28/1000</f>
        <v>1733.2492349000001</v>
      </c>
      <c r="E34" s="375">
        <f t="shared" si="8"/>
        <v>1789.0492488000002</v>
      </c>
      <c r="F34" s="375">
        <f t="shared" si="8"/>
        <v>1860.5849175999997</v>
      </c>
      <c r="G34" s="375">
        <f t="shared" si="8"/>
        <v>1907.2502637000002</v>
      </c>
      <c r="H34" s="375">
        <f t="shared" si="8"/>
        <v>1766.8047575000001</v>
      </c>
      <c r="I34" s="375">
        <f t="shared" si="8"/>
        <v>1763.8006988</v>
      </c>
      <c r="J34" s="375">
        <f t="shared" si="8"/>
        <v>1654.7601392000001</v>
      </c>
      <c r="K34" s="375">
        <f t="shared" si="8"/>
        <v>1670.9013769000001</v>
      </c>
      <c r="L34" s="375">
        <f t="shared" si="8"/>
        <v>1768.3094080999999</v>
      </c>
      <c r="M34" s="375">
        <f t="shared" si="8"/>
        <v>1704.8464403</v>
      </c>
      <c r="N34" s="375">
        <f>N28/1000</f>
        <v>1769.5530758999998</v>
      </c>
      <c r="O34" s="371"/>
    </row>
    <row r="35" spans="2:15" ht="14.45" customHeight="1">
      <c r="B35" s="371" t="s">
        <v>727</v>
      </c>
      <c r="C35" s="375">
        <f>C29/1000</f>
        <v>38634.794063999994</v>
      </c>
      <c r="D35" s="375">
        <f t="shared" si="8"/>
        <v>37161.819011</v>
      </c>
      <c r="E35" s="375">
        <f t="shared" si="8"/>
        <v>39947.883157600001</v>
      </c>
      <c r="F35" s="375">
        <f t="shared" si="8"/>
        <v>37028.396106799999</v>
      </c>
      <c r="G35" s="375">
        <f t="shared" si="8"/>
        <v>41188.552389899996</v>
      </c>
      <c r="H35" s="375">
        <f t="shared" si="8"/>
        <v>41516.904793100002</v>
      </c>
      <c r="I35" s="375">
        <f>I29/1000</f>
        <v>42576.472957599995</v>
      </c>
      <c r="J35" s="375">
        <f t="shared" si="8"/>
        <v>41347.615479799999</v>
      </c>
      <c r="K35" s="375">
        <f t="shared" si="8"/>
        <v>46156.6138956</v>
      </c>
      <c r="L35" s="375">
        <f t="shared" si="8"/>
        <v>40917.152110499999</v>
      </c>
      <c r="M35" s="375">
        <f t="shared" si="8"/>
        <v>43313.8828478</v>
      </c>
      <c r="N35" s="375">
        <f>N29/1000</f>
        <v>39655.343644199995</v>
      </c>
      <c r="O35" s="371"/>
    </row>
    <row r="39" spans="2:15" ht="18.75" customHeight="1"/>
    <row r="44" spans="2:15" ht="14.45" customHeight="1">
      <c r="C44" s="239" t="s">
        <v>729</v>
      </c>
    </row>
    <row r="62" spans="2:2" ht="14.45" customHeight="1">
      <c r="B62" s="223"/>
    </row>
    <row r="64" spans="2:2" ht="14.45" customHeight="1">
      <c r="B64" s="221"/>
    </row>
    <row r="67" spans="2:3" ht="14.45" customHeight="1">
      <c r="C67" s="221" t="s">
        <v>515</v>
      </c>
    </row>
    <row r="72" spans="2:3" ht="14.45" customHeight="1">
      <c r="B72" s="221"/>
    </row>
  </sheetData>
  <mergeCells count="6">
    <mergeCell ref="A23:B23"/>
    <mergeCell ref="A2:O2"/>
    <mergeCell ref="A4:O5"/>
    <mergeCell ref="A16:B16"/>
    <mergeCell ref="A18:B18"/>
    <mergeCell ref="A21:A22"/>
  </mergeCells>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50"/>
  </sheetPr>
  <dimension ref="A1:U87"/>
  <sheetViews>
    <sheetView workbookViewId="0">
      <selection sqref="A1:XFD1048576"/>
    </sheetView>
  </sheetViews>
  <sheetFormatPr baseColWidth="10" defaultColWidth="9.42578125" defaultRowHeight="11.25"/>
  <cols>
    <col min="1" max="1" width="18.5703125" style="376" customWidth="1"/>
    <col min="2" max="2" width="5.85546875" style="377" customWidth="1"/>
    <col min="3" max="12" width="8.140625" style="378" customWidth="1"/>
    <col min="13" max="17" width="13.85546875" style="378" bestFit="1" customWidth="1"/>
    <col min="18" max="16384" width="9.42578125" style="378"/>
  </cols>
  <sheetData>
    <row r="1" spans="1:21" ht="15">
      <c r="U1" s="281">
        <v>13</v>
      </c>
    </row>
    <row r="2" spans="1:21" ht="15">
      <c r="A2" s="518" t="s">
        <v>730</v>
      </c>
      <c r="B2" s="518"/>
      <c r="C2" s="518"/>
      <c r="D2" s="518"/>
      <c r="E2" s="518"/>
      <c r="F2" s="518"/>
      <c r="G2" s="518"/>
      <c r="H2" s="518"/>
      <c r="I2" s="518"/>
      <c r="J2" s="518"/>
      <c r="K2" s="291"/>
      <c r="L2" s="258"/>
      <c r="U2" s="281">
        <v>15</v>
      </c>
    </row>
    <row r="4" spans="1:21" s="377" customFormat="1" ht="14.45" customHeight="1">
      <c r="A4" s="541" t="s">
        <v>731</v>
      </c>
      <c r="B4" s="542"/>
      <c r="C4" s="542"/>
      <c r="D4" s="542"/>
      <c r="E4" s="542"/>
      <c r="F4" s="542"/>
      <c r="G4" s="542"/>
      <c r="H4" s="542"/>
      <c r="I4" s="542"/>
      <c r="J4" s="542"/>
      <c r="K4" s="542"/>
      <c r="L4" s="542"/>
    </row>
    <row r="5" spans="1:21" s="377" customFormat="1" ht="14.45" customHeight="1">
      <c r="A5" s="543"/>
      <c r="B5" s="544"/>
      <c r="C5" s="544"/>
      <c r="D5" s="544"/>
      <c r="E5" s="544"/>
      <c r="F5" s="544"/>
      <c r="G5" s="544"/>
      <c r="H5" s="544"/>
      <c r="I5" s="544"/>
      <c r="J5" s="544"/>
      <c r="K5" s="544"/>
      <c r="L5" s="544"/>
    </row>
    <row r="6" spans="1:21" s="377" customFormat="1" ht="14.45" customHeight="1">
      <c r="A6" s="379" t="s">
        <v>401</v>
      </c>
      <c r="B6" s="274" t="s">
        <v>402</v>
      </c>
      <c r="C6" s="274">
        <v>2015</v>
      </c>
      <c r="D6" s="274">
        <v>2016</v>
      </c>
      <c r="E6" s="274">
        <v>2017</v>
      </c>
      <c r="F6" s="274">
        <v>2018</v>
      </c>
      <c r="G6" s="274">
        <v>2019</v>
      </c>
      <c r="H6" s="274">
        <v>2020</v>
      </c>
      <c r="I6" s="274">
        <v>2021</v>
      </c>
      <c r="J6" s="274">
        <v>2022</v>
      </c>
      <c r="K6" s="274">
        <v>2023</v>
      </c>
      <c r="L6" s="274">
        <v>2024</v>
      </c>
    </row>
    <row r="7" spans="1:21" ht="14.45" customHeight="1">
      <c r="A7" s="275" t="s">
        <v>213</v>
      </c>
      <c r="B7" s="276" t="s">
        <v>505</v>
      </c>
      <c r="C7" s="380">
        <v>3461.3</v>
      </c>
      <c r="D7" s="380">
        <v>3028.25</v>
      </c>
      <c r="E7" s="380">
        <v>2661.12</v>
      </c>
      <c r="F7" s="380">
        <v>2228.8200000000002</v>
      </c>
      <c r="G7" s="380">
        <v>1770.74</v>
      </c>
      <c r="H7" s="380">
        <v>1337.33</v>
      </c>
      <c r="I7" s="380">
        <v>1139.48</v>
      </c>
      <c r="J7" s="346">
        <v>0</v>
      </c>
      <c r="K7" s="346">
        <v>0</v>
      </c>
      <c r="L7" s="346">
        <v>0</v>
      </c>
    </row>
    <row r="8" spans="1:21" ht="14.45" customHeight="1">
      <c r="A8" s="275" t="s">
        <v>504</v>
      </c>
      <c r="B8" s="276" t="s">
        <v>732</v>
      </c>
      <c r="C8" s="380" t="s">
        <v>215</v>
      </c>
      <c r="D8" s="380" t="s">
        <v>215</v>
      </c>
      <c r="E8" s="380" t="s">
        <v>215</v>
      </c>
      <c r="F8" s="380" t="s">
        <v>215</v>
      </c>
      <c r="G8" s="380" t="s">
        <v>215</v>
      </c>
      <c r="H8" s="380" t="s">
        <v>215</v>
      </c>
      <c r="I8" s="380">
        <v>10.41</v>
      </c>
      <c r="J8" s="380">
        <v>988.48</v>
      </c>
      <c r="K8" s="380">
        <v>789.54390000000001</v>
      </c>
      <c r="L8" s="346">
        <v>0</v>
      </c>
    </row>
    <row r="9" spans="1:21" ht="14.45" customHeight="1">
      <c r="A9" s="275" t="s">
        <v>504</v>
      </c>
      <c r="B9" s="276" t="s">
        <v>663</v>
      </c>
      <c r="C9" s="380" t="s">
        <v>215</v>
      </c>
      <c r="D9" s="380" t="s">
        <v>215</v>
      </c>
      <c r="E9" s="380" t="s">
        <v>215</v>
      </c>
      <c r="F9" s="380" t="s">
        <v>215</v>
      </c>
      <c r="G9" s="380" t="s">
        <v>215</v>
      </c>
      <c r="H9" s="380" t="s">
        <v>215</v>
      </c>
      <c r="I9" s="380" t="s">
        <v>215</v>
      </c>
      <c r="J9" s="346">
        <v>0</v>
      </c>
      <c r="K9" s="380">
        <v>178.1943</v>
      </c>
      <c r="L9" s="380">
        <v>905.60140000000001</v>
      </c>
    </row>
    <row r="10" spans="1:21" ht="14.45" customHeight="1">
      <c r="A10" s="275" t="s">
        <v>664</v>
      </c>
      <c r="B10" s="276" t="s">
        <v>507</v>
      </c>
      <c r="C10" s="380">
        <v>764.57</v>
      </c>
      <c r="D10" s="380">
        <v>856.3</v>
      </c>
      <c r="E10" s="380">
        <v>844.36</v>
      </c>
      <c r="F10" s="380">
        <v>886.76</v>
      </c>
      <c r="G10" s="380">
        <v>773.56</v>
      </c>
      <c r="H10" s="380">
        <v>528.79</v>
      </c>
      <c r="I10" s="380">
        <v>294.37</v>
      </c>
      <c r="J10" s="380">
        <v>487.84</v>
      </c>
      <c r="K10" s="380">
        <v>590.33699999999999</v>
      </c>
      <c r="L10" s="380">
        <v>328.70339999999999</v>
      </c>
    </row>
    <row r="11" spans="1:21" ht="14.45" customHeight="1">
      <c r="A11" s="275" t="s">
        <v>213</v>
      </c>
      <c r="B11" s="276" t="s">
        <v>444</v>
      </c>
      <c r="C11" s="346">
        <v>0</v>
      </c>
      <c r="D11" s="346">
        <v>0</v>
      </c>
      <c r="E11" s="346">
        <v>0</v>
      </c>
      <c r="F11" s="346">
        <v>0</v>
      </c>
      <c r="G11" s="346">
        <v>0</v>
      </c>
      <c r="H11" s="346">
        <v>0</v>
      </c>
      <c r="I11" s="346">
        <v>0</v>
      </c>
      <c r="J11" s="346">
        <v>0</v>
      </c>
      <c r="K11" s="346">
        <v>0</v>
      </c>
      <c r="L11" s="380">
        <v>220.995</v>
      </c>
    </row>
    <row r="12" spans="1:21" ht="14.45" customHeight="1">
      <c r="A12" s="275" t="s">
        <v>213</v>
      </c>
      <c r="B12" s="276" t="s">
        <v>443</v>
      </c>
      <c r="C12" s="346">
        <v>0</v>
      </c>
      <c r="D12" s="346">
        <v>0</v>
      </c>
      <c r="E12" s="346">
        <v>0</v>
      </c>
      <c r="F12" s="346">
        <v>0</v>
      </c>
      <c r="G12" s="380">
        <v>15.904999999999999</v>
      </c>
      <c r="H12" s="380">
        <v>202.85</v>
      </c>
      <c r="I12" s="380">
        <v>293.26</v>
      </c>
      <c r="J12" s="380">
        <v>696.08</v>
      </c>
      <c r="K12" s="380">
        <v>1147.2049</v>
      </c>
      <c r="L12" s="380">
        <v>947.02369999999996</v>
      </c>
    </row>
    <row r="13" spans="1:21" ht="14.45" customHeight="1">
      <c r="A13" s="275" t="s">
        <v>510</v>
      </c>
      <c r="B13" s="276" t="s">
        <v>733</v>
      </c>
      <c r="C13" s="380">
        <v>1127.32</v>
      </c>
      <c r="D13" s="380">
        <v>1156.75</v>
      </c>
      <c r="E13" s="380">
        <v>1055.81</v>
      </c>
      <c r="F13" s="380">
        <v>1055.48</v>
      </c>
      <c r="G13" s="380">
        <v>1254.96</v>
      </c>
      <c r="H13" s="380">
        <v>1277.56</v>
      </c>
      <c r="I13" s="380">
        <v>1349.77</v>
      </c>
      <c r="J13" s="380">
        <v>1317.32</v>
      </c>
      <c r="K13" s="380">
        <v>797.88599999999997</v>
      </c>
      <c r="L13" s="380">
        <v>0</v>
      </c>
    </row>
    <row r="14" spans="1:21" ht="14.45" customHeight="1">
      <c r="A14" s="275" t="s">
        <v>504</v>
      </c>
      <c r="B14" s="276" t="s">
        <v>668</v>
      </c>
      <c r="C14" s="346">
        <v>0</v>
      </c>
      <c r="D14" s="346">
        <v>0</v>
      </c>
      <c r="E14" s="346">
        <v>0</v>
      </c>
      <c r="F14" s="346">
        <v>0</v>
      </c>
      <c r="G14" s="346">
        <v>0</v>
      </c>
      <c r="H14" s="346">
        <v>0</v>
      </c>
      <c r="I14" s="346">
        <v>0</v>
      </c>
      <c r="J14" s="346">
        <v>0</v>
      </c>
      <c r="K14" s="380">
        <v>208.6525</v>
      </c>
      <c r="L14" s="380">
        <v>1178.4133999999999</v>
      </c>
    </row>
    <row r="15" spans="1:21" ht="14.45" customHeight="1">
      <c r="A15" s="275" t="s">
        <v>433</v>
      </c>
      <c r="B15" s="276" t="s">
        <v>600</v>
      </c>
      <c r="C15" s="346">
        <v>0</v>
      </c>
      <c r="D15" s="346">
        <v>0</v>
      </c>
      <c r="E15" s="346">
        <v>0</v>
      </c>
      <c r="F15" s="346">
        <v>0</v>
      </c>
      <c r="G15" s="346">
        <v>0</v>
      </c>
      <c r="H15" s="346">
        <v>0</v>
      </c>
      <c r="I15" s="346">
        <v>0</v>
      </c>
      <c r="J15" s="346">
        <v>0</v>
      </c>
      <c r="K15" s="346">
        <v>0</v>
      </c>
      <c r="L15" s="346">
        <v>0</v>
      </c>
    </row>
    <row r="16" spans="1:21" ht="14.45" customHeight="1">
      <c r="A16" s="275" t="s">
        <v>412</v>
      </c>
      <c r="B16" s="276" t="s">
        <v>445</v>
      </c>
      <c r="C16" s="380">
        <v>4827.3100000000004</v>
      </c>
      <c r="D16" s="380">
        <v>5344.56</v>
      </c>
      <c r="E16" s="380">
        <v>5189.78</v>
      </c>
      <c r="F16" s="380">
        <v>5474.46</v>
      </c>
      <c r="G16" s="380">
        <v>5679.24</v>
      </c>
      <c r="H16" s="380">
        <v>5593.74</v>
      </c>
      <c r="I16" s="380">
        <v>5319.18</v>
      </c>
      <c r="J16" s="380">
        <v>5370.01</v>
      </c>
      <c r="K16" s="380">
        <v>5039.7030000000004</v>
      </c>
      <c r="L16" s="380">
        <v>1737.777</v>
      </c>
    </row>
    <row r="17" spans="1:12" ht="14.45" customHeight="1">
      <c r="A17" s="275" t="s">
        <v>670</v>
      </c>
      <c r="B17" s="276" t="s">
        <v>671</v>
      </c>
      <c r="C17" s="346">
        <v>0</v>
      </c>
      <c r="D17" s="346">
        <v>0</v>
      </c>
      <c r="E17" s="346">
        <v>0</v>
      </c>
      <c r="F17" s="346">
        <v>0</v>
      </c>
      <c r="G17" s="346">
        <v>0</v>
      </c>
      <c r="H17" s="346">
        <v>0</v>
      </c>
      <c r="I17" s="346">
        <v>0</v>
      </c>
      <c r="J17" s="346">
        <v>0</v>
      </c>
      <c r="K17" s="346">
        <v>0</v>
      </c>
      <c r="L17" s="380">
        <v>2705.2829999999999</v>
      </c>
    </row>
    <row r="18" spans="1:12" ht="14.45" customHeight="1">
      <c r="A18" s="275" t="s">
        <v>433</v>
      </c>
      <c r="B18" s="276" t="s">
        <v>406</v>
      </c>
      <c r="C18" s="380">
        <v>3880.94</v>
      </c>
      <c r="D18" s="380">
        <v>3749.54</v>
      </c>
      <c r="E18" s="380">
        <v>3588.11</v>
      </c>
      <c r="F18" s="380">
        <v>4594.34</v>
      </c>
      <c r="G18" s="380">
        <v>6342.92</v>
      </c>
      <c r="H18" s="380">
        <v>4858.83</v>
      </c>
      <c r="I18" s="380">
        <v>4412.4399999999996</v>
      </c>
      <c r="J18" s="380">
        <v>6906.2</v>
      </c>
      <c r="K18" s="380">
        <v>10166.9157</v>
      </c>
      <c r="L18" s="380">
        <v>9843.2888999999996</v>
      </c>
    </row>
    <row r="19" spans="1:12" ht="17.25" customHeight="1">
      <c r="A19" s="277" t="s">
        <v>672</v>
      </c>
      <c r="B19" s="278"/>
      <c r="C19" s="381">
        <v>14061.44</v>
      </c>
      <c r="D19" s="381">
        <v>14135.4</v>
      </c>
      <c r="E19" s="381">
        <v>13339.17</v>
      </c>
      <c r="F19" s="381">
        <v>14239.85</v>
      </c>
      <c r="G19" s="381">
        <v>15837.33</v>
      </c>
      <c r="H19" s="381">
        <v>13799.09</v>
      </c>
      <c r="I19" s="381">
        <v>12818.92</v>
      </c>
      <c r="J19" s="381">
        <f>SUM(J7:J18)</f>
        <v>15765.93</v>
      </c>
      <c r="K19" s="381">
        <f>SUM(K7:K18)</f>
        <v>18918.437299999998</v>
      </c>
      <c r="L19" s="381">
        <f>SUM(L7:L18)</f>
        <v>17867.085800000001</v>
      </c>
    </row>
    <row r="20" spans="1:12" ht="14.45" customHeight="1">
      <c r="A20" s="275" t="s">
        <v>217</v>
      </c>
      <c r="B20" s="276" t="s">
        <v>734</v>
      </c>
      <c r="C20" s="380">
        <v>2281.15</v>
      </c>
      <c r="D20" s="380">
        <v>2804.35</v>
      </c>
      <c r="E20" s="380">
        <v>2584.98</v>
      </c>
      <c r="F20" s="380">
        <v>2693.92</v>
      </c>
      <c r="G20" s="380">
        <v>2828.91</v>
      </c>
      <c r="H20" s="380">
        <v>1799.28</v>
      </c>
      <c r="I20" s="380">
        <v>3443.35</v>
      </c>
      <c r="J20" s="380">
        <v>4014.07</v>
      </c>
      <c r="K20" s="380">
        <v>4039.4014999999999</v>
      </c>
      <c r="L20" s="380">
        <v>0</v>
      </c>
    </row>
    <row r="21" spans="1:12" ht="14.45" customHeight="1">
      <c r="A21" s="275" t="s">
        <v>504</v>
      </c>
      <c r="B21" s="276" t="s">
        <v>633</v>
      </c>
      <c r="C21" s="380" t="s">
        <v>215</v>
      </c>
      <c r="D21" s="380" t="s">
        <v>215</v>
      </c>
      <c r="E21" s="380" t="s">
        <v>215</v>
      </c>
      <c r="F21" s="380" t="s">
        <v>215</v>
      </c>
      <c r="G21" s="380" t="s">
        <v>215</v>
      </c>
      <c r="H21" s="380" t="s">
        <v>215</v>
      </c>
      <c r="I21" s="380" t="s">
        <v>215</v>
      </c>
      <c r="J21" s="380" t="s">
        <v>215</v>
      </c>
      <c r="K21" s="380">
        <v>516.99279999999999</v>
      </c>
      <c r="L21" s="380">
        <v>3364.8238000000001</v>
      </c>
    </row>
    <row r="22" spans="1:12" ht="15.75" customHeight="1">
      <c r="A22" s="277" t="s">
        <v>724</v>
      </c>
      <c r="B22" s="278"/>
      <c r="C22" s="381">
        <v>2281.15</v>
      </c>
      <c r="D22" s="381">
        <v>2804.35</v>
      </c>
      <c r="E22" s="381">
        <v>2584.98</v>
      </c>
      <c r="F22" s="381">
        <v>2693.92</v>
      </c>
      <c r="G22" s="381">
        <v>2828.91</v>
      </c>
      <c r="H22" s="381">
        <v>1799.28</v>
      </c>
      <c r="I22" s="381">
        <v>3443.35</v>
      </c>
      <c r="J22" s="381">
        <f>SUM(J20:J21)</f>
        <v>4014.07</v>
      </c>
      <c r="K22" s="381">
        <f>SUM(K20:K21)</f>
        <v>4556.3942999999999</v>
      </c>
      <c r="L22" s="381">
        <f>SUM(L20:L21)</f>
        <v>3364.8238000000001</v>
      </c>
    </row>
    <row r="23" spans="1:12" ht="14.45" customHeight="1">
      <c r="A23" s="275" t="s">
        <v>214</v>
      </c>
      <c r="B23" s="276" t="s">
        <v>714</v>
      </c>
      <c r="C23" s="380">
        <v>6141.63</v>
      </c>
      <c r="D23" s="380">
        <v>4599.58</v>
      </c>
      <c r="E23" s="380">
        <v>1584.96</v>
      </c>
      <c r="F23" s="380">
        <v>4538.3999999999996</v>
      </c>
      <c r="G23" s="380">
        <v>4004.68</v>
      </c>
      <c r="H23" s="380">
        <v>959.84</v>
      </c>
      <c r="I23" s="380">
        <v>2558.46</v>
      </c>
      <c r="J23" s="380">
        <v>3742.95</v>
      </c>
      <c r="K23" s="380">
        <v>4506.0671000000002</v>
      </c>
      <c r="L23" s="380">
        <v>2548.5088000000001</v>
      </c>
    </row>
    <row r="24" spans="1:12" ht="14.45" customHeight="1">
      <c r="A24" s="275" t="s">
        <v>451</v>
      </c>
      <c r="B24" s="276">
        <v>57</v>
      </c>
      <c r="C24" s="380">
        <v>26776.37</v>
      </c>
      <c r="D24" s="380">
        <v>49525.63</v>
      </c>
      <c r="E24" s="380">
        <v>55007.19</v>
      </c>
      <c r="F24" s="380">
        <v>60877.48</v>
      </c>
      <c r="G24" s="380">
        <v>64709.84</v>
      </c>
      <c r="H24" s="380">
        <v>64318.559999999998</v>
      </c>
      <c r="I24" s="380">
        <v>42693.95</v>
      </c>
      <c r="J24" s="380">
        <v>57510.29</v>
      </c>
      <c r="K24" s="380">
        <v>70206.9038</v>
      </c>
      <c r="L24" s="380">
        <v>85153.374299999996</v>
      </c>
    </row>
    <row r="25" spans="1:12" ht="14.45" customHeight="1">
      <c r="A25" s="515" t="s">
        <v>216</v>
      </c>
      <c r="B25" s="276">
        <v>56</v>
      </c>
      <c r="C25" s="380">
        <v>154238.44</v>
      </c>
      <c r="D25" s="380">
        <v>164977.99</v>
      </c>
      <c r="E25" s="380">
        <v>151765.22</v>
      </c>
      <c r="F25" s="380">
        <v>130059.04</v>
      </c>
      <c r="G25" s="380">
        <v>137796.09</v>
      </c>
      <c r="H25" s="380">
        <v>133134.84</v>
      </c>
      <c r="I25" s="380">
        <v>88336.09</v>
      </c>
      <c r="J25" s="380">
        <v>116384.29</v>
      </c>
      <c r="K25" s="380">
        <v>110897.66130000001</v>
      </c>
      <c r="L25" s="380">
        <v>106317.1902</v>
      </c>
    </row>
    <row r="26" spans="1:12" ht="14.45" customHeight="1">
      <c r="A26" s="515"/>
      <c r="B26" s="276">
        <v>88</v>
      </c>
      <c r="C26" s="380">
        <v>237744.75</v>
      </c>
      <c r="D26" s="380">
        <v>258388</v>
      </c>
      <c r="E26" s="380">
        <v>232768.62</v>
      </c>
      <c r="F26" s="380">
        <v>236835.37</v>
      </c>
      <c r="G26" s="380">
        <v>249058.03</v>
      </c>
      <c r="H26" s="380">
        <v>210815.73</v>
      </c>
      <c r="I26" s="380">
        <v>251839.74</v>
      </c>
      <c r="J26" s="380">
        <v>286579.88</v>
      </c>
      <c r="K26" s="380">
        <v>307652.6825</v>
      </c>
      <c r="L26" s="380">
        <v>295426.35720000003</v>
      </c>
    </row>
    <row r="27" spans="1:12" ht="14.45" customHeight="1">
      <c r="A27" s="277" t="s">
        <v>680</v>
      </c>
      <c r="B27" s="278"/>
      <c r="C27" s="381">
        <v>424901.19</v>
      </c>
      <c r="D27" s="381">
        <v>477491.19</v>
      </c>
      <c r="E27" s="381">
        <v>441125.99</v>
      </c>
      <c r="F27" s="381">
        <v>432310.29</v>
      </c>
      <c r="G27" s="381">
        <v>455568.64000000001</v>
      </c>
      <c r="H27" s="381">
        <v>409228.97</v>
      </c>
      <c r="I27" s="381">
        <v>385428.24</v>
      </c>
      <c r="J27" s="381">
        <f>SUM(J23:J26)</f>
        <v>464217.41000000003</v>
      </c>
      <c r="K27" s="381">
        <f>SUM(K23:K26)</f>
        <v>493263.31469999999</v>
      </c>
      <c r="L27" s="381">
        <f>SUM(L23:L26)</f>
        <v>489445.43050000002</v>
      </c>
    </row>
    <row r="28" spans="1:12" ht="14.45" customHeight="1">
      <c r="A28" s="382" t="s">
        <v>514</v>
      </c>
      <c r="B28" s="383"/>
      <c r="C28" s="384">
        <v>441243.77</v>
      </c>
      <c r="D28" s="384">
        <v>494430.94</v>
      </c>
      <c r="E28" s="384">
        <v>457050.13</v>
      </c>
      <c r="F28" s="384">
        <v>449244.06</v>
      </c>
      <c r="G28" s="384">
        <v>474234.88</v>
      </c>
      <c r="H28" s="384">
        <v>424827.35</v>
      </c>
      <c r="I28" s="384">
        <v>401690.51</v>
      </c>
      <c r="J28" s="384">
        <v>483997.41</v>
      </c>
      <c r="K28" s="384">
        <f>+K27+K22+K19</f>
        <v>516738.14629999996</v>
      </c>
      <c r="L28" s="384">
        <f>+L27+L22+L19</f>
        <v>510677.34010000003</v>
      </c>
    </row>
    <row r="29" spans="1:12" ht="18.75" customHeight="1">
      <c r="A29" s="279" t="s">
        <v>735</v>
      </c>
      <c r="B29" s="280"/>
      <c r="C29" s="385">
        <v>1208.8900000000001</v>
      </c>
      <c r="D29" s="385">
        <v>1354.9</v>
      </c>
      <c r="E29" s="385">
        <v>1252.19</v>
      </c>
      <c r="F29" s="385">
        <v>1230.81</v>
      </c>
      <c r="G29" s="385">
        <v>1299.27</v>
      </c>
      <c r="H29" s="385">
        <v>1160.73</v>
      </c>
      <c r="I29" s="385">
        <v>1100.52</v>
      </c>
      <c r="J29" s="385">
        <v>1326.02</v>
      </c>
      <c r="K29" s="385">
        <f>+K28/365</f>
        <v>1415.7209487671232</v>
      </c>
      <c r="L29" s="385">
        <f>+L28/366</f>
        <v>1395.2932789617487</v>
      </c>
    </row>
    <row r="31" spans="1:12">
      <c r="A31" s="272" t="s">
        <v>515</v>
      </c>
    </row>
    <row r="32" spans="1:12">
      <c r="A32" s="221"/>
    </row>
    <row r="33" spans="3:16" ht="12">
      <c r="C33" s="386" t="s">
        <v>736</v>
      </c>
      <c r="D33" s="376"/>
      <c r="E33" s="258"/>
      <c r="F33" s="291"/>
      <c r="G33" s="258"/>
      <c r="H33" s="258"/>
      <c r="I33" s="258"/>
      <c r="J33" s="258"/>
      <c r="K33" s="258"/>
      <c r="L33" s="258"/>
    </row>
    <row r="39" spans="3:16" ht="12.75">
      <c r="N39" s="387">
        <f>+L29/K29-1</f>
        <v>-1.4429164040529296E-2</v>
      </c>
    </row>
    <row r="41" spans="3:16">
      <c r="N41" s="545" t="s">
        <v>737</v>
      </c>
      <c r="O41" s="545"/>
      <c r="P41" s="545"/>
    </row>
    <row r="42" spans="3:16">
      <c r="N42" s="545"/>
      <c r="O42" s="545"/>
      <c r="P42" s="545"/>
    </row>
    <row r="43" spans="3:16">
      <c r="N43" s="545"/>
      <c r="O43" s="545"/>
      <c r="P43" s="545"/>
    </row>
    <row r="44" spans="3:16">
      <c r="N44" s="545"/>
      <c r="O44" s="545"/>
      <c r="P44" s="545"/>
    </row>
    <row r="45" spans="3:16">
      <c r="N45" s="545"/>
      <c r="O45" s="545"/>
      <c r="P45" s="545"/>
    </row>
    <row r="58" spans="1:4" ht="12.75">
      <c r="A58" s="371"/>
      <c r="B58" s="371"/>
      <c r="C58" s="371"/>
      <c r="D58" s="371"/>
    </row>
    <row r="60" spans="1:4" ht="12.75">
      <c r="C60" s="388" t="s">
        <v>738</v>
      </c>
    </row>
    <row r="81" spans="1:17">
      <c r="B81" s="221"/>
    </row>
    <row r="83" spans="1:17">
      <c r="B83" s="221" t="s">
        <v>515</v>
      </c>
    </row>
    <row r="84" spans="1:17">
      <c r="B84" s="221"/>
    </row>
    <row r="85" spans="1:17" ht="12.75">
      <c r="A85" s="371"/>
      <c r="L85" s="371" t="s">
        <v>90</v>
      </c>
      <c r="M85" s="389">
        <v>2025</v>
      </c>
      <c r="N85" s="389">
        <f>+M85+1</f>
        <v>2026</v>
      </c>
      <c r="O85" s="389">
        <f>+N85+1</f>
        <v>2027</v>
      </c>
      <c r="P85" s="389">
        <f>+O85+1</f>
        <v>2028</v>
      </c>
      <c r="Q85" s="389">
        <f>+P85+1</f>
        <v>2029</v>
      </c>
    </row>
    <row r="86" spans="1:17" ht="12.75">
      <c r="J86" s="371"/>
      <c r="K86" s="371"/>
      <c r="L86" s="371" t="s">
        <v>739</v>
      </c>
      <c r="M86" s="390">
        <v>1334.01</v>
      </c>
      <c r="N86" s="390">
        <v>1403.09</v>
      </c>
      <c r="O86" s="390">
        <v>1540.82</v>
      </c>
      <c r="P86" s="390">
        <v>1527.46</v>
      </c>
      <c r="Q86" s="390">
        <v>1474.71</v>
      </c>
    </row>
    <row r="87" spans="1:17" ht="12.75">
      <c r="L87" s="371" t="s">
        <v>740</v>
      </c>
      <c r="M87" s="391">
        <f>+M86*1000</f>
        <v>1334010</v>
      </c>
      <c r="N87" s="391">
        <f t="shared" ref="N87:Q87" si="0">+N86*1000</f>
        <v>1403090</v>
      </c>
      <c r="O87" s="391">
        <f t="shared" si="0"/>
        <v>1540820</v>
      </c>
      <c r="P87" s="391">
        <f t="shared" si="0"/>
        <v>1527460</v>
      </c>
      <c r="Q87" s="391">
        <f t="shared" si="0"/>
        <v>1474710</v>
      </c>
    </row>
  </sheetData>
  <mergeCells count="4">
    <mergeCell ref="A2:J2"/>
    <mergeCell ref="A4:L5"/>
    <mergeCell ref="A25:A26"/>
    <mergeCell ref="N41:P45"/>
  </mergeCells>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50"/>
  </sheetPr>
  <dimension ref="A1:Q39"/>
  <sheetViews>
    <sheetView workbookViewId="0">
      <selection sqref="A1:XFD1048576"/>
    </sheetView>
  </sheetViews>
  <sheetFormatPr baseColWidth="10" defaultColWidth="11.42578125" defaultRowHeight="11.25"/>
  <cols>
    <col min="1" max="1" width="11.42578125" style="378"/>
    <col min="2" max="11" width="8.5703125" style="378" customWidth="1"/>
    <col min="12" max="16384" width="11.42578125" style="378"/>
  </cols>
  <sheetData>
    <row r="1" spans="1:17" ht="15">
      <c r="Q1" s="281">
        <v>10</v>
      </c>
    </row>
    <row r="2" spans="1:17" ht="12">
      <c r="A2" s="518" t="s">
        <v>741</v>
      </c>
      <c r="B2" s="518"/>
      <c r="C2" s="518"/>
      <c r="D2" s="518"/>
      <c r="E2" s="518"/>
      <c r="F2" s="518"/>
      <c r="G2" s="518"/>
      <c r="H2" s="518"/>
      <c r="I2" s="518"/>
      <c r="J2" s="291"/>
      <c r="K2" s="258"/>
      <c r="L2" s="239"/>
      <c r="M2" s="239"/>
      <c r="N2" s="239"/>
      <c r="O2" s="239"/>
      <c r="P2" s="239"/>
      <c r="Q2" s="239"/>
    </row>
    <row r="4" spans="1:17" s="377" customFormat="1">
      <c r="A4" s="546" t="s">
        <v>742</v>
      </c>
      <c r="B4" s="547"/>
      <c r="C4" s="547"/>
      <c r="D4" s="547"/>
      <c r="E4" s="547"/>
      <c r="F4" s="547"/>
      <c r="G4" s="547"/>
      <c r="H4" s="547"/>
      <c r="I4" s="547"/>
      <c r="J4" s="547"/>
      <c r="K4" s="547"/>
    </row>
    <row r="5" spans="1:17" s="377" customFormat="1">
      <c r="A5" s="497"/>
      <c r="B5" s="498"/>
      <c r="C5" s="498"/>
      <c r="D5" s="498"/>
      <c r="E5" s="498"/>
      <c r="F5" s="498"/>
      <c r="G5" s="498"/>
      <c r="H5" s="498"/>
      <c r="I5" s="498"/>
      <c r="J5" s="498"/>
      <c r="K5" s="498"/>
    </row>
    <row r="6" spans="1:17" s="377" customFormat="1">
      <c r="A6" s="392"/>
      <c r="B6" s="229">
        <v>2015</v>
      </c>
      <c r="C6" s="229">
        <v>2016</v>
      </c>
      <c r="D6" s="229">
        <v>2017</v>
      </c>
      <c r="E6" s="229">
        <v>2018</v>
      </c>
      <c r="F6" s="229">
        <v>2019</v>
      </c>
      <c r="G6" s="229">
        <v>2020</v>
      </c>
      <c r="H6" s="229">
        <v>2021</v>
      </c>
      <c r="I6" s="229">
        <v>2022</v>
      </c>
      <c r="J6" s="229">
        <v>2023</v>
      </c>
      <c r="K6" s="229">
        <v>2024</v>
      </c>
    </row>
    <row r="7" spans="1:17">
      <c r="A7" s="393" t="s">
        <v>416</v>
      </c>
      <c r="B7" s="393">
        <v>316.69</v>
      </c>
      <c r="C7" s="393">
        <v>46.95</v>
      </c>
      <c r="D7" s="393">
        <v>17.079999999999998</v>
      </c>
      <c r="E7" s="393">
        <v>40.76</v>
      </c>
      <c r="F7" s="394">
        <v>57.727806999999999</v>
      </c>
      <c r="G7" s="394">
        <v>61.1</v>
      </c>
      <c r="H7" s="394">
        <v>3.2</v>
      </c>
      <c r="I7" s="394">
        <v>2.287328</v>
      </c>
      <c r="J7" s="394">
        <v>2.2733051200000003</v>
      </c>
      <c r="K7" s="394">
        <v>39.07</v>
      </c>
      <c r="M7" s="395">
        <f>+K7/J7-1</f>
        <v>16.186430301973715</v>
      </c>
    </row>
    <row r="8" spans="1:17">
      <c r="A8" s="393" t="s">
        <v>743</v>
      </c>
      <c r="B8" s="393">
        <v>438.23</v>
      </c>
      <c r="C8" s="393">
        <v>285.69</v>
      </c>
      <c r="D8" s="393">
        <v>469.79</v>
      </c>
      <c r="E8" s="393">
        <v>561.16999999999996</v>
      </c>
      <c r="F8" s="394">
        <v>561.99657999999999</v>
      </c>
      <c r="G8" s="394">
        <v>184.55</v>
      </c>
      <c r="H8" s="394">
        <v>309.61</v>
      </c>
      <c r="I8" s="394">
        <v>323.48644000000002</v>
      </c>
      <c r="J8" s="394">
        <v>321.73223604000003</v>
      </c>
      <c r="K8" s="394">
        <v>525.04</v>
      </c>
      <c r="M8" s="395">
        <f>+K8/J8-1</f>
        <v>0.63191605063386702</v>
      </c>
    </row>
    <row r="9" spans="1:17" ht="12.75">
      <c r="A9" s="396" t="s">
        <v>151</v>
      </c>
      <c r="B9" s="397">
        <f t="shared" ref="B9:H9" si="0">SUM(B7:B8)</f>
        <v>754.92000000000007</v>
      </c>
      <c r="C9" s="397">
        <f t="shared" si="0"/>
        <v>332.64</v>
      </c>
      <c r="D9" s="397">
        <f t="shared" si="0"/>
        <v>486.87</v>
      </c>
      <c r="E9" s="397">
        <f t="shared" si="0"/>
        <v>601.92999999999995</v>
      </c>
      <c r="F9" s="397">
        <f t="shared" si="0"/>
        <v>619.72438699999998</v>
      </c>
      <c r="G9" s="397">
        <f t="shared" si="0"/>
        <v>245.65</v>
      </c>
      <c r="H9" s="397">
        <f t="shared" si="0"/>
        <v>312.81</v>
      </c>
      <c r="I9" s="397">
        <f t="shared" ref="I9:K9" si="1">SUM(I7:I8)</f>
        <v>325.77376800000002</v>
      </c>
      <c r="J9" s="397">
        <f t="shared" si="1"/>
        <v>324.00554116000001</v>
      </c>
      <c r="K9" s="397">
        <f t="shared" si="1"/>
        <v>564.11</v>
      </c>
      <c r="M9" s="395">
        <f>+K9/J9-1</f>
        <v>0.74105047086658282</v>
      </c>
    </row>
    <row r="10" spans="1:17">
      <c r="A10" s="221" t="s">
        <v>515</v>
      </c>
      <c r="M10" s="395"/>
    </row>
    <row r="12" spans="1:17">
      <c r="A12" s="321" t="s">
        <v>416</v>
      </c>
      <c r="B12" s="398">
        <f>+B7</f>
        <v>316.69</v>
      </c>
      <c r="C12" s="398">
        <f t="shared" ref="C12:K13" si="2">+C7</f>
        <v>46.95</v>
      </c>
      <c r="D12" s="398">
        <f t="shared" si="2"/>
        <v>17.079999999999998</v>
      </c>
      <c r="E12" s="398">
        <f t="shared" si="2"/>
        <v>40.76</v>
      </c>
      <c r="F12" s="398">
        <f t="shared" si="2"/>
        <v>57.727806999999999</v>
      </c>
      <c r="G12" s="398">
        <f t="shared" si="2"/>
        <v>61.1</v>
      </c>
      <c r="H12" s="398">
        <f t="shared" si="2"/>
        <v>3.2</v>
      </c>
      <c r="I12" s="398">
        <f t="shared" si="2"/>
        <v>2.287328</v>
      </c>
      <c r="J12" s="398">
        <f t="shared" si="2"/>
        <v>2.2733051200000003</v>
      </c>
      <c r="K12" s="398">
        <f t="shared" si="2"/>
        <v>39.07</v>
      </c>
    </row>
    <row r="13" spans="1:17">
      <c r="A13" s="321" t="s">
        <v>743</v>
      </c>
      <c r="B13" s="398">
        <f>+B8</f>
        <v>438.23</v>
      </c>
      <c r="C13" s="398">
        <f t="shared" si="2"/>
        <v>285.69</v>
      </c>
      <c r="D13" s="398">
        <f t="shared" si="2"/>
        <v>469.79</v>
      </c>
      <c r="E13" s="398">
        <f t="shared" si="2"/>
        <v>561.16999999999996</v>
      </c>
      <c r="F13" s="398">
        <f t="shared" si="2"/>
        <v>561.99657999999999</v>
      </c>
      <c r="G13" s="398">
        <f t="shared" si="2"/>
        <v>184.55</v>
      </c>
      <c r="H13" s="398">
        <f t="shared" si="2"/>
        <v>309.61</v>
      </c>
      <c r="I13" s="398">
        <f t="shared" si="2"/>
        <v>323.48644000000002</v>
      </c>
      <c r="J13" s="398">
        <f t="shared" si="2"/>
        <v>321.73223604000003</v>
      </c>
      <c r="K13" s="398">
        <f t="shared" si="2"/>
        <v>525.04</v>
      </c>
    </row>
    <row r="16" spans="1:17" ht="12">
      <c r="B16" s="399"/>
      <c r="C16" s="531" t="s">
        <v>744</v>
      </c>
      <c r="D16" s="531"/>
      <c r="E16" s="531"/>
      <c r="F16" s="531"/>
      <c r="G16" s="531"/>
      <c r="H16" s="531"/>
      <c r="I16" s="400"/>
      <c r="J16" s="400"/>
      <c r="K16" s="400"/>
    </row>
    <row r="17" spans="2:16" ht="12">
      <c r="B17" s="399"/>
      <c r="C17" s="531"/>
      <c r="D17" s="531"/>
      <c r="E17" s="531"/>
      <c r="F17" s="531"/>
      <c r="G17" s="531"/>
      <c r="H17" s="531"/>
      <c r="I17" s="400"/>
      <c r="J17" s="400"/>
      <c r="K17" s="400"/>
    </row>
    <row r="22" spans="2:16">
      <c r="M22" s="548" t="s">
        <v>745</v>
      </c>
      <c r="N22" s="548"/>
      <c r="O22" s="548"/>
      <c r="P22" s="548"/>
    </row>
    <row r="23" spans="2:16">
      <c r="M23" s="548"/>
      <c r="N23" s="548"/>
      <c r="O23" s="548"/>
      <c r="P23" s="548"/>
    </row>
    <row r="24" spans="2:16">
      <c r="M24" s="548"/>
      <c r="N24" s="548"/>
      <c r="O24" s="548"/>
      <c r="P24" s="548"/>
    </row>
    <row r="25" spans="2:16">
      <c r="M25" s="548"/>
      <c r="N25" s="548"/>
      <c r="O25" s="548"/>
      <c r="P25" s="548"/>
    </row>
    <row r="26" spans="2:16">
      <c r="M26" s="548"/>
      <c r="N26" s="548"/>
      <c r="O26" s="548"/>
      <c r="P26" s="548"/>
    </row>
    <row r="27" spans="2:16">
      <c r="M27" s="548"/>
      <c r="N27" s="548"/>
      <c r="O27" s="548"/>
      <c r="P27" s="548"/>
    </row>
    <row r="28" spans="2:16">
      <c r="G28" s="401"/>
      <c r="H28" s="401"/>
      <c r="I28" s="401"/>
      <c r="J28" s="401"/>
      <c r="K28" s="401"/>
      <c r="L28" s="401"/>
      <c r="M28" s="401"/>
    </row>
    <row r="39" spans="3:3">
      <c r="C39" s="221" t="s">
        <v>515</v>
      </c>
    </row>
  </sheetData>
  <mergeCells count="4">
    <mergeCell ref="A2:I2"/>
    <mergeCell ref="A4:K5"/>
    <mergeCell ref="C16:H17"/>
    <mergeCell ref="M22:P27"/>
  </mergeCells>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50"/>
  </sheetPr>
  <dimension ref="A1:U40"/>
  <sheetViews>
    <sheetView workbookViewId="0">
      <selection activeCell="J43" sqref="J43"/>
    </sheetView>
  </sheetViews>
  <sheetFormatPr baseColWidth="10" defaultColWidth="9.5703125" defaultRowHeight="11.25"/>
  <cols>
    <col min="1" max="1" width="35.5703125" style="221" bestFit="1" customWidth="1"/>
    <col min="2" max="2" width="5.42578125" style="222" customWidth="1"/>
    <col min="3" max="3" width="6" style="223" bestFit="1" customWidth="1"/>
    <col min="4" max="4" width="5.7109375" style="223" bestFit="1" customWidth="1"/>
    <col min="5" max="6" width="6" style="223" bestFit="1" customWidth="1"/>
    <col min="7" max="7" width="5.7109375" style="223" bestFit="1" customWidth="1"/>
    <col min="8" max="10" width="6" style="223" bestFit="1" customWidth="1"/>
    <col min="11" max="13" width="5.7109375" style="223" bestFit="1" customWidth="1"/>
    <col min="14" max="14" width="6" style="223" bestFit="1" customWidth="1"/>
    <col min="15" max="15" width="6.85546875" style="402" bestFit="1" customWidth="1"/>
    <col min="16" max="16" width="9.5703125" style="223"/>
    <col min="17" max="17" width="2.5703125" style="223" customWidth="1"/>
    <col min="18" max="16384" width="9.5703125" style="223"/>
  </cols>
  <sheetData>
    <row r="1" spans="1:21" ht="15">
      <c r="U1" s="281">
        <v>10</v>
      </c>
    </row>
    <row r="2" spans="1:21" ht="12">
      <c r="A2" s="517" t="s">
        <v>746</v>
      </c>
      <c r="B2" s="517"/>
      <c r="C2" s="517"/>
      <c r="D2" s="517"/>
      <c r="E2" s="517"/>
      <c r="F2" s="517"/>
      <c r="G2" s="517"/>
      <c r="H2" s="517"/>
      <c r="I2" s="517"/>
      <c r="J2" s="517"/>
      <c r="K2" s="517"/>
      <c r="L2" s="517"/>
      <c r="M2" s="517"/>
      <c r="N2" s="517"/>
      <c r="O2" s="517"/>
    </row>
    <row r="4" spans="1:21" s="222" customFormat="1">
      <c r="A4" s="509" t="s">
        <v>747</v>
      </c>
      <c r="B4" s="509"/>
      <c r="C4" s="509"/>
      <c r="D4" s="509"/>
      <c r="E4" s="509"/>
      <c r="F4" s="509"/>
      <c r="G4" s="509"/>
      <c r="H4" s="509"/>
      <c r="I4" s="509"/>
      <c r="J4" s="509"/>
      <c r="K4" s="509"/>
      <c r="L4" s="509"/>
      <c r="M4" s="509"/>
      <c r="N4" s="509"/>
      <c r="O4" s="509"/>
    </row>
    <row r="5" spans="1:21" s="222" customFormat="1">
      <c r="A5" s="274" t="s">
        <v>748</v>
      </c>
      <c r="B5" s="274" t="s">
        <v>402</v>
      </c>
      <c r="C5" s="274" t="s">
        <v>749</v>
      </c>
      <c r="D5" s="274" t="s">
        <v>750</v>
      </c>
      <c r="E5" s="274" t="s">
        <v>751</v>
      </c>
      <c r="F5" s="274" t="s">
        <v>752</v>
      </c>
      <c r="G5" s="274" t="s">
        <v>753</v>
      </c>
      <c r="H5" s="274" t="s">
        <v>754</v>
      </c>
      <c r="I5" s="274" t="s">
        <v>755</v>
      </c>
      <c r="J5" s="274" t="s">
        <v>756</v>
      </c>
      <c r="K5" s="274" t="s">
        <v>757</v>
      </c>
      <c r="L5" s="274" t="s">
        <v>758</v>
      </c>
      <c r="M5" s="274" t="s">
        <v>759</v>
      </c>
      <c r="N5" s="274" t="s">
        <v>760</v>
      </c>
      <c r="O5" s="274" t="s">
        <v>151</v>
      </c>
    </row>
    <row r="6" spans="1:21">
      <c r="A6" s="403" t="s">
        <v>530</v>
      </c>
      <c r="B6" s="404" t="s">
        <v>435</v>
      </c>
      <c r="C6" s="405">
        <v>5.2727629999999998E-2</v>
      </c>
      <c r="D6" s="405">
        <v>0.48002491999999997</v>
      </c>
      <c r="E6" s="405">
        <v>0.14376436000000001</v>
      </c>
      <c r="F6" s="405">
        <v>0.16134717000000001</v>
      </c>
      <c r="G6" s="405">
        <v>1.1756580700000001</v>
      </c>
      <c r="H6" s="405">
        <v>0.65478208999999998</v>
      </c>
      <c r="I6" s="405">
        <v>5.829492E-2</v>
      </c>
      <c r="J6" s="405">
        <v>5.829492E-2</v>
      </c>
      <c r="K6" s="405">
        <v>0.27834513999999999</v>
      </c>
      <c r="L6" s="405">
        <v>8.6370000000000002E-2</v>
      </c>
      <c r="M6" s="405">
        <v>0.12717196</v>
      </c>
      <c r="N6" s="405">
        <v>-0.26424999999999998</v>
      </c>
      <c r="O6" s="406">
        <f t="shared" ref="O6:O37" si="0">+SUM(C6:N6)</f>
        <v>3.0125311799999994</v>
      </c>
    </row>
    <row r="7" spans="1:21">
      <c r="A7" s="552" t="s">
        <v>761</v>
      </c>
      <c r="B7" s="404" t="s">
        <v>421</v>
      </c>
      <c r="C7" s="408">
        <v>1.5398999999999999E-2</v>
      </c>
      <c r="D7" s="408">
        <v>6.888E-3</v>
      </c>
      <c r="E7" s="408">
        <v>6.888E-3</v>
      </c>
      <c r="F7" s="408">
        <v>3.1862000000000001E-2</v>
      </c>
      <c r="G7" s="408">
        <v>1.5314700000000001</v>
      </c>
      <c r="H7" s="408">
        <v>2.5144880000000001</v>
      </c>
      <c r="I7" s="408">
        <v>2.1574810000000002</v>
      </c>
      <c r="J7" s="408">
        <v>2.5990760000000002</v>
      </c>
      <c r="K7" s="408">
        <v>0.22530800000000001</v>
      </c>
      <c r="L7" s="408">
        <v>0.203154</v>
      </c>
      <c r="M7" s="408">
        <v>0.98309999999999997</v>
      </c>
      <c r="N7" s="408">
        <v>0.19675300000000001</v>
      </c>
      <c r="O7" s="406">
        <f t="shared" si="0"/>
        <v>10.471867</v>
      </c>
    </row>
    <row r="8" spans="1:21">
      <c r="A8" s="554"/>
      <c r="B8" s="404" t="s">
        <v>422</v>
      </c>
      <c r="C8" s="408">
        <v>1.5394E-2</v>
      </c>
      <c r="D8" s="408">
        <v>6.8859999999999998E-3</v>
      </c>
      <c r="E8" s="408">
        <v>6.8859999999999998E-3</v>
      </c>
      <c r="F8" s="408">
        <v>3.1852999999999999E-2</v>
      </c>
      <c r="G8" s="408">
        <v>1.5310109999999999</v>
      </c>
      <c r="H8" s="408">
        <v>3.5729329999999999</v>
      </c>
      <c r="I8" s="408">
        <v>3.7165330000000001</v>
      </c>
      <c r="J8" s="408">
        <v>3.6926559999999999</v>
      </c>
      <c r="K8" s="408">
        <v>0.31800800000000001</v>
      </c>
      <c r="L8" s="408">
        <v>0.54947100000000004</v>
      </c>
      <c r="M8" s="408">
        <v>1.397966</v>
      </c>
      <c r="N8" s="408">
        <v>0.24013599999999999</v>
      </c>
      <c r="O8" s="406">
        <f t="shared" si="0"/>
        <v>15.079733000000001</v>
      </c>
    </row>
    <row r="9" spans="1:21">
      <c r="A9" s="553"/>
      <c r="B9" s="404" t="s">
        <v>423</v>
      </c>
      <c r="C9" s="408">
        <v>1.5394E-2</v>
      </c>
      <c r="D9" s="408">
        <v>6.8859999999999998E-3</v>
      </c>
      <c r="E9" s="408">
        <v>6.8859999999999998E-3</v>
      </c>
      <c r="F9" s="408">
        <v>3.1852999999999999E-2</v>
      </c>
      <c r="G9" s="408">
        <v>1.5310109999999999</v>
      </c>
      <c r="H9" s="408">
        <v>2.502764</v>
      </c>
      <c r="I9" s="408">
        <v>2.1410239999999998</v>
      </c>
      <c r="J9" s="408">
        <v>2.5869580000000001</v>
      </c>
      <c r="K9" s="408">
        <v>0.22433400000000001</v>
      </c>
      <c r="L9" s="408">
        <v>0.18976399999999999</v>
      </c>
      <c r="M9" s="408">
        <v>0.97851299999999997</v>
      </c>
      <c r="N9" s="408">
        <v>0.19476299999999999</v>
      </c>
      <c r="O9" s="406">
        <f t="shared" si="0"/>
        <v>10.410150000000002</v>
      </c>
    </row>
    <row r="10" spans="1:21">
      <c r="A10" s="549" t="s">
        <v>550</v>
      </c>
      <c r="B10" s="404">
        <v>58</v>
      </c>
      <c r="C10" s="408">
        <v>0.49059080999999999</v>
      </c>
      <c r="D10" s="408">
        <v>0.66819832000000001</v>
      </c>
      <c r="E10" s="408">
        <v>0.57233308999999999</v>
      </c>
      <c r="F10" s="408">
        <v>1.02418298</v>
      </c>
      <c r="G10" s="408">
        <v>1.0185629899999999</v>
      </c>
      <c r="H10" s="408">
        <v>1.3754936100000001</v>
      </c>
      <c r="I10" s="408">
        <v>1.2908857499999999</v>
      </c>
      <c r="J10" s="408">
        <v>-0.62436677000000007</v>
      </c>
      <c r="K10" s="408">
        <v>0.77809461999999996</v>
      </c>
      <c r="L10" s="408">
        <v>1.217452</v>
      </c>
      <c r="M10" s="408">
        <v>0.96431405000000003</v>
      </c>
      <c r="N10" s="408">
        <v>1.778783</v>
      </c>
      <c r="O10" s="406">
        <f t="shared" si="0"/>
        <v>10.554524450000001</v>
      </c>
    </row>
    <row r="11" spans="1:21">
      <c r="A11" s="551"/>
      <c r="B11" s="404" t="s">
        <v>445</v>
      </c>
      <c r="C11" s="408">
        <v>0</v>
      </c>
      <c r="D11" s="408">
        <v>0</v>
      </c>
      <c r="E11" s="408">
        <v>0</v>
      </c>
      <c r="F11" s="408">
        <v>0</v>
      </c>
      <c r="G11" s="408">
        <v>0</v>
      </c>
      <c r="H11" s="408">
        <v>0</v>
      </c>
      <c r="I11" s="408">
        <v>0</v>
      </c>
      <c r="J11" s="408">
        <v>0</v>
      </c>
      <c r="K11" s="408">
        <v>0</v>
      </c>
      <c r="L11" s="408">
        <v>0</v>
      </c>
      <c r="M11" s="408">
        <v>0</v>
      </c>
      <c r="N11" s="408">
        <v>0</v>
      </c>
      <c r="O11" s="406">
        <f t="shared" si="0"/>
        <v>0</v>
      </c>
    </row>
    <row r="12" spans="1:21">
      <c r="A12" s="409" t="s">
        <v>762</v>
      </c>
      <c r="B12" s="404" t="s">
        <v>671</v>
      </c>
      <c r="C12" s="408">
        <v>0</v>
      </c>
      <c r="D12" s="408">
        <v>0</v>
      </c>
      <c r="E12" s="408">
        <v>0</v>
      </c>
      <c r="F12" s="408">
        <v>0</v>
      </c>
      <c r="G12" s="408">
        <v>0</v>
      </c>
      <c r="H12" s="408">
        <v>2.0999999999999999E-3</v>
      </c>
      <c r="I12" s="408">
        <v>0.15319994000000001</v>
      </c>
      <c r="J12" s="408">
        <v>5.3932589999999996E-2</v>
      </c>
      <c r="K12" s="408">
        <v>1.39508159</v>
      </c>
      <c r="L12" s="408">
        <v>7.3858999999999994E-2</v>
      </c>
      <c r="M12" s="408">
        <v>0.41733215999999995</v>
      </c>
      <c r="N12" s="408">
        <v>1.6054778700000001</v>
      </c>
      <c r="O12" s="406">
        <f t="shared" si="0"/>
        <v>3.7009831499999999</v>
      </c>
    </row>
    <row r="13" spans="1:21">
      <c r="A13" s="403" t="s">
        <v>763</v>
      </c>
      <c r="B13" s="404" t="s">
        <v>764</v>
      </c>
      <c r="C13" s="408">
        <v>0</v>
      </c>
      <c r="D13" s="408">
        <v>0</v>
      </c>
      <c r="E13" s="408">
        <v>0</v>
      </c>
      <c r="F13" s="408">
        <v>0</v>
      </c>
      <c r="G13" s="408">
        <v>0</v>
      </c>
      <c r="H13" s="408">
        <v>0</v>
      </c>
      <c r="I13" s="408">
        <v>0</v>
      </c>
      <c r="J13" s="408">
        <v>0</v>
      </c>
      <c r="K13" s="408">
        <v>0</v>
      </c>
      <c r="L13" s="408">
        <v>0.118587</v>
      </c>
      <c r="M13" s="408">
        <v>0.20722868999999999</v>
      </c>
      <c r="N13" s="408">
        <v>0.34927328000000002</v>
      </c>
      <c r="O13" s="406">
        <f t="shared" si="0"/>
        <v>0.67508897000000001</v>
      </c>
    </row>
    <row r="14" spans="1:21" ht="18">
      <c r="A14" s="403" t="s">
        <v>765</v>
      </c>
      <c r="B14" s="404" t="s">
        <v>604</v>
      </c>
      <c r="C14" s="408">
        <v>6.4967799999999997E-3</v>
      </c>
      <c r="D14" s="408">
        <v>5.8943999999999993E-3</v>
      </c>
      <c r="E14" s="408">
        <v>2.3467410000000001E-2</v>
      </c>
      <c r="F14" s="408">
        <v>2.32905E-3</v>
      </c>
      <c r="G14" s="408">
        <v>1.4903399999999999E-2</v>
      </c>
      <c r="H14" s="408">
        <v>1.3071530000000001E-2</v>
      </c>
      <c r="I14" s="408">
        <v>3.0036709999999998E-2</v>
      </c>
      <c r="J14" s="408">
        <v>0.1100757</v>
      </c>
      <c r="K14" s="408">
        <v>2.5299869999999999E-2</v>
      </c>
      <c r="L14" s="408">
        <v>1.0904E-2</v>
      </c>
      <c r="M14" s="408">
        <v>1.155018E-2</v>
      </c>
      <c r="N14" s="408">
        <v>4.3541820000000002E-2</v>
      </c>
      <c r="O14" s="406">
        <f t="shared" si="0"/>
        <v>0.29757085</v>
      </c>
    </row>
    <row r="15" spans="1:21">
      <c r="A15" s="552" t="s">
        <v>766</v>
      </c>
      <c r="B15" s="404" t="s">
        <v>767</v>
      </c>
      <c r="C15" s="408">
        <v>1.7279999999999999E-3</v>
      </c>
      <c r="D15" s="408">
        <v>0.12886800000000001</v>
      </c>
      <c r="E15" s="408">
        <v>0.11994789</v>
      </c>
      <c r="F15" s="408">
        <v>0.18402476999999998</v>
      </c>
      <c r="G15" s="408">
        <v>0.53152030000000006</v>
      </c>
      <c r="H15" s="408">
        <v>0.45484385999999999</v>
      </c>
      <c r="I15" s="408">
        <v>0.70654306</v>
      </c>
      <c r="J15" s="408">
        <v>0.88299667000000004</v>
      </c>
      <c r="K15" s="408">
        <v>1.2884074699999999</v>
      </c>
      <c r="L15" s="408">
        <v>0.96855563</v>
      </c>
      <c r="M15" s="408">
        <v>1.5468111200000001</v>
      </c>
      <c r="N15" s="408">
        <v>2.0813175900000003</v>
      </c>
      <c r="O15" s="406">
        <f t="shared" si="0"/>
        <v>8.8955643600000016</v>
      </c>
    </row>
    <row r="16" spans="1:21">
      <c r="A16" s="553"/>
      <c r="B16" s="404" t="s">
        <v>406</v>
      </c>
      <c r="C16" s="408">
        <v>0.46060054</v>
      </c>
      <c r="D16" s="408">
        <v>0.58702317000000004</v>
      </c>
      <c r="E16" s="408">
        <v>0.74154433999999991</v>
      </c>
      <c r="F16" s="408">
        <v>2.0211517199999998</v>
      </c>
      <c r="G16" s="408">
        <v>1.43986283</v>
      </c>
      <c r="H16" s="408">
        <v>0.35613784999999998</v>
      </c>
      <c r="I16" s="408">
        <v>1.7422525900000001</v>
      </c>
      <c r="J16" s="408">
        <v>0.91155399999999998</v>
      </c>
      <c r="K16" s="408">
        <v>1.2350509999999999</v>
      </c>
      <c r="L16" s="408">
        <v>2.7778331299999999</v>
      </c>
      <c r="M16" s="408">
        <v>0.76593065999999999</v>
      </c>
      <c r="N16" s="408">
        <v>2.373945</v>
      </c>
      <c r="O16" s="406">
        <f t="shared" si="0"/>
        <v>15.412886830000001</v>
      </c>
    </row>
    <row r="17" spans="1:15" ht="18">
      <c r="A17" s="403" t="s">
        <v>768</v>
      </c>
      <c r="B17" s="404">
        <v>67</v>
      </c>
      <c r="C17" s="408">
        <v>0</v>
      </c>
      <c r="D17" s="408">
        <v>0</v>
      </c>
      <c r="E17" s="408">
        <v>0</v>
      </c>
      <c r="F17" s="408">
        <v>0</v>
      </c>
      <c r="G17" s="408">
        <v>0</v>
      </c>
      <c r="H17" s="408">
        <v>0</v>
      </c>
      <c r="I17" s="408">
        <v>0</v>
      </c>
      <c r="J17" s="408">
        <v>0</v>
      </c>
      <c r="K17" s="408">
        <v>0</v>
      </c>
      <c r="L17" s="408">
        <v>0</v>
      </c>
      <c r="M17" s="408">
        <v>0</v>
      </c>
      <c r="N17" s="408">
        <v>0</v>
      </c>
      <c r="O17" s="406">
        <f t="shared" si="0"/>
        <v>0</v>
      </c>
    </row>
    <row r="18" spans="1:15" ht="18">
      <c r="A18" s="403" t="s">
        <v>768</v>
      </c>
      <c r="B18" s="404">
        <v>39</v>
      </c>
      <c r="C18" s="408">
        <v>0</v>
      </c>
      <c r="D18" s="408">
        <v>0</v>
      </c>
      <c r="E18" s="408">
        <v>0</v>
      </c>
      <c r="F18" s="408">
        <v>0</v>
      </c>
      <c r="G18" s="408">
        <v>0</v>
      </c>
      <c r="H18" s="408">
        <v>0</v>
      </c>
      <c r="I18" s="408">
        <v>0</v>
      </c>
      <c r="J18" s="408">
        <v>0</v>
      </c>
      <c r="K18" s="408">
        <v>0</v>
      </c>
      <c r="L18" s="408">
        <v>0</v>
      </c>
      <c r="M18" s="408">
        <v>0</v>
      </c>
      <c r="N18" s="408">
        <v>0</v>
      </c>
      <c r="O18" s="406">
        <f t="shared" si="0"/>
        <v>0</v>
      </c>
    </row>
    <row r="19" spans="1:15">
      <c r="A19" s="549" t="s">
        <v>769</v>
      </c>
      <c r="B19" s="404">
        <v>192</v>
      </c>
      <c r="C19" s="405">
        <v>7.10764833</v>
      </c>
      <c r="D19" s="405">
        <v>2.5966518199999999</v>
      </c>
      <c r="E19" s="405">
        <v>1.92568443</v>
      </c>
      <c r="F19" s="405">
        <v>0</v>
      </c>
      <c r="G19" s="405">
        <v>0</v>
      </c>
      <c r="H19" s="405">
        <v>0</v>
      </c>
      <c r="I19" s="405">
        <v>0</v>
      </c>
      <c r="J19" s="405">
        <v>0</v>
      </c>
      <c r="K19" s="405">
        <v>0</v>
      </c>
      <c r="L19" s="405">
        <v>0</v>
      </c>
      <c r="M19" s="405">
        <v>0</v>
      </c>
      <c r="N19" s="405">
        <v>0</v>
      </c>
      <c r="O19" s="406">
        <f t="shared" si="0"/>
        <v>11.62998458</v>
      </c>
    </row>
    <row r="20" spans="1:15">
      <c r="A20" s="550"/>
      <c r="B20" s="404">
        <v>64</v>
      </c>
      <c r="C20" s="408">
        <v>0.14270359000000002</v>
      </c>
      <c r="D20" s="408">
        <v>8.2473889999999994E-2</v>
      </c>
      <c r="E20" s="408">
        <v>0.13599226</v>
      </c>
      <c r="F20" s="408">
        <v>0.1711278</v>
      </c>
      <c r="G20" s="408">
        <v>0.12981097999999999</v>
      </c>
      <c r="H20" s="408">
        <v>0.41434540000000003</v>
      </c>
      <c r="I20" s="408">
        <v>0.13173198</v>
      </c>
      <c r="J20" s="408">
        <v>0.22016701</v>
      </c>
      <c r="K20" s="408">
        <v>0.17449700000000001</v>
      </c>
      <c r="L20" s="408">
        <v>0.242226</v>
      </c>
      <c r="M20" s="408">
        <v>-0.17963338000000001</v>
      </c>
      <c r="N20" s="408">
        <v>0.19375910999999998</v>
      </c>
      <c r="O20" s="406">
        <f t="shared" si="0"/>
        <v>1.8592016400000002</v>
      </c>
    </row>
    <row r="21" spans="1:15">
      <c r="A21" s="550"/>
      <c r="B21" s="404" t="s">
        <v>668</v>
      </c>
      <c r="C21" s="408">
        <v>0</v>
      </c>
      <c r="D21" s="408">
        <v>0</v>
      </c>
      <c r="E21" s="408">
        <v>0</v>
      </c>
      <c r="F21" s="408">
        <v>0</v>
      </c>
      <c r="G21" s="408">
        <v>0</v>
      </c>
      <c r="H21" s="408">
        <v>0</v>
      </c>
      <c r="I21" s="408">
        <v>0</v>
      </c>
      <c r="J21" s="408">
        <v>0</v>
      </c>
      <c r="K21" s="408">
        <v>0</v>
      </c>
      <c r="L21" s="408">
        <v>0</v>
      </c>
      <c r="M21" s="408">
        <v>0</v>
      </c>
      <c r="N21" s="408">
        <v>0</v>
      </c>
      <c r="O21" s="406">
        <f t="shared" si="0"/>
        <v>0</v>
      </c>
    </row>
    <row r="22" spans="1:15" ht="18">
      <c r="A22" s="550"/>
      <c r="B22" s="404" t="s">
        <v>673</v>
      </c>
      <c r="C22" s="408">
        <v>0</v>
      </c>
      <c r="D22" s="408">
        <v>0</v>
      </c>
      <c r="E22" s="408">
        <v>0</v>
      </c>
      <c r="F22" s="408">
        <v>0</v>
      </c>
      <c r="G22" s="408">
        <v>0</v>
      </c>
      <c r="H22" s="408">
        <v>0</v>
      </c>
      <c r="I22" s="408">
        <v>0</v>
      </c>
      <c r="J22" s="408">
        <v>0</v>
      </c>
      <c r="K22" s="408">
        <v>0</v>
      </c>
      <c r="L22" s="408">
        <v>0</v>
      </c>
      <c r="M22" s="408">
        <v>0</v>
      </c>
      <c r="N22" s="408">
        <v>0</v>
      </c>
      <c r="O22" s="406">
        <f t="shared" si="0"/>
        <v>0</v>
      </c>
    </row>
    <row r="23" spans="1:15">
      <c r="A23" s="551"/>
      <c r="B23" s="404" t="s">
        <v>695</v>
      </c>
      <c r="C23" s="408">
        <v>0</v>
      </c>
      <c r="D23" s="408">
        <v>0</v>
      </c>
      <c r="E23" s="408">
        <v>0</v>
      </c>
      <c r="F23" s="408">
        <v>0</v>
      </c>
      <c r="G23" s="408">
        <v>0</v>
      </c>
      <c r="H23" s="408">
        <v>0</v>
      </c>
      <c r="I23" s="408">
        <v>0</v>
      </c>
      <c r="J23" s="408">
        <v>0</v>
      </c>
      <c r="K23" s="408">
        <v>0</v>
      </c>
      <c r="L23" s="408">
        <v>0</v>
      </c>
      <c r="M23" s="408">
        <v>0</v>
      </c>
      <c r="N23" s="408">
        <v>0</v>
      </c>
      <c r="O23" s="406">
        <f t="shared" si="0"/>
        <v>0</v>
      </c>
    </row>
    <row r="24" spans="1:15">
      <c r="A24" s="549" t="s">
        <v>770</v>
      </c>
      <c r="B24" s="404" t="s">
        <v>507</v>
      </c>
      <c r="C24" s="408">
        <v>0</v>
      </c>
      <c r="D24" s="408">
        <v>0</v>
      </c>
      <c r="E24" s="408">
        <v>0</v>
      </c>
      <c r="F24" s="408">
        <v>0</v>
      </c>
      <c r="G24" s="408">
        <v>0</v>
      </c>
      <c r="H24" s="408">
        <v>0</v>
      </c>
      <c r="I24" s="408">
        <v>0</v>
      </c>
      <c r="J24" s="408">
        <v>0</v>
      </c>
      <c r="K24" s="408">
        <v>0</v>
      </c>
      <c r="L24" s="408">
        <v>0</v>
      </c>
      <c r="M24" s="408">
        <v>0</v>
      </c>
      <c r="N24" s="408">
        <v>0</v>
      </c>
      <c r="O24" s="406">
        <f t="shared" si="0"/>
        <v>0</v>
      </c>
    </row>
    <row r="25" spans="1:15">
      <c r="A25" s="550"/>
      <c r="B25" s="404" t="s">
        <v>512</v>
      </c>
      <c r="C25" s="408">
        <v>0</v>
      </c>
      <c r="D25" s="408">
        <v>0</v>
      </c>
      <c r="E25" s="408">
        <v>0</v>
      </c>
      <c r="F25" s="408">
        <v>0</v>
      </c>
      <c r="G25" s="408">
        <v>0</v>
      </c>
      <c r="H25" s="408">
        <v>0</v>
      </c>
      <c r="I25" s="408">
        <v>0</v>
      </c>
      <c r="J25" s="408">
        <v>0</v>
      </c>
      <c r="K25" s="408">
        <v>0</v>
      </c>
      <c r="L25" s="408">
        <v>0</v>
      </c>
      <c r="M25" s="408">
        <v>0</v>
      </c>
      <c r="N25" s="408">
        <v>0</v>
      </c>
      <c r="O25" s="406">
        <f t="shared" si="0"/>
        <v>0</v>
      </c>
    </row>
    <row r="26" spans="1:15">
      <c r="A26" s="551"/>
      <c r="B26" s="404" t="s">
        <v>621</v>
      </c>
      <c r="C26" s="408">
        <v>0</v>
      </c>
      <c r="D26" s="408">
        <v>0</v>
      </c>
      <c r="E26" s="408">
        <v>0</v>
      </c>
      <c r="F26" s="408">
        <v>0</v>
      </c>
      <c r="G26" s="408">
        <v>0</v>
      </c>
      <c r="H26" s="408">
        <v>0</v>
      </c>
      <c r="I26" s="408">
        <v>0</v>
      </c>
      <c r="J26" s="408">
        <v>0</v>
      </c>
      <c r="K26" s="408">
        <v>0</v>
      </c>
      <c r="L26" s="408">
        <v>0</v>
      </c>
      <c r="M26" s="408">
        <v>0</v>
      </c>
      <c r="N26" s="408">
        <v>0</v>
      </c>
      <c r="O26" s="406">
        <f t="shared" si="0"/>
        <v>0</v>
      </c>
    </row>
    <row r="27" spans="1:15">
      <c r="A27" s="403" t="s">
        <v>771</v>
      </c>
      <c r="B27" s="410" t="s">
        <v>677</v>
      </c>
      <c r="C27" s="408">
        <v>0</v>
      </c>
      <c r="D27" s="408">
        <v>0</v>
      </c>
      <c r="E27" s="408">
        <v>0</v>
      </c>
      <c r="F27" s="408">
        <v>0</v>
      </c>
      <c r="G27" s="408">
        <v>0</v>
      </c>
      <c r="H27" s="408">
        <v>0</v>
      </c>
      <c r="I27" s="408">
        <v>0</v>
      </c>
      <c r="J27" s="408">
        <v>0</v>
      </c>
      <c r="K27" s="408">
        <v>0</v>
      </c>
      <c r="L27" s="408">
        <v>0</v>
      </c>
      <c r="M27" s="408">
        <v>0</v>
      </c>
      <c r="N27" s="408">
        <v>0</v>
      </c>
      <c r="O27" s="406">
        <f t="shared" si="0"/>
        <v>0</v>
      </c>
    </row>
    <row r="28" spans="1:15">
      <c r="A28" s="403" t="s">
        <v>772</v>
      </c>
      <c r="B28" s="404">
        <v>107</v>
      </c>
      <c r="C28" s="408">
        <v>5.8527000000000003E-2</v>
      </c>
      <c r="D28" s="408">
        <v>3.6687890000000001E-2</v>
      </c>
      <c r="E28" s="408">
        <v>1.4274999999999999E-2</v>
      </c>
      <c r="F28" s="408">
        <v>1.9231000000000002E-2</v>
      </c>
      <c r="G28" s="408">
        <v>1.9755000000000002E-2</v>
      </c>
      <c r="H28" s="408">
        <v>2.8954000000000001E-2</v>
      </c>
      <c r="I28" s="408">
        <v>1.9480999999999998E-2</v>
      </c>
      <c r="J28" s="408">
        <v>0.30410007999999999</v>
      </c>
      <c r="K28" s="408">
        <v>0.31730700000000001</v>
      </c>
      <c r="L28" s="408">
        <v>0.23030800000000001</v>
      </c>
      <c r="M28" s="408">
        <v>0.17353091000000001</v>
      </c>
      <c r="N28" s="408">
        <v>0.19949820999999998</v>
      </c>
      <c r="O28" s="406">
        <f t="shared" si="0"/>
        <v>1.42165509</v>
      </c>
    </row>
    <row r="29" spans="1:15">
      <c r="A29" s="403" t="s">
        <v>773</v>
      </c>
      <c r="B29" s="404">
        <v>95</v>
      </c>
      <c r="C29" s="408">
        <v>9.1330564800000005</v>
      </c>
      <c r="D29" s="408">
        <v>12.17629294</v>
      </c>
      <c r="E29" s="408">
        <v>8.1273702700000001</v>
      </c>
      <c r="F29" s="408">
        <v>13.325232249999999</v>
      </c>
      <c r="G29" s="408">
        <v>11.900291560000001</v>
      </c>
      <c r="H29" s="408">
        <v>12.96804833</v>
      </c>
      <c r="I29" s="408">
        <v>14.99510727</v>
      </c>
      <c r="J29" s="408">
        <v>14.633094160000001</v>
      </c>
      <c r="K29" s="408">
        <v>11.668238519999999</v>
      </c>
      <c r="L29" s="408">
        <v>16.702324999999998</v>
      </c>
      <c r="M29" s="408">
        <v>14.163698109999999</v>
      </c>
      <c r="N29" s="408">
        <v>17.565548079999999</v>
      </c>
      <c r="O29" s="406">
        <f t="shared" si="0"/>
        <v>157.35830297000001</v>
      </c>
    </row>
    <row r="30" spans="1:15">
      <c r="A30" s="552" t="s">
        <v>774</v>
      </c>
      <c r="B30" s="404">
        <v>56</v>
      </c>
      <c r="C30" s="408">
        <v>5.3484724000000003</v>
      </c>
      <c r="D30" s="408">
        <v>6.8784767599999999</v>
      </c>
      <c r="E30" s="408">
        <v>15.037671189999999</v>
      </c>
      <c r="F30" s="408">
        <v>10.61169267</v>
      </c>
      <c r="G30" s="408">
        <v>20.219788910000002</v>
      </c>
      <c r="H30" s="408">
        <v>9.9608390900000003</v>
      </c>
      <c r="I30" s="408">
        <v>15.048689289999999</v>
      </c>
      <c r="J30" s="408">
        <v>9.1408299900000003</v>
      </c>
      <c r="K30" s="408">
        <v>22.05897088</v>
      </c>
      <c r="L30" s="408">
        <v>20.114765999999999</v>
      </c>
      <c r="M30" s="408">
        <v>15.02074698</v>
      </c>
      <c r="N30" s="408">
        <v>19.93409419</v>
      </c>
      <c r="O30" s="406">
        <f t="shared" si="0"/>
        <v>169.37503835000001</v>
      </c>
    </row>
    <row r="31" spans="1:15">
      <c r="A31" s="553"/>
      <c r="B31" s="404">
        <v>88</v>
      </c>
      <c r="C31" s="408">
        <v>2.7915489600000001</v>
      </c>
      <c r="D31" s="408">
        <v>14.940078980000001</v>
      </c>
      <c r="E31" s="408">
        <v>4.9023850400000004</v>
      </c>
      <c r="F31" s="408">
        <v>2.5186690000000005</v>
      </c>
      <c r="G31" s="408">
        <v>3.8258094200000001</v>
      </c>
      <c r="H31" s="408">
        <v>7.5519988200000006</v>
      </c>
      <c r="I31" s="408">
        <v>2.2611044500000004</v>
      </c>
      <c r="J31" s="408">
        <v>2.8181580499999996</v>
      </c>
      <c r="K31" s="408">
        <v>6.0503821100000001</v>
      </c>
      <c r="L31" s="408">
        <v>6.2440389999999999</v>
      </c>
      <c r="M31" s="408">
        <v>6.2440388000000002</v>
      </c>
      <c r="N31" s="408">
        <v>9.1845537699999991</v>
      </c>
      <c r="O31" s="406">
        <f t="shared" si="0"/>
        <v>69.332766399999997</v>
      </c>
    </row>
    <row r="32" spans="1:15">
      <c r="A32" s="403" t="s">
        <v>775</v>
      </c>
      <c r="B32" s="404">
        <v>57</v>
      </c>
      <c r="C32" s="408">
        <v>2.2725347</v>
      </c>
      <c r="D32" s="408">
        <v>0.65510443000000007</v>
      </c>
      <c r="E32" s="408">
        <v>1.8845294100000003</v>
      </c>
      <c r="F32" s="408">
        <v>1.7999816499999997</v>
      </c>
      <c r="G32" s="408">
        <v>2.5484715299999996</v>
      </c>
      <c r="H32" s="408">
        <v>1.2684650800000001</v>
      </c>
      <c r="I32" s="408">
        <v>1.6130473200000002</v>
      </c>
      <c r="J32" s="408">
        <v>1.9252152600000001</v>
      </c>
      <c r="K32" s="408">
        <v>4.5675729499999997</v>
      </c>
      <c r="L32" s="408">
        <v>1.644568</v>
      </c>
      <c r="M32" s="408">
        <v>4.1563407400000001</v>
      </c>
      <c r="N32" s="408">
        <v>0.60549971999999996</v>
      </c>
      <c r="O32" s="406">
        <f t="shared" si="0"/>
        <v>24.941330789999999</v>
      </c>
    </row>
    <row r="33" spans="1:15">
      <c r="A33" s="407" t="s">
        <v>776</v>
      </c>
      <c r="B33" s="404" t="s">
        <v>628</v>
      </c>
      <c r="C33" s="408">
        <v>0</v>
      </c>
      <c r="D33" s="408">
        <v>0</v>
      </c>
      <c r="E33" s="408">
        <v>0</v>
      </c>
      <c r="F33" s="408">
        <v>0</v>
      </c>
      <c r="G33" s="408">
        <v>0</v>
      </c>
      <c r="H33" s="408">
        <v>0</v>
      </c>
      <c r="I33" s="408">
        <v>0</v>
      </c>
      <c r="J33" s="408">
        <v>0</v>
      </c>
      <c r="K33" s="408">
        <v>0</v>
      </c>
      <c r="L33" s="408">
        <v>0</v>
      </c>
      <c r="M33" s="408">
        <v>0</v>
      </c>
      <c r="N33" s="408">
        <v>0</v>
      </c>
      <c r="O33" s="406">
        <f t="shared" si="0"/>
        <v>0</v>
      </c>
    </row>
    <row r="34" spans="1:15">
      <c r="A34" s="552" t="s">
        <v>588</v>
      </c>
      <c r="B34" s="404" t="s">
        <v>444</v>
      </c>
      <c r="C34" s="408">
        <v>1.25281731</v>
      </c>
      <c r="D34" s="408">
        <v>0.50137268000000001</v>
      </c>
      <c r="E34" s="408">
        <v>0.45888105000000001</v>
      </c>
      <c r="F34" s="408">
        <v>0.43664433000000002</v>
      </c>
      <c r="G34" s="408">
        <v>0.79133662000000005</v>
      </c>
      <c r="H34" s="408">
        <v>1.1526798999999999</v>
      </c>
      <c r="I34" s="408">
        <v>2.1872434900000002</v>
      </c>
      <c r="J34" s="408">
        <v>1.7811683899999999</v>
      </c>
      <c r="K34" s="408">
        <v>3.7067955600000002</v>
      </c>
      <c r="L34" s="408">
        <v>3.9626860000000002</v>
      </c>
      <c r="M34" s="408">
        <v>3.3047649900000002</v>
      </c>
      <c r="N34" s="408">
        <v>3.7211049900000002</v>
      </c>
      <c r="O34" s="406">
        <f t="shared" si="0"/>
        <v>23.257495309999999</v>
      </c>
    </row>
    <row r="35" spans="1:15">
      <c r="A35" s="554"/>
      <c r="B35" s="404" t="s">
        <v>443</v>
      </c>
      <c r="C35" s="408">
        <v>0.53335677000000004</v>
      </c>
      <c r="D35" s="408">
        <v>0.14203668</v>
      </c>
      <c r="E35" s="408">
        <v>0.34981674000000001</v>
      </c>
      <c r="F35" s="408">
        <v>1.81371916</v>
      </c>
      <c r="G35" s="408">
        <v>3.1221292200000001</v>
      </c>
      <c r="H35" s="408">
        <v>2.6900303800000001</v>
      </c>
      <c r="I35" s="408">
        <v>3.0223992799999997</v>
      </c>
      <c r="J35" s="408">
        <v>3.4313966200000001</v>
      </c>
      <c r="K35" s="408">
        <v>3.0909412500000002</v>
      </c>
      <c r="L35" s="408">
        <v>1.808975</v>
      </c>
      <c r="M35" s="408">
        <v>0.92085556000000002</v>
      </c>
      <c r="N35" s="408">
        <v>0.84297568</v>
      </c>
      <c r="O35" s="406">
        <f t="shared" si="0"/>
        <v>21.76863234</v>
      </c>
    </row>
    <row r="36" spans="1:15">
      <c r="A36" s="403" t="s">
        <v>771</v>
      </c>
      <c r="B36" s="404" t="s">
        <v>419</v>
      </c>
      <c r="C36" s="408">
        <v>4.6730000000000001E-3</v>
      </c>
      <c r="D36" s="408">
        <v>1.0621999999999999E-2</v>
      </c>
      <c r="E36" s="408">
        <v>0.77538300000000004</v>
      </c>
      <c r="F36" s="408">
        <v>3.3656999999999999E-2</v>
      </c>
      <c r="G36" s="408">
        <v>5.3730000000000002E-3</v>
      </c>
      <c r="H36" s="408">
        <v>7.7619999999999998E-3</v>
      </c>
      <c r="I36" s="408">
        <v>0.81453100000000001</v>
      </c>
      <c r="J36" s="408">
        <v>9.8329999999999997E-3</v>
      </c>
      <c r="K36" s="408">
        <v>6.0460000000000002E-3</v>
      </c>
      <c r="L36" s="408">
        <v>5.1469999999999997E-3</v>
      </c>
      <c r="M36" s="408">
        <v>5.5970000000000004E-3</v>
      </c>
      <c r="N36" s="408">
        <v>5.7400000000000003E-3</v>
      </c>
      <c r="O36" s="406">
        <f t="shared" si="0"/>
        <v>1.6843640000000002</v>
      </c>
    </row>
    <row r="37" spans="1:15">
      <c r="A37" s="403" t="s">
        <v>447</v>
      </c>
      <c r="B37" s="404" t="s">
        <v>448</v>
      </c>
      <c r="C37" s="408">
        <v>0.33593577000000002</v>
      </c>
      <c r="D37" s="408">
        <v>0.70087239000000001</v>
      </c>
      <c r="E37" s="408">
        <v>0.31135872999999997</v>
      </c>
      <c r="F37" s="408">
        <v>0.42855577</v>
      </c>
      <c r="G37" s="408">
        <v>0.47974102000000002</v>
      </c>
      <c r="H37" s="408">
        <v>0.30223821999999995</v>
      </c>
      <c r="I37" s="408">
        <v>0.26760858000000004</v>
      </c>
      <c r="J37" s="408">
        <v>0.26291342000000001</v>
      </c>
      <c r="K37" s="408">
        <v>-0.27633871000000004</v>
      </c>
      <c r="L37" s="408">
        <v>9.2510000000000005E-3</v>
      </c>
      <c r="M37" s="408">
        <v>2.251334E-2</v>
      </c>
      <c r="N37" s="408">
        <v>0.12141576</v>
      </c>
      <c r="O37" s="406">
        <f t="shared" si="0"/>
        <v>2.96606529</v>
      </c>
    </row>
    <row r="38" spans="1:15" s="413" customFormat="1" ht="12">
      <c r="A38" s="411" t="s">
        <v>18</v>
      </c>
      <c r="B38" s="411"/>
      <c r="C38" s="412">
        <f t="shared" ref="C38:O38" si="1">+SUM(C6:C37)</f>
        <v>30.039605070000004</v>
      </c>
      <c r="D38" s="412">
        <f t="shared" si="1"/>
        <v>40.611339270000002</v>
      </c>
      <c r="E38" s="412">
        <f t="shared" si="1"/>
        <v>35.54506421</v>
      </c>
      <c r="F38" s="412">
        <f t="shared" si="1"/>
        <v>34.64711432</v>
      </c>
      <c r="G38" s="412">
        <f t="shared" si="1"/>
        <v>51.816506849999996</v>
      </c>
      <c r="H38" s="412">
        <f t="shared" si="1"/>
        <v>47.791975160000007</v>
      </c>
      <c r="I38" s="412">
        <f t="shared" si="1"/>
        <v>52.357194630000002</v>
      </c>
      <c r="J38" s="412">
        <f t="shared" si="1"/>
        <v>44.798053090000003</v>
      </c>
      <c r="K38" s="412">
        <f t="shared" si="1"/>
        <v>57.132342250000001</v>
      </c>
      <c r="L38" s="412">
        <f t="shared" si="1"/>
        <v>57.160240759999986</v>
      </c>
      <c r="M38" s="412">
        <f t="shared" si="1"/>
        <v>51.232370870000004</v>
      </c>
      <c r="N38" s="412">
        <f t="shared" si="1"/>
        <v>60.973930070000002</v>
      </c>
      <c r="O38" s="412">
        <f t="shared" si="1"/>
        <v>564.10573654999996</v>
      </c>
    </row>
    <row r="40" spans="1:15">
      <c r="A40" s="221" t="s">
        <v>515</v>
      </c>
      <c r="C40" s="414"/>
      <c r="D40" s="414"/>
      <c r="E40" s="260"/>
      <c r="F40" s="260"/>
      <c r="G40" s="260"/>
      <c r="H40" s="414"/>
      <c r="I40" s="260"/>
      <c r="J40" s="260"/>
      <c r="K40" s="260"/>
      <c r="L40" s="260"/>
      <c r="M40" s="260"/>
      <c r="N40" s="260"/>
      <c r="O40" s="415"/>
    </row>
  </sheetData>
  <mergeCells count="9">
    <mergeCell ref="A24:A26"/>
    <mergeCell ref="A30:A31"/>
    <mergeCell ref="A34:A35"/>
    <mergeCell ref="A2:O2"/>
    <mergeCell ref="A4:O4"/>
    <mergeCell ref="A7:A9"/>
    <mergeCell ref="A10:A11"/>
    <mergeCell ref="A15:A16"/>
    <mergeCell ref="A19:A23"/>
  </mergeCell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50"/>
  </sheetPr>
  <dimension ref="A1:J38"/>
  <sheetViews>
    <sheetView workbookViewId="0">
      <selection sqref="A1:XFD1048576"/>
    </sheetView>
  </sheetViews>
  <sheetFormatPr baseColWidth="10" defaultColWidth="11.42578125" defaultRowHeight="11.25"/>
  <cols>
    <col min="1" max="16384" width="11.42578125" style="311"/>
  </cols>
  <sheetData>
    <row r="1" spans="1:10" ht="15">
      <c r="J1" s="281">
        <v>12</v>
      </c>
    </row>
    <row r="2" spans="1:10" ht="12">
      <c r="A2" s="517" t="s">
        <v>777</v>
      </c>
      <c r="B2" s="517"/>
      <c r="C2" s="517"/>
      <c r="D2" s="517"/>
      <c r="E2" s="517"/>
      <c r="F2" s="517"/>
      <c r="G2" s="239"/>
      <c r="H2" s="239"/>
      <c r="I2" s="239"/>
    </row>
    <row r="4" spans="1:10">
      <c r="A4" s="555" t="s">
        <v>778</v>
      </c>
      <c r="B4" s="555"/>
      <c r="C4" s="555"/>
      <c r="D4" s="555"/>
      <c r="E4" s="555"/>
      <c r="F4" s="555"/>
    </row>
    <row r="5" spans="1:10">
      <c r="A5" s="229" t="s">
        <v>779</v>
      </c>
      <c r="B5" s="229">
        <v>2025</v>
      </c>
      <c r="C5" s="229">
        <f>+B5+1</f>
        <v>2026</v>
      </c>
      <c r="D5" s="229">
        <f>+C5+1</f>
        <v>2027</v>
      </c>
      <c r="E5" s="229">
        <f>+D5+1</f>
        <v>2028</v>
      </c>
      <c r="F5" s="229">
        <f>+E5+1</f>
        <v>2029</v>
      </c>
    </row>
    <row r="6" spans="1:10" ht="15">
      <c r="A6" s="232" t="s">
        <v>416</v>
      </c>
      <c r="B6" s="417">
        <v>15.03</v>
      </c>
      <c r="C6" s="418">
        <v>30.34</v>
      </c>
      <c r="D6" s="418">
        <v>18.079999999999998</v>
      </c>
      <c r="E6" s="418">
        <v>5.55</v>
      </c>
      <c r="F6" s="418">
        <v>0</v>
      </c>
      <c r="H6"/>
    </row>
    <row r="7" spans="1:10">
      <c r="A7" s="232" t="s">
        <v>743</v>
      </c>
      <c r="B7" s="418">
        <v>461.86</v>
      </c>
      <c r="C7" s="418">
        <v>691.29</v>
      </c>
      <c r="D7" s="418">
        <v>529.01</v>
      </c>
      <c r="E7" s="418">
        <v>422.37</v>
      </c>
      <c r="F7" s="418">
        <v>473.95</v>
      </c>
    </row>
    <row r="8" spans="1:10">
      <c r="A8" s="419" t="s">
        <v>151</v>
      </c>
      <c r="B8" s="420">
        <f>SUM(B6:B7)</f>
        <v>476.89</v>
      </c>
      <c r="C8" s="420">
        <f>SUM(C6:C7)</f>
        <v>721.63</v>
      </c>
      <c r="D8" s="420">
        <f>SUM(D6:D7)</f>
        <v>547.09</v>
      </c>
      <c r="E8" s="420">
        <f>SUM(E6:E7)</f>
        <v>427.92</v>
      </c>
      <c r="F8" s="420">
        <f>SUM(F6:F7)</f>
        <v>473.95</v>
      </c>
    </row>
    <row r="9" spans="1:10">
      <c r="A9" s="221" t="s">
        <v>515</v>
      </c>
    </row>
    <row r="11" spans="1:10" ht="12">
      <c r="A11" s="556"/>
      <c r="B11" s="556"/>
      <c r="C11" s="556"/>
      <c r="D11" s="556"/>
      <c r="E11" s="556"/>
      <c r="F11" s="556"/>
      <c r="G11" s="421"/>
    </row>
    <row r="12" spans="1:10" ht="12">
      <c r="A12" s="556"/>
      <c r="B12" s="556"/>
      <c r="C12" s="556"/>
      <c r="D12" s="556"/>
      <c r="E12" s="556"/>
      <c r="F12" s="556"/>
      <c r="G12" s="421"/>
    </row>
    <row r="13" spans="1:10">
      <c r="A13" s="556"/>
      <c r="B13" s="556"/>
      <c r="C13" s="556"/>
      <c r="D13" s="556"/>
      <c r="E13" s="556"/>
      <c r="F13" s="556"/>
    </row>
    <row r="14" spans="1:10" ht="15">
      <c r="B14" s="220" t="s">
        <v>780</v>
      </c>
    </row>
    <row r="38" spans="2:2">
      <c r="B38" s="221" t="s">
        <v>515</v>
      </c>
    </row>
  </sheetData>
  <mergeCells count="3">
    <mergeCell ref="A2:F2"/>
    <mergeCell ref="A4:F4"/>
    <mergeCell ref="A11:F13"/>
  </mergeCells>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50"/>
  </sheetPr>
  <dimension ref="A1:T69"/>
  <sheetViews>
    <sheetView workbookViewId="0">
      <selection sqref="A1:XFD1048576"/>
    </sheetView>
  </sheetViews>
  <sheetFormatPr baseColWidth="10" defaultColWidth="11.28515625" defaultRowHeight="11.25"/>
  <cols>
    <col min="1" max="1" width="18.5703125" style="422" customWidth="1"/>
    <col min="2" max="2" width="12.7109375" style="423" customWidth="1"/>
    <col min="3" max="6" width="9.140625" style="424" bestFit="1" customWidth="1"/>
    <col min="7" max="7" width="9.42578125" style="424" bestFit="1" customWidth="1"/>
    <col min="8" max="8" width="9.140625" style="424" bestFit="1" customWidth="1"/>
    <col min="9" max="10" width="9.42578125" style="424" bestFit="1" customWidth="1"/>
    <col min="11" max="12" width="9.7109375" style="424" bestFit="1" customWidth="1"/>
    <col min="13" max="13" width="9.140625" style="424" bestFit="1" customWidth="1"/>
    <col min="14" max="14" width="9.7109375" style="424" bestFit="1" customWidth="1"/>
    <col min="15" max="15" width="10.7109375" style="424" customWidth="1"/>
    <col min="16" max="16384" width="11.28515625" style="423"/>
  </cols>
  <sheetData>
    <row r="1" spans="1:20" ht="15">
      <c r="T1" s="281">
        <v>20</v>
      </c>
    </row>
    <row r="2" spans="1:20" ht="12">
      <c r="A2" s="517" t="s">
        <v>781</v>
      </c>
      <c r="B2" s="517"/>
      <c r="C2" s="517"/>
      <c r="D2" s="517"/>
      <c r="E2" s="517"/>
      <c r="F2" s="517"/>
      <c r="G2" s="517"/>
      <c r="H2" s="517"/>
      <c r="I2" s="517"/>
      <c r="J2" s="517"/>
      <c r="K2" s="517"/>
      <c r="L2" s="517"/>
      <c r="M2" s="517"/>
      <c r="N2" s="517"/>
      <c r="O2" s="517"/>
    </row>
    <row r="4" spans="1:20" s="377" customFormat="1">
      <c r="A4" s="564" t="s">
        <v>782</v>
      </c>
      <c r="B4" s="564"/>
      <c r="C4" s="564"/>
      <c r="D4" s="564"/>
      <c r="E4" s="564"/>
      <c r="F4" s="564"/>
      <c r="G4" s="564"/>
      <c r="H4" s="564"/>
      <c r="I4" s="564"/>
      <c r="J4" s="564"/>
      <c r="K4" s="564"/>
      <c r="L4" s="564"/>
      <c r="M4" s="564"/>
      <c r="N4" s="564"/>
      <c r="O4" s="564"/>
    </row>
    <row r="5" spans="1:20" s="377" customFormat="1">
      <c r="A5" s="425" t="s">
        <v>401</v>
      </c>
      <c r="B5" s="425" t="s">
        <v>402</v>
      </c>
      <c r="C5" s="426" t="s">
        <v>749</v>
      </c>
      <c r="D5" s="426" t="s">
        <v>750</v>
      </c>
      <c r="E5" s="426" t="s">
        <v>751</v>
      </c>
      <c r="F5" s="426" t="s">
        <v>752</v>
      </c>
      <c r="G5" s="426" t="s">
        <v>753</v>
      </c>
      <c r="H5" s="426" t="s">
        <v>754</v>
      </c>
      <c r="I5" s="426" t="s">
        <v>755</v>
      </c>
      <c r="J5" s="426" t="s">
        <v>756</v>
      </c>
      <c r="K5" s="426" t="s">
        <v>757</v>
      </c>
      <c r="L5" s="426" t="s">
        <v>758</v>
      </c>
      <c r="M5" s="426" t="s">
        <v>759</v>
      </c>
      <c r="N5" s="426" t="s">
        <v>760</v>
      </c>
      <c r="O5" s="426" t="s">
        <v>18</v>
      </c>
    </row>
    <row r="6" spans="1:20" s="377" customFormat="1">
      <c r="A6" s="559" t="s">
        <v>783</v>
      </c>
      <c r="B6" s="559"/>
      <c r="C6" s="559"/>
      <c r="D6" s="559"/>
      <c r="E6" s="559"/>
      <c r="F6" s="559"/>
      <c r="G6" s="559"/>
      <c r="H6" s="559"/>
      <c r="I6" s="559"/>
      <c r="J6" s="559"/>
      <c r="K6" s="559"/>
      <c r="L6" s="559"/>
      <c r="M6" s="559"/>
      <c r="N6" s="559"/>
      <c r="O6" s="559"/>
    </row>
    <row r="7" spans="1:20" s="377" customFormat="1">
      <c r="A7" s="427" t="s">
        <v>19</v>
      </c>
      <c r="B7" s="428" t="s">
        <v>663</v>
      </c>
      <c r="C7" s="429">
        <v>189.81779999999998</v>
      </c>
      <c r="D7" s="429">
        <v>192.83423000000002</v>
      </c>
      <c r="E7" s="429">
        <v>211.65654000000001</v>
      </c>
      <c r="F7" s="429">
        <v>311.98217</v>
      </c>
      <c r="G7" s="429">
        <v>340.14171999999996</v>
      </c>
      <c r="H7" s="429">
        <v>344.53710999999998</v>
      </c>
      <c r="I7" s="429">
        <v>298.24113</v>
      </c>
      <c r="J7" s="429">
        <v>270.01115000000004</v>
      </c>
      <c r="K7" s="429">
        <v>230.67660000000001</v>
      </c>
      <c r="L7" s="429">
        <v>252.35887</v>
      </c>
      <c r="M7" s="429">
        <v>216.56457999999998</v>
      </c>
      <c r="N7" s="429">
        <v>227.91552999999999</v>
      </c>
      <c r="O7" s="429">
        <f>+SUM(C7:N7)</f>
        <v>3086.7374300000001</v>
      </c>
    </row>
    <row r="8" spans="1:20" s="431" customFormat="1">
      <c r="A8" s="427" t="s">
        <v>664</v>
      </c>
      <c r="B8" s="430" t="s">
        <v>507</v>
      </c>
      <c r="C8" s="429">
        <v>480.91447999999997</v>
      </c>
      <c r="D8" s="429">
        <v>421.00034000000005</v>
      </c>
      <c r="E8" s="429">
        <v>447.40646999999996</v>
      </c>
      <c r="F8" s="429">
        <v>455.59100000000001</v>
      </c>
      <c r="G8" s="429">
        <v>404.83370000000002</v>
      </c>
      <c r="H8" s="429">
        <v>391.64047999999997</v>
      </c>
      <c r="I8" s="429">
        <v>415.80723999999998</v>
      </c>
      <c r="J8" s="429">
        <v>374.29250000000002</v>
      </c>
      <c r="K8" s="429">
        <v>330.01495</v>
      </c>
      <c r="L8" s="429">
        <v>346.40409999999997</v>
      </c>
      <c r="M8" s="429">
        <v>315.37187</v>
      </c>
      <c r="N8" s="429">
        <v>323.43353999999999</v>
      </c>
      <c r="O8" s="429">
        <f t="shared" ref="O8:O20" si="0">+SUM(C8:N8)</f>
        <v>4706.7106699999995</v>
      </c>
    </row>
    <row r="9" spans="1:20" s="431" customFormat="1">
      <c r="A9" s="427" t="s">
        <v>213</v>
      </c>
      <c r="B9" s="430" t="s">
        <v>444</v>
      </c>
      <c r="C9" s="429">
        <v>1877.9451100000001</v>
      </c>
      <c r="D9" s="429">
        <v>2149.2379300000002</v>
      </c>
      <c r="E9" s="429">
        <v>2386.6485699999998</v>
      </c>
      <c r="F9" s="429">
        <v>2192.7662300000002</v>
      </c>
      <c r="G9" s="429">
        <v>1861.42318</v>
      </c>
      <c r="H9" s="429">
        <v>1659.87114</v>
      </c>
      <c r="I9" s="429">
        <v>1772.02532</v>
      </c>
      <c r="J9" s="429">
        <v>1729.3716399999998</v>
      </c>
      <c r="K9" s="429">
        <v>1653.77169</v>
      </c>
      <c r="L9" s="429">
        <v>1925.08671</v>
      </c>
      <c r="M9" s="429">
        <v>1862.83727</v>
      </c>
      <c r="N9" s="429">
        <v>2256.0371700000001</v>
      </c>
      <c r="O9" s="429">
        <f t="shared" si="0"/>
        <v>23327.021959999998</v>
      </c>
    </row>
    <row r="10" spans="1:20" s="431" customFormat="1">
      <c r="A10" s="427" t="s">
        <v>213</v>
      </c>
      <c r="B10" s="430" t="s">
        <v>784</v>
      </c>
      <c r="C10" s="429">
        <v>2631.7285099999999</v>
      </c>
      <c r="D10" s="429">
        <v>2324.1385800000003</v>
      </c>
      <c r="E10" s="429">
        <v>2649.5857500000002</v>
      </c>
      <c r="F10" s="429">
        <v>2846.2306800000001</v>
      </c>
      <c r="G10" s="429">
        <v>3199.2514999999999</v>
      </c>
      <c r="H10" s="429">
        <v>3282.0129400000001</v>
      </c>
      <c r="I10" s="429">
        <v>3587.6474900000003</v>
      </c>
      <c r="J10" s="429">
        <v>3419.8359799999998</v>
      </c>
      <c r="K10" s="429">
        <v>2922.6979500000002</v>
      </c>
      <c r="L10" s="429">
        <v>2939.5065399999999</v>
      </c>
      <c r="M10" s="429">
        <v>2943.9523199999999</v>
      </c>
      <c r="N10" s="429">
        <v>3051.5548599999997</v>
      </c>
      <c r="O10" s="429">
        <f t="shared" si="0"/>
        <v>35798.143100000001</v>
      </c>
    </row>
    <row r="11" spans="1:20" s="431" customFormat="1">
      <c r="A11" s="427" t="s">
        <v>785</v>
      </c>
      <c r="B11" s="430" t="s">
        <v>604</v>
      </c>
      <c r="C11" s="429">
        <v>166.37663000000001</v>
      </c>
      <c r="D11" s="429">
        <v>160.26601000000002</v>
      </c>
      <c r="E11" s="429">
        <v>179.75286</v>
      </c>
      <c r="F11" s="429">
        <v>177.73160000000001</v>
      </c>
      <c r="G11" s="429">
        <v>173.13585</v>
      </c>
      <c r="H11" s="429">
        <v>165.37246999999999</v>
      </c>
      <c r="I11" s="429">
        <v>170.25618</v>
      </c>
      <c r="J11" s="429">
        <v>164.05007999999998</v>
      </c>
      <c r="K11" s="429">
        <v>129.13801000000001</v>
      </c>
      <c r="L11" s="429">
        <v>141.84181000000001</v>
      </c>
      <c r="M11" s="429">
        <v>131.79503</v>
      </c>
      <c r="N11" s="429">
        <v>136.75939000000002</v>
      </c>
      <c r="O11" s="429">
        <f t="shared" si="0"/>
        <v>1896.4759199999999</v>
      </c>
    </row>
    <row r="12" spans="1:20" s="431" customFormat="1">
      <c r="A12" s="427" t="s">
        <v>665</v>
      </c>
      <c r="B12" s="430" t="s">
        <v>764</v>
      </c>
      <c r="C12" s="429">
        <v>20.042930000000002</v>
      </c>
      <c r="D12" s="429">
        <v>33.143089999999994</v>
      </c>
      <c r="E12" s="429">
        <v>41.783919999999995</v>
      </c>
      <c r="F12" s="429">
        <v>30.44013</v>
      </c>
      <c r="G12" s="429">
        <v>0</v>
      </c>
      <c r="H12" s="429">
        <v>46.434779999999996</v>
      </c>
      <c r="I12" s="429">
        <v>84.966639999999998</v>
      </c>
      <c r="J12" s="429">
        <v>41.923029999999997</v>
      </c>
      <c r="K12" s="429">
        <v>49.21781</v>
      </c>
      <c r="L12" s="429">
        <v>53.701010000000004</v>
      </c>
      <c r="M12" s="429">
        <v>114.64883999999999</v>
      </c>
      <c r="N12" s="429">
        <v>121.62224000000001</v>
      </c>
      <c r="O12" s="429">
        <f t="shared" si="0"/>
        <v>637.92441999999994</v>
      </c>
    </row>
    <row r="13" spans="1:20" s="431" customFormat="1">
      <c r="A13" s="427" t="s">
        <v>19</v>
      </c>
      <c r="B13" s="430" t="s">
        <v>668</v>
      </c>
      <c r="C13" s="429">
        <v>853.78198999999995</v>
      </c>
      <c r="D13" s="429">
        <v>778.33317</v>
      </c>
      <c r="E13" s="429">
        <v>792.65665000000001</v>
      </c>
      <c r="F13" s="429">
        <v>1251.3383799999999</v>
      </c>
      <c r="G13" s="429">
        <v>1442.4325800000001</v>
      </c>
      <c r="H13" s="429">
        <v>1406.7696000000001</v>
      </c>
      <c r="I13" s="429">
        <v>1476.3239099999998</v>
      </c>
      <c r="J13" s="429">
        <v>1300.0881299999999</v>
      </c>
      <c r="K13" s="429">
        <v>1107.41444</v>
      </c>
      <c r="L13" s="429">
        <v>1153.8926299999998</v>
      </c>
      <c r="M13" s="429">
        <v>1037.90128</v>
      </c>
      <c r="N13" s="429">
        <v>1065.55341</v>
      </c>
      <c r="O13" s="429">
        <f t="shared" si="0"/>
        <v>13666.48617</v>
      </c>
    </row>
    <row r="14" spans="1:20" s="431" customFormat="1">
      <c r="A14" s="427" t="s">
        <v>19</v>
      </c>
      <c r="B14" s="430" t="s">
        <v>767</v>
      </c>
      <c r="C14" s="429">
        <v>671.61892</v>
      </c>
      <c r="D14" s="429">
        <v>678.50315999999998</v>
      </c>
      <c r="E14" s="429">
        <v>724.67550000000006</v>
      </c>
      <c r="F14" s="429">
        <v>733.72120999999993</v>
      </c>
      <c r="G14" s="429">
        <v>498.05917999999997</v>
      </c>
      <c r="H14" s="429">
        <v>479.44276000000002</v>
      </c>
      <c r="I14" s="429">
        <v>527.49393000000009</v>
      </c>
      <c r="J14" s="429">
        <v>519.45508000000007</v>
      </c>
      <c r="K14" s="429">
        <v>433.35073999999997</v>
      </c>
      <c r="L14" s="429">
        <v>491.58901000000003</v>
      </c>
      <c r="M14" s="429">
        <v>462.30340000000001</v>
      </c>
      <c r="N14" s="429">
        <v>449.90127000000001</v>
      </c>
      <c r="O14" s="429">
        <f t="shared" si="0"/>
        <v>6670.1141600000001</v>
      </c>
    </row>
    <row r="15" spans="1:20" s="431" customFormat="1">
      <c r="A15" s="427" t="s">
        <v>510</v>
      </c>
      <c r="B15" s="430" t="s">
        <v>786</v>
      </c>
      <c r="C15" s="429">
        <v>0</v>
      </c>
      <c r="D15" s="429">
        <v>0</v>
      </c>
      <c r="E15" s="429">
        <v>163.78099</v>
      </c>
      <c r="F15" s="429">
        <v>0</v>
      </c>
      <c r="G15" s="429">
        <v>0</v>
      </c>
      <c r="H15" s="429">
        <v>19.716619999999999</v>
      </c>
      <c r="I15" s="429">
        <v>0</v>
      </c>
      <c r="J15" s="429">
        <v>0</v>
      </c>
      <c r="K15" s="429">
        <v>0</v>
      </c>
      <c r="L15" s="429">
        <v>0</v>
      </c>
      <c r="M15" s="429">
        <v>0</v>
      </c>
      <c r="N15" s="429">
        <v>0</v>
      </c>
      <c r="O15" s="429">
        <f t="shared" si="0"/>
        <v>183.49761000000001</v>
      </c>
    </row>
    <row r="16" spans="1:20" s="431" customFormat="1">
      <c r="A16" s="427" t="s">
        <v>412</v>
      </c>
      <c r="B16" s="430" t="s">
        <v>445</v>
      </c>
      <c r="C16" s="429">
        <v>6563.0554599999996</v>
      </c>
      <c r="D16" s="429">
        <v>6537.2246100000002</v>
      </c>
      <c r="E16" s="429">
        <v>7430.3266399999993</v>
      </c>
      <c r="F16" s="429">
        <v>7895.2322100000001</v>
      </c>
      <c r="G16" s="429">
        <v>3777.5877300000002</v>
      </c>
      <c r="H16" s="429">
        <v>0</v>
      </c>
      <c r="I16" s="429">
        <v>0</v>
      </c>
      <c r="J16" s="429">
        <v>0</v>
      </c>
      <c r="K16" s="429">
        <v>698.08407999999997</v>
      </c>
      <c r="L16" s="429">
        <v>0</v>
      </c>
      <c r="M16" s="429">
        <v>0</v>
      </c>
      <c r="N16" s="429">
        <v>0</v>
      </c>
      <c r="O16" s="429">
        <f t="shared" si="0"/>
        <v>32901.510730000002</v>
      </c>
    </row>
    <row r="17" spans="1:15" s="431" customFormat="1">
      <c r="A17" s="427" t="s">
        <v>670</v>
      </c>
      <c r="B17" s="430" t="s">
        <v>671</v>
      </c>
      <c r="C17" s="429">
        <v>0</v>
      </c>
      <c r="D17" s="429">
        <v>0</v>
      </c>
      <c r="E17" s="429">
        <v>0</v>
      </c>
      <c r="F17" s="429">
        <v>0</v>
      </c>
      <c r="G17" s="429">
        <v>1760.1434999999999</v>
      </c>
      <c r="H17" s="429">
        <v>5990.0176600000004</v>
      </c>
      <c r="I17" s="429">
        <v>7848.0312599999997</v>
      </c>
      <c r="J17" s="429">
        <v>7190.3335399999996</v>
      </c>
      <c r="K17" s="429">
        <v>5446.7302300000001</v>
      </c>
      <c r="L17" s="429">
        <v>5807.1475399999999</v>
      </c>
      <c r="M17" s="429">
        <v>5516.0300700000007</v>
      </c>
      <c r="N17" s="429">
        <v>5629.9372199999998</v>
      </c>
      <c r="O17" s="429">
        <f t="shared" si="0"/>
        <v>45188.371019999999</v>
      </c>
    </row>
    <row r="18" spans="1:15" s="431" customFormat="1">
      <c r="A18" s="427" t="s">
        <v>433</v>
      </c>
      <c r="B18" s="430" t="s">
        <v>406</v>
      </c>
      <c r="C18" s="429">
        <v>913.68750999999997</v>
      </c>
      <c r="D18" s="429">
        <v>851.19587000000001</v>
      </c>
      <c r="E18" s="429">
        <v>934.78038000000004</v>
      </c>
      <c r="F18" s="429">
        <v>993.95235000000002</v>
      </c>
      <c r="G18" s="429">
        <v>886.35792000000004</v>
      </c>
      <c r="H18" s="429">
        <v>807.86772999999994</v>
      </c>
      <c r="I18" s="429">
        <v>810.63156000000004</v>
      </c>
      <c r="J18" s="429">
        <v>706.46978000000001</v>
      </c>
      <c r="K18" s="429">
        <v>595.09379000000001</v>
      </c>
      <c r="L18" s="429">
        <v>626.82574999999997</v>
      </c>
      <c r="M18" s="429">
        <v>594.43944999999997</v>
      </c>
      <c r="N18" s="429">
        <v>615.17002000000002</v>
      </c>
      <c r="O18" s="429">
        <f t="shared" si="0"/>
        <v>9336.4721100000006</v>
      </c>
    </row>
    <row r="19" spans="1:15" s="431" customFormat="1">
      <c r="A19" s="427" t="s">
        <v>664</v>
      </c>
      <c r="B19" s="430" t="s">
        <v>512</v>
      </c>
      <c r="C19" s="429">
        <v>22.308049999999998</v>
      </c>
      <c r="D19" s="429">
        <v>18.853759999999998</v>
      </c>
      <c r="E19" s="429">
        <v>23.513770000000001</v>
      </c>
      <c r="F19" s="429">
        <v>21.701150000000002</v>
      </c>
      <c r="G19" s="429">
        <v>20.738919999999997</v>
      </c>
      <c r="H19" s="429">
        <v>20.1892</v>
      </c>
      <c r="I19" s="429">
        <v>19.788820000000001</v>
      </c>
      <c r="J19" s="429">
        <v>19.854189999999999</v>
      </c>
      <c r="K19" s="429">
        <v>17.240449999999999</v>
      </c>
      <c r="L19" s="429">
        <v>18.029400000000003</v>
      </c>
      <c r="M19" s="429">
        <v>16.207459999999998</v>
      </c>
      <c r="N19" s="429">
        <v>16.52488</v>
      </c>
      <c r="O19" s="429">
        <f t="shared" si="0"/>
        <v>234.95004999999998</v>
      </c>
    </row>
    <row r="20" spans="1:15" s="431" customFormat="1">
      <c r="A20" s="427" t="s">
        <v>664</v>
      </c>
      <c r="B20" s="430" t="s">
        <v>621</v>
      </c>
      <c r="C20" s="429">
        <v>6.6425600000000005</v>
      </c>
      <c r="D20" s="429">
        <v>7.0276099999999992</v>
      </c>
      <c r="E20" s="429">
        <v>6.4034700000000004</v>
      </c>
      <c r="F20" s="429">
        <v>6.9149599999999998</v>
      </c>
      <c r="G20" s="429">
        <v>6.3570799999999998</v>
      </c>
      <c r="H20" s="429">
        <v>6.1020000000000003</v>
      </c>
      <c r="I20" s="429">
        <v>6.9185299999999996</v>
      </c>
      <c r="J20" s="429">
        <v>5.7981400000000001</v>
      </c>
      <c r="K20" s="429">
        <v>5.0913300000000001</v>
      </c>
      <c r="L20" s="429">
        <v>5.6328699999999996</v>
      </c>
      <c r="M20" s="429">
        <v>5.0034000000000001</v>
      </c>
      <c r="N20" s="429">
        <v>5.7389700000000001</v>
      </c>
      <c r="O20" s="429">
        <f t="shared" si="0"/>
        <v>73.630919999999989</v>
      </c>
    </row>
    <row r="21" spans="1:15" s="431" customFormat="1">
      <c r="A21" s="562" t="s">
        <v>787</v>
      </c>
      <c r="B21" s="562"/>
      <c r="C21" s="432">
        <f t="shared" ref="C21:O21" si="1">+SUM(C7:C20)</f>
        <v>14397.91995</v>
      </c>
      <c r="D21" s="432">
        <f t="shared" si="1"/>
        <v>14151.75836</v>
      </c>
      <c r="E21" s="432">
        <f t="shared" si="1"/>
        <v>15992.971509999998</v>
      </c>
      <c r="F21" s="432">
        <f t="shared" si="1"/>
        <v>16917.602070000001</v>
      </c>
      <c r="G21" s="432">
        <f t="shared" si="1"/>
        <v>14370.462860000001</v>
      </c>
      <c r="H21" s="432">
        <f t="shared" si="1"/>
        <v>14619.974490000002</v>
      </c>
      <c r="I21" s="432">
        <f t="shared" si="1"/>
        <v>17018.132010000001</v>
      </c>
      <c r="J21" s="432">
        <f t="shared" si="1"/>
        <v>15741.48324</v>
      </c>
      <c r="K21" s="432">
        <f t="shared" si="1"/>
        <v>13618.522069999999</v>
      </c>
      <c r="L21" s="432">
        <f t="shared" si="1"/>
        <v>13762.016239999997</v>
      </c>
      <c r="M21" s="432">
        <f t="shared" si="1"/>
        <v>13217.054969999999</v>
      </c>
      <c r="N21" s="432">
        <f t="shared" si="1"/>
        <v>13900.148500000001</v>
      </c>
      <c r="O21" s="432">
        <f t="shared" si="1"/>
        <v>177708.04627000002</v>
      </c>
    </row>
    <row r="22" spans="1:15" s="431" customFormat="1">
      <c r="A22" s="427" t="s">
        <v>216</v>
      </c>
      <c r="B22" s="433">
        <v>8</v>
      </c>
      <c r="C22" s="429">
        <v>0</v>
      </c>
      <c r="D22" s="429">
        <v>0</v>
      </c>
      <c r="E22" s="429">
        <v>0</v>
      </c>
      <c r="F22" s="429">
        <v>0</v>
      </c>
      <c r="G22" s="429">
        <v>0</v>
      </c>
      <c r="H22" s="429">
        <v>0</v>
      </c>
      <c r="I22" s="429">
        <v>0</v>
      </c>
      <c r="J22" s="429">
        <v>0</v>
      </c>
      <c r="K22" s="429">
        <v>0</v>
      </c>
      <c r="L22" s="429">
        <v>104.13172</v>
      </c>
      <c r="M22" s="429">
        <v>0</v>
      </c>
      <c r="N22" s="429">
        <v>0</v>
      </c>
      <c r="O22" s="429">
        <f>+SUM(C22:N22)</f>
        <v>104.13172</v>
      </c>
    </row>
    <row r="23" spans="1:15" s="431" customFormat="1">
      <c r="A23" s="427" t="s">
        <v>788</v>
      </c>
      <c r="B23" s="433" t="s">
        <v>677</v>
      </c>
      <c r="C23" s="429">
        <v>0</v>
      </c>
      <c r="D23" s="429">
        <v>0</v>
      </c>
      <c r="E23" s="429">
        <v>0</v>
      </c>
      <c r="F23" s="429">
        <v>0</v>
      </c>
      <c r="G23" s="429">
        <v>0</v>
      </c>
      <c r="H23" s="429">
        <v>0</v>
      </c>
      <c r="I23" s="429">
        <v>0</v>
      </c>
      <c r="J23" s="429">
        <v>0</v>
      </c>
      <c r="K23" s="429">
        <v>0</v>
      </c>
      <c r="L23" s="429">
        <v>0</v>
      </c>
      <c r="M23" s="429">
        <v>0</v>
      </c>
      <c r="N23" s="429">
        <v>269.82085999999998</v>
      </c>
      <c r="O23" s="429">
        <f t="shared" ref="O23:O34" si="2">+SUM(C23:N23)</f>
        <v>269.82085999999998</v>
      </c>
    </row>
    <row r="24" spans="1:15" s="431" customFormat="1">
      <c r="A24" s="427" t="s">
        <v>513</v>
      </c>
      <c r="B24" s="430">
        <v>67</v>
      </c>
      <c r="C24" s="429">
        <v>0</v>
      </c>
      <c r="D24" s="429">
        <v>0</v>
      </c>
      <c r="E24" s="429">
        <v>0</v>
      </c>
      <c r="F24" s="429">
        <v>0</v>
      </c>
      <c r="G24" s="429">
        <v>0</v>
      </c>
      <c r="H24" s="429">
        <v>0</v>
      </c>
      <c r="I24" s="429">
        <v>0</v>
      </c>
      <c r="J24" s="429">
        <v>0</v>
      </c>
      <c r="K24" s="429">
        <v>0</v>
      </c>
      <c r="L24" s="429">
        <v>0</v>
      </c>
      <c r="M24" s="429">
        <v>0</v>
      </c>
      <c r="N24" s="429">
        <v>0</v>
      </c>
      <c r="O24" s="429">
        <f t="shared" si="2"/>
        <v>0</v>
      </c>
    </row>
    <row r="25" spans="1:15" s="431" customFormat="1">
      <c r="A25" s="427" t="s">
        <v>453</v>
      </c>
      <c r="B25" s="430">
        <v>95</v>
      </c>
      <c r="C25" s="429">
        <v>2567.9432900000002</v>
      </c>
      <c r="D25" s="429">
        <v>2310.1425899999999</v>
      </c>
      <c r="E25" s="429">
        <v>2637.8098599999998</v>
      </c>
      <c r="F25" s="429">
        <v>2727.2725399999999</v>
      </c>
      <c r="G25" s="429">
        <v>2082.72496</v>
      </c>
      <c r="H25" s="429">
        <v>2747.6090600000002</v>
      </c>
      <c r="I25" s="429">
        <v>2845.5696600000001</v>
      </c>
      <c r="J25" s="429">
        <v>1721.41849</v>
      </c>
      <c r="K25" s="429">
        <v>956.21406000000002</v>
      </c>
      <c r="L25" s="429">
        <v>1737.05116</v>
      </c>
      <c r="M25" s="429">
        <v>2463.3170499999997</v>
      </c>
      <c r="N25" s="429">
        <v>2545.6720599999999</v>
      </c>
      <c r="O25" s="429">
        <f t="shared" si="2"/>
        <v>27342.744779999997</v>
      </c>
    </row>
    <row r="26" spans="1:15" s="431" customFormat="1">
      <c r="A26" s="427" t="s">
        <v>789</v>
      </c>
      <c r="B26" s="430" t="s">
        <v>435</v>
      </c>
      <c r="C26" s="429">
        <v>64.319940000000003</v>
      </c>
      <c r="D26" s="429">
        <v>54.694789999999998</v>
      </c>
      <c r="E26" s="429">
        <v>125.10937</v>
      </c>
      <c r="F26" s="429">
        <v>100.46216</v>
      </c>
      <c r="G26" s="429">
        <v>50.860219999999998</v>
      </c>
      <c r="H26" s="429">
        <v>81.88937</v>
      </c>
      <c r="I26" s="429">
        <v>100.11381</v>
      </c>
      <c r="J26" s="429">
        <v>87.038730000000001</v>
      </c>
      <c r="K26" s="429">
        <v>65.116860000000003</v>
      </c>
      <c r="L26" s="429">
        <v>26.96585</v>
      </c>
      <c r="M26" s="429">
        <v>28.396609999999999</v>
      </c>
      <c r="N26" s="429">
        <v>5.1167899999999999</v>
      </c>
      <c r="O26" s="429">
        <f t="shared" si="2"/>
        <v>790.08450000000005</v>
      </c>
    </row>
    <row r="27" spans="1:15" s="431" customFormat="1">
      <c r="A27" s="427" t="s">
        <v>454</v>
      </c>
      <c r="B27" s="430">
        <v>131</v>
      </c>
      <c r="C27" s="429">
        <v>499.24336999999997</v>
      </c>
      <c r="D27" s="429">
        <v>442.68990000000002</v>
      </c>
      <c r="E27" s="429">
        <v>485.79665999999997</v>
      </c>
      <c r="F27" s="429">
        <v>483.97581000000002</v>
      </c>
      <c r="G27" s="429">
        <v>420.89052000000004</v>
      </c>
      <c r="H27" s="429">
        <v>382.06245000000001</v>
      </c>
      <c r="I27" s="429">
        <v>386.33186000000001</v>
      </c>
      <c r="J27" s="429">
        <v>340.81076000000002</v>
      </c>
      <c r="K27" s="429">
        <v>290.92703</v>
      </c>
      <c r="L27" s="429">
        <v>293.33537999999999</v>
      </c>
      <c r="M27" s="429">
        <v>260.77546999999998</v>
      </c>
      <c r="N27" s="429">
        <v>267.37234000000001</v>
      </c>
      <c r="O27" s="429">
        <f t="shared" si="2"/>
        <v>4554.2115499999991</v>
      </c>
    </row>
    <row r="28" spans="1:15" s="431" customFormat="1">
      <c r="A28" s="427" t="s">
        <v>216</v>
      </c>
      <c r="B28" s="430">
        <v>88</v>
      </c>
      <c r="C28" s="429">
        <v>25367.639709999999</v>
      </c>
      <c r="D28" s="429">
        <v>25640.743140000002</v>
      </c>
      <c r="E28" s="429">
        <v>24898.921289999998</v>
      </c>
      <c r="F28" s="429">
        <v>23895.283809999997</v>
      </c>
      <c r="G28" s="429">
        <v>24286.713660000001</v>
      </c>
      <c r="H28" s="429">
        <v>23911.220160000001</v>
      </c>
      <c r="I28" s="429">
        <v>25638.443789999998</v>
      </c>
      <c r="J28" s="429">
        <v>23172.29825</v>
      </c>
      <c r="K28" s="429">
        <v>21164.280850000003</v>
      </c>
      <c r="L28" s="429">
        <v>25248.782850000003</v>
      </c>
      <c r="M28" s="429">
        <v>23071.461469999998</v>
      </c>
      <c r="N28" s="429">
        <v>24883.802520000001</v>
      </c>
      <c r="O28" s="429">
        <f t="shared" si="2"/>
        <v>291179.59149999998</v>
      </c>
    </row>
    <row r="29" spans="1:15" s="431" customFormat="1">
      <c r="A29" s="427" t="s">
        <v>451</v>
      </c>
      <c r="B29" s="430">
        <v>57</v>
      </c>
      <c r="C29" s="429">
        <v>1364.3583000000001</v>
      </c>
      <c r="D29" s="429">
        <v>1256.4216999999999</v>
      </c>
      <c r="E29" s="429">
        <v>1474.73606</v>
      </c>
      <c r="F29" s="429">
        <v>1390.7774999999999</v>
      </c>
      <c r="G29" s="429">
        <v>1210.88885</v>
      </c>
      <c r="H29" s="429">
        <v>1263.22128</v>
      </c>
      <c r="I29" s="429">
        <v>1136.9628600000001</v>
      </c>
      <c r="J29" s="429">
        <v>1012.2030699999999</v>
      </c>
      <c r="K29" s="429">
        <v>1349.85787</v>
      </c>
      <c r="L29" s="429">
        <v>1057.3858899999998</v>
      </c>
      <c r="M29" s="429">
        <v>1405.71811</v>
      </c>
      <c r="N29" s="429">
        <v>1397.3195700000001</v>
      </c>
      <c r="O29" s="429">
        <f t="shared" si="2"/>
        <v>15319.851059999999</v>
      </c>
    </row>
    <row r="30" spans="1:15" s="431" customFormat="1">
      <c r="A30" s="427" t="s">
        <v>216</v>
      </c>
      <c r="B30" s="430">
        <v>56</v>
      </c>
      <c r="C30" s="429">
        <v>7305.1318600000004</v>
      </c>
      <c r="D30" s="429">
        <v>7485.2373200000002</v>
      </c>
      <c r="E30" s="429">
        <v>7558.1759199999997</v>
      </c>
      <c r="F30" s="429">
        <v>7185.2143699999997</v>
      </c>
      <c r="G30" s="429">
        <v>6408.6856100000005</v>
      </c>
      <c r="H30" s="429">
        <v>6319.2302900000004</v>
      </c>
      <c r="I30" s="429">
        <v>6028.69488</v>
      </c>
      <c r="J30" s="429">
        <v>5900.3380299999999</v>
      </c>
      <c r="K30" s="429">
        <v>5650.7984699999997</v>
      </c>
      <c r="L30" s="429">
        <v>5822.4012400000001</v>
      </c>
      <c r="M30" s="429">
        <v>6178.6327699999993</v>
      </c>
      <c r="N30" s="429">
        <v>6332.0049800000006</v>
      </c>
      <c r="O30" s="429">
        <f t="shared" si="2"/>
        <v>78174.545740000001</v>
      </c>
    </row>
    <row r="31" spans="1:15" s="431" customFormat="1">
      <c r="A31" s="560" t="s">
        <v>680</v>
      </c>
      <c r="B31" s="560"/>
      <c r="C31" s="432">
        <f>+SUM(C22:C30)</f>
        <v>37168.636469999998</v>
      </c>
      <c r="D31" s="432">
        <f t="shared" ref="D31:N31" si="3">+SUM(D22:D30)</f>
        <v>37189.92944</v>
      </c>
      <c r="E31" s="432">
        <f t="shared" si="3"/>
        <v>37180.549159999995</v>
      </c>
      <c r="F31" s="432">
        <f t="shared" si="3"/>
        <v>35782.986189999996</v>
      </c>
      <c r="G31" s="432">
        <f t="shared" si="3"/>
        <v>34460.76382</v>
      </c>
      <c r="H31" s="432">
        <f t="shared" si="3"/>
        <v>34705.232610000006</v>
      </c>
      <c r="I31" s="432">
        <f t="shared" si="3"/>
        <v>36136.116860000002</v>
      </c>
      <c r="J31" s="432">
        <f t="shared" si="3"/>
        <v>32234.107329999999</v>
      </c>
      <c r="K31" s="432">
        <f t="shared" si="3"/>
        <v>29477.195140000003</v>
      </c>
      <c r="L31" s="432">
        <f t="shared" si="3"/>
        <v>34290.054090000005</v>
      </c>
      <c r="M31" s="432">
        <f t="shared" si="3"/>
        <v>33408.301479999995</v>
      </c>
      <c r="N31" s="432">
        <f t="shared" si="3"/>
        <v>35701.109120000001</v>
      </c>
      <c r="O31" s="432">
        <f>+SUM(O22:O30)</f>
        <v>417734.98170999996</v>
      </c>
    </row>
    <row r="32" spans="1:15" s="431" customFormat="1">
      <c r="A32" s="427" t="s">
        <v>790</v>
      </c>
      <c r="B32" s="430" t="s">
        <v>448</v>
      </c>
      <c r="C32" s="429">
        <v>0</v>
      </c>
      <c r="D32" s="429">
        <v>0</v>
      </c>
      <c r="E32" s="429">
        <v>0</v>
      </c>
      <c r="F32" s="429">
        <v>0</v>
      </c>
      <c r="G32" s="429">
        <v>0</v>
      </c>
      <c r="H32" s="429">
        <v>0</v>
      </c>
      <c r="I32" s="429">
        <v>0</v>
      </c>
      <c r="J32" s="429">
        <v>274.12539000000004</v>
      </c>
      <c r="K32" s="429">
        <v>226.79933</v>
      </c>
      <c r="L32" s="429">
        <v>0</v>
      </c>
      <c r="M32" s="429">
        <v>215.66807</v>
      </c>
      <c r="N32" s="429">
        <v>0</v>
      </c>
      <c r="O32" s="429">
        <f t="shared" si="2"/>
        <v>716.59279000000004</v>
      </c>
    </row>
    <row r="33" spans="1:15" s="431" customFormat="1">
      <c r="A33" s="427" t="s">
        <v>776</v>
      </c>
      <c r="B33" s="430" t="s">
        <v>628</v>
      </c>
      <c r="C33" s="429">
        <v>0</v>
      </c>
      <c r="D33" s="429">
        <v>0</v>
      </c>
      <c r="E33" s="429">
        <v>0</v>
      </c>
      <c r="F33" s="429">
        <v>0</v>
      </c>
      <c r="G33" s="429">
        <v>0</v>
      </c>
      <c r="H33" s="429">
        <v>0</v>
      </c>
      <c r="I33" s="429">
        <v>0</v>
      </c>
      <c r="J33" s="429">
        <v>0</v>
      </c>
      <c r="K33" s="429">
        <v>0</v>
      </c>
      <c r="L33" s="429">
        <v>0</v>
      </c>
      <c r="M33" s="429">
        <v>0</v>
      </c>
      <c r="N33" s="429">
        <v>0</v>
      </c>
      <c r="O33" s="429">
        <f t="shared" si="2"/>
        <v>0</v>
      </c>
    </row>
    <row r="34" spans="1:15" s="431" customFormat="1">
      <c r="A34" s="427" t="s">
        <v>19</v>
      </c>
      <c r="B34" s="430" t="s">
        <v>673</v>
      </c>
      <c r="C34" s="429">
        <v>2198.0242599999997</v>
      </c>
      <c r="D34" s="429">
        <v>1898.2402200000001</v>
      </c>
      <c r="E34" s="429">
        <v>2430.4024199999999</v>
      </c>
      <c r="F34" s="429">
        <v>2239.4761699999999</v>
      </c>
      <c r="G34" s="429">
        <v>3387.7036600000001</v>
      </c>
      <c r="H34" s="429">
        <v>3582.7895700000004</v>
      </c>
      <c r="I34" s="429">
        <v>3973.81178</v>
      </c>
      <c r="J34" s="429">
        <v>2782.1523899999997</v>
      </c>
      <c r="K34" s="429">
        <v>2386.43334</v>
      </c>
      <c r="L34" s="429">
        <v>2490.6484599999999</v>
      </c>
      <c r="M34" s="429">
        <v>2278.5902300000002</v>
      </c>
      <c r="N34" s="429">
        <v>2418.4791600000003</v>
      </c>
      <c r="O34" s="429">
        <f t="shared" si="2"/>
        <v>32066.751660000002</v>
      </c>
    </row>
    <row r="35" spans="1:15">
      <c r="A35" s="562" t="s">
        <v>683</v>
      </c>
      <c r="B35" s="562"/>
      <c r="C35" s="432">
        <f>+C32+C33+C34</f>
        <v>2198.0242599999997</v>
      </c>
      <c r="D35" s="432">
        <f t="shared" ref="D35:O35" si="4">+D32+D33+D34</f>
        <v>1898.2402200000001</v>
      </c>
      <c r="E35" s="432">
        <f t="shared" si="4"/>
        <v>2430.4024199999999</v>
      </c>
      <c r="F35" s="432">
        <f t="shared" si="4"/>
        <v>2239.4761699999999</v>
      </c>
      <c r="G35" s="432">
        <f t="shared" si="4"/>
        <v>3387.7036600000001</v>
      </c>
      <c r="H35" s="432">
        <f t="shared" si="4"/>
        <v>3582.7895700000004</v>
      </c>
      <c r="I35" s="432">
        <f t="shared" si="4"/>
        <v>3973.81178</v>
      </c>
      <c r="J35" s="432">
        <f t="shared" si="4"/>
        <v>3056.2777799999999</v>
      </c>
      <c r="K35" s="432">
        <f t="shared" si="4"/>
        <v>2613.2326699999999</v>
      </c>
      <c r="L35" s="432">
        <f t="shared" si="4"/>
        <v>2490.6484599999999</v>
      </c>
      <c r="M35" s="432">
        <f t="shared" si="4"/>
        <v>2494.2583000000004</v>
      </c>
      <c r="N35" s="432">
        <f t="shared" si="4"/>
        <v>2418.4791600000003</v>
      </c>
      <c r="O35" s="432">
        <f t="shared" si="4"/>
        <v>32783.344450000004</v>
      </c>
    </row>
    <row r="36" spans="1:15">
      <c r="A36" s="558" t="s">
        <v>791</v>
      </c>
      <c r="B36" s="558"/>
      <c r="C36" s="434">
        <f t="shared" ref="C36:O36" si="5">+C21+C31+C35</f>
        <v>53764.580679999992</v>
      </c>
      <c r="D36" s="434">
        <f t="shared" si="5"/>
        <v>53239.928019999999</v>
      </c>
      <c r="E36" s="434">
        <f t="shared" si="5"/>
        <v>55603.923089999989</v>
      </c>
      <c r="F36" s="434">
        <f t="shared" si="5"/>
        <v>54940.064429999999</v>
      </c>
      <c r="G36" s="434">
        <f t="shared" si="5"/>
        <v>52218.930339999999</v>
      </c>
      <c r="H36" s="434">
        <f t="shared" si="5"/>
        <v>52907.996670000008</v>
      </c>
      <c r="I36" s="434">
        <f t="shared" si="5"/>
        <v>57128.060649999999</v>
      </c>
      <c r="J36" s="434">
        <f t="shared" si="5"/>
        <v>51031.868349999997</v>
      </c>
      <c r="K36" s="434">
        <f t="shared" si="5"/>
        <v>45708.94988</v>
      </c>
      <c r="L36" s="434">
        <f t="shared" si="5"/>
        <v>50542.718789999999</v>
      </c>
      <c r="M36" s="434">
        <f t="shared" si="5"/>
        <v>49119.614749999993</v>
      </c>
      <c r="N36" s="434">
        <f t="shared" si="5"/>
        <v>52019.736780000007</v>
      </c>
      <c r="O36" s="434">
        <f t="shared" si="5"/>
        <v>628226.37242999999</v>
      </c>
    </row>
    <row r="37" spans="1:15">
      <c r="A37" s="435"/>
      <c r="B37" s="436"/>
      <c r="C37" s="437"/>
      <c r="D37" s="437"/>
      <c r="E37" s="437"/>
      <c r="F37" s="437"/>
      <c r="G37" s="437"/>
      <c r="H37" s="437"/>
      <c r="I37" s="437"/>
      <c r="J37" s="437"/>
      <c r="K37" s="437"/>
      <c r="L37" s="437"/>
      <c r="M37" s="437"/>
      <c r="N37" s="437"/>
      <c r="O37" s="437"/>
    </row>
    <row r="38" spans="1:15" s="424" customFormat="1">
      <c r="A38" s="559" t="s">
        <v>792</v>
      </c>
      <c r="B38" s="559"/>
      <c r="C38" s="559"/>
      <c r="D38" s="559"/>
      <c r="E38" s="559"/>
      <c r="F38" s="559"/>
      <c r="G38" s="559"/>
      <c r="H38" s="559"/>
      <c r="I38" s="559"/>
      <c r="J38" s="559"/>
      <c r="K38" s="559"/>
      <c r="L38" s="559"/>
      <c r="M38" s="559"/>
      <c r="N38" s="559"/>
      <c r="O38" s="559"/>
    </row>
    <row r="39" spans="1:15" s="431" customFormat="1">
      <c r="A39" s="427" t="s">
        <v>213</v>
      </c>
      <c r="B39" s="428" t="s">
        <v>784</v>
      </c>
      <c r="C39" s="429">
        <v>68.712039999999988</v>
      </c>
      <c r="D39" s="429">
        <v>74.20129</v>
      </c>
      <c r="E39" s="429">
        <v>87.715829999999997</v>
      </c>
      <c r="F39" s="429">
        <v>85.819289999999995</v>
      </c>
      <c r="G39" s="429">
        <v>119.12260000000001</v>
      </c>
      <c r="H39" s="429">
        <v>107.00232000000001</v>
      </c>
      <c r="I39" s="429">
        <v>105.95307000000001</v>
      </c>
      <c r="J39" s="429">
        <v>87.577649999999991</v>
      </c>
      <c r="K39" s="429">
        <v>75.46844999999999</v>
      </c>
      <c r="L39" s="429">
        <v>88.180899999999994</v>
      </c>
      <c r="M39" s="429">
        <v>106.93356</v>
      </c>
      <c r="N39" s="429">
        <v>106.34302000000001</v>
      </c>
      <c r="O39" s="429">
        <f t="shared" ref="O39:O56" si="6">+SUM(C39:N39)</f>
        <v>1113.0300199999999</v>
      </c>
    </row>
    <row r="40" spans="1:15" s="431" customFormat="1">
      <c r="A40" s="427" t="s">
        <v>19</v>
      </c>
      <c r="B40" s="428" t="s">
        <v>793</v>
      </c>
      <c r="C40" s="429">
        <v>64.335440000000006</v>
      </c>
      <c r="D40" s="429">
        <v>64.719740000000002</v>
      </c>
      <c r="E40" s="429">
        <v>74.218829999999997</v>
      </c>
      <c r="F40" s="429">
        <v>100.36069999999999</v>
      </c>
      <c r="G40" s="429">
        <v>130.60544999999999</v>
      </c>
      <c r="H40" s="429">
        <v>129.93178</v>
      </c>
      <c r="I40" s="429">
        <v>152.60348999999999</v>
      </c>
      <c r="J40" s="429">
        <v>115.27356</v>
      </c>
      <c r="K40" s="429">
        <v>139.47865999999999</v>
      </c>
      <c r="L40" s="429">
        <v>154.67001999999999</v>
      </c>
      <c r="M40" s="429">
        <v>138.59998999999999</v>
      </c>
      <c r="N40" s="429">
        <v>136.95391000000001</v>
      </c>
      <c r="O40" s="429">
        <f t="shared" si="6"/>
        <v>1401.7515699999997</v>
      </c>
    </row>
    <row r="41" spans="1:15" s="431" customFormat="1">
      <c r="A41" s="427" t="s">
        <v>412</v>
      </c>
      <c r="B41" s="428" t="s">
        <v>445</v>
      </c>
      <c r="C41" s="429">
        <v>281.97401000000002</v>
      </c>
      <c r="D41" s="429">
        <v>253.17962</v>
      </c>
      <c r="E41" s="429">
        <v>309.84585999999996</v>
      </c>
      <c r="F41" s="429">
        <v>297.04475000000002</v>
      </c>
      <c r="G41" s="429">
        <v>180.28139999999999</v>
      </c>
      <c r="H41" s="429">
        <v>0</v>
      </c>
      <c r="I41" s="429">
        <v>0</v>
      </c>
      <c r="J41" s="429">
        <v>0</v>
      </c>
      <c r="K41" s="429">
        <v>0</v>
      </c>
      <c r="L41" s="429">
        <v>0</v>
      </c>
      <c r="M41" s="429">
        <v>0</v>
      </c>
      <c r="N41" s="429">
        <v>0</v>
      </c>
      <c r="O41" s="429">
        <f t="shared" si="6"/>
        <v>1322.32564</v>
      </c>
    </row>
    <row r="42" spans="1:15" s="431" customFormat="1">
      <c r="A42" s="427" t="s">
        <v>670</v>
      </c>
      <c r="B42" s="428" t="s">
        <v>671</v>
      </c>
      <c r="C42" s="429">
        <v>0</v>
      </c>
      <c r="D42" s="429">
        <v>0</v>
      </c>
      <c r="E42" s="429">
        <v>0</v>
      </c>
      <c r="F42" s="429">
        <v>0</v>
      </c>
      <c r="G42" s="429">
        <v>105.41033</v>
      </c>
      <c r="H42" s="429">
        <v>317.05450000000002</v>
      </c>
      <c r="I42" s="429">
        <v>401.92025999999998</v>
      </c>
      <c r="J42" s="429">
        <v>388.57921000000005</v>
      </c>
      <c r="K42" s="429">
        <v>357.27535</v>
      </c>
      <c r="L42" s="429">
        <v>331.94715000000002</v>
      </c>
      <c r="M42" s="429">
        <v>324.75018</v>
      </c>
      <c r="N42" s="429">
        <v>395.12915000000004</v>
      </c>
      <c r="O42" s="429">
        <f t="shared" si="6"/>
        <v>2622.0661300000002</v>
      </c>
    </row>
    <row r="43" spans="1:15" s="431" customFormat="1">
      <c r="A43" s="427" t="s">
        <v>19</v>
      </c>
      <c r="B43" s="428" t="s">
        <v>663</v>
      </c>
      <c r="C43" s="429">
        <v>47.602379999999997</v>
      </c>
      <c r="D43" s="429">
        <v>51.269580000000005</v>
      </c>
      <c r="E43" s="429">
        <v>55.574370000000002</v>
      </c>
      <c r="F43" s="429">
        <v>75.42580000000001</v>
      </c>
      <c r="G43" s="429">
        <v>106.82531</v>
      </c>
      <c r="H43" s="429">
        <v>89.868259999999992</v>
      </c>
      <c r="I43" s="429">
        <v>88.414760000000001</v>
      </c>
      <c r="J43" s="429">
        <v>74.529640000000001</v>
      </c>
      <c r="K43" s="429">
        <v>74.591160000000002</v>
      </c>
      <c r="L43" s="429">
        <v>77.148240000000001</v>
      </c>
      <c r="M43" s="429">
        <v>73.376419999999996</v>
      </c>
      <c r="N43" s="429">
        <v>74.574130000000011</v>
      </c>
      <c r="O43" s="429">
        <f t="shared" si="6"/>
        <v>889.20004999999992</v>
      </c>
    </row>
    <row r="44" spans="1:15" s="431" customFormat="1">
      <c r="A44" s="427" t="s">
        <v>664</v>
      </c>
      <c r="B44" s="430" t="s">
        <v>507</v>
      </c>
      <c r="C44" s="429">
        <v>18.952189999999998</v>
      </c>
      <c r="D44" s="429">
        <v>16.18394</v>
      </c>
      <c r="E44" s="429">
        <v>16.568860000000001</v>
      </c>
      <c r="F44" s="429">
        <v>16.327090000000002</v>
      </c>
      <c r="G44" s="429">
        <v>22.50234</v>
      </c>
      <c r="H44" s="429">
        <v>20.00413</v>
      </c>
      <c r="I44" s="429">
        <v>17.873840000000001</v>
      </c>
      <c r="J44" s="429">
        <v>11.724410000000001</v>
      </c>
      <c r="K44" s="429">
        <v>11.74131</v>
      </c>
      <c r="L44" s="429">
        <v>18.240869999999997</v>
      </c>
      <c r="M44" s="429">
        <v>15.47255</v>
      </c>
      <c r="N44" s="429">
        <v>11.8329</v>
      </c>
      <c r="O44" s="429">
        <f t="shared" si="6"/>
        <v>197.42443000000003</v>
      </c>
    </row>
    <row r="45" spans="1:15" s="431" customFormat="1">
      <c r="A45" s="427" t="s">
        <v>213</v>
      </c>
      <c r="B45" s="430" t="s">
        <v>794</v>
      </c>
      <c r="C45" s="429">
        <v>9.0898899999999987</v>
      </c>
      <c r="D45" s="429">
        <v>0</v>
      </c>
      <c r="E45" s="429">
        <v>0</v>
      </c>
      <c r="F45" s="429">
        <v>43.521410000000003</v>
      </c>
      <c r="G45" s="429">
        <v>63.486419999999995</v>
      </c>
      <c r="H45" s="429">
        <v>15.298780000000001</v>
      </c>
      <c r="I45" s="429">
        <v>13.17348</v>
      </c>
      <c r="J45" s="429">
        <v>1.26868</v>
      </c>
      <c r="K45" s="429">
        <v>3.6945900000000003</v>
      </c>
      <c r="L45" s="429">
        <v>30.726929999999999</v>
      </c>
      <c r="M45" s="429">
        <v>19.49822</v>
      </c>
      <c r="N45" s="429">
        <v>15.530299999999999</v>
      </c>
      <c r="O45" s="429">
        <f t="shared" si="6"/>
        <v>215.28870000000003</v>
      </c>
    </row>
    <row r="46" spans="1:15" s="431" customFormat="1">
      <c r="A46" s="427" t="s">
        <v>433</v>
      </c>
      <c r="B46" s="428" t="s">
        <v>406</v>
      </c>
      <c r="C46" s="429">
        <v>527.10157000000004</v>
      </c>
      <c r="D46" s="429">
        <v>522.20208000000002</v>
      </c>
      <c r="E46" s="429">
        <v>520.28614999999991</v>
      </c>
      <c r="F46" s="429">
        <v>564.10945000000004</v>
      </c>
      <c r="G46" s="429">
        <v>579.50700999999992</v>
      </c>
      <c r="H46" s="429">
        <v>543.00053000000003</v>
      </c>
      <c r="I46" s="429">
        <v>548.97410000000002</v>
      </c>
      <c r="J46" s="429">
        <v>571.83139999999992</v>
      </c>
      <c r="K46" s="429">
        <v>543.04516999999998</v>
      </c>
      <c r="L46" s="429">
        <v>572.36545000000001</v>
      </c>
      <c r="M46" s="429">
        <v>571.77927000000011</v>
      </c>
      <c r="N46" s="429">
        <v>627.85759999999993</v>
      </c>
      <c r="O46" s="429">
        <f t="shared" si="6"/>
        <v>6692.0597800000005</v>
      </c>
    </row>
    <row r="47" spans="1:15" s="431" customFormat="1">
      <c r="A47" s="560" t="s">
        <v>787</v>
      </c>
      <c r="B47" s="560"/>
      <c r="C47" s="432">
        <f t="shared" ref="C47:O47" si="7">+SUM(C39:C46)</f>
        <v>1017.7675200000001</v>
      </c>
      <c r="D47" s="432">
        <f t="shared" si="7"/>
        <v>981.75625000000002</v>
      </c>
      <c r="E47" s="432">
        <f t="shared" si="7"/>
        <v>1064.2098999999998</v>
      </c>
      <c r="F47" s="432">
        <f t="shared" si="7"/>
        <v>1182.6084900000001</v>
      </c>
      <c r="G47" s="432">
        <f t="shared" si="7"/>
        <v>1307.7408599999999</v>
      </c>
      <c r="H47" s="432">
        <f t="shared" si="7"/>
        <v>1222.1603</v>
      </c>
      <c r="I47" s="432">
        <f t="shared" si="7"/>
        <v>1328.913</v>
      </c>
      <c r="J47" s="432">
        <f t="shared" si="7"/>
        <v>1250.7845499999999</v>
      </c>
      <c r="K47" s="432">
        <f t="shared" si="7"/>
        <v>1205.2946899999997</v>
      </c>
      <c r="L47" s="432">
        <f t="shared" si="7"/>
        <v>1273.2795599999999</v>
      </c>
      <c r="M47" s="432">
        <f t="shared" si="7"/>
        <v>1250.4101900000001</v>
      </c>
      <c r="N47" s="432">
        <f t="shared" si="7"/>
        <v>1368.22101</v>
      </c>
      <c r="O47" s="432">
        <f t="shared" si="7"/>
        <v>14453.14632</v>
      </c>
    </row>
    <row r="48" spans="1:15" s="431" customFormat="1">
      <c r="A48" s="427" t="s">
        <v>454</v>
      </c>
      <c r="B48" s="428">
        <v>131</v>
      </c>
      <c r="C48" s="429">
        <v>0</v>
      </c>
      <c r="D48" s="429">
        <v>0</v>
      </c>
      <c r="E48" s="429">
        <v>0</v>
      </c>
      <c r="F48" s="429">
        <v>0</v>
      </c>
      <c r="G48" s="429">
        <v>0</v>
      </c>
      <c r="H48" s="429">
        <v>0</v>
      </c>
      <c r="I48" s="429">
        <v>0</v>
      </c>
      <c r="J48" s="429">
        <v>0</v>
      </c>
      <c r="K48" s="429">
        <v>0</v>
      </c>
      <c r="L48" s="429">
        <v>0</v>
      </c>
      <c r="M48" s="429">
        <v>0</v>
      </c>
      <c r="N48" s="429">
        <v>0</v>
      </c>
      <c r="O48" s="429">
        <f t="shared" si="6"/>
        <v>0</v>
      </c>
    </row>
    <row r="49" spans="1:18" s="431" customFormat="1">
      <c r="A49" s="427" t="s">
        <v>789</v>
      </c>
      <c r="B49" s="428" t="s">
        <v>435</v>
      </c>
      <c r="C49" s="429">
        <v>313.98765000000003</v>
      </c>
      <c r="D49" s="429">
        <v>255.68940000000001</v>
      </c>
      <c r="E49" s="429">
        <v>38.543469999999999</v>
      </c>
      <c r="F49" s="429">
        <v>56.425779999999996</v>
      </c>
      <c r="G49" s="429">
        <v>41.170610000000003</v>
      </c>
      <c r="H49" s="429">
        <v>301.83055000000002</v>
      </c>
      <c r="I49" s="429">
        <v>860.03098999999997</v>
      </c>
      <c r="J49" s="429">
        <v>618.66444999999999</v>
      </c>
      <c r="K49" s="429">
        <v>718.10864000000004</v>
      </c>
      <c r="L49" s="429">
        <v>703.86122999999998</v>
      </c>
      <c r="M49" s="429">
        <v>282.56371000000001</v>
      </c>
      <c r="N49" s="429">
        <v>0.87056</v>
      </c>
      <c r="O49" s="429">
        <f t="shared" si="6"/>
        <v>4191.7470400000002</v>
      </c>
    </row>
    <row r="50" spans="1:18" s="431" customFormat="1">
      <c r="A50" s="427" t="s">
        <v>216</v>
      </c>
      <c r="B50" s="428">
        <v>88</v>
      </c>
      <c r="C50" s="429">
        <v>21166.905190000001</v>
      </c>
      <c r="D50" s="429">
        <v>20917.627130000001</v>
      </c>
      <c r="E50" s="429">
        <v>22503.705550000002</v>
      </c>
      <c r="F50" s="429">
        <v>20966.752519999998</v>
      </c>
      <c r="G50" s="429">
        <v>24564.845579999997</v>
      </c>
      <c r="H50" s="429">
        <v>25191.521280000001</v>
      </c>
      <c r="I50" s="429">
        <v>28648.62182</v>
      </c>
      <c r="J50" s="429">
        <v>28097.426749999999</v>
      </c>
      <c r="K50" s="429">
        <v>27549.992280000002</v>
      </c>
      <c r="L50" s="429">
        <v>26995.259239999999</v>
      </c>
      <c r="M50" s="429">
        <v>25106.269420000001</v>
      </c>
      <c r="N50" s="429">
        <v>22137.862519999999</v>
      </c>
      <c r="O50" s="429">
        <f t="shared" si="6"/>
        <v>293846.78928000003</v>
      </c>
    </row>
    <row r="51" spans="1:18" s="431" customFormat="1">
      <c r="A51" s="427" t="s">
        <v>216</v>
      </c>
      <c r="B51" s="428" t="s">
        <v>795</v>
      </c>
      <c r="C51" s="429">
        <v>2430.5057400000001</v>
      </c>
      <c r="D51" s="429">
        <v>1947.5060000000001</v>
      </c>
      <c r="E51" s="429">
        <v>2179.4970899999998</v>
      </c>
      <c r="F51" s="429">
        <v>2240.9883999999997</v>
      </c>
      <c r="G51" s="429">
        <v>3004.09501</v>
      </c>
      <c r="H51" s="429">
        <v>2597.3645999999999</v>
      </c>
      <c r="I51" s="429">
        <v>1874.6651200000001</v>
      </c>
      <c r="J51" s="429">
        <v>2972.4337099999998</v>
      </c>
      <c r="K51" s="429">
        <v>3705.6919600000001</v>
      </c>
      <c r="L51" s="429">
        <v>3287.6981800000003</v>
      </c>
      <c r="M51" s="429">
        <v>2927.6967400000003</v>
      </c>
      <c r="N51" s="429">
        <v>4283.9692500000001</v>
      </c>
      <c r="O51" s="429">
        <f t="shared" si="6"/>
        <v>33452.111799999999</v>
      </c>
    </row>
    <row r="52" spans="1:18" s="431" customFormat="1">
      <c r="A52" s="427" t="s">
        <v>216</v>
      </c>
      <c r="B52" s="428" t="s">
        <v>796</v>
      </c>
      <c r="C52" s="429">
        <v>172.39375999999999</v>
      </c>
      <c r="D52" s="429">
        <v>160.54809</v>
      </c>
      <c r="E52" s="429">
        <v>178.08159000000001</v>
      </c>
      <c r="F52" s="429">
        <v>161.87941999999998</v>
      </c>
      <c r="G52" s="429">
        <v>164.00119999999998</v>
      </c>
      <c r="H52" s="429">
        <v>153.86273</v>
      </c>
      <c r="I52" s="429">
        <v>135.51963000000001</v>
      </c>
      <c r="J52" s="429">
        <v>136.09944000000002</v>
      </c>
      <c r="K52" s="429">
        <v>157.13042999999999</v>
      </c>
      <c r="L52" s="429">
        <v>128.65341000000001</v>
      </c>
      <c r="M52" s="429">
        <v>150.97936000000001</v>
      </c>
      <c r="N52" s="429">
        <v>150.51699000000002</v>
      </c>
      <c r="O52" s="429">
        <f t="shared" si="6"/>
        <v>1849.66605</v>
      </c>
    </row>
    <row r="53" spans="1:18" s="431" customFormat="1">
      <c r="A53" s="427" t="s">
        <v>451</v>
      </c>
      <c r="B53" s="428">
        <v>57</v>
      </c>
      <c r="C53" s="429">
        <v>3121.8382700000002</v>
      </c>
      <c r="D53" s="429">
        <v>2167.8554900000004</v>
      </c>
      <c r="E53" s="429">
        <v>2858.35158</v>
      </c>
      <c r="F53" s="429">
        <v>3039.2856200000001</v>
      </c>
      <c r="G53" s="429">
        <v>3579.7336800000003</v>
      </c>
      <c r="H53" s="429">
        <v>3573.7202299999999</v>
      </c>
      <c r="I53" s="429">
        <v>2375.6760399999998</v>
      </c>
      <c r="J53" s="429">
        <v>3570.9242899999999</v>
      </c>
      <c r="K53" s="429">
        <v>5261.6299300000001</v>
      </c>
      <c r="L53" s="429">
        <v>3510.4261499999998</v>
      </c>
      <c r="M53" s="429">
        <v>4023.7598199999998</v>
      </c>
      <c r="N53" s="429">
        <v>5467.5340300000007</v>
      </c>
      <c r="O53" s="429">
        <f t="shared" si="6"/>
        <v>42550.735130000001</v>
      </c>
    </row>
    <row r="54" spans="1:18" s="431" customFormat="1">
      <c r="A54" s="427" t="s">
        <v>216</v>
      </c>
      <c r="B54" s="428" t="s">
        <v>797</v>
      </c>
      <c r="C54" s="429">
        <v>14454.768300000002</v>
      </c>
      <c r="D54" s="429">
        <v>10505.280140000001</v>
      </c>
      <c r="E54" s="429">
        <v>12162.571260000001</v>
      </c>
      <c r="F54" s="429">
        <v>12485.475960000002</v>
      </c>
      <c r="G54" s="429">
        <v>15171.834429999999</v>
      </c>
      <c r="H54" s="429">
        <v>13662.27844</v>
      </c>
      <c r="I54" s="429">
        <v>9200.0658000000003</v>
      </c>
      <c r="J54" s="429">
        <v>13975.71833</v>
      </c>
      <c r="K54" s="429">
        <v>21284.492059999997</v>
      </c>
      <c r="L54" s="429">
        <v>15838.355890000001</v>
      </c>
      <c r="M54" s="429">
        <v>16844.84575</v>
      </c>
      <c r="N54" s="429">
        <v>23299.066940000001</v>
      </c>
      <c r="O54" s="429">
        <f t="shared" si="6"/>
        <v>178884.75330000001</v>
      </c>
    </row>
    <row r="55" spans="1:18">
      <c r="A55" s="561" t="s">
        <v>680</v>
      </c>
      <c r="B55" s="561"/>
      <c r="C55" s="438">
        <f t="shared" ref="C55:O55" si="8">+SUM(C48:C54)</f>
        <v>41660.398910000004</v>
      </c>
      <c r="D55" s="438">
        <f t="shared" si="8"/>
        <v>35954.506250000006</v>
      </c>
      <c r="E55" s="438">
        <f t="shared" si="8"/>
        <v>39920.750540000008</v>
      </c>
      <c r="F55" s="438">
        <f t="shared" si="8"/>
        <v>38950.807699999998</v>
      </c>
      <c r="G55" s="438">
        <f t="shared" si="8"/>
        <v>46525.680509999998</v>
      </c>
      <c r="H55" s="438">
        <f t="shared" si="8"/>
        <v>45480.577830000002</v>
      </c>
      <c r="I55" s="438">
        <f t="shared" si="8"/>
        <v>43094.579400000002</v>
      </c>
      <c r="J55" s="438">
        <f t="shared" si="8"/>
        <v>49371.266969999997</v>
      </c>
      <c r="K55" s="438">
        <f t="shared" si="8"/>
        <v>58677.045299999998</v>
      </c>
      <c r="L55" s="438">
        <f t="shared" si="8"/>
        <v>50464.254099999998</v>
      </c>
      <c r="M55" s="438">
        <f t="shared" si="8"/>
        <v>49336.114799999996</v>
      </c>
      <c r="N55" s="438">
        <f t="shared" si="8"/>
        <v>55339.820290000003</v>
      </c>
      <c r="O55" s="438">
        <f t="shared" si="8"/>
        <v>554775.80260000005</v>
      </c>
    </row>
    <row r="56" spans="1:18">
      <c r="A56" s="427" t="s">
        <v>19</v>
      </c>
      <c r="B56" s="430" t="s">
        <v>633</v>
      </c>
      <c r="C56" s="429">
        <v>156.84334999999999</v>
      </c>
      <c r="D56" s="429">
        <v>157.12455</v>
      </c>
      <c r="E56" s="429">
        <v>156.15117000000001</v>
      </c>
      <c r="F56" s="429">
        <v>159.00976</v>
      </c>
      <c r="G56" s="429">
        <v>199.45150000000001</v>
      </c>
      <c r="H56" s="429">
        <v>219.74786999999998</v>
      </c>
      <c r="I56" s="429">
        <v>240.66801000000001</v>
      </c>
      <c r="J56" s="429">
        <v>190.61822999999998</v>
      </c>
      <c r="K56" s="429">
        <v>196.38434999999998</v>
      </c>
      <c r="L56" s="429">
        <v>199.10538999999997</v>
      </c>
      <c r="M56" s="429">
        <v>182.37424999999999</v>
      </c>
      <c r="N56" s="429">
        <v>166.77855</v>
      </c>
      <c r="O56" s="429">
        <f t="shared" si="6"/>
        <v>2224.2569800000001</v>
      </c>
    </row>
    <row r="57" spans="1:18">
      <c r="A57" s="562" t="s">
        <v>683</v>
      </c>
      <c r="B57" s="562"/>
      <c r="C57" s="432">
        <f>+C56</f>
        <v>156.84334999999999</v>
      </c>
      <c r="D57" s="432">
        <f t="shared" ref="D57:N57" si="9">+D56</f>
        <v>157.12455</v>
      </c>
      <c r="E57" s="432">
        <f t="shared" si="9"/>
        <v>156.15117000000001</v>
      </c>
      <c r="F57" s="432">
        <f t="shared" si="9"/>
        <v>159.00976</v>
      </c>
      <c r="G57" s="432">
        <f t="shared" si="9"/>
        <v>199.45150000000001</v>
      </c>
      <c r="H57" s="432">
        <f t="shared" si="9"/>
        <v>219.74786999999998</v>
      </c>
      <c r="I57" s="432">
        <f t="shared" si="9"/>
        <v>240.66801000000001</v>
      </c>
      <c r="J57" s="432">
        <f t="shared" si="9"/>
        <v>190.61822999999998</v>
      </c>
      <c r="K57" s="432">
        <f t="shared" si="9"/>
        <v>196.38434999999998</v>
      </c>
      <c r="L57" s="432">
        <f t="shared" si="9"/>
        <v>199.10538999999997</v>
      </c>
      <c r="M57" s="432">
        <f t="shared" si="9"/>
        <v>182.37424999999999</v>
      </c>
      <c r="N57" s="432">
        <f t="shared" si="9"/>
        <v>166.77855</v>
      </c>
      <c r="O57" s="432">
        <f>+O56</f>
        <v>2224.2569800000001</v>
      </c>
    </row>
    <row r="58" spans="1:18">
      <c r="A58" s="563" t="s">
        <v>798</v>
      </c>
      <c r="B58" s="563"/>
      <c r="C58" s="439">
        <f t="shared" ref="C58:O58" si="10">+C47+C55+C57</f>
        <v>42835.009780000008</v>
      </c>
      <c r="D58" s="439">
        <f t="shared" si="10"/>
        <v>37093.387050000005</v>
      </c>
      <c r="E58" s="439">
        <f t="shared" si="10"/>
        <v>41141.111610000007</v>
      </c>
      <c r="F58" s="439">
        <f t="shared" si="10"/>
        <v>40292.425949999997</v>
      </c>
      <c r="G58" s="439">
        <f t="shared" si="10"/>
        <v>48032.872869999999</v>
      </c>
      <c r="H58" s="439">
        <f t="shared" si="10"/>
        <v>46922.486000000004</v>
      </c>
      <c r="I58" s="439">
        <f t="shared" si="10"/>
        <v>44664.160410000004</v>
      </c>
      <c r="J58" s="439">
        <f t="shared" si="10"/>
        <v>50812.669749999994</v>
      </c>
      <c r="K58" s="439">
        <f t="shared" si="10"/>
        <v>60078.724340000001</v>
      </c>
      <c r="L58" s="439">
        <f t="shared" si="10"/>
        <v>51936.639049999998</v>
      </c>
      <c r="M58" s="439">
        <f t="shared" si="10"/>
        <v>50768.899239999999</v>
      </c>
      <c r="N58" s="439">
        <f t="shared" si="10"/>
        <v>56874.819850000007</v>
      </c>
      <c r="O58" s="439">
        <f t="shared" si="10"/>
        <v>571453.20590000006</v>
      </c>
    </row>
    <row r="59" spans="1:18">
      <c r="A59" s="435"/>
      <c r="B59" s="436"/>
      <c r="C59" s="429"/>
      <c r="D59" s="429"/>
      <c r="E59" s="429"/>
      <c r="F59" s="429"/>
      <c r="G59" s="429"/>
      <c r="H59" s="429"/>
      <c r="I59" s="429"/>
      <c r="J59" s="429"/>
      <c r="K59" s="429"/>
      <c r="L59" s="429"/>
      <c r="M59" s="429"/>
      <c r="N59" s="429"/>
      <c r="O59" s="429"/>
    </row>
    <row r="60" spans="1:18" s="441" customFormat="1" ht="12">
      <c r="A60" s="557" t="s">
        <v>799</v>
      </c>
      <c r="B60" s="557"/>
      <c r="C60" s="440">
        <f t="shared" ref="C60:O60" si="11">+C36+C58</f>
        <v>96599.590460000007</v>
      </c>
      <c r="D60" s="440">
        <f t="shared" si="11"/>
        <v>90333.315070000011</v>
      </c>
      <c r="E60" s="440">
        <f t="shared" si="11"/>
        <v>96745.034699999989</v>
      </c>
      <c r="F60" s="440">
        <f t="shared" si="11"/>
        <v>95232.490380000003</v>
      </c>
      <c r="G60" s="440">
        <f t="shared" si="11"/>
        <v>100251.80321</v>
      </c>
      <c r="H60" s="440">
        <f t="shared" si="11"/>
        <v>99830.482670000012</v>
      </c>
      <c r="I60" s="440">
        <f t="shared" si="11"/>
        <v>101792.22106000001</v>
      </c>
      <c r="J60" s="440">
        <f t="shared" si="11"/>
        <v>101844.53809999999</v>
      </c>
      <c r="K60" s="440">
        <f t="shared" si="11"/>
        <v>105787.67422</v>
      </c>
      <c r="L60" s="440">
        <f t="shared" si="11"/>
        <v>102479.35784</v>
      </c>
      <c r="M60" s="440">
        <f t="shared" si="11"/>
        <v>99888.513989999992</v>
      </c>
      <c r="N60" s="440">
        <f t="shared" si="11"/>
        <v>108894.55663000001</v>
      </c>
      <c r="O60" s="440">
        <f t="shared" si="11"/>
        <v>1199679.5783299999</v>
      </c>
    </row>
    <row r="61" spans="1:18">
      <c r="A61" s="221" t="s">
        <v>515</v>
      </c>
    </row>
    <row r="63" spans="1:18">
      <c r="C63" s="442"/>
      <c r="D63" s="442"/>
      <c r="E63" s="442"/>
      <c r="F63" s="442"/>
      <c r="G63" s="442"/>
      <c r="H63" s="442"/>
      <c r="I63" s="442"/>
      <c r="J63" s="442"/>
      <c r="K63" s="442"/>
      <c r="L63" s="442"/>
      <c r="M63" s="442"/>
      <c r="N63" s="442"/>
      <c r="O63" s="442"/>
      <c r="P63" s="443"/>
      <c r="Q63" s="443"/>
      <c r="R63" s="443"/>
    </row>
    <row r="64" spans="1:18">
      <c r="C64" s="444"/>
      <c r="D64" s="444"/>
      <c r="E64" s="444"/>
      <c r="F64" s="444"/>
      <c r="G64" s="444"/>
      <c r="H64" s="444"/>
      <c r="I64" s="444"/>
      <c r="J64" s="444"/>
      <c r="K64" s="444"/>
      <c r="L64" s="444"/>
      <c r="M64" s="444"/>
      <c r="N64" s="444"/>
    </row>
    <row r="67" spans="3:14">
      <c r="C67" s="445"/>
      <c r="D67" s="445"/>
      <c r="E67" s="445"/>
      <c r="F67" s="445"/>
      <c r="G67" s="445"/>
      <c r="H67" s="445"/>
      <c r="I67" s="445"/>
      <c r="J67" s="445"/>
      <c r="K67" s="445"/>
      <c r="L67" s="445"/>
      <c r="M67" s="445"/>
      <c r="N67" s="445"/>
    </row>
    <row r="69" spans="3:14">
      <c r="C69" s="446"/>
      <c r="D69" s="446"/>
      <c r="E69" s="446"/>
      <c r="F69" s="446"/>
      <c r="G69" s="446"/>
      <c r="H69" s="446"/>
      <c r="I69" s="446"/>
      <c r="J69" s="446"/>
      <c r="K69" s="446"/>
      <c r="L69" s="446"/>
      <c r="M69" s="446"/>
      <c r="N69" s="446"/>
    </row>
  </sheetData>
  <mergeCells count="13">
    <mergeCell ref="A35:B35"/>
    <mergeCell ref="A2:O2"/>
    <mergeCell ref="A4:O4"/>
    <mergeCell ref="A6:O6"/>
    <mergeCell ref="A21:B21"/>
    <mergeCell ref="A31:B31"/>
    <mergeCell ref="A60:B60"/>
    <mergeCell ref="A36:B36"/>
    <mergeCell ref="A38:O38"/>
    <mergeCell ref="A47:B47"/>
    <mergeCell ref="A55:B55"/>
    <mergeCell ref="A57:B57"/>
    <mergeCell ref="A58:B58"/>
  </mergeCells>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50"/>
  </sheetPr>
  <dimension ref="A1:P38"/>
  <sheetViews>
    <sheetView workbookViewId="0">
      <selection activeCell="M31" sqref="M31"/>
    </sheetView>
  </sheetViews>
  <sheetFormatPr baseColWidth="10" defaultRowHeight="15"/>
  <cols>
    <col min="1" max="1" width="12.7109375" customWidth="1"/>
    <col min="2" max="11" width="8.5703125" customWidth="1"/>
  </cols>
  <sheetData>
    <row r="1" spans="1:16">
      <c r="O1" s="281">
        <v>20</v>
      </c>
    </row>
    <row r="2" spans="1:16">
      <c r="A2" s="517" t="s">
        <v>800</v>
      </c>
      <c r="B2" s="517"/>
      <c r="C2" s="517"/>
      <c r="D2" s="517"/>
      <c r="E2" s="517"/>
      <c r="F2" s="517"/>
      <c r="G2" s="517"/>
      <c r="H2" s="517"/>
      <c r="I2" s="258"/>
      <c r="J2" s="258"/>
      <c r="K2" s="258"/>
    </row>
    <row r="3" spans="1:16">
      <c r="A3" s="258"/>
      <c r="B3" s="258"/>
      <c r="C3" s="258"/>
      <c r="D3" s="258"/>
      <c r="E3" s="258"/>
      <c r="F3" s="258"/>
      <c r="G3" s="258"/>
      <c r="H3" s="258"/>
      <c r="I3" s="258"/>
      <c r="J3" s="258"/>
      <c r="K3" s="258"/>
    </row>
    <row r="4" spans="1:16" ht="15" customHeight="1">
      <c r="A4" s="565" t="s">
        <v>801</v>
      </c>
      <c r="B4" s="566"/>
      <c r="C4" s="566"/>
      <c r="D4" s="566"/>
      <c r="E4" s="566"/>
      <c r="F4" s="566"/>
      <c r="G4" s="566"/>
      <c r="H4" s="566"/>
      <c r="I4" s="566"/>
      <c r="J4" s="566"/>
      <c r="K4" s="566"/>
      <c r="L4" s="447"/>
      <c r="M4" s="447"/>
      <c r="N4" s="447"/>
      <c r="O4" s="447"/>
      <c r="P4" s="447"/>
    </row>
    <row r="5" spans="1:16">
      <c r="A5" s="229" t="s">
        <v>802</v>
      </c>
      <c r="B5" s="229">
        <v>2015</v>
      </c>
      <c r="C5" s="229">
        <v>2016</v>
      </c>
      <c r="D5" s="229">
        <v>2017</v>
      </c>
      <c r="E5" s="229">
        <v>2018</v>
      </c>
      <c r="F5" s="229">
        <v>2019</v>
      </c>
      <c r="G5" s="229">
        <v>2020</v>
      </c>
      <c r="H5" s="229">
        <v>2021</v>
      </c>
      <c r="I5" s="229">
        <v>2022</v>
      </c>
      <c r="J5" s="229">
        <v>2023</v>
      </c>
      <c r="K5" s="229">
        <v>2024</v>
      </c>
    </row>
    <row r="6" spans="1:16">
      <c r="A6" s="448" t="s">
        <v>732</v>
      </c>
      <c r="B6" s="429">
        <v>0</v>
      </c>
      <c r="C6" s="429">
        <v>0</v>
      </c>
      <c r="D6" s="429">
        <v>0</v>
      </c>
      <c r="E6" s="429">
        <v>0</v>
      </c>
      <c r="F6" s="429">
        <v>0</v>
      </c>
      <c r="G6" s="429">
        <v>0</v>
      </c>
      <c r="H6" s="429">
        <v>0</v>
      </c>
      <c r="I6" s="429">
        <v>3.8609300000000002</v>
      </c>
      <c r="J6" s="429">
        <v>2.8385777500000002</v>
      </c>
      <c r="K6" s="449">
        <v>0</v>
      </c>
    </row>
    <row r="7" spans="1:16">
      <c r="A7" s="448" t="s">
        <v>663</v>
      </c>
      <c r="B7" s="429">
        <v>0</v>
      </c>
      <c r="C7" s="429">
        <v>0</v>
      </c>
      <c r="D7" s="429">
        <v>0</v>
      </c>
      <c r="E7" s="429">
        <v>0</v>
      </c>
      <c r="F7" s="429">
        <v>0</v>
      </c>
      <c r="G7" s="429">
        <v>0</v>
      </c>
      <c r="H7" s="429">
        <v>0</v>
      </c>
      <c r="I7" s="429">
        <v>0</v>
      </c>
      <c r="J7" s="429">
        <v>0.59834885999999998</v>
      </c>
      <c r="K7" s="449">
        <v>3.9759374800000002</v>
      </c>
    </row>
    <row r="8" spans="1:16">
      <c r="A8" s="448" t="s">
        <v>803</v>
      </c>
      <c r="B8" s="449">
        <v>3.59</v>
      </c>
      <c r="C8" s="449">
        <v>2.62</v>
      </c>
      <c r="D8" s="449">
        <v>3.13</v>
      </c>
      <c r="E8" s="449">
        <v>4.2300000000000004</v>
      </c>
      <c r="F8" s="449">
        <v>3.88</v>
      </c>
      <c r="G8" s="449">
        <v>2.72</v>
      </c>
      <c r="H8" s="449">
        <v>4.3600000000000003</v>
      </c>
      <c r="I8" s="449">
        <v>6.4935600000000004</v>
      </c>
      <c r="J8" s="449">
        <v>4.9487083099999998</v>
      </c>
      <c r="K8" s="449">
        <v>4.9041350999999995</v>
      </c>
    </row>
    <row r="9" spans="1:16">
      <c r="A9" s="448" t="s">
        <v>804</v>
      </c>
      <c r="B9" s="449">
        <v>8.9700000000000006</v>
      </c>
      <c r="C9" s="449">
        <v>4.43</v>
      </c>
      <c r="D9" s="449">
        <v>5.18</v>
      </c>
      <c r="E9" s="449">
        <v>8.49</v>
      </c>
      <c r="F9" s="449">
        <v>6.83</v>
      </c>
      <c r="G9" s="449">
        <v>3.24</v>
      </c>
      <c r="H9" s="449">
        <v>5.72</v>
      </c>
      <c r="I9" s="449">
        <v>10.00943</v>
      </c>
      <c r="J9" s="449">
        <v>23.32498094</v>
      </c>
      <c r="K9" s="449">
        <v>23.542310659999998</v>
      </c>
    </row>
    <row r="10" spans="1:16">
      <c r="A10" s="448" t="s">
        <v>805</v>
      </c>
      <c r="B10" s="449">
        <v>4.47</v>
      </c>
      <c r="C10" s="449">
        <v>2.99</v>
      </c>
      <c r="D10" s="449">
        <v>9.81</v>
      </c>
      <c r="E10" s="449">
        <v>23.27</v>
      </c>
      <c r="F10" s="449">
        <v>24.38</v>
      </c>
      <c r="G10" s="449">
        <v>10.210000000000001</v>
      </c>
      <c r="H10" s="449">
        <v>21.64</v>
      </c>
      <c r="I10" s="449">
        <v>40.016570000000002</v>
      </c>
      <c r="J10" s="449">
        <v>36.296373119999998</v>
      </c>
      <c r="K10" s="449">
        <v>36.911173120000001</v>
      </c>
    </row>
    <row r="11" spans="1:16">
      <c r="A11" s="448" t="s">
        <v>806</v>
      </c>
      <c r="B11" s="449">
        <v>0.39</v>
      </c>
      <c r="C11" s="449">
        <v>0.75</v>
      </c>
      <c r="D11" s="449">
        <v>1.04</v>
      </c>
      <c r="E11" s="449">
        <v>1.7</v>
      </c>
      <c r="F11" s="449">
        <v>1.38</v>
      </c>
      <c r="G11" s="449">
        <v>0.63</v>
      </c>
      <c r="H11" s="449">
        <v>1.48</v>
      </c>
      <c r="I11" s="449">
        <v>2.2664900000000001</v>
      </c>
      <c r="J11" s="449">
        <v>1.9591898600000004</v>
      </c>
      <c r="K11" s="449">
        <v>1.8964759199999999</v>
      </c>
    </row>
    <row r="12" spans="1:16">
      <c r="A12" s="448" t="s">
        <v>764</v>
      </c>
      <c r="B12" s="449">
        <v>0</v>
      </c>
      <c r="C12" s="449">
        <v>0</v>
      </c>
      <c r="D12" s="449">
        <v>0</v>
      </c>
      <c r="E12" s="449">
        <v>0</v>
      </c>
      <c r="F12" s="449">
        <v>0</v>
      </c>
      <c r="G12" s="449">
        <v>0</v>
      </c>
      <c r="H12" s="449">
        <v>0</v>
      </c>
      <c r="I12" s="449">
        <v>0</v>
      </c>
      <c r="J12" s="449">
        <v>6.8544540000000001E-2</v>
      </c>
      <c r="K12" s="449">
        <v>0.63792441999999994</v>
      </c>
    </row>
    <row r="13" spans="1:16">
      <c r="A13" s="448" t="s">
        <v>668</v>
      </c>
      <c r="B13" s="449">
        <v>0</v>
      </c>
      <c r="C13" s="449">
        <v>0</v>
      </c>
      <c r="D13" s="449">
        <v>0</v>
      </c>
      <c r="E13" s="449">
        <v>0</v>
      </c>
      <c r="F13" s="449">
        <v>0</v>
      </c>
      <c r="G13" s="449">
        <v>0</v>
      </c>
      <c r="H13" s="449">
        <v>0</v>
      </c>
      <c r="I13" s="449">
        <v>0</v>
      </c>
      <c r="J13" s="449">
        <v>2.1650410600000001</v>
      </c>
      <c r="K13" s="449">
        <v>15.068237740000001</v>
      </c>
    </row>
    <row r="14" spans="1:16">
      <c r="A14" s="448" t="s">
        <v>767</v>
      </c>
      <c r="B14" s="449">
        <v>0</v>
      </c>
      <c r="C14" s="449">
        <v>0</v>
      </c>
      <c r="D14" s="449">
        <v>0</v>
      </c>
      <c r="E14" s="449">
        <v>0</v>
      </c>
      <c r="F14" s="449">
        <v>0</v>
      </c>
      <c r="G14" s="449">
        <v>0</v>
      </c>
      <c r="H14" s="449">
        <v>0</v>
      </c>
      <c r="I14" s="449">
        <v>0</v>
      </c>
      <c r="J14" s="449">
        <v>1.1696506900000001</v>
      </c>
      <c r="K14" s="449">
        <v>6.6701141599999998</v>
      </c>
    </row>
    <row r="15" spans="1:16">
      <c r="A15" s="448" t="s">
        <v>807</v>
      </c>
      <c r="B15" s="449">
        <v>10.75</v>
      </c>
      <c r="C15" s="449">
        <v>11.99</v>
      </c>
      <c r="D15" s="449">
        <v>16.059999999999999</v>
      </c>
      <c r="E15" s="449">
        <v>28.36</v>
      </c>
      <c r="F15" s="449">
        <v>24.79</v>
      </c>
      <c r="G15" s="449">
        <v>12.49</v>
      </c>
      <c r="H15" s="449">
        <v>28.34</v>
      </c>
      <c r="I15" s="449">
        <v>41.892650000000003</v>
      </c>
      <c r="J15" s="449">
        <v>21.546061119999997</v>
      </c>
      <c r="K15" s="449">
        <v>0.18349761000000001</v>
      </c>
    </row>
    <row r="16" spans="1:16">
      <c r="A16" s="448" t="s">
        <v>808</v>
      </c>
      <c r="B16" s="449">
        <v>48.75</v>
      </c>
      <c r="C16" s="449">
        <v>35.72</v>
      </c>
      <c r="D16" s="449">
        <v>54.47</v>
      </c>
      <c r="E16" s="449">
        <v>102.65</v>
      </c>
      <c r="F16" s="449">
        <v>86.6</v>
      </c>
      <c r="G16" s="449">
        <v>36.200000000000003</v>
      </c>
      <c r="H16" s="449">
        <v>80.709999999999994</v>
      </c>
      <c r="I16" s="449">
        <v>146.77162000000001</v>
      </c>
      <c r="J16" s="449">
        <v>95.033838279999998</v>
      </c>
      <c r="K16" s="449">
        <v>34.223836370000001</v>
      </c>
    </row>
    <row r="17" spans="1:11">
      <c r="A17" s="448" t="s">
        <v>671</v>
      </c>
      <c r="B17" s="449">
        <v>0</v>
      </c>
      <c r="C17" s="449">
        <v>0</v>
      </c>
      <c r="D17" s="449">
        <v>0</v>
      </c>
      <c r="E17" s="449">
        <v>0</v>
      </c>
      <c r="F17" s="449">
        <v>0</v>
      </c>
      <c r="G17" s="449">
        <v>0</v>
      </c>
      <c r="H17" s="449">
        <v>0</v>
      </c>
      <c r="I17" s="449">
        <v>0</v>
      </c>
      <c r="J17" s="449">
        <v>0</v>
      </c>
      <c r="K17" s="449">
        <v>47.810437149999998</v>
      </c>
    </row>
    <row r="18" spans="1:11">
      <c r="A18" s="448" t="s">
        <v>809</v>
      </c>
      <c r="B18" s="450">
        <v>26.82</v>
      </c>
      <c r="C18" s="450">
        <v>20.23</v>
      </c>
      <c r="D18" s="450">
        <v>18.82</v>
      </c>
      <c r="E18" s="450">
        <v>18.47</v>
      </c>
      <c r="F18" s="450">
        <v>18.170000000000002</v>
      </c>
      <c r="G18" s="450">
        <v>8.5299999999999994</v>
      </c>
      <c r="H18" s="450">
        <v>10.69</v>
      </c>
      <c r="I18" s="449">
        <v>22.369679999999999</v>
      </c>
      <c r="J18" s="449">
        <v>17.719109889999999</v>
      </c>
      <c r="K18" s="449">
        <v>16.02853189</v>
      </c>
    </row>
    <row r="19" spans="1:11">
      <c r="A19" s="448" t="s">
        <v>810</v>
      </c>
      <c r="B19" s="450">
        <v>0.45</v>
      </c>
      <c r="C19" s="450">
        <v>0.3</v>
      </c>
      <c r="D19" s="450">
        <v>0.31</v>
      </c>
      <c r="E19" s="450">
        <v>0.36</v>
      </c>
      <c r="F19" s="450">
        <v>0.33</v>
      </c>
      <c r="G19" s="450">
        <v>0.2</v>
      </c>
      <c r="H19" s="450">
        <v>0.28999999999999998</v>
      </c>
      <c r="I19" s="449">
        <v>0.38617518000000001</v>
      </c>
      <c r="J19" s="449">
        <v>0.28591381999999993</v>
      </c>
      <c r="K19" s="449">
        <v>0.23495004999999997</v>
      </c>
    </row>
    <row r="20" spans="1:11">
      <c r="A20" s="448" t="s">
        <v>811</v>
      </c>
      <c r="B20" s="450">
        <v>0.06</v>
      </c>
      <c r="C20" s="450">
        <v>0.04</v>
      </c>
      <c r="D20" s="450">
        <v>0.04</v>
      </c>
      <c r="E20" s="450">
        <v>0.11</v>
      </c>
      <c r="F20" s="450">
        <v>7.0000000000000007E-2</v>
      </c>
      <c r="G20" s="450">
        <v>0.03</v>
      </c>
      <c r="H20" s="450">
        <v>0.06</v>
      </c>
      <c r="I20" s="449">
        <v>7.5006139999999999E-2</v>
      </c>
      <c r="J20" s="449">
        <v>6.2727680000000008E-2</v>
      </c>
      <c r="K20" s="449">
        <v>7.3630919999999989E-2</v>
      </c>
    </row>
    <row r="21" spans="1:11">
      <c r="A21" s="448">
        <v>131</v>
      </c>
      <c r="B21" s="450">
        <v>11.88</v>
      </c>
      <c r="C21" s="450">
        <v>8.1</v>
      </c>
      <c r="D21" s="450">
        <v>12.65</v>
      </c>
      <c r="E21" s="450">
        <v>15.39</v>
      </c>
      <c r="F21" s="450">
        <v>13.73</v>
      </c>
      <c r="G21" s="450">
        <v>5.31</v>
      </c>
      <c r="H21" s="450">
        <v>7.44</v>
      </c>
      <c r="I21" s="449">
        <v>9.5470597000000019</v>
      </c>
      <c r="J21" s="449">
        <v>12.81099189</v>
      </c>
      <c r="K21" s="449">
        <v>4.5542115499999989</v>
      </c>
    </row>
    <row r="22" spans="1:11">
      <c r="A22" s="448" t="s">
        <v>812</v>
      </c>
      <c r="B22" s="450">
        <v>1.93</v>
      </c>
      <c r="C22" s="450">
        <v>0.47</v>
      </c>
      <c r="D22" s="450">
        <v>0.51</v>
      </c>
      <c r="E22" s="450">
        <v>0.18</v>
      </c>
      <c r="F22" s="450" t="s">
        <v>813</v>
      </c>
      <c r="G22" s="450" t="s">
        <v>813</v>
      </c>
      <c r="H22" s="450" t="s">
        <v>814</v>
      </c>
      <c r="I22" s="449">
        <v>0</v>
      </c>
      <c r="J22" s="449">
        <v>0</v>
      </c>
      <c r="K22" s="449">
        <v>0</v>
      </c>
    </row>
    <row r="23" spans="1:11">
      <c r="A23" s="448" t="s">
        <v>815</v>
      </c>
      <c r="B23" s="450">
        <v>25.76</v>
      </c>
      <c r="C23" s="450">
        <v>16.16</v>
      </c>
      <c r="D23" s="450">
        <v>9.06</v>
      </c>
      <c r="E23" s="450">
        <v>15.76</v>
      </c>
      <c r="F23" s="450">
        <v>11.68</v>
      </c>
      <c r="G23" s="450">
        <v>3.4</v>
      </c>
      <c r="H23" s="450">
        <v>5.55</v>
      </c>
      <c r="I23" s="449">
        <v>9.0391399999999997</v>
      </c>
      <c r="J23" s="449">
        <v>1.3534401899999999</v>
      </c>
      <c r="K23" s="449">
        <v>4.9818315399999999</v>
      </c>
    </row>
    <row r="24" spans="1:11">
      <c r="A24" s="448" t="s">
        <v>816</v>
      </c>
      <c r="B24" s="450">
        <v>0.18</v>
      </c>
      <c r="C24" s="450">
        <v>0.08</v>
      </c>
      <c r="D24" s="450">
        <v>7.0000000000000007E-2</v>
      </c>
      <c r="E24" s="450">
        <v>0.02</v>
      </c>
      <c r="F24" s="449">
        <v>0</v>
      </c>
      <c r="G24" s="449">
        <v>0</v>
      </c>
      <c r="H24" s="449">
        <v>0</v>
      </c>
      <c r="I24" s="449">
        <v>0</v>
      </c>
      <c r="J24" s="449">
        <v>0</v>
      </c>
      <c r="K24" s="449">
        <v>0</v>
      </c>
    </row>
    <row r="25" spans="1:11">
      <c r="A25" s="448">
        <v>102</v>
      </c>
      <c r="B25" s="449">
        <v>0</v>
      </c>
      <c r="C25" s="449">
        <v>0</v>
      </c>
      <c r="D25" s="449">
        <v>0</v>
      </c>
      <c r="E25" s="449">
        <v>0</v>
      </c>
      <c r="F25" s="449">
        <v>0</v>
      </c>
      <c r="G25" s="449">
        <v>0</v>
      </c>
      <c r="H25" s="449">
        <v>0</v>
      </c>
      <c r="I25" s="449">
        <v>0</v>
      </c>
      <c r="J25" s="449">
        <v>0</v>
      </c>
      <c r="K25" s="449">
        <v>0</v>
      </c>
    </row>
    <row r="26" spans="1:11">
      <c r="A26" s="448" t="s">
        <v>817</v>
      </c>
      <c r="B26" s="450">
        <v>30.4</v>
      </c>
      <c r="C26" s="449">
        <v>0</v>
      </c>
      <c r="D26" s="449">
        <v>0</v>
      </c>
      <c r="E26" s="449">
        <v>0</v>
      </c>
      <c r="F26" s="449">
        <v>0</v>
      </c>
      <c r="G26" s="449">
        <v>0</v>
      </c>
      <c r="H26" s="449">
        <v>0</v>
      </c>
      <c r="I26" s="449">
        <v>0</v>
      </c>
      <c r="J26" s="449">
        <v>0</v>
      </c>
      <c r="K26" s="449">
        <v>0</v>
      </c>
    </row>
    <row r="27" spans="1:11">
      <c r="A27" s="448">
        <v>67</v>
      </c>
      <c r="B27" s="450">
        <v>0.32</v>
      </c>
      <c r="C27" s="449">
        <v>0</v>
      </c>
      <c r="D27" s="449">
        <v>0</v>
      </c>
      <c r="E27" s="450">
        <v>0.74</v>
      </c>
      <c r="F27" s="450">
        <v>2.5499999999999998</v>
      </c>
      <c r="G27" s="450">
        <v>0.56000000000000005</v>
      </c>
      <c r="H27" s="450">
        <v>3.56</v>
      </c>
      <c r="I27" s="449">
        <v>4.2430095199999993</v>
      </c>
      <c r="J27" s="449">
        <v>0.14443881</v>
      </c>
      <c r="K27" s="449">
        <v>0</v>
      </c>
    </row>
    <row r="28" spans="1:11">
      <c r="A28" s="448">
        <v>8</v>
      </c>
      <c r="B28" s="450">
        <v>26.3</v>
      </c>
      <c r="C28" s="450">
        <v>10</v>
      </c>
      <c r="D28" s="450">
        <v>21.58</v>
      </c>
      <c r="E28" s="450">
        <v>27.92</v>
      </c>
      <c r="F28" s="450">
        <v>20</v>
      </c>
      <c r="G28" s="450">
        <v>5.84</v>
      </c>
      <c r="H28" s="449">
        <v>0</v>
      </c>
      <c r="I28" s="449">
        <v>0</v>
      </c>
      <c r="J28" s="449">
        <v>0</v>
      </c>
      <c r="K28" s="449">
        <v>0.10413172</v>
      </c>
    </row>
    <row r="29" spans="1:11">
      <c r="A29" s="451" t="s">
        <v>677</v>
      </c>
      <c r="B29" s="449">
        <v>0</v>
      </c>
      <c r="C29" s="449">
        <v>0</v>
      </c>
      <c r="D29" s="449">
        <v>0</v>
      </c>
      <c r="E29" s="449">
        <v>0</v>
      </c>
      <c r="F29" s="449">
        <v>0</v>
      </c>
      <c r="G29" s="449">
        <v>0</v>
      </c>
      <c r="H29" s="449">
        <v>0</v>
      </c>
      <c r="I29" s="449">
        <v>0</v>
      </c>
      <c r="J29" s="449">
        <v>0</v>
      </c>
      <c r="K29" s="449">
        <v>0.26982086</v>
      </c>
    </row>
    <row r="30" spans="1:11">
      <c r="A30" s="448">
        <v>95</v>
      </c>
      <c r="B30" s="449">
        <v>0</v>
      </c>
      <c r="C30" s="449">
        <v>0</v>
      </c>
      <c r="D30" s="449">
        <v>0</v>
      </c>
      <c r="E30" s="450">
        <v>0.48</v>
      </c>
      <c r="F30" s="450">
        <v>3.68</v>
      </c>
      <c r="G30" s="450">
        <v>3.04</v>
      </c>
      <c r="H30" s="450">
        <v>10.25</v>
      </c>
      <c r="I30" s="449">
        <v>22.861809979999997</v>
      </c>
      <c r="J30" s="449">
        <v>21.291649480000004</v>
      </c>
      <c r="K30" s="449">
        <v>27.342744779999997</v>
      </c>
    </row>
    <row r="31" spans="1:11">
      <c r="A31" s="448">
        <v>56</v>
      </c>
      <c r="B31" s="450">
        <v>142.61000000000001</v>
      </c>
      <c r="C31" s="450">
        <v>144.41</v>
      </c>
      <c r="D31" s="450">
        <v>222.2</v>
      </c>
      <c r="E31" s="450">
        <v>287.32</v>
      </c>
      <c r="F31" s="450">
        <v>151.80000000000001</v>
      </c>
      <c r="G31" s="450">
        <v>102.65</v>
      </c>
      <c r="H31" s="450">
        <v>450.81</v>
      </c>
      <c r="I31" s="449">
        <v>695.48391000000004</v>
      </c>
      <c r="J31" s="449">
        <v>304.46400276000003</v>
      </c>
      <c r="K31" s="449">
        <v>257.05929903999998</v>
      </c>
    </row>
    <row r="32" spans="1:11">
      <c r="A32" s="448">
        <v>57</v>
      </c>
      <c r="B32" s="450">
        <v>3.68</v>
      </c>
      <c r="C32" s="450">
        <v>8.08</v>
      </c>
      <c r="D32" s="450">
        <v>12.98</v>
      </c>
      <c r="E32" s="450">
        <v>27.09</v>
      </c>
      <c r="F32" s="450">
        <v>12.75</v>
      </c>
      <c r="G32" s="450">
        <v>11.97</v>
      </c>
      <c r="H32" s="450">
        <v>43.67</v>
      </c>
      <c r="I32" s="449">
        <v>85.654510000000002</v>
      </c>
      <c r="J32" s="449">
        <v>47.314529880000009</v>
      </c>
      <c r="K32" s="449">
        <v>57.870586189999997</v>
      </c>
    </row>
    <row r="33" spans="1:11">
      <c r="A33" s="448">
        <v>88</v>
      </c>
      <c r="B33" s="450">
        <v>378.3</v>
      </c>
      <c r="C33" s="450">
        <v>360.18</v>
      </c>
      <c r="D33" s="450">
        <v>402.91</v>
      </c>
      <c r="E33" s="450">
        <v>465.7</v>
      </c>
      <c r="F33" s="450">
        <v>389.19</v>
      </c>
      <c r="G33" s="450">
        <v>303.79000000000002</v>
      </c>
      <c r="H33" s="450">
        <v>564.89</v>
      </c>
      <c r="I33" s="449">
        <v>742.10585000000003</v>
      </c>
      <c r="J33" s="449">
        <v>595.45864738</v>
      </c>
      <c r="K33" s="449">
        <v>620.32815862999996</v>
      </c>
    </row>
    <row r="34" spans="1:11">
      <c r="A34" s="448" t="s">
        <v>818</v>
      </c>
      <c r="B34" s="450">
        <v>3.71</v>
      </c>
      <c r="C34" s="450">
        <v>2.21</v>
      </c>
      <c r="D34" s="450">
        <v>2.2400000000000002</v>
      </c>
      <c r="E34" s="450">
        <v>1.97</v>
      </c>
      <c r="F34" s="450">
        <v>1.53</v>
      </c>
      <c r="G34" s="450">
        <v>0.09</v>
      </c>
      <c r="H34" s="449">
        <v>0</v>
      </c>
      <c r="I34" s="449">
        <v>0</v>
      </c>
      <c r="J34" s="449">
        <v>0</v>
      </c>
      <c r="K34" s="449">
        <v>0.71659279000000009</v>
      </c>
    </row>
    <row r="35" spans="1:11">
      <c r="A35" s="448" t="s">
        <v>819</v>
      </c>
      <c r="B35" s="449">
        <v>0</v>
      </c>
      <c r="C35" s="449">
        <v>0</v>
      </c>
      <c r="D35" s="449">
        <v>0</v>
      </c>
      <c r="E35" s="449">
        <v>0</v>
      </c>
      <c r="F35" s="450">
        <v>0.05</v>
      </c>
      <c r="G35" s="450" t="s">
        <v>813</v>
      </c>
      <c r="H35" s="449">
        <v>0</v>
      </c>
      <c r="I35" s="449">
        <v>0</v>
      </c>
      <c r="J35" s="449">
        <v>0</v>
      </c>
      <c r="K35" s="449">
        <v>0</v>
      </c>
    </row>
    <row r="36" spans="1:11">
      <c r="A36" s="448" t="s">
        <v>820</v>
      </c>
      <c r="B36" s="449">
        <v>0</v>
      </c>
      <c r="C36" s="449">
        <v>0</v>
      </c>
      <c r="D36" s="449">
        <v>0</v>
      </c>
      <c r="E36" s="449">
        <v>0</v>
      </c>
      <c r="F36" s="449">
        <v>0</v>
      </c>
      <c r="G36" s="449">
        <v>0</v>
      </c>
      <c r="H36" s="449">
        <v>0</v>
      </c>
      <c r="I36" s="449">
        <v>0</v>
      </c>
      <c r="J36" s="449">
        <v>2.23657028</v>
      </c>
      <c r="K36" s="449">
        <v>34.291008640000001</v>
      </c>
    </row>
    <row r="37" spans="1:11" ht="22.5">
      <c r="A37" s="416" t="s">
        <v>821</v>
      </c>
      <c r="B37" s="416">
        <v>729.29</v>
      </c>
      <c r="C37" s="416">
        <v>628.76</v>
      </c>
      <c r="D37" s="416">
        <v>793.06</v>
      </c>
      <c r="E37" s="416">
        <v>1030.21</v>
      </c>
      <c r="F37" s="416">
        <v>773.39</v>
      </c>
      <c r="G37" s="416">
        <v>510.92</v>
      </c>
      <c r="H37" s="416">
        <v>1239.45</v>
      </c>
      <c r="I37" s="452">
        <f>SUM(I6:I35)</f>
        <v>1843.0774005200001</v>
      </c>
      <c r="J37" s="452">
        <f>SUM(J6:J36)</f>
        <v>1193.0913365900001</v>
      </c>
      <c r="K37" s="452">
        <f>SUM(K6:K36)</f>
        <v>1199.6795783300001</v>
      </c>
    </row>
    <row r="38" spans="1:11">
      <c r="A38" s="221" t="s">
        <v>515</v>
      </c>
    </row>
  </sheetData>
  <mergeCells count="2">
    <mergeCell ref="A2:H2"/>
    <mergeCell ref="A4:K4"/>
  </mergeCells>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50"/>
  </sheetPr>
  <dimension ref="A1:P17"/>
  <sheetViews>
    <sheetView topLeftCell="B1" workbookViewId="0">
      <selection activeCell="N32" sqref="N32"/>
    </sheetView>
  </sheetViews>
  <sheetFormatPr baseColWidth="10" defaultColWidth="11.42578125" defaultRowHeight="11.25"/>
  <cols>
    <col min="1" max="1" width="11.42578125" style="221"/>
    <col min="2" max="2" width="9" style="222" customWidth="1"/>
    <col min="3" max="6" width="9" style="223" customWidth="1"/>
    <col min="7" max="12" width="9.28515625" style="223" customWidth="1"/>
    <col min="13" max="16384" width="11.42578125" style="223"/>
  </cols>
  <sheetData>
    <row r="1" spans="1:16" ht="15">
      <c r="O1" s="281">
        <v>22</v>
      </c>
    </row>
    <row r="2" spans="1:16" ht="12">
      <c r="A2" s="517" t="s">
        <v>822</v>
      </c>
      <c r="B2" s="517"/>
      <c r="C2" s="517"/>
      <c r="D2" s="517"/>
      <c r="E2" s="517"/>
      <c r="F2" s="517"/>
      <c r="G2" s="517"/>
      <c r="H2" s="517"/>
      <c r="I2" s="258"/>
      <c r="J2" s="258"/>
      <c r="K2" s="258"/>
      <c r="L2" s="258"/>
      <c r="M2" s="239"/>
      <c r="N2" s="239"/>
      <c r="O2" s="239"/>
      <c r="P2" s="239"/>
    </row>
    <row r="4" spans="1:16" s="222" customFormat="1">
      <c r="A4" s="568" t="s">
        <v>823</v>
      </c>
      <c r="B4" s="564"/>
      <c r="C4" s="564"/>
      <c r="D4" s="564"/>
      <c r="E4" s="564"/>
      <c r="F4" s="564"/>
      <c r="G4" s="564"/>
      <c r="H4" s="564"/>
      <c r="I4" s="564"/>
      <c r="J4" s="564"/>
      <c r="K4" s="564"/>
      <c r="L4" s="564"/>
    </row>
    <row r="5" spans="1:16" s="222" customFormat="1">
      <c r="A5" s="453" t="s">
        <v>401</v>
      </c>
      <c r="B5" s="454" t="s">
        <v>402</v>
      </c>
      <c r="C5" s="454">
        <v>2015</v>
      </c>
      <c r="D5" s="454">
        <v>2016</v>
      </c>
      <c r="E5" s="454">
        <v>2017</v>
      </c>
      <c r="F5" s="454">
        <v>2018</v>
      </c>
      <c r="G5" s="454">
        <v>2019</v>
      </c>
      <c r="H5" s="454">
        <v>2020</v>
      </c>
      <c r="I5" s="454">
        <v>2021</v>
      </c>
      <c r="J5" s="454">
        <v>2022</v>
      </c>
      <c r="K5" s="454">
        <v>2023</v>
      </c>
      <c r="L5" s="454">
        <v>2024</v>
      </c>
    </row>
    <row r="6" spans="1:16">
      <c r="A6" s="569" t="s">
        <v>824</v>
      </c>
      <c r="B6" s="455" t="s">
        <v>505</v>
      </c>
      <c r="C6" s="456">
        <f>9.378788+21.145378</f>
        <v>30.524166000000001</v>
      </c>
      <c r="D6" s="456">
        <f>7.995627+12.957691</f>
        <v>20.953317999999999</v>
      </c>
      <c r="E6" s="456">
        <f>7.262084+13.317518</f>
        <v>20.579602000000001</v>
      </c>
      <c r="F6" s="456">
        <f>6.541876+14.853936</f>
        <v>21.395811999999999</v>
      </c>
      <c r="G6" s="456">
        <f>4.875978+12.142321</f>
        <v>17.018298999999999</v>
      </c>
      <c r="H6" s="456">
        <v>11.066266519999999</v>
      </c>
      <c r="I6" s="456">
        <v>14.883604999999999</v>
      </c>
      <c r="J6" s="456">
        <v>5.7916559999999999E-2</v>
      </c>
      <c r="K6" s="456">
        <v>0</v>
      </c>
      <c r="L6" s="456">
        <v>0</v>
      </c>
    </row>
    <row r="7" spans="1:16">
      <c r="A7" s="569"/>
      <c r="B7" s="455" t="s">
        <v>509</v>
      </c>
      <c r="C7" s="456">
        <v>2.376169</v>
      </c>
      <c r="D7" s="456">
        <v>1.5414239999999999</v>
      </c>
      <c r="E7" s="456">
        <v>1.4436800000000001</v>
      </c>
      <c r="F7" s="456">
        <v>2.079742</v>
      </c>
      <c r="G7" s="456">
        <v>1.8321419999999999</v>
      </c>
      <c r="H7" s="456">
        <v>1.11278232</v>
      </c>
      <c r="I7" s="456">
        <v>1.773253</v>
      </c>
      <c r="J7" s="456">
        <v>2.6364577999999996</v>
      </c>
      <c r="K7" s="456">
        <v>1.4135071699999999</v>
      </c>
      <c r="L7" s="456">
        <v>0</v>
      </c>
    </row>
    <row r="8" spans="1:16">
      <c r="A8" s="569"/>
      <c r="B8" s="455" t="s">
        <v>604</v>
      </c>
      <c r="C8" s="456">
        <v>0.81720199999999998</v>
      </c>
      <c r="D8" s="456">
        <v>0</v>
      </c>
      <c r="E8" s="456">
        <v>0</v>
      </c>
      <c r="F8" s="456">
        <v>0</v>
      </c>
      <c r="G8" s="456">
        <v>0</v>
      </c>
      <c r="H8" s="456">
        <v>0</v>
      </c>
      <c r="I8" s="456">
        <v>0</v>
      </c>
      <c r="J8" s="456">
        <v>0</v>
      </c>
      <c r="K8" s="456">
        <v>0</v>
      </c>
      <c r="L8" s="456">
        <v>0</v>
      </c>
    </row>
    <row r="9" spans="1:16">
      <c r="A9" s="570" t="s">
        <v>787</v>
      </c>
      <c r="B9" s="570"/>
      <c r="C9" s="457">
        <f t="shared" ref="C9:H9" si="0">+SUM(C6:C8)</f>
        <v>33.717537</v>
      </c>
      <c r="D9" s="457">
        <f t="shared" si="0"/>
        <v>22.494741999999999</v>
      </c>
      <c r="E9" s="457">
        <f t="shared" si="0"/>
        <v>22.023282000000002</v>
      </c>
      <c r="F9" s="457">
        <f t="shared" si="0"/>
        <v>23.475553999999999</v>
      </c>
      <c r="G9" s="457">
        <f t="shared" si="0"/>
        <v>18.850441</v>
      </c>
      <c r="H9" s="457">
        <f t="shared" si="0"/>
        <v>12.17904884</v>
      </c>
      <c r="I9" s="457">
        <f>+SUM(I6:I8)</f>
        <v>16.656858</v>
      </c>
      <c r="J9" s="457">
        <f>+SUM(J6:J8)</f>
        <v>2.6943743599999994</v>
      </c>
      <c r="K9" s="457">
        <f>+SUM(K6:K8)</f>
        <v>1.4135071699999999</v>
      </c>
      <c r="L9" s="457">
        <f>+SUM(L6:L8)</f>
        <v>0</v>
      </c>
    </row>
    <row r="10" spans="1:16">
      <c r="A10" s="455" t="s">
        <v>689</v>
      </c>
      <c r="B10" s="455">
        <v>192</v>
      </c>
      <c r="C10" s="456">
        <v>18.897117999999999</v>
      </c>
      <c r="D10" s="456">
        <v>5.497865</v>
      </c>
      <c r="E10" s="456">
        <v>41.553438999999997</v>
      </c>
      <c r="F10" s="456">
        <v>124.380662</v>
      </c>
      <c r="G10" s="456">
        <v>101.484639</v>
      </c>
      <c r="H10" s="456">
        <v>18.022139670000001</v>
      </c>
      <c r="I10" s="456">
        <v>0</v>
      </c>
      <c r="J10" s="456">
        <v>0</v>
      </c>
      <c r="K10" s="456">
        <v>0</v>
      </c>
      <c r="L10" s="456">
        <v>0</v>
      </c>
    </row>
    <row r="11" spans="1:16">
      <c r="A11" s="570" t="s">
        <v>680</v>
      </c>
      <c r="B11" s="570"/>
      <c r="C11" s="457">
        <f t="shared" ref="C11:L11" si="1">+C10</f>
        <v>18.897117999999999</v>
      </c>
      <c r="D11" s="457">
        <f t="shared" si="1"/>
        <v>5.497865</v>
      </c>
      <c r="E11" s="457">
        <f t="shared" si="1"/>
        <v>41.553438999999997</v>
      </c>
      <c r="F11" s="457">
        <f t="shared" si="1"/>
        <v>124.380662</v>
      </c>
      <c r="G11" s="457">
        <f t="shared" si="1"/>
        <v>101.484639</v>
      </c>
      <c r="H11" s="457">
        <f t="shared" si="1"/>
        <v>18.022139670000001</v>
      </c>
      <c r="I11" s="457">
        <f t="shared" si="1"/>
        <v>0</v>
      </c>
      <c r="J11" s="457">
        <f t="shared" si="1"/>
        <v>0</v>
      </c>
      <c r="K11" s="457">
        <f t="shared" si="1"/>
        <v>0</v>
      </c>
      <c r="L11" s="457">
        <f t="shared" si="1"/>
        <v>0</v>
      </c>
    </row>
    <row r="12" spans="1:16">
      <c r="A12" s="455" t="s">
        <v>825</v>
      </c>
      <c r="B12" s="455" t="s">
        <v>734</v>
      </c>
      <c r="C12" s="456">
        <f>9.83065+15.724013+144.536863</f>
        <v>170.09152600000002</v>
      </c>
      <c r="D12" s="456">
        <f>10.10401+14.065544+102.111665</f>
        <v>126.28121899999999</v>
      </c>
      <c r="E12" s="456">
        <f>12.939253+15.4548+124.596238</f>
        <v>152.99029100000001</v>
      </c>
      <c r="F12" s="456">
        <f>17.67365+18.210681+166.248316</f>
        <v>202.13264699999999</v>
      </c>
      <c r="G12" s="456">
        <f>18.560817+14.46423+140.883127</f>
        <v>173.908174</v>
      </c>
      <c r="H12" s="456">
        <v>104.03513664</v>
      </c>
      <c r="I12" s="456">
        <v>166.62</v>
      </c>
      <c r="J12" s="456">
        <v>213.71</v>
      </c>
      <c r="K12" s="456">
        <v>148.63746903000001</v>
      </c>
      <c r="L12" s="456">
        <v>0</v>
      </c>
    </row>
    <row r="13" spans="1:16">
      <c r="A13" s="571" t="s">
        <v>683</v>
      </c>
      <c r="B13" s="571"/>
      <c r="C13" s="458">
        <f t="shared" ref="C13:L13" si="2">+C12</f>
        <v>170.09152600000002</v>
      </c>
      <c r="D13" s="458">
        <f t="shared" si="2"/>
        <v>126.28121899999999</v>
      </c>
      <c r="E13" s="458">
        <f t="shared" si="2"/>
        <v>152.99029100000001</v>
      </c>
      <c r="F13" s="458">
        <f t="shared" si="2"/>
        <v>202.13264699999999</v>
      </c>
      <c r="G13" s="458">
        <f t="shared" si="2"/>
        <v>173.908174</v>
      </c>
      <c r="H13" s="458">
        <f t="shared" si="2"/>
        <v>104.03513664</v>
      </c>
      <c r="I13" s="458">
        <f t="shared" si="2"/>
        <v>166.62</v>
      </c>
      <c r="J13" s="458">
        <f t="shared" si="2"/>
        <v>213.71</v>
      </c>
      <c r="K13" s="458">
        <f t="shared" si="2"/>
        <v>148.63746903000001</v>
      </c>
      <c r="L13" s="458">
        <f t="shared" si="2"/>
        <v>0</v>
      </c>
    </row>
    <row r="14" spans="1:16">
      <c r="A14" s="567" t="s">
        <v>826</v>
      </c>
      <c r="B14" s="567"/>
      <c r="C14" s="459">
        <f t="shared" ref="C14:H14" si="3">+C9+C11+C13</f>
        <v>222.70618100000002</v>
      </c>
      <c r="D14" s="459">
        <f t="shared" si="3"/>
        <v>154.27382599999999</v>
      </c>
      <c r="E14" s="459">
        <f t="shared" si="3"/>
        <v>216.56701200000001</v>
      </c>
      <c r="F14" s="459">
        <f t="shared" si="3"/>
        <v>349.98886299999998</v>
      </c>
      <c r="G14" s="459">
        <f t="shared" si="3"/>
        <v>294.24325399999998</v>
      </c>
      <c r="H14" s="459">
        <f t="shared" si="3"/>
        <v>134.23632515</v>
      </c>
      <c r="I14" s="459">
        <f>+I9+I11+I13</f>
        <v>183.276858</v>
      </c>
      <c r="J14" s="459">
        <f>+J9+J11+J13</f>
        <v>216.40437436000002</v>
      </c>
      <c r="K14" s="459">
        <f>+K9+K11+K13</f>
        <v>150.05097620000001</v>
      </c>
      <c r="L14" s="459">
        <f>+L9+L11+L13</f>
        <v>0</v>
      </c>
    </row>
    <row r="15" spans="1:16">
      <c r="A15" s="221" t="s">
        <v>515</v>
      </c>
    </row>
    <row r="17" spans="8:12" ht="12">
      <c r="H17" s="460"/>
      <c r="I17" s="460"/>
      <c r="J17" s="460"/>
      <c r="K17" s="460"/>
      <c r="L17" s="460"/>
    </row>
  </sheetData>
  <mergeCells count="7">
    <mergeCell ref="A14:B14"/>
    <mergeCell ref="A2:H2"/>
    <mergeCell ref="A4:L4"/>
    <mergeCell ref="A6:A8"/>
    <mergeCell ref="A9:B9"/>
    <mergeCell ref="A11:B11"/>
    <mergeCell ref="A13:B13"/>
  </mergeCells>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50"/>
  </sheetPr>
  <dimension ref="A1:P38"/>
  <sheetViews>
    <sheetView workbookViewId="0">
      <selection activeCell="H42" sqref="H42"/>
    </sheetView>
  </sheetViews>
  <sheetFormatPr baseColWidth="10" defaultColWidth="11.42578125" defaultRowHeight="11.25"/>
  <cols>
    <col min="1" max="1" width="11.42578125" style="221"/>
    <col min="2" max="6" width="10.42578125" style="223" customWidth="1"/>
    <col min="7" max="11" width="10.28515625" style="223" customWidth="1"/>
    <col min="12" max="12" width="10.42578125" style="223" customWidth="1"/>
    <col min="13" max="16384" width="11.42578125" style="223"/>
  </cols>
  <sheetData>
    <row r="1" spans="1:16" ht="15">
      <c r="P1" s="281">
        <v>24</v>
      </c>
    </row>
    <row r="2" spans="1:16" ht="12">
      <c r="A2" s="517" t="s">
        <v>827</v>
      </c>
      <c r="B2" s="517"/>
      <c r="C2" s="517"/>
      <c r="D2" s="517"/>
      <c r="E2" s="517"/>
      <c r="F2" s="517"/>
      <c r="G2" s="517"/>
      <c r="H2" s="517"/>
      <c r="I2" s="517"/>
      <c r="J2" s="517"/>
      <c r="K2" s="517"/>
      <c r="L2" s="517"/>
    </row>
    <row r="4" spans="1:16" s="222" customFormat="1">
      <c r="A4" s="572" t="s">
        <v>828</v>
      </c>
      <c r="B4" s="564"/>
      <c r="C4" s="564"/>
      <c r="D4" s="564"/>
      <c r="E4" s="564"/>
      <c r="F4" s="564"/>
      <c r="G4" s="564"/>
      <c r="H4" s="564"/>
      <c r="I4" s="564"/>
      <c r="J4" s="564"/>
      <c r="K4" s="564"/>
      <c r="L4" s="223"/>
    </row>
    <row r="5" spans="1:16" s="222" customFormat="1">
      <c r="A5" s="292"/>
      <c r="B5" s="229">
        <v>2015</v>
      </c>
      <c r="C5" s="229">
        <v>2016</v>
      </c>
      <c r="D5" s="229">
        <v>2017</v>
      </c>
      <c r="E5" s="229">
        <v>2018</v>
      </c>
      <c r="F5" s="229">
        <v>2019</v>
      </c>
      <c r="G5" s="229">
        <v>2020</v>
      </c>
      <c r="H5" s="229">
        <v>2021</v>
      </c>
      <c r="I5" s="229">
        <v>2022</v>
      </c>
      <c r="J5" s="229">
        <v>2023</v>
      </c>
      <c r="K5" s="229">
        <v>2024</v>
      </c>
      <c r="L5" s="223"/>
    </row>
    <row r="6" spans="1:16">
      <c r="A6" s="231" t="s">
        <v>720</v>
      </c>
      <c r="B6" s="394">
        <v>207.23</v>
      </c>
      <c r="C6" s="394">
        <v>120.19</v>
      </c>
      <c r="D6" s="394">
        <v>171.31</v>
      </c>
      <c r="E6" s="394">
        <v>284.69</v>
      </c>
      <c r="F6" s="394">
        <f>199.86+58.74</f>
        <v>258.60000000000002</v>
      </c>
      <c r="G6" s="461">
        <v>105.57092299999999</v>
      </c>
      <c r="H6" s="461">
        <v>202.06200000000001</v>
      </c>
      <c r="I6" s="461">
        <v>332.69451638139998</v>
      </c>
      <c r="J6" s="461">
        <v>244.35553706799999</v>
      </c>
      <c r="K6" s="461">
        <v>240.51160350749998</v>
      </c>
    </row>
    <row r="7" spans="1:16" ht="22.5">
      <c r="A7" s="231" t="s">
        <v>721</v>
      </c>
      <c r="B7" s="394">
        <v>306.13</v>
      </c>
      <c r="C7" s="394">
        <v>283.14</v>
      </c>
      <c r="D7" s="394">
        <v>393.41</v>
      </c>
      <c r="E7" s="394">
        <v>441.52</v>
      </c>
      <c r="F7" s="394">
        <f>302.39+2.75</f>
        <v>305.14</v>
      </c>
      <c r="G7" s="461">
        <v>200.08723900000001</v>
      </c>
      <c r="H7" s="461">
        <v>502.89651500000002</v>
      </c>
      <c r="I7" s="461">
        <v>563.79324793229989</v>
      </c>
      <c r="J7" s="461">
        <v>371.97774388609997</v>
      </c>
      <c r="K7" s="461">
        <v>387.71476888999996</v>
      </c>
    </row>
    <row r="8" spans="1:16">
      <c r="A8" s="231" t="s">
        <v>829</v>
      </c>
      <c r="B8" s="394">
        <v>255.6</v>
      </c>
      <c r="C8" s="394">
        <v>256.89999999999998</v>
      </c>
      <c r="D8" s="394">
        <v>264.11</v>
      </c>
      <c r="E8" s="394">
        <v>366.73</v>
      </c>
      <c r="F8" s="394">
        <f>271.1+2.35</f>
        <v>273.45000000000005</v>
      </c>
      <c r="G8" s="461">
        <v>232.627836</v>
      </c>
      <c r="H8" s="461">
        <v>574.13452299999994</v>
      </c>
      <c r="I8" s="461">
        <v>983.82023799889987</v>
      </c>
      <c r="J8" s="461">
        <v>601.83933571669991</v>
      </c>
      <c r="K8" s="461">
        <v>571.45320589850007</v>
      </c>
    </row>
    <row r="9" spans="1:16">
      <c r="A9" s="231" t="s">
        <v>830</v>
      </c>
      <c r="B9" s="394">
        <v>1.4E-3</v>
      </c>
      <c r="C9" s="394">
        <v>2.46E-2</v>
      </c>
      <c r="D9" s="394">
        <v>0</v>
      </c>
      <c r="E9" s="394">
        <v>0</v>
      </c>
      <c r="F9" s="394">
        <v>0</v>
      </c>
      <c r="G9" s="394">
        <v>0</v>
      </c>
      <c r="H9" s="394">
        <v>0</v>
      </c>
      <c r="I9" s="394">
        <v>0</v>
      </c>
      <c r="J9" s="394">
        <v>0</v>
      </c>
      <c r="K9" s="394">
        <v>0</v>
      </c>
    </row>
    <row r="10" spans="1:16" ht="22.5">
      <c r="A10" s="462" t="s">
        <v>831</v>
      </c>
      <c r="B10" s="463">
        <v>768.96140000000003</v>
      </c>
      <c r="C10" s="463">
        <v>660.25459999999998</v>
      </c>
      <c r="D10" s="463">
        <v>828.83</v>
      </c>
      <c r="E10" s="463">
        <v>1092.93</v>
      </c>
      <c r="F10" s="463">
        <f t="shared" ref="F10:K10" si="0">+SUM(F6:F9)</f>
        <v>837.19</v>
      </c>
      <c r="G10" s="463">
        <f t="shared" si="0"/>
        <v>538.28599800000006</v>
      </c>
      <c r="H10" s="463">
        <f t="shared" si="0"/>
        <v>1279.093038</v>
      </c>
      <c r="I10" s="463">
        <f t="shared" si="0"/>
        <v>1880.3080023125999</v>
      </c>
      <c r="J10" s="463">
        <f t="shared" si="0"/>
        <v>1218.1726166707999</v>
      </c>
      <c r="K10" s="463">
        <f t="shared" si="0"/>
        <v>1199.679578296</v>
      </c>
      <c r="L10" s="464">
        <f>+K10/J10-1</f>
        <v>-1.5180967066342643E-2</v>
      </c>
    </row>
    <row r="11" spans="1:16">
      <c r="A11" s="221" t="s">
        <v>515</v>
      </c>
      <c r="G11" s="465"/>
      <c r="H11" s="465"/>
      <c r="I11" s="465"/>
      <c r="J11" s="465"/>
      <c r="K11" s="465"/>
    </row>
    <row r="12" spans="1:16">
      <c r="L12" s="465"/>
    </row>
    <row r="13" spans="1:16">
      <c r="L13" s="465"/>
    </row>
    <row r="14" spans="1:16" ht="12">
      <c r="B14" s="522" t="s">
        <v>832</v>
      </c>
      <c r="C14" s="522"/>
      <c r="D14" s="522"/>
      <c r="E14" s="522"/>
      <c r="F14" s="522"/>
      <c r="G14" s="522"/>
      <c r="H14" s="522"/>
      <c r="I14" s="522"/>
      <c r="J14" s="325"/>
    </row>
    <row r="15" spans="1:16" ht="12">
      <c r="B15" s="522"/>
      <c r="C15" s="522"/>
      <c r="D15" s="522"/>
      <c r="E15" s="522"/>
      <c r="F15" s="522"/>
      <c r="G15" s="522"/>
      <c r="H15" s="522"/>
      <c r="I15" s="522"/>
      <c r="J15" s="325"/>
    </row>
    <row r="18" spans="13:13">
      <c r="M18" s="223" t="s">
        <v>110</v>
      </c>
    </row>
    <row r="38" spans="2:2">
      <c r="B38" s="221" t="s">
        <v>515</v>
      </c>
    </row>
  </sheetData>
  <mergeCells count="3">
    <mergeCell ref="A2:L2"/>
    <mergeCell ref="A4:K4"/>
    <mergeCell ref="B14:I15"/>
  </mergeCells>
  <pageMargins left="0.7" right="0.7" top="0.75" bottom="0.75" header="0.3" footer="0.3"/>
  <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50"/>
  </sheetPr>
  <dimension ref="A1:J37"/>
  <sheetViews>
    <sheetView workbookViewId="0">
      <selection sqref="A1:XFD1048576"/>
    </sheetView>
  </sheetViews>
  <sheetFormatPr baseColWidth="10" defaultColWidth="11.42578125" defaultRowHeight="15"/>
  <cols>
    <col min="1" max="1" width="17.28515625" style="228" customWidth="1"/>
    <col min="2" max="2" width="39.42578125" style="221" bestFit="1" customWidth="1"/>
    <col min="3" max="3" width="11" style="223" bestFit="1" customWidth="1"/>
    <col min="4" max="4" width="16.5703125" style="223" bestFit="1" customWidth="1"/>
    <col min="5" max="16384" width="11.42578125" style="466"/>
  </cols>
  <sheetData>
    <row r="1" spans="1:10">
      <c r="H1" s="281">
        <v>28</v>
      </c>
    </row>
    <row r="2" spans="1:10">
      <c r="A2" s="517" t="s">
        <v>833</v>
      </c>
      <c r="B2" s="517"/>
      <c r="C2" s="517"/>
      <c r="D2" s="517"/>
      <c r="E2" s="239"/>
      <c r="F2" s="239"/>
      <c r="G2" s="239"/>
      <c r="H2" s="239"/>
      <c r="I2" s="239"/>
      <c r="J2" s="239"/>
    </row>
    <row r="4" spans="1:10" s="44" customFormat="1" ht="14.45" customHeight="1">
      <c r="A4" s="576" t="s">
        <v>834</v>
      </c>
      <c r="B4" s="576"/>
      <c r="C4" s="576"/>
      <c r="D4" s="576"/>
    </row>
    <row r="5" spans="1:10" s="44" customFormat="1" ht="33.75">
      <c r="A5" s="467" t="s">
        <v>835</v>
      </c>
      <c r="B5" s="467" t="s">
        <v>836</v>
      </c>
      <c r="C5" s="467" t="s">
        <v>837</v>
      </c>
      <c r="D5" s="467" t="s">
        <v>838</v>
      </c>
    </row>
    <row r="6" spans="1:10">
      <c r="A6" s="574" t="s">
        <v>839</v>
      </c>
      <c r="B6" s="468" t="s">
        <v>840</v>
      </c>
      <c r="C6" s="469">
        <v>0.2</v>
      </c>
      <c r="D6" s="470">
        <v>44312356.710000008</v>
      </c>
    </row>
    <row r="7" spans="1:10">
      <c r="A7" s="574"/>
      <c r="B7" s="221" t="s">
        <v>841</v>
      </c>
      <c r="C7" s="469">
        <v>0.02</v>
      </c>
      <c r="D7" s="470">
        <v>4352362.71</v>
      </c>
    </row>
    <row r="8" spans="1:10">
      <c r="A8" s="574"/>
      <c r="B8" s="468" t="s">
        <v>842</v>
      </c>
      <c r="C8" s="469">
        <v>2.5000000000000001E-2</v>
      </c>
      <c r="D8" s="470">
        <v>5478373.0800000019</v>
      </c>
    </row>
    <row r="9" spans="1:10">
      <c r="A9" s="574"/>
      <c r="B9" s="468" t="s">
        <v>843</v>
      </c>
      <c r="C9" s="469">
        <v>2.5000000000000001E-2</v>
      </c>
      <c r="D9" s="470">
        <v>5478373.0800000019</v>
      </c>
    </row>
    <row r="10" spans="1:10">
      <c r="A10" s="574"/>
      <c r="B10" s="468" t="s">
        <v>844</v>
      </c>
      <c r="C10" s="469">
        <v>0.03</v>
      </c>
      <c r="D10" s="470">
        <v>6574047.6799999997</v>
      </c>
    </row>
    <row r="11" spans="1:10">
      <c r="A11" s="574"/>
      <c r="B11" s="468" t="s">
        <v>845</v>
      </c>
      <c r="C11" s="469">
        <v>0.7</v>
      </c>
      <c r="D11" s="470">
        <v>152939409.53000003</v>
      </c>
    </row>
    <row r="12" spans="1:10">
      <c r="A12" s="574"/>
      <c r="B12" s="471" t="s">
        <v>846</v>
      </c>
      <c r="C12" s="472"/>
      <c r="D12" s="473">
        <f>+SUM(D6:D11)</f>
        <v>219134922.79000005</v>
      </c>
    </row>
    <row r="13" spans="1:10">
      <c r="A13" s="574" t="s">
        <v>847</v>
      </c>
      <c r="B13" s="468" t="s">
        <v>848</v>
      </c>
      <c r="C13" s="474" t="s">
        <v>849</v>
      </c>
      <c r="D13" s="475">
        <v>31006377.089999996</v>
      </c>
    </row>
    <row r="14" spans="1:10">
      <c r="A14" s="574"/>
      <c r="B14" s="468" t="s">
        <v>850</v>
      </c>
      <c r="C14" s="474" t="s">
        <v>851</v>
      </c>
      <c r="D14" s="475">
        <v>41146.839999999997</v>
      </c>
    </row>
    <row r="15" spans="1:10">
      <c r="A15" s="574"/>
      <c r="B15" s="468" t="s">
        <v>852</v>
      </c>
      <c r="C15" s="469">
        <v>2.5000000000000001E-2</v>
      </c>
      <c r="D15" s="475">
        <v>1511792.1600000001</v>
      </c>
    </row>
    <row r="16" spans="1:10">
      <c r="A16" s="574"/>
      <c r="B16" s="468" t="s">
        <v>853</v>
      </c>
      <c r="C16" s="469">
        <v>2.5000000000000001E-2</v>
      </c>
      <c r="D16" s="475">
        <v>1511792.1600000001</v>
      </c>
    </row>
    <row r="17" spans="1:4">
      <c r="A17" s="574"/>
      <c r="B17" s="468" t="s">
        <v>844</v>
      </c>
      <c r="C17" s="476" t="s">
        <v>854</v>
      </c>
      <c r="D17" s="475">
        <v>1800434.95</v>
      </c>
    </row>
    <row r="18" spans="1:4">
      <c r="A18" s="574"/>
      <c r="B18" s="468" t="s">
        <v>845</v>
      </c>
      <c r="C18" s="474" t="s">
        <v>855</v>
      </c>
      <c r="D18" s="475">
        <v>24600143.010000005</v>
      </c>
    </row>
    <row r="19" spans="1:4">
      <c r="A19" s="574"/>
      <c r="B19" s="471" t="s">
        <v>856</v>
      </c>
      <c r="C19" s="477"/>
      <c r="D19" s="473">
        <f>+SUM(D13:D18)</f>
        <v>60471686.210000008</v>
      </c>
    </row>
    <row r="20" spans="1:4">
      <c r="A20" s="577" t="s">
        <v>857</v>
      </c>
      <c r="B20" s="468" t="s">
        <v>840</v>
      </c>
      <c r="C20" s="469">
        <v>0.2</v>
      </c>
      <c r="D20" s="470">
        <v>81457883.794220358</v>
      </c>
    </row>
    <row r="21" spans="1:4">
      <c r="A21" s="578"/>
      <c r="B21" s="468" t="s">
        <v>858</v>
      </c>
      <c r="C21" s="478">
        <v>0.05</v>
      </c>
      <c r="D21" s="470">
        <v>20364470.946055092</v>
      </c>
    </row>
    <row r="22" spans="1:4">
      <c r="A22" s="578"/>
      <c r="B22" s="468" t="s">
        <v>859</v>
      </c>
      <c r="C22" s="478">
        <v>2.5000000000000001E-2</v>
      </c>
      <c r="D22" s="470">
        <v>10182235.468027543</v>
      </c>
    </row>
    <row r="23" spans="1:4">
      <c r="A23" s="578"/>
      <c r="B23" s="468" t="s">
        <v>860</v>
      </c>
      <c r="C23" s="478">
        <v>2.5000000000000001E-2</v>
      </c>
      <c r="D23" s="470">
        <v>10182235.468027543</v>
      </c>
    </row>
    <row r="24" spans="1:4">
      <c r="A24" s="578"/>
      <c r="B24" s="468" t="s">
        <v>845</v>
      </c>
      <c r="C24" s="469">
        <v>0.7</v>
      </c>
      <c r="D24" s="470">
        <v>285102593.3647722</v>
      </c>
    </row>
    <row r="25" spans="1:4" ht="14.45" customHeight="1">
      <c r="A25" s="579"/>
      <c r="B25" s="471" t="s">
        <v>861</v>
      </c>
      <c r="C25" s="477"/>
      <c r="D25" s="473">
        <f>+SUM(D20:D24)</f>
        <v>407289419.04110277</v>
      </c>
    </row>
    <row r="26" spans="1:4">
      <c r="A26" s="574" t="s">
        <v>862</v>
      </c>
      <c r="B26" s="468" t="s">
        <v>840</v>
      </c>
      <c r="C26" s="474" t="s">
        <v>863</v>
      </c>
      <c r="D26" s="470">
        <v>24159674.209999997</v>
      </c>
    </row>
    <row r="27" spans="1:4">
      <c r="A27" s="574"/>
      <c r="B27" s="468" t="s">
        <v>864</v>
      </c>
      <c r="C27" s="469">
        <v>0.05</v>
      </c>
      <c r="D27" s="470">
        <v>5478820.5928652268</v>
      </c>
    </row>
    <row r="28" spans="1:4">
      <c r="A28" s="574"/>
      <c r="B28" s="468" t="s">
        <v>858</v>
      </c>
      <c r="C28" s="469">
        <v>0.05</v>
      </c>
      <c r="D28" s="470">
        <v>5478820.5928652268</v>
      </c>
    </row>
    <row r="29" spans="1:4">
      <c r="A29" s="574"/>
      <c r="B29" s="468" t="s">
        <v>845</v>
      </c>
      <c r="C29" s="474" t="s">
        <v>865</v>
      </c>
      <c r="D29" s="470">
        <v>74459096.783880144</v>
      </c>
    </row>
    <row r="30" spans="1:4">
      <c r="A30" s="574"/>
      <c r="B30" s="479" t="s">
        <v>866</v>
      </c>
      <c r="C30" s="480"/>
      <c r="D30" s="481">
        <f>+SUM(D26:D29)</f>
        <v>109576412.1796106</v>
      </c>
    </row>
    <row r="31" spans="1:4">
      <c r="A31" s="573" t="s">
        <v>867</v>
      </c>
      <c r="B31" s="468" t="s">
        <v>845</v>
      </c>
      <c r="C31" s="469">
        <v>1</v>
      </c>
      <c r="D31" s="470">
        <v>10905190.93</v>
      </c>
    </row>
    <row r="32" spans="1:4">
      <c r="A32" s="573"/>
      <c r="B32" s="471" t="s">
        <v>868</v>
      </c>
      <c r="C32" s="477"/>
      <c r="D32" s="473">
        <f>+D31</f>
        <v>10905190.93</v>
      </c>
    </row>
    <row r="33" spans="1:4">
      <c r="A33" s="574" t="s">
        <v>869</v>
      </c>
      <c r="B33" s="468" t="s">
        <v>840</v>
      </c>
      <c r="C33" s="469">
        <v>0.25</v>
      </c>
      <c r="D33" s="470">
        <v>437027083.9199999</v>
      </c>
    </row>
    <row r="34" spans="1:4">
      <c r="A34" s="574"/>
      <c r="B34" s="468" t="s">
        <v>845</v>
      </c>
      <c r="C34" s="469">
        <v>0.75</v>
      </c>
      <c r="D34" s="470">
        <v>1311081251.6800001</v>
      </c>
    </row>
    <row r="35" spans="1:4">
      <c r="A35" s="574"/>
      <c r="B35" s="479" t="s">
        <v>870</v>
      </c>
      <c r="C35" s="482">
        <v>100</v>
      </c>
      <c r="D35" s="481">
        <f>+SUM(D33:D34)</f>
        <v>1748108335.5999999</v>
      </c>
    </row>
    <row r="36" spans="1:4" ht="14.45" customHeight="1">
      <c r="A36" s="575" t="s">
        <v>514</v>
      </c>
      <c r="B36" s="575"/>
      <c r="C36" s="575"/>
      <c r="D36" s="483">
        <f>SUM(D12+D19+D25+D30+D32+D35)</f>
        <v>2555485966.7507133</v>
      </c>
    </row>
    <row r="37" spans="1:4">
      <c r="A37" s="221" t="s">
        <v>515</v>
      </c>
    </row>
  </sheetData>
  <mergeCells count="9">
    <mergeCell ref="A31:A32"/>
    <mergeCell ref="A33:A35"/>
    <mergeCell ref="A36:C36"/>
    <mergeCell ref="A2:D2"/>
    <mergeCell ref="A4:D4"/>
    <mergeCell ref="A6:A12"/>
    <mergeCell ref="A13:A19"/>
    <mergeCell ref="A20:A25"/>
    <mergeCell ref="A26:A30"/>
  </mergeCells>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50"/>
  </sheetPr>
  <dimension ref="A1:O15"/>
  <sheetViews>
    <sheetView workbookViewId="0">
      <selection activeCell="N27" sqref="N27"/>
    </sheetView>
  </sheetViews>
  <sheetFormatPr baseColWidth="10" defaultRowHeight="15"/>
  <cols>
    <col min="1" max="1" width="20.5703125" customWidth="1"/>
    <col min="2" max="11" width="7.5703125" customWidth="1"/>
  </cols>
  <sheetData>
    <row r="1" spans="1:15">
      <c r="O1" s="281">
        <v>28</v>
      </c>
    </row>
    <row r="2" spans="1:15">
      <c r="A2" s="517" t="s">
        <v>871</v>
      </c>
      <c r="B2" s="517"/>
      <c r="C2" s="517"/>
      <c r="D2" s="517"/>
      <c r="E2" s="517"/>
      <c r="F2" s="517"/>
      <c r="G2" s="517"/>
      <c r="H2" s="517"/>
      <c r="I2" s="258"/>
      <c r="J2" s="258"/>
    </row>
    <row r="3" spans="1:15">
      <c r="A3" s="258"/>
      <c r="B3" s="258"/>
      <c r="C3" s="258"/>
      <c r="D3" s="258"/>
      <c r="E3" s="258"/>
      <c r="F3" s="258"/>
      <c r="G3" s="258"/>
      <c r="H3" s="258"/>
      <c r="I3" s="258"/>
      <c r="J3" s="258"/>
    </row>
    <row r="4" spans="1:15" ht="15" customHeight="1">
      <c r="A4" s="565" t="s">
        <v>872</v>
      </c>
      <c r="B4" s="566"/>
      <c r="C4" s="566"/>
      <c r="D4" s="566"/>
      <c r="E4" s="566"/>
      <c r="F4" s="566"/>
      <c r="G4" s="566"/>
      <c r="H4" s="566"/>
      <c r="I4" s="566"/>
      <c r="J4" s="566"/>
      <c r="K4" s="566"/>
    </row>
    <row r="5" spans="1:15">
      <c r="A5" s="229" t="s">
        <v>873</v>
      </c>
      <c r="B5" s="229">
        <v>2015</v>
      </c>
      <c r="C5" s="229">
        <v>2016</v>
      </c>
      <c r="D5" s="229">
        <v>2017</v>
      </c>
      <c r="E5" s="229">
        <v>2018</v>
      </c>
      <c r="F5" s="229">
        <v>2019</v>
      </c>
      <c r="G5" s="229">
        <v>2020</v>
      </c>
      <c r="H5" s="229">
        <v>2021</v>
      </c>
      <c r="I5" s="229">
        <v>2022</v>
      </c>
      <c r="J5" s="229">
        <v>2023</v>
      </c>
      <c r="K5" s="229">
        <v>2024</v>
      </c>
    </row>
    <row r="6" spans="1:15">
      <c r="A6" s="484" t="s">
        <v>334</v>
      </c>
      <c r="B6" s="485">
        <v>321.58</v>
      </c>
      <c r="C6" s="485">
        <v>263.45999999999998</v>
      </c>
      <c r="D6" s="485">
        <v>302.22000000000003</v>
      </c>
      <c r="E6" s="485">
        <v>431.71</v>
      </c>
      <c r="F6" s="485">
        <v>412.19</v>
      </c>
      <c r="G6" s="485">
        <v>259.45999999999998</v>
      </c>
      <c r="H6" s="485">
        <v>441.03</v>
      </c>
      <c r="I6" s="486">
        <v>573.56120197999996</v>
      </c>
      <c r="J6" s="486">
        <v>454.11067277000001</v>
      </c>
      <c r="K6" s="486">
        <v>407.28941904110269</v>
      </c>
    </row>
    <row r="7" spans="1:15">
      <c r="A7" s="484" t="s">
        <v>874</v>
      </c>
      <c r="B7" s="485">
        <v>112.11</v>
      </c>
      <c r="C7" s="485">
        <v>86.17</v>
      </c>
      <c r="D7" s="485">
        <v>96.06</v>
      </c>
      <c r="E7" s="485">
        <v>126.45</v>
      </c>
      <c r="F7" s="485">
        <v>117.47</v>
      </c>
      <c r="G7" s="485">
        <v>65.84</v>
      </c>
      <c r="H7" s="485">
        <v>110.42</v>
      </c>
      <c r="I7" s="486">
        <v>143.58112186000002</v>
      </c>
      <c r="J7" s="486">
        <v>113.68534889999999</v>
      </c>
      <c r="K7" s="486">
        <v>109.5764121796106</v>
      </c>
    </row>
    <row r="8" spans="1:15">
      <c r="A8" s="484" t="s">
        <v>875</v>
      </c>
      <c r="B8" s="485">
        <v>25.95</v>
      </c>
      <c r="C8" s="485">
        <v>15.1</v>
      </c>
      <c r="D8" s="485">
        <v>28.65</v>
      </c>
      <c r="E8" s="485">
        <v>33</v>
      </c>
      <c r="F8" s="485">
        <v>28.36</v>
      </c>
      <c r="G8" s="485">
        <v>11.95</v>
      </c>
      <c r="H8" s="485">
        <v>18.5</v>
      </c>
      <c r="I8" s="486">
        <v>23.313246899999999</v>
      </c>
      <c r="J8" s="486">
        <v>12.750342910000001</v>
      </c>
      <c r="K8" s="486">
        <v>10.90519093</v>
      </c>
    </row>
    <row r="9" spans="1:15">
      <c r="A9" s="484" t="s">
        <v>876</v>
      </c>
      <c r="B9" s="485">
        <v>119.89</v>
      </c>
      <c r="C9" s="485">
        <v>29.59</v>
      </c>
      <c r="D9" s="485">
        <v>66.84</v>
      </c>
      <c r="E9" s="485">
        <v>135.63</v>
      </c>
      <c r="F9" s="485">
        <v>146.27000000000001</v>
      </c>
      <c r="G9" s="485">
        <v>57.83</v>
      </c>
      <c r="H9" s="485">
        <v>123.67</v>
      </c>
      <c r="I9" s="486">
        <v>215.03122604999999</v>
      </c>
      <c r="J9" s="486">
        <v>178.78084826999998</v>
      </c>
      <c r="K9" s="486">
        <v>219.13492279000005</v>
      </c>
    </row>
    <row r="10" spans="1:15">
      <c r="A10" s="484" t="s">
        <v>877</v>
      </c>
      <c r="B10" s="485">
        <v>60.34</v>
      </c>
      <c r="C10" s="485">
        <v>28.36</v>
      </c>
      <c r="D10" s="485">
        <v>28.3</v>
      </c>
      <c r="E10" s="485">
        <v>51.69</v>
      </c>
      <c r="F10" s="485">
        <v>50.04</v>
      </c>
      <c r="G10" s="485">
        <v>19.36</v>
      </c>
      <c r="H10" s="485">
        <v>37.69</v>
      </c>
      <c r="I10" s="486">
        <v>64.061448830000003</v>
      </c>
      <c r="J10" s="486">
        <v>54.520491439999994</v>
      </c>
      <c r="K10" s="486">
        <v>60.471686210000001</v>
      </c>
    </row>
    <row r="11" spans="1:15">
      <c r="A11" s="484" t="s">
        <v>326</v>
      </c>
      <c r="B11" s="485">
        <v>942.73</v>
      </c>
      <c r="C11" s="485">
        <v>905.09</v>
      </c>
      <c r="D11" s="485">
        <v>1036.1500000000001</v>
      </c>
      <c r="E11" s="485">
        <v>1289.3</v>
      </c>
      <c r="F11" s="485">
        <v>921.1</v>
      </c>
      <c r="G11" s="485">
        <v>737.39</v>
      </c>
      <c r="H11" s="485">
        <v>2076.63</v>
      </c>
      <c r="I11" s="486">
        <v>2894.2759373399999</v>
      </c>
      <c r="J11" s="486">
        <v>1819.77071458</v>
      </c>
      <c r="K11" s="486">
        <v>1748.1083355999997</v>
      </c>
    </row>
    <row r="12" spans="1:15">
      <c r="A12" s="416" t="s">
        <v>878</v>
      </c>
      <c r="B12" s="452">
        <v>1582.6</v>
      </c>
      <c r="C12" s="452">
        <v>1327.76</v>
      </c>
      <c r="D12" s="452">
        <v>1558.22</v>
      </c>
      <c r="E12" s="452">
        <v>2067.77</v>
      </c>
      <c r="F12" s="452">
        <v>1675.43</v>
      </c>
      <c r="G12" s="452">
        <v>1151.8399999999999</v>
      </c>
      <c r="H12" s="452">
        <v>2807.94</v>
      </c>
      <c r="I12" s="487">
        <f>SUM(I6:I11)</f>
        <v>3913.8241829600001</v>
      </c>
      <c r="J12" s="487">
        <f>SUM(J6:J11)</f>
        <v>2633.6184188699999</v>
      </c>
      <c r="K12" s="487">
        <f>SUM(K6:K11)</f>
        <v>2555.485966750713</v>
      </c>
    </row>
    <row r="14" spans="1:15">
      <c r="I14" s="488">
        <f>+(K12/J12)-1</f>
        <v>-2.9667339641712753E-2</v>
      </c>
      <c r="J14" s="488"/>
    </row>
    <row r="15" spans="1:15">
      <c r="A15" s="517" t="s">
        <v>879</v>
      </c>
      <c r="B15" s="517"/>
      <c r="C15" s="517"/>
      <c r="D15" s="517"/>
      <c r="E15" s="517"/>
      <c r="F15" s="517"/>
      <c r="G15" s="517"/>
      <c r="H15" s="517"/>
      <c r="I15" s="517"/>
      <c r="J15" s="517"/>
      <c r="K15" s="517"/>
    </row>
  </sheetData>
  <mergeCells count="3">
    <mergeCell ref="A2:H2"/>
    <mergeCell ref="A4:K4"/>
    <mergeCell ref="A15:K15"/>
  </mergeCells>
  <pageMargins left="0.7" right="0.7" top="0.75" bottom="0.75" header="0.3" footer="0.3"/>
  <drawing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F0"/>
  </sheetPr>
  <dimension ref="A1:T63"/>
  <sheetViews>
    <sheetView zoomScaleNormal="100" workbookViewId="0">
      <selection activeCell="O34" sqref="O34"/>
    </sheetView>
  </sheetViews>
  <sheetFormatPr baseColWidth="10" defaultColWidth="11.42578125" defaultRowHeight="14.25"/>
  <cols>
    <col min="1" max="1" width="34.7109375" style="2" customWidth="1"/>
    <col min="2" max="6" width="11.5703125" style="2" bestFit="1" customWidth="1"/>
    <col min="7" max="7" width="11.42578125" style="2"/>
    <col min="8" max="8" width="14.5703125" style="2" customWidth="1"/>
    <col min="9" max="12" width="11.5703125" style="2" bestFit="1" customWidth="1"/>
    <col min="13" max="13" width="11.42578125" style="2"/>
    <col min="14" max="14" width="14.42578125" style="2" customWidth="1"/>
    <col min="15" max="18" width="11.5703125" style="2" bestFit="1" customWidth="1"/>
    <col min="19" max="19" width="12.5703125" style="2" bestFit="1" customWidth="1"/>
    <col min="20" max="20" width="11.5703125" style="2" bestFit="1" customWidth="1"/>
    <col min="21" max="16384" width="11.42578125" style="2"/>
  </cols>
  <sheetData>
    <row r="1" spans="1:20">
      <c r="A1" s="580" t="s">
        <v>52</v>
      </c>
      <c r="B1" s="580"/>
      <c r="C1" s="580"/>
      <c r="D1" s="580"/>
      <c r="E1" s="580"/>
      <c r="F1" s="580"/>
      <c r="H1" s="61"/>
      <c r="I1" s="61"/>
      <c r="J1" s="61"/>
      <c r="K1" s="61"/>
    </row>
    <row r="2" spans="1:20">
      <c r="H2" s="62"/>
      <c r="I2" s="62"/>
      <c r="J2" s="62"/>
      <c r="K2" s="62"/>
      <c r="L2" s="62"/>
    </row>
    <row r="3" spans="1:20" ht="14.45" customHeight="1" thickBot="1">
      <c r="A3" s="581" t="s">
        <v>53</v>
      </c>
      <c r="B3" s="582"/>
      <c r="C3" s="582"/>
      <c r="D3" s="582"/>
      <c r="E3" s="582"/>
      <c r="F3" s="582"/>
      <c r="G3" s="215"/>
      <c r="H3" s="63" t="s">
        <v>54</v>
      </c>
      <c r="I3" s="63" t="s">
        <v>55</v>
      </c>
      <c r="J3" s="63" t="s">
        <v>56</v>
      </c>
      <c r="K3" s="63" t="s">
        <v>57</v>
      </c>
      <c r="L3" s="63" t="s">
        <v>58</v>
      </c>
      <c r="O3" s="63" t="s">
        <v>54</v>
      </c>
      <c r="P3" s="63" t="s">
        <v>55</v>
      </c>
      <c r="Q3" s="63" t="s">
        <v>56</v>
      </c>
      <c r="R3" s="63" t="s">
        <v>57</v>
      </c>
      <c r="S3" s="63" t="s">
        <v>58</v>
      </c>
    </row>
    <row r="4" spans="1:20" ht="15.75" customHeight="1" thickBot="1">
      <c r="A4" s="64" t="s">
        <v>59</v>
      </c>
      <c r="B4" s="65" t="s">
        <v>60</v>
      </c>
      <c r="C4" s="65" t="s">
        <v>61</v>
      </c>
      <c r="D4" s="65" t="s">
        <v>62</v>
      </c>
      <c r="E4" s="65" t="s">
        <v>63</v>
      </c>
      <c r="F4" s="65" t="s">
        <v>64</v>
      </c>
      <c r="H4" s="66">
        <f>+C63</f>
        <v>28843.531999999999</v>
      </c>
      <c r="I4" s="66">
        <f>+D63</f>
        <v>1744.915</v>
      </c>
      <c r="J4" s="66">
        <f>+E63</f>
        <v>4888.3730000000005</v>
      </c>
      <c r="K4" s="66">
        <f>+F63</f>
        <v>36812.26</v>
      </c>
      <c r="L4" s="66">
        <f>+B63</f>
        <v>72289.08</v>
      </c>
      <c r="N4" s="67" t="s">
        <v>65</v>
      </c>
      <c r="O4" s="66">
        <f>+C6</f>
        <v>7989.2419999999993</v>
      </c>
      <c r="P4" s="66">
        <f t="shared" ref="O4:R5" si="0">+D6</f>
        <v>999.077</v>
      </c>
      <c r="Q4" s="66">
        <f t="shared" si="0"/>
        <v>17.874000000000002</v>
      </c>
      <c r="R4" s="66">
        <f t="shared" si="0"/>
        <v>0</v>
      </c>
      <c r="S4" s="66">
        <f>+B6</f>
        <v>9006.1929999999993</v>
      </c>
      <c r="T4" s="61">
        <f>+S4/S6</f>
        <v>0.16241653090016483</v>
      </c>
    </row>
    <row r="5" spans="1:20" ht="14.45" customHeight="1" thickBot="1">
      <c r="A5" s="583" t="s">
        <v>66</v>
      </c>
      <c r="B5" s="584"/>
      <c r="C5" s="584"/>
      <c r="D5" s="584"/>
      <c r="E5" s="584"/>
      <c r="F5" s="584"/>
      <c r="H5" s="61">
        <f>+H4/$L$4</f>
        <v>0.39900261560943917</v>
      </c>
      <c r="I5" s="61">
        <f>+I4/$L$4</f>
        <v>2.4138016419630738E-2</v>
      </c>
      <c r="J5" s="61">
        <f>+J4/$L$4</f>
        <v>6.7622564846585409E-2</v>
      </c>
      <c r="K5" s="61">
        <f>+K4/$L$4</f>
        <v>0.50923680312434461</v>
      </c>
      <c r="N5" s="67" t="s">
        <v>67</v>
      </c>
      <c r="O5" s="66">
        <f t="shared" si="0"/>
        <v>16538.923000000003</v>
      </c>
      <c r="P5" s="66">
        <f t="shared" si="0"/>
        <v>0</v>
      </c>
      <c r="Q5" s="66">
        <f t="shared" si="0"/>
        <v>2140.3029999999999</v>
      </c>
      <c r="R5" s="66">
        <f t="shared" si="0"/>
        <v>27765.79</v>
      </c>
      <c r="S5" s="66">
        <f>+B7</f>
        <v>46445.016000000003</v>
      </c>
      <c r="T5" s="61">
        <f>+S5/S6</f>
        <v>0.83758346909983517</v>
      </c>
    </row>
    <row r="6" spans="1:20" ht="14.45" customHeight="1" thickBot="1">
      <c r="A6" s="67" t="s">
        <v>68</v>
      </c>
      <c r="B6" s="13">
        <v>9006.1929999999993</v>
      </c>
      <c r="C6" s="13">
        <v>7989.2419999999993</v>
      </c>
      <c r="D6" s="69">
        <v>999.077</v>
      </c>
      <c r="E6" s="69">
        <v>17.874000000000002</v>
      </c>
      <c r="F6" s="69"/>
      <c r="S6" s="70">
        <f>+SUM(S4:S5)</f>
        <v>55451.209000000003</v>
      </c>
    </row>
    <row r="7" spans="1:20" ht="14.45" customHeight="1" thickBot="1">
      <c r="A7" s="67" t="s">
        <v>69</v>
      </c>
      <c r="B7" s="13">
        <v>46445.016000000003</v>
      </c>
      <c r="C7" s="13">
        <v>16538.923000000003</v>
      </c>
      <c r="D7" s="71"/>
      <c r="E7" s="69">
        <v>2140.3029999999999</v>
      </c>
      <c r="F7" s="69">
        <v>27765.79</v>
      </c>
    </row>
    <row r="8" spans="1:20" ht="11.25" customHeight="1" thickBot="1">
      <c r="A8" s="72" t="s">
        <v>70</v>
      </c>
      <c r="B8" s="73">
        <f>+SUM(B6:B7)</f>
        <v>55451.209000000003</v>
      </c>
      <c r="C8" s="73">
        <f t="shared" ref="C8:F8" si="1">+SUM(C6:C7)</f>
        <v>24528.165000000001</v>
      </c>
      <c r="D8" s="73">
        <f t="shared" si="1"/>
        <v>999.077</v>
      </c>
      <c r="E8" s="73">
        <f t="shared" si="1"/>
        <v>2158.1769999999997</v>
      </c>
      <c r="F8" s="73">
        <f t="shared" si="1"/>
        <v>27765.79</v>
      </c>
    </row>
    <row r="9" spans="1:20" ht="14.45" customHeight="1" thickBot="1">
      <c r="A9" s="68" t="s">
        <v>71</v>
      </c>
      <c r="B9" s="74"/>
      <c r="C9" s="74"/>
      <c r="D9" s="75"/>
      <c r="E9" s="75"/>
      <c r="F9" s="75"/>
    </row>
    <row r="10" spans="1:20" ht="14.45" customHeight="1" thickBot="1">
      <c r="A10" s="583" t="s">
        <v>72</v>
      </c>
      <c r="B10" s="584"/>
      <c r="C10" s="584"/>
      <c r="D10" s="584"/>
      <c r="E10" s="584"/>
      <c r="F10" s="584"/>
    </row>
    <row r="11" spans="1:20" ht="14.45" customHeight="1" thickBot="1">
      <c r="A11" s="67" t="s">
        <v>73</v>
      </c>
      <c r="B11" s="13">
        <v>11.85</v>
      </c>
      <c r="C11" s="13">
        <v>11.85</v>
      </c>
      <c r="D11" s="13"/>
      <c r="E11" s="13"/>
      <c r="F11" s="13"/>
    </row>
    <row r="12" spans="1:20" ht="14.45" customHeight="1" thickBot="1">
      <c r="A12" s="67" t="s">
        <v>74</v>
      </c>
      <c r="B12" s="13">
        <v>1304.4189999999999</v>
      </c>
      <c r="C12" s="13">
        <v>440.05099999999993</v>
      </c>
      <c r="D12" s="13">
        <v>17.507999999999999</v>
      </c>
      <c r="E12" s="13">
        <v>30.71</v>
      </c>
      <c r="F12" s="13">
        <v>816.15</v>
      </c>
    </row>
    <row r="13" spans="1:20" ht="14.45" customHeight="1" thickBot="1">
      <c r="A13" s="67" t="s">
        <v>75</v>
      </c>
      <c r="B13" s="13">
        <v>177.702</v>
      </c>
      <c r="C13" s="13">
        <v>68.472000000000008</v>
      </c>
      <c r="D13" s="13"/>
      <c r="E13" s="13">
        <v>3.9799999999999995</v>
      </c>
      <c r="F13" s="13">
        <v>105.25</v>
      </c>
    </row>
    <row r="14" spans="1:20" ht="15" customHeight="1" thickBot="1">
      <c r="A14" s="67" t="s">
        <v>76</v>
      </c>
      <c r="B14" s="13">
        <v>5159.8679999999995</v>
      </c>
      <c r="C14" s="13"/>
      <c r="D14" s="13">
        <v>14.59</v>
      </c>
      <c r="E14" s="13">
        <v>661.28800000000001</v>
      </c>
      <c r="F14" s="13">
        <v>4483.99</v>
      </c>
    </row>
    <row r="15" spans="1:20" ht="15" customHeight="1" thickBot="1">
      <c r="A15" s="67" t="s">
        <v>77</v>
      </c>
      <c r="B15" s="13">
        <v>645.76400000000001</v>
      </c>
      <c r="C15" s="13">
        <v>575.495</v>
      </c>
      <c r="D15" s="13">
        <v>65.397000000000006</v>
      </c>
      <c r="E15" s="13">
        <v>4.8720000000000008</v>
      </c>
      <c r="F15" s="13"/>
    </row>
    <row r="16" spans="1:20" ht="15" customHeight="1" thickBot="1">
      <c r="A16" s="67" t="s">
        <v>78</v>
      </c>
      <c r="B16" s="13">
        <v>416.86800000000005</v>
      </c>
      <c r="C16" s="13">
        <v>142.00900000000001</v>
      </c>
      <c r="D16" s="13"/>
      <c r="E16" s="13">
        <v>274.85900000000004</v>
      </c>
      <c r="F16" s="13"/>
    </row>
    <row r="17" spans="1:6" ht="14.45" customHeight="1" thickBot="1">
      <c r="A17" s="67" t="s">
        <v>79</v>
      </c>
      <c r="B17" s="13">
        <v>310.47500000000002</v>
      </c>
      <c r="C17" s="13">
        <v>121.82599999999999</v>
      </c>
      <c r="D17" s="13"/>
      <c r="E17" s="13">
        <v>188.649</v>
      </c>
      <c r="F17" s="13"/>
    </row>
    <row r="18" spans="1:6" ht="14.45" customHeight="1" thickBot="1">
      <c r="A18" s="67" t="s">
        <v>80</v>
      </c>
      <c r="B18" s="13">
        <v>169.2</v>
      </c>
      <c r="C18" s="13"/>
      <c r="D18" s="13"/>
      <c r="E18" s="13"/>
      <c r="F18" s="13">
        <v>169.2</v>
      </c>
    </row>
    <row r="19" spans="1:6" ht="14.45" customHeight="1" thickBot="1">
      <c r="A19" s="67" t="s">
        <v>81</v>
      </c>
      <c r="B19" s="13">
        <v>7.6999999999999999E-2</v>
      </c>
      <c r="C19" s="13">
        <v>7.6999999999999999E-2</v>
      </c>
      <c r="D19" s="13"/>
      <c r="E19" s="13"/>
      <c r="F19" s="13"/>
    </row>
    <row r="20" spans="1:6" ht="14.45" customHeight="1" thickBot="1">
      <c r="A20" s="67" t="s">
        <v>82</v>
      </c>
      <c r="B20" s="13">
        <v>449.21000000000004</v>
      </c>
      <c r="C20" s="13"/>
      <c r="D20" s="13"/>
      <c r="E20" s="13"/>
      <c r="F20" s="13">
        <v>449.21000000000004</v>
      </c>
    </row>
    <row r="21" spans="1:6" ht="14.45" customHeight="1" thickBot="1">
      <c r="A21" s="67" t="s">
        <v>83</v>
      </c>
      <c r="B21" s="13">
        <v>3681.337</v>
      </c>
      <c r="C21" s="13"/>
      <c r="D21" s="13">
        <v>155.42700000000002</v>
      </c>
      <c r="E21" s="13">
        <v>419.98</v>
      </c>
      <c r="F21" s="13">
        <v>3105.93</v>
      </c>
    </row>
    <row r="22" spans="1:6" ht="14.45" customHeight="1" thickBot="1">
      <c r="A22" s="67" t="s">
        <v>84</v>
      </c>
      <c r="B22" s="13">
        <v>316.11500000000007</v>
      </c>
      <c r="C22" s="13">
        <v>0.37</v>
      </c>
      <c r="D22" s="13">
        <v>239.59200000000001</v>
      </c>
      <c r="E22" s="13">
        <v>61.183000000000007</v>
      </c>
      <c r="F22" s="13">
        <v>14.97</v>
      </c>
    </row>
    <row r="23" spans="1:6" ht="14.45" customHeight="1" thickBot="1">
      <c r="A23" s="67" t="s">
        <v>85</v>
      </c>
      <c r="B23" s="13">
        <v>20.12</v>
      </c>
      <c r="C23" s="13"/>
      <c r="D23" s="13"/>
      <c r="E23" s="13"/>
      <c r="F23" s="13">
        <v>20.12</v>
      </c>
    </row>
    <row r="24" spans="1:6" ht="16.5" customHeight="1" thickBot="1">
      <c r="A24" s="67" t="s">
        <v>86</v>
      </c>
      <c r="B24" s="13">
        <v>64.825000000000003</v>
      </c>
      <c r="C24" s="13"/>
      <c r="D24" s="13"/>
      <c r="E24" s="13">
        <v>64.825000000000003</v>
      </c>
      <c r="F24" s="13"/>
    </row>
    <row r="25" spans="1:6" ht="15" customHeight="1" thickBot="1">
      <c r="A25" s="67" t="s">
        <v>87</v>
      </c>
      <c r="B25" s="13">
        <v>16.364999999999998</v>
      </c>
      <c r="C25" s="13">
        <v>16.364999999999998</v>
      </c>
      <c r="D25" s="13"/>
      <c r="E25" s="13"/>
      <c r="F25" s="13"/>
    </row>
    <row r="26" spans="1:6" ht="15" customHeight="1" thickBot="1">
      <c r="A26" s="67" t="s">
        <v>88</v>
      </c>
      <c r="B26" s="13">
        <v>203.03</v>
      </c>
      <c r="C26" s="13">
        <v>192.24600000000001</v>
      </c>
      <c r="D26" s="13"/>
      <c r="E26" s="13">
        <v>10.784000000000001</v>
      </c>
      <c r="F26" s="13"/>
    </row>
    <row r="27" spans="1:6" ht="15" customHeight="1" thickBot="1">
      <c r="A27" s="67" t="s">
        <v>89</v>
      </c>
      <c r="B27" s="13">
        <v>17.111999999999998</v>
      </c>
      <c r="C27" s="13">
        <v>17.111999999999998</v>
      </c>
      <c r="D27" s="13"/>
      <c r="E27" s="13"/>
      <c r="F27" s="13"/>
    </row>
    <row r="28" spans="1:6" ht="16.5" customHeight="1" thickBot="1">
      <c r="A28" s="67" t="s">
        <v>90</v>
      </c>
      <c r="B28" s="13">
        <v>443.03600000000006</v>
      </c>
      <c r="C28" s="13">
        <v>443.03600000000006</v>
      </c>
      <c r="D28" s="13"/>
      <c r="E28" s="13"/>
      <c r="F28" s="13"/>
    </row>
    <row r="29" spans="1:6" ht="16.5" customHeight="1" thickBot="1">
      <c r="A29" s="67" t="s">
        <v>91</v>
      </c>
      <c r="B29" s="13">
        <v>423.70699999999999</v>
      </c>
      <c r="C29" s="13">
        <v>423.702</v>
      </c>
      <c r="D29" s="13"/>
      <c r="E29" s="13">
        <v>5.0000000000000001E-3</v>
      </c>
      <c r="F29" s="13"/>
    </row>
    <row r="30" spans="1:6" ht="14.45" customHeight="1" thickBot="1">
      <c r="A30" s="67" t="s">
        <v>92</v>
      </c>
      <c r="B30" s="13">
        <v>306.803</v>
      </c>
      <c r="C30" s="13">
        <v>107.452</v>
      </c>
      <c r="D30" s="13">
        <v>38.070999999999998</v>
      </c>
      <c r="E30" s="13">
        <v>161.28</v>
      </c>
      <c r="F30" s="13"/>
    </row>
    <row r="31" spans="1:6" ht="15" customHeight="1" thickBot="1">
      <c r="A31" s="67" t="s">
        <v>93</v>
      </c>
      <c r="B31" s="13">
        <v>208.68</v>
      </c>
      <c r="C31" s="13">
        <v>77.993000000000023</v>
      </c>
      <c r="D31" s="13">
        <v>81.542000000000002</v>
      </c>
      <c r="E31" s="13">
        <v>49.144999999999996</v>
      </c>
      <c r="F31" s="13"/>
    </row>
    <row r="32" spans="1:6" ht="14.45" customHeight="1" thickBot="1">
      <c r="A32" s="67" t="s">
        <v>94</v>
      </c>
      <c r="B32" s="13">
        <v>275.53899999999999</v>
      </c>
      <c r="C32" s="13">
        <v>139.17400000000001</v>
      </c>
      <c r="D32" s="13">
        <v>49.29</v>
      </c>
      <c r="E32" s="13">
        <v>87.075000000000003</v>
      </c>
      <c r="F32" s="13"/>
    </row>
    <row r="33" spans="1:6" ht="14.45" customHeight="1" thickBot="1">
      <c r="A33" s="67" t="s">
        <v>95</v>
      </c>
      <c r="B33" s="13">
        <v>23.489000000000001</v>
      </c>
      <c r="C33" s="13">
        <v>23.489000000000001</v>
      </c>
      <c r="D33" s="13"/>
      <c r="E33" s="13"/>
      <c r="F33" s="13"/>
    </row>
    <row r="34" spans="1:6" ht="14.45" customHeight="1" thickBot="1">
      <c r="A34" s="67" t="s">
        <v>96</v>
      </c>
      <c r="B34" s="13">
        <v>90.347999999999999</v>
      </c>
      <c r="C34" s="13">
        <v>44.302</v>
      </c>
      <c r="D34" s="13"/>
      <c r="E34" s="13">
        <v>46.045999999999999</v>
      </c>
      <c r="F34" s="13"/>
    </row>
    <row r="35" spans="1:6" ht="15.75" customHeight="1" thickBot="1">
      <c r="A35" s="67" t="s">
        <v>97</v>
      </c>
      <c r="B35" s="13">
        <v>41.871000000000002</v>
      </c>
      <c r="C35" s="13">
        <v>41.871000000000002</v>
      </c>
      <c r="D35" s="13"/>
      <c r="E35" s="13"/>
      <c r="F35" s="13"/>
    </row>
    <row r="36" spans="1:6" ht="15" customHeight="1" thickBot="1">
      <c r="A36" s="67" t="s">
        <v>98</v>
      </c>
      <c r="B36" s="13">
        <v>100.914</v>
      </c>
      <c r="C36" s="13">
        <v>75.043999999999997</v>
      </c>
      <c r="D36" s="13"/>
      <c r="E36" s="13">
        <v>25.87</v>
      </c>
      <c r="F36" s="13"/>
    </row>
    <row r="37" spans="1:6" ht="14.45" customHeight="1" thickBot="1">
      <c r="A37" s="67" t="s">
        <v>99</v>
      </c>
      <c r="B37" s="13">
        <v>57.875999999999998</v>
      </c>
      <c r="C37" s="13">
        <v>57.875999999999998</v>
      </c>
      <c r="D37" s="13"/>
      <c r="E37" s="13"/>
      <c r="F37" s="13"/>
    </row>
    <row r="38" spans="1:6" ht="14.45" customHeight="1" thickBot="1">
      <c r="A38" s="67" t="s">
        <v>100</v>
      </c>
      <c r="B38" s="13">
        <v>118.62</v>
      </c>
      <c r="C38" s="13">
        <v>118.62</v>
      </c>
      <c r="D38" s="13"/>
      <c r="E38" s="13"/>
      <c r="F38" s="13"/>
    </row>
    <row r="39" spans="1:6" ht="14.45" customHeight="1" thickBot="1">
      <c r="A39" s="67" t="s">
        <v>101</v>
      </c>
      <c r="B39" s="13">
        <v>37.751999999999995</v>
      </c>
      <c r="C39" s="13"/>
      <c r="D39" s="13">
        <v>37.751999999999995</v>
      </c>
      <c r="E39" s="13"/>
      <c r="F39" s="13"/>
    </row>
    <row r="40" spans="1:6" ht="14.45" customHeight="1" thickBot="1">
      <c r="A40" s="67" t="s">
        <v>102</v>
      </c>
      <c r="B40" s="13">
        <v>80.097000000000008</v>
      </c>
      <c r="C40" s="13">
        <v>26.686</v>
      </c>
      <c r="D40" s="13"/>
      <c r="E40" s="13">
        <v>53.411000000000001</v>
      </c>
      <c r="F40" s="13"/>
    </row>
    <row r="41" spans="1:6" ht="14.45" customHeight="1" thickBot="1">
      <c r="A41" s="67" t="s">
        <v>103</v>
      </c>
      <c r="B41" s="13">
        <v>19.837</v>
      </c>
      <c r="C41" s="13"/>
      <c r="D41" s="13"/>
      <c r="E41" s="13">
        <v>19.837</v>
      </c>
      <c r="F41" s="13"/>
    </row>
    <row r="42" spans="1:6" ht="14.45" customHeight="1" thickBot="1">
      <c r="A42" s="67" t="s">
        <v>104</v>
      </c>
      <c r="B42" s="13">
        <v>312.22500000000002</v>
      </c>
      <c r="C42" s="13">
        <v>221.12800000000001</v>
      </c>
      <c r="D42" s="13">
        <v>42.850999999999999</v>
      </c>
      <c r="E42" s="13">
        <v>48.245999999999995</v>
      </c>
      <c r="F42" s="13"/>
    </row>
    <row r="43" spans="1:6" ht="14.45" customHeight="1" thickBot="1">
      <c r="A43" s="67" t="s">
        <v>105</v>
      </c>
      <c r="B43" s="13">
        <v>342.99100000000004</v>
      </c>
      <c r="C43" s="13">
        <v>342.99100000000004</v>
      </c>
      <c r="D43" s="13"/>
      <c r="E43" s="13"/>
      <c r="F43" s="13"/>
    </row>
    <row r="44" spans="1:6" ht="14.45" customHeight="1" thickBot="1">
      <c r="A44" s="67" t="s">
        <v>106</v>
      </c>
      <c r="B44" s="13">
        <v>578.75900000000001</v>
      </c>
      <c r="C44" s="13">
        <v>493.80500000000001</v>
      </c>
      <c r="D44" s="13">
        <v>3.8169999999999997</v>
      </c>
      <c r="E44" s="13">
        <v>199.48699999999999</v>
      </c>
      <c r="F44" s="13">
        <v>-118.35</v>
      </c>
    </row>
    <row r="45" spans="1:6" ht="14.45" customHeight="1" thickBot="1">
      <c r="A45" s="67" t="s">
        <v>107</v>
      </c>
      <c r="B45" s="13">
        <v>1E-3</v>
      </c>
      <c r="C45" s="13"/>
      <c r="D45" s="13">
        <v>1E-3</v>
      </c>
      <c r="E45" s="13"/>
      <c r="F45" s="13"/>
    </row>
    <row r="46" spans="1:6" ht="14.45" customHeight="1" thickBot="1">
      <c r="A46" s="72" t="s">
        <v>108</v>
      </c>
      <c r="B46" s="73">
        <f>+SUM(B11:B45)</f>
        <v>16426.882000000001</v>
      </c>
      <c r="C46" s="73">
        <f>+SUM(C11:C45)</f>
        <v>4223.0420000000004</v>
      </c>
      <c r="D46" s="73">
        <f>+SUM(D11:D45)</f>
        <v>745.83799999999997</v>
      </c>
      <c r="E46" s="73">
        <f>+SUM(E11:E45)</f>
        <v>2411.5320000000006</v>
      </c>
      <c r="F46" s="73">
        <f>+SUM(F11:F45)</f>
        <v>9046.4699999999993</v>
      </c>
    </row>
    <row r="47" spans="1:6" ht="14.45" customHeight="1" thickBot="1">
      <c r="A47" s="68" t="s">
        <v>109</v>
      </c>
      <c r="B47" s="76"/>
      <c r="C47" s="76"/>
      <c r="D47" s="77"/>
      <c r="E47" s="78"/>
      <c r="F47" s="75" t="s">
        <v>110</v>
      </c>
    </row>
    <row r="48" spans="1:6" ht="16.5" customHeight="1" thickBot="1">
      <c r="A48" s="67" t="s">
        <v>111</v>
      </c>
      <c r="B48" s="13">
        <v>7.9459999999999997</v>
      </c>
      <c r="C48" s="13"/>
      <c r="D48" s="13"/>
      <c r="E48" s="13">
        <v>7.9459999999999997</v>
      </c>
      <c r="F48" s="13"/>
    </row>
    <row r="49" spans="1:6" ht="15" customHeight="1" thickBot="1">
      <c r="A49" s="67" t="s">
        <v>112</v>
      </c>
      <c r="B49" s="13">
        <v>59.336999999999996</v>
      </c>
      <c r="C49" s="13">
        <v>3.1659999999999999</v>
      </c>
      <c r="D49" s="13"/>
      <c r="E49" s="13">
        <v>56.170999999999999</v>
      </c>
      <c r="F49" s="13"/>
    </row>
    <row r="50" spans="1:6" ht="15" customHeight="1" thickBot="1">
      <c r="A50" s="67" t="s">
        <v>113</v>
      </c>
      <c r="B50" s="13">
        <v>0.31900000000000001</v>
      </c>
      <c r="C50" s="13"/>
      <c r="D50" s="13"/>
      <c r="E50" s="13">
        <v>0.31900000000000001</v>
      </c>
      <c r="F50" s="13"/>
    </row>
    <row r="51" spans="1:6" ht="22.5" customHeight="1" thickBot="1">
      <c r="A51" s="67" t="s">
        <v>114</v>
      </c>
      <c r="B51" s="13">
        <v>2.66</v>
      </c>
      <c r="C51" s="13"/>
      <c r="D51" s="13"/>
      <c r="E51" s="13">
        <v>2.66</v>
      </c>
      <c r="F51" s="13"/>
    </row>
    <row r="52" spans="1:6" ht="22.5" customHeight="1" thickBot="1">
      <c r="A52" s="67" t="s">
        <v>115</v>
      </c>
      <c r="B52" s="13">
        <v>1.7290000000000001</v>
      </c>
      <c r="C52" s="13"/>
      <c r="D52" s="13"/>
      <c r="E52" s="13">
        <v>1.7290000000000001</v>
      </c>
      <c r="F52" s="13"/>
    </row>
    <row r="53" spans="1:6" ht="15" thickBot="1">
      <c r="A53" s="67" t="s">
        <v>116</v>
      </c>
      <c r="B53" s="13">
        <v>41.16</v>
      </c>
      <c r="C53" s="13"/>
      <c r="D53" s="13"/>
      <c r="E53" s="13">
        <v>41.16</v>
      </c>
      <c r="F53" s="13"/>
    </row>
    <row r="54" spans="1:6" ht="16.5" customHeight="1" thickBot="1">
      <c r="A54" s="67" t="s">
        <v>117</v>
      </c>
      <c r="B54" s="13">
        <v>12.499000000000001</v>
      </c>
      <c r="C54" s="13"/>
      <c r="D54" s="13"/>
      <c r="E54" s="13">
        <v>12.499000000000001</v>
      </c>
      <c r="F54" s="13"/>
    </row>
    <row r="55" spans="1:6" ht="16.5" customHeight="1" thickBot="1">
      <c r="A55" s="67" t="s">
        <v>118</v>
      </c>
      <c r="B55" s="13">
        <v>0.22800000000000001</v>
      </c>
      <c r="C55" s="13">
        <v>0.22800000000000001</v>
      </c>
      <c r="D55" s="13"/>
      <c r="E55" s="13"/>
      <c r="F55" s="13"/>
    </row>
    <row r="56" spans="1:6" ht="15.75" customHeight="1" thickBot="1">
      <c r="A56" s="67" t="s">
        <v>119</v>
      </c>
      <c r="B56" s="13">
        <v>167.18899999999999</v>
      </c>
      <c r="C56" s="13">
        <v>83.918999999999997</v>
      </c>
      <c r="D56" s="13"/>
      <c r="E56" s="13">
        <v>83.27</v>
      </c>
      <c r="F56" s="13"/>
    </row>
    <row r="57" spans="1:6" ht="16.5" customHeight="1" thickBot="1">
      <c r="A57" s="67" t="s">
        <v>120</v>
      </c>
      <c r="B57" s="13">
        <v>111.36</v>
      </c>
      <c r="C57" s="13"/>
      <c r="D57" s="13"/>
      <c r="E57" s="13">
        <v>111.36</v>
      </c>
      <c r="F57" s="13"/>
    </row>
    <row r="58" spans="1:6" ht="16.5" customHeight="1" thickBot="1">
      <c r="A58" s="67" t="s">
        <v>121</v>
      </c>
      <c r="B58" s="13">
        <v>7.6999999999999999E-2</v>
      </c>
      <c r="C58" s="13"/>
      <c r="D58" s="13"/>
      <c r="E58" s="13">
        <v>7.6999999999999999E-2</v>
      </c>
      <c r="F58" s="13"/>
    </row>
    <row r="59" spans="1:6" ht="16.5" customHeight="1" thickBot="1">
      <c r="A59" s="67" t="s">
        <v>122</v>
      </c>
      <c r="B59" s="13">
        <v>1.3420000000000001</v>
      </c>
      <c r="C59" s="13">
        <v>6.0999999999999999E-2</v>
      </c>
      <c r="D59" s="13"/>
      <c r="E59" s="13">
        <v>1.2810000000000001</v>
      </c>
      <c r="F59" s="13"/>
    </row>
    <row r="60" spans="1:6" ht="16.5" customHeight="1" thickBot="1">
      <c r="A60" s="67" t="s">
        <v>107</v>
      </c>
      <c r="B60" s="13">
        <v>5.1429999999999998</v>
      </c>
      <c r="C60" s="13">
        <v>4.9509999999999996</v>
      </c>
      <c r="D60" s="13"/>
      <c r="E60" s="13">
        <v>0.192</v>
      </c>
      <c r="F60" s="13"/>
    </row>
    <row r="61" spans="1:6" ht="15" thickBot="1">
      <c r="A61" s="72" t="s">
        <v>123</v>
      </c>
      <c r="B61" s="73">
        <f>+SUM(B48:B60)</f>
        <v>410.98899999999998</v>
      </c>
      <c r="C61" s="73">
        <f t="shared" ref="C61:F61" si="2">+SUM(C48:C60)</f>
        <v>92.325000000000003</v>
      </c>
      <c r="D61" s="73">
        <f t="shared" si="2"/>
        <v>0</v>
      </c>
      <c r="E61" s="73">
        <f t="shared" si="2"/>
        <v>318.66399999999999</v>
      </c>
      <c r="F61" s="73">
        <f t="shared" si="2"/>
        <v>0</v>
      </c>
    </row>
    <row r="62" spans="1:6" ht="15" customHeight="1" thickBot="1">
      <c r="A62" s="79" t="s">
        <v>124</v>
      </c>
      <c r="B62" s="80">
        <f>+SUM(B46,B61)</f>
        <v>16837.871000000003</v>
      </c>
      <c r="C62" s="80">
        <f t="shared" ref="C62:F62" si="3">+SUM(C46,C61)</f>
        <v>4315.3670000000002</v>
      </c>
      <c r="D62" s="80">
        <f t="shared" si="3"/>
        <v>745.83799999999997</v>
      </c>
      <c r="E62" s="80">
        <f t="shared" si="3"/>
        <v>2730.1960000000008</v>
      </c>
      <c r="F62" s="80">
        <f t="shared" si="3"/>
        <v>9046.4699999999993</v>
      </c>
    </row>
    <row r="63" spans="1:6" ht="15" customHeight="1" thickBot="1">
      <c r="A63" s="79" t="s">
        <v>125</v>
      </c>
      <c r="B63" s="80">
        <f>+SUM(B8,B62)</f>
        <v>72289.08</v>
      </c>
      <c r="C63" s="80">
        <f t="shared" ref="C63:F63" si="4">+SUM(C8,C62)</f>
        <v>28843.531999999999</v>
      </c>
      <c r="D63" s="80">
        <f t="shared" si="4"/>
        <v>1744.915</v>
      </c>
      <c r="E63" s="80">
        <f t="shared" si="4"/>
        <v>4888.3730000000005</v>
      </c>
      <c r="F63" s="80">
        <f t="shared" si="4"/>
        <v>36812.26</v>
      </c>
    </row>
  </sheetData>
  <mergeCells count="4">
    <mergeCell ref="A1:F1"/>
    <mergeCell ref="A3:F3"/>
    <mergeCell ref="A5:F5"/>
    <mergeCell ref="A10:F10"/>
  </mergeCells>
  <pageMargins left="0.7" right="0.7" top="0.75" bottom="0.75" header="0.3" footer="0.3"/>
  <pageSetup orientation="portrait" r:id="rId1"/>
  <drawing r:id="rId2"/>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F0"/>
  </sheetPr>
  <dimension ref="A2:R79"/>
  <sheetViews>
    <sheetView zoomScaleNormal="100" workbookViewId="0">
      <selection sqref="A1:XFD1048576"/>
    </sheetView>
  </sheetViews>
  <sheetFormatPr baseColWidth="10" defaultColWidth="11.42578125" defaultRowHeight="11.25"/>
  <cols>
    <col min="1" max="1" width="35.5703125" style="85" customWidth="1"/>
    <col min="2" max="6" width="11.42578125" style="82"/>
    <col min="7" max="7" width="11.42578125" style="84"/>
    <col min="8" max="8" width="23.140625" style="84" customWidth="1"/>
    <col min="9" max="9" width="19.140625" style="84" customWidth="1"/>
    <col min="10" max="11" width="11.42578125" style="84"/>
    <col min="12" max="12" width="5" style="84" customWidth="1"/>
    <col min="13" max="13" width="27.5703125" style="84" customWidth="1"/>
    <col min="14" max="16384" width="11.42578125" style="84"/>
  </cols>
  <sheetData>
    <row r="2" spans="1:18">
      <c r="A2" s="81"/>
      <c r="C2" s="83" t="s">
        <v>126</v>
      </c>
    </row>
    <row r="3" spans="1:18" ht="12" thickBot="1"/>
    <row r="4" spans="1:18" ht="12" thickBot="1">
      <c r="A4" s="585" t="s">
        <v>127</v>
      </c>
      <c r="B4" s="586"/>
      <c r="C4" s="586"/>
      <c r="D4" s="586"/>
      <c r="E4" s="586"/>
      <c r="F4" s="586"/>
    </row>
    <row r="5" spans="1:18" ht="23.25" thickBot="1">
      <c r="A5" s="86" t="s">
        <v>128</v>
      </c>
      <c r="B5" s="87" t="s">
        <v>18</v>
      </c>
      <c r="C5" s="87" t="s">
        <v>129</v>
      </c>
      <c r="D5" s="87" t="s">
        <v>130</v>
      </c>
      <c r="E5" s="87" t="s">
        <v>63</v>
      </c>
      <c r="F5" s="87" t="s">
        <v>64</v>
      </c>
      <c r="H5" s="87" t="s">
        <v>131</v>
      </c>
      <c r="I5" s="87" t="s">
        <v>132</v>
      </c>
      <c r="J5" s="87" t="s">
        <v>133</v>
      </c>
      <c r="K5" s="87" t="s">
        <v>134</v>
      </c>
      <c r="M5" s="88" t="s">
        <v>128</v>
      </c>
      <c r="N5" s="89" t="s">
        <v>18</v>
      </c>
      <c r="O5" s="89" t="s">
        <v>54</v>
      </c>
      <c r="P5" s="89" t="s">
        <v>55</v>
      </c>
      <c r="Q5" s="89" t="s">
        <v>135</v>
      </c>
      <c r="R5" s="89" t="s">
        <v>136</v>
      </c>
    </row>
    <row r="6" spans="1:18" ht="23.25" thickBot="1">
      <c r="A6" s="90" t="s">
        <v>137</v>
      </c>
      <c r="B6" s="90"/>
      <c r="C6" s="90"/>
      <c r="D6" s="90"/>
      <c r="E6" s="90"/>
      <c r="F6" s="90"/>
      <c r="H6" s="91" t="s">
        <v>138</v>
      </c>
      <c r="I6" s="92">
        <f>+B7</f>
        <v>1532.4119999999998</v>
      </c>
      <c r="J6" s="93">
        <f>+I6/366</f>
        <v>4.1869180327868847</v>
      </c>
      <c r="K6" s="94">
        <f>+J6/$J$13</f>
        <v>2.8140981168079126E-2</v>
      </c>
      <c r="M6" s="95" t="s">
        <v>139</v>
      </c>
      <c r="N6" s="96">
        <f>+B77</f>
        <v>70781.212721076648</v>
      </c>
      <c r="O6" s="96">
        <f>+C77</f>
        <v>27407.439000000002</v>
      </c>
      <c r="P6" s="96">
        <f>+D77</f>
        <v>1736.0240000000001</v>
      </c>
      <c r="Q6" s="96">
        <f>+E77</f>
        <v>4825.5020000000004</v>
      </c>
      <c r="R6" s="96">
        <f>+F77</f>
        <v>36812.247721076666</v>
      </c>
    </row>
    <row r="7" spans="1:18" ht="21.75" customHeight="1" thickBot="1">
      <c r="A7" s="97" t="s">
        <v>140</v>
      </c>
      <c r="B7" s="98">
        <f t="shared" ref="B7:B30" si="0">+SUM(C7:F7)</f>
        <v>1532.4119999999998</v>
      </c>
      <c r="C7" s="98">
        <v>1020.8419999999999</v>
      </c>
      <c r="D7" s="98"/>
      <c r="E7" s="98"/>
      <c r="F7" s="98">
        <v>511.57</v>
      </c>
      <c r="H7" s="99" t="s">
        <v>141</v>
      </c>
      <c r="I7" s="92">
        <f>+SUM(B8:B12)</f>
        <v>14803.943721076666</v>
      </c>
      <c r="J7" s="93">
        <f t="shared" ref="J7:J12" si="1">+I7/366</f>
        <v>40.447933664143896</v>
      </c>
      <c r="K7" s="94">
        <f t="shared" ref="K7:K12" si="2">+J7/$J$13</f>
        <v>0.27185737351842826</v>
      </c>
      <c r="M7" s="95" t="s">
        <v>142</v>
      </c>
      <c r="N7" s="96">
        <f>+N6/366</f>
        <v>193.39129158764112</v>
      </c>
      <c r="O7" s="96">
        <f t="shared" ref="O7:R7" si="3">+O6/366</f>
        <v>74.883713114754102</v>
      </c>
      <c r="P7" s="96">
        <f t="shared" si="3"/>
        <v>4.7432349726775955</v>
      </c>
      <c r="Q7" s="96">
        <f t="shared" si="3"/>
        <v>13.184431693989072</v>
      </c>
      <c r="R7" s="96">
        <f t="shared" si="3"/>
        <v>100.57991180622039</v>
      </c>
    </row>
    <row r="8" spans="1:18" ht="12" customHeight="1" thickBot="1">
      <c r="A8" s="97" t="s">
        <v>143</v>
      </c>
      <c r="B8" s="98">
        <f t="shared" si="0"/>
        <v>2771.1703255714287</v>
      </c>
      <c r="C8" s="98"/>
      <c r="D8" s="98"/>
      <c r="E8" s="98"/>
      <c r="F8" s="98">
        <v>2771.1703255714287</v>
      </c>
      <c r="H8" s="99" t="s">
        <v>144</v>
      </c>
      <c r="I8" s="92">
        <f>+B13</f>
        <v>5054.6869999999999</v>
      </c>
      <c r="J8" s="93">
        <f t="shared" si="1"/>
        <v>13.810620218579235</v>
      </c>
      <c r="K8" s="94">
        <f t="shared" si="2"/>
        <v>9.2823504173508417E-2</v>
      </c>
      <c r="O8" s="100">
        <f>+O6/$N$6</f>
        <v>0.38721347016196067</v>
      </c>
      <c r="P8" s="100">
        <f>+P6/$N$6</f>
        <v>2.4526621306151498E-2</v>
      </c>
      <c r="Q8" s="100">
        <f>+Q6/$N$6</f>
        <v>6.8174898599372286E-2</v>
      </c>
      <c r="R8" s="100">
        <f>+R6/$N$6</f>
        <v>0.52008500993251583</v>
      </c>
    </row>
    <row r="9" spans="1:18" ht="12" customHeight="1" thickBot="1">
      <c r="A9" s="97" t="s">
        <v>145</v>
      </c>
      <c r="B9" s="98">
        <f t="shared" si="0"/>
        <v>2974.5242696190476</v>
      </c>
      <c r="C9" s="98"/>
      <c r="D9" s="98"/>
      <c r="E9" s="98"/>
      <c r="F9" s="98">
        <v>2974.5242696190476</v>
      </c>
      <c r="H9" s="99" t="s">
        <v>146</v>
      </c>
      <c r="I9" s="92">
        <f>B14+B15</f>
        <v>24418.362000000001</v>
      </c>
      <c r="J9" s="93">
        <f t="shared" si="1"/>
        <v>66.716836065573773</v>
      </c>
      <c r="K9" s="94">
        <f t="shared" si="2"/>
        <v>0.44841509019593884</v>
      </c>
    </row>
    <row r="10" spans="1:18" ht="12" customHeight="1" thickBot="1">
      <c r="A10" s="97" t="s">
        <v>117</v>
      </c>
      <c r="B10" s="98">
        <f t="shared" si="0"/>
        <v>2378.5774858976188</v>
      </c>
      <c r="C10" s="98">
        <v>1378.704</v>
      </c>
      <c r="D10" s="98"/>
      <c r="E10" s="98">
        <v>280.84800000000001</v>
      </c>
      <c r="F10" s="98">
        <v>719.02548589761898</v>
      </c>
      <c r="H10" s="99" t="s">
        <v>147</v>
      </c>
      <c r="I10" s="92">
        <f>+B18+B17+B19</f>
        <v>7118.25</v>
      </c>
      <c r="J10" s="93">
        <f t="shared" si="1"/>
        <v>19.44877049180328</v>
      </c>
      <c r="K10" s="94">
        <f t="shared" si="2"/>
        <v>0.13071846161455228</v>
      </c>
      <c r="Q10" s="100"/>
    </row>
    <row r="11" spans="1:18" ht="12" customHeight="1" thickBot="1">
      <c r="A11" s="97" t="s">
        <v>116</v>
      </c>
      <c r="B11" s="98">
        <f t="shared" si="0"/>
        <v>5792.9146399885722</v>
      </c>
      <c r="C11" s="98">
        <v>3075.5760000000005</v>
      </c>
      <c r="D11" s="98">
        <v>131.66399999999999</v>
      </c>
      <c r="E11" s="98">
        <v>541.50700000000006</v>
      </c>
      <c r="F11" s="98">
        <v>2044.1676399885714</v>
      </c>
      <c r="H11" s="99" t="s">
        <v>148</v>
      </c>
      <c r="I11" s="92">
        <f>+B16+B20</f>
        <v>212.30699999999996</v>
      </c>
      <c r="J11" s="93">
        <f t="shared" si="1"/>
        <v>0.5800737704918032</v>
      </c>
      <c r="K11" s="101">
        <f t="shared" si="2"/>
        <v>3.89877349489E-3</v>
      </c>
      <c r="Q11" s="102"/>
    </row>
    <row r="12" spans="1:18" ht="12" customHeight="1" thickBot="1">
      <c r="A12" s="97" t="s">
        <v>149</v>
      </c>
      <c r="B12" s="98">
        <f t="shared" si="0"/>
        <v>886.75700000000006</v>
      </c>
      <c r="C12" s="98">
        <v>227.22499999999999</v>
      </c>
      <c r="D12" s="98">
        <v>543.76900000000001</v>
      </c>
      <c r="E12" s="98">
        <v>115.76300000000001</v>
      </c>
      <c r="F12" s="98"/>
      <c r="H12" s="99" t="s">
        <v>150</v>
      </c>
      <c r="I12" s="92">
        <f>+SUM(B21:B30)</f>
        <v>1314.856</v>
      </c>
      <c r="J12" s="93">
        <f t="shared" si="1"/>
        <v>3.5925027322404373</v>
      </c>
      <c r="K12" s="94">
        <f t="shared" si="2"/>
        <v>2.4145815834603131E-2</v>
      </c>
    </row>
    <row r="13" spans="1:18" ht="12" customHeight="1" thickBot="1">
      <c r="A13" s="97" t="s">
        <v>107</v>
      </c>
      <c r="B13" s="98">
        <f t="shared" si="0"/>
        <v>5054.6869999999999</v>
      </c>
      <c r="C13" s="98">
        <v>1291.867</v>
      </c>
      <c r="D13" s="98">
        <v>54.537999999999997</v>
      </c>
      <c r="E13" s="98">
        <v>0.192</v>
      </c>
      <c r="F13" s="98">
        <v>3708.09</v>
      </c>
      <c r="H13" s="103" t="s">
        <v>151</v>
      </c>
      <c r="I13" s="104">
        <f>+SUM(I6:I12)</f>
        <v>54454.817721076666</v>
      </c>
      <c r="J13" s="105">
        <f>+I13/366</f>
        <v>148.7836549756193</v>
      </c>
      <c r="K13" s="106">
        <f>+SUM(K6:K12)</f>
        <v>1</v>
      </c>
    </row>
    <row r="14" spans="1:18" ht="12" customHeight="1" thickBot="1">
      <c r="A14" s="97" t="s">
        <v>152</v>
      </c>
      <c r="B14" s="98">
        <f t="shared" si="0"/>
        <v>735.4129999999999</v>
      </c>
      <c r="C14" s="98">
        <v>268.20599999999996</v>
      </c>
      <c r="D14" s="98">
        <v>334.99899999999997</v>
      </c>
      <c r="E14" s="98">
        <v>132.208</v>
      </c>
      <c r="F14" s="98"/>
      <c r="I14" s="107"/>
    </row>
    <row r="15" spans="1:18" ht="12" customHeight="1" thickBot="1">
      <c r="A15" s="97" t="s">
        <v>111</v>
      </c>
      <c r="B15" s="98">
        <f t="shared" si="0"/>
        <v>23682.949000000001</v>
      </c>
      <c r="C15" s="98">
        <v>7301.8829999999998</v>
      </c>
      <c r="D15" s="98"/>
      <c r="E15" s="98">
        <v>373.94600000000003</v>
      </c>
      <c r="F15" s="98">
        <v>16007.119999999999</v>
      </c>
    </row>
    <row r="16" spans="1:18" ht="12" customHeight="1" thickBot="1">
      <c r="A16" s="97" t="s">
        <v>153</v>
      </c>
      <c r="B16" s="98">
        <f t="shared" si="0"/>
        <v>45.442999999999998</v>
      </c>
      <c r="C16" s="98">
        <v>45.442999999999998</v>
      </c>
      <c r="D16" s="98"/>
      <c r="E16" s="98"/>
      <c r="F16" s="98"/>
    </row>
    <row r="17" spans="1:9" ht="12" customHeight="1" thickBot="1">
      <c r="A17" s="97" t="s">
        <v>154</v>
      </c>
      <c r="B17" s="98">
        <f t="shared" si="0"/>
        <v>393.20600000000002</v>
      </c>
      <c r="C17" s="98"/>
      <c r="D17" s="98"/>
      <c r="E17" s="98">
        <v>278.32600000000002</v>
      </c>
      <c r="F17" s="98">
        <v>114.88</v>
      </c>
    </row>
    <row r="18" spans="1:9" ht="12" customHeight="1" thickBot="1">
      <c r="A18" s="97" t="s">
        <v>119</v>
      </c>
      <c r="B18" s="98">
        <f t="shared" si="0"/>
        <v>1229.3690000000001</v>
      </c>
      <c r="C18" s="98">
        <v>196.95699999999999</v>
      </c>
      <c r="D18" s="98">
        <v>555.72900000000004</v>
      </c>
      <c r="E18" s="98">
        <v>303.97300000000001</v>
      </c>
      <c r="F18" s="98">
        <v>172.70999999999998</v>
      </c>
    </row>
    <row r="19" spans="1:9" ht="12" customHeight="1" thickBot="1">
      <c r="A19" s="97" t="s">
        <v>155</v>
      </c>
      <c r="B19" s="98">
        <f t="shared" si="0"/>
        <v>5495.6750000000002</v>
      </c>
      <c r="C19" s="98">
        <v>5437.09</v>
      </c>
      <c r="D19" s="98">
        <v>58.584999999999994</v>
      </c>
      <c r="E19" s="98"/>
      <c r="F19" s="98"/>
    </row>
    <row r="20" spans="1:9" ht="12" customHeight="1" thickBot="1">
      <c r="A20" s="97" t="s">
        <v>115</v>
      </c>
      <c r="B20" s="98">
        <f t="shared" si="0"/>
        <v>166.86399999999998</v>
      </c>
      <c r="C20" s="98"/>
      <c r="D20" s="98"/>
      <c r="E20" s="98">
        <v>117.28399999999999</v>
      </c>
      <c r="F20" s="98">
        <v>49.58</v>
      </c>
    </row>
    <row r="21" spans="1:9" ht="12" customHeight="1" thickBot="1">
      <c r="A21" s="97" t="s">
        <v>121</v>
      </c>
      <c r="B21" s="98">
        <f t="shared" si="0"/>
        <v>29.695</v>
      </c>
      <c r="C21" s="98"/>
      <c r="D21" s="98"/>
      <c r="E21" s="98">
        <v>29.695</v>
      </c>
      <c r="F21" s="98"/>
    </row>
    <row r="22" spans="1:9" ht="12" customHeight="1" thickBot="1">
      <c r="A22" s="97" t="s">
        <v>122</v>
      </c>
      <c r="B22" s="98">
        <f t="shared" si="0"/>
        <v>38.510999999999996</v>
      </c>
      <c r="C22" s="98"/>
      <c r="D22" s="98"/>
      <c r="E22" s="98">
        <v>38.510999999999996</v>
      </c>
      <c r="F22" s="98"/>
    </row>
    <row r="23" spans="1:9" ht="12" customHeight="1" thickBot="1">
      <c r="A23" s="97" t="s">
        <v>156</v>
      </c>
      <c r="B23" s="98">
        <f t="shared" si="0"/>
        <v>-1.8</v>
      </c>
      <c r="C23" s="98"/>
      <c r="D23" s="98"/>
      <c r="E23" s="98"/>
      <c r="F23" s="98">
        <v>-1.8</v>
      </c>
    </row>
    <row r="24" spans="1:9" ht="12" customHeight="1" thickBot="1">
      <c r="A24" s="97" t="s">
        <v>113</v>
      </c>
      <c r="B24" s="98">
        <f t="shared" si="0"/>
        <v>33.745000000000005</v>
      </c>
      <c r="C24" s="98"/>
      <c r="D24" s="98"/>
      <c r="E24" s="98">
        <v>33.745000000000005</v>
      </c>
      <c r="F24" s="98"/>
    </row>
    <row r="25" spans="1:9" ht="12" customHeight="1" thickBot="1">
      <c r="A25" s="97" t="s">
        <v>157</v>
      </c>
      <c r="B25" s="98">
        <f t="shared" si="0"/>
        <v>47.608000000000004</v>
      </c>
      <c r="C25" s="98"/>
      <c r="D25" s="98"/>
      <c r="E25" s="98">
        <v>47.608000000000004</v>
      </c>
      <c r="F25" s="98"/>
    </row>
    <row r="26" spans="1:9" ht="12" customHeight="1" thickBot="1">
      <c r="A26" s="97" t="s">
        <v>158</v>
      </c>
      <c r="B26" s="98">
        <f t="shared" si="0"/>
        <v>494.77000000000004</v>
      </c>
      <c r="C26" s="98"/>
      <c r="D26" s="98"/>
      <c r="E26" s="98"/>
      <c r="F26" s="98">
        <v>494.77000000000004</v>
      </c>
    </row>
    <row r="27" spans="1:9" ht="12" customHeight="1" thickBot="1">
      <c r="A27" s="97" t="s">
        <v>159</v>
      </c>
      <c r="B27" s="98">
        <f t="shared" si="0"/>
        <v>2.488</v>
      </c>
      <c r="C27" s="98"/>
      <c r="D27" s="98"/>
      <c r="E27" s="98">
        <v>2.488</v>
      </c>
      <c r="F27" s="98"/>
      <c r="I27" s="2"/>
    </row>
    <row r="28" spans="1:9" ht="12" customHeight="1" thickBot="1">
      <c r="A28" s="97" t="s">
        <v>114</v>
      </c>
      <c r="B28" s="98">
        <f t="shared" si="0"/>
        <v>101.794</v>
      </c>
      <c r="C28" s="98"/>
      <c r="D28" s="98"/>
      <c r="E28" s="98">
        <v>101.794</v>
      </c>
      <c r="F28" s="98"/>
    </row>
    <row r="29" spans="1:9" ht="12" customHeight="1" thickBot="1">
      <c r="A29" s="97" t="s">
        <v>160</v>
      </c>
      <c r="B29" s="98">
        <f t="shared" si="0"/>
        <v>373.14600000000002</v>
      </c>
      <c r="C29" s="98"/>
      <c r="D29" s="98"/>
      <c r="E29" s="98">
        <v>373.14600000000002</v>
      </c>
      <c r="F29" s="98"/>
    </row>
    <row r="30" spans="1:9" ht="12" customHeight="1" thickBot="1">
      <c r="A30" s="97" t="s">
        <v>161</v>
      </c>
      <c r="B30" s="98">
        <f t="shared" si="0"/>
        <v>194.89899999999997</v>
      </c>
      <c r="C30" s="98"/>
      <c r="D30" s="98"/>
      <c r="E30" s="98">
        <v>194.89899999999997</v>
      </c>
      <c r="F30" s="98"/>
    </row>
    <row r="31" spans="1:9" ht="12" thickBot="1">
      <c r="A31" s="108" t="s">
        <v>162</v>
      </c>
      <c r="B31" s="109">
        <f>+SUM(B7:B30)</f>
        <v>54454.817721076659</v>
      </c>
      <c r="C31" s="109">
        <f>+SUM(C7:C30)</f>
        <v>20243.792999999998</v>
      </c>
      <c r="D31" s="109">
        <f>+SUM(D7:D30)</f>
        <v>1679.2840000000001</v>
      </c>
      <c r="E31" s="109">
        <f>+SUM(E7:E30)</f>
        <v>2965.933</v>
      </c>
      <c r="F31" s="109">
        <f>+SUM(F7:F30)</f>
        <v>29565.807721076668</v>
      </c>
    </row>
    <row r="32" spans="1:9" ht="12" thickBot="1">
      <c r="A32" s="587" t="s">
        <v>163</v>
      </c>
      <c r="B32" s="587"/>
      <c r="C32" s="587"/>
      <c r="D32" s="587"/>
      <c r="E32" s="587"/>
      <c r="F32" s="587"/>
    </row>
    <row r="33" spans="1:6" ht="12" thickBot="1">
      <c r="A33" s="97" t="s">
        <v>164</v>
      </c>
      <c r="B33" s="98">
        <f t="shared" ref="B33:B72" si="4">+SUM(C33:F33)</f>
        <v>850.56200000000013</v>
      </c>
      <c r="C33" s="98">
        <v>850.56200000000013</v>
      </c>
      <c r="D33" s="98"/>
      <c r="E33" s="98"/>
      <c r="F33" s="98"/>
    </row>
    <row r="34" spans="1:6" ht="14.25" customHeight="1" thickBot="1">
      <c r="A34" s="97" t="s">
        <v>165</v>
      </c>
      <c r="B34" s="98">
        <f t="shared" si="4"/>
        <v>122.99199999999998</v>
      </c>
      <c r="C34" s="98">
        <v>122.99199999999998</v>
      </c>
      <c r="D34" s="98"/>
      <c r="E34" s="98"/>
      <c r="F34" s="98"/>
    </row>
    <row r="35" spans="1:6" ht="12" thickBot="1">
      <c r="A35" s="97" t="s">
        <v>166</v>
      </c>
      <c r="B35" s="98">
        <f t="shared" si="4"/>
        <v>7.7</v>
      </c>
      <c r="C35" s="98"/>
      <c r="D35" s="98"/>
      <c r="E35" s="98"/>
      <c r="F35" s="98">
        <v>7.7</v>
      </c>
    </row>
    <row r="36" spans="1:6" ht="12" thickBot="1">
      <c r="A36" s="97" t="s">
        <v>73</v>
      </c>
      <c r="B36" s="98">
        <f t="shared" si="4"/>
        <v>8.8629999999999995</v>
      </c>
      <c r="C36" s="98">
        <v>8.8629999999999995</v>
      </c>
      <c r="D36" s="98"/>
      <c r="E36" s="98"/>
      <c r="F36" s="98"/>
    </row>
    <row r="37" spans="1:6" ht="12" thickBot="1">
      <c r="A37" s="97" t="s">
        <v>167</v>
      </c>
      <c r="B37" s="98">
        <f t="shared" si="4"/>
        <v>0.01</v>
      </c>
      <c r="C37" s="98">
        <v>0.01</v>
      </c>
      <c r="D37" s="98"/>
      <c r="E37" s="98"/>
      <c r="F37" s="98"/>
    </row>
    <row r="38" spans="1:6" ht="12" thickBot="1">
      <c r="A38" s="97" t="s">
        <v>168</v>
      </c>
      <c r="B38" s="98">
        <f t="shared" si="4"/>
        <v>209.29000000000002</v>
      </c>
      <c r="C38" s="98"/>
      <c r="D38" s="98"/>
      <c r="E38" s="98"/>
      <c r="F38" s="98">
        <v>209.29000000000002</v>
      </c>
    </row>
    <row r="39" spans="1:6" ht="12" thickBot="1">
      <c r="A39" s="97" t="s">
        <v>169</v>
      </c>
      <c r="B39" s="98">
        <f t="shared" si="4"/>
        <v>70.298000000000002</v>
      </c>
      <c r="C39" s="98">
        <v>65.731999999999999</v>
      </c>
      <c r="D39" s="98"/>
      <c r="E39" s="98">
        <v>4.5659999999999998</v>
      </c>
      <c r="F39" s="98"/>
    </row>
    <row r="40" spans="1:6" ht="13.5" customHeight="1" thickBot="1">
      <c r="A40" s="97" t="s">
        <v>77</v>
      </c>
      <c r="B40" s="98">
        <f t="shared" si="4"/>
        <v>1276.672</v>
      </c>
      <c r="C40" s="98">
        <v>321.96800000000002</v>
      </c>
      <c r="D40" s="98">
        <v>18.477</v>
      </c>
      <c r="E40" s="98">
        <v>936.22699999999998</v>
      </c>
      <c r="F40" s="98"/>
    </row>
    <row r="41" spans="1:6" ht="12" thickBot="1">
      <c r="A41" s="97" t="s">
        <v>170</v>
      </c>
      <c r="B41" s="98">
        <f t="shared" si="4"/>
        <v>788.27300000000002</v>
      </c>
      <c r="C41" s="98">
        <v>430.18400000000003</v>
      </c>
      <c r="D41" s="98"/>
      <c r="E41" s="98">
        <v>358.089</v>
      </c>
      <c r="F41" s="98"/>
    </row>
    <row r="42" spans="1:6" ht="12" thickBot="1">
      <c r="A42" s="97" t="s">
        <v>171</v>
      </c>
      <c r="B42" s="98">
        <f t="shared" si="4"/>
        <v>263.11500000000001</v>
      </c>
      <c r="C42" s="98">
        <v>263.11500000000001</v>
      </c>
      <c r="D42" s="98"/>
      <c r="E42" s="98"/>
      <c r="F42" s="98"/>
    </row>
    <row r="43" spans="1:6" ht="12" thickBot="1">
      <c r="A43" s="97" t="s">
        <v>172</v>
      </c>
      <c r="B43" s="98">
        <f t="shared" si="4"/>
        <v>1169.8439999999998</v>
      </c>
      <c r="C43" s="98">
        <v>1169.8439999999998</v>
      </c>
      <c r="D43" s="98"/>
      <c r="E43" s="98"/>
      <c r="F43" s="98"/>
    </row>
    <row r="44" spans="1:6" ht="12" thickBot="1">
      <c r="A44" s="97" t="s">
        <v>173</v>
      </c>
      <c r="B44" s="98">
        <f t="shared" si="4"/>
        <v>5171.63</v>
      </c>
      <c r="C44" s="98"/>
      <c r="D44" s="98"/>
      <c r="E44" s="98"/>
      <c r="F44" s="98">
        <v>5171.63</v>
      </c>
    </row>
    <row r="45" spans="1:6" ht="12" thickBot="1">
      <c r="A45" s="97" t="s">
        <v>174</v>
      </c>
      <c r="B45" s="98">
        <f t="shared" si="4"/>
        <v>743.81000000000006</v>
      </c>
      <c r="C45" s="98"/>
      <c r="D45" s="98"/>
      <c r="E45" s="98"/>
      <c r="F45" s="98">
        <v>743.81000000000006</v>
      </c>
    </row>
    <row r="46" spans="1:6" ht="12" thickBot="1">
      <c r="A46" s="97" t="s">
        <v>175</v>
      </c>
      <c r="B46" s="98">
        <f t="shared" si="4"/>
        <v>0.20499999999999999</v>
      </c>
      <c r="C46" s="98">
        <v>0.20499999999999999</v>
      </c>
      <c r="D46" s="98"/>
      <c r="E46" s="98"/>
      <c r="F46" s="98"/>
    </row>
    <row r="47" spans="1:6" ht="12" thickBot="1">
      <c r="A47" s="97" t="s">
        <v>176</v>
      </c>
      <c r="B47" s="98">
        <f t="shared" si="4"/>
        <v>11.857000000000001</v>
      </c>
      <c r="C47" s="98">
        <v>11.857000000000001</v>
      </c>
      <c r="D47" s="98"/>
      <c r="E47" s="98"/>
      <c r="F47" s="98"/>
    </row>
    <row r="48" spans="1:6" ht="12" thickBot="1">
      <c r="A48" s="97" t="s">
        <v>177</v>
      </c>
      <c r="B48" s="98">
        <f t="shared" si="4"/>
        <v>6.0440000000000005</v>
      </c>
      <c r="C48" s="98">
        <v>1.4E-2</v>
      </c>
      <c r="D48" s="98">
        <v>3.7460000000000004</v>
      </c>
      <c r="E48" s="98">
        <v>2.2840000000000003</v>
      </c>
      <c r="F48" s="98"/>
    </row>
    <row r="49" spans="1:6" ht="12" thickBot="1">
      <c r="A49" s="97" t="s">
        <v>178</v>
      </c>
      <c r="B49" s="98">
        <f t="shared" si="4"/>
        <v>24.83</v>
      </c>
      <c r="C49" s="98">
        <v>24.83</v>
      </c>
      <c r="D49" s="98"/>
      <c r="E49" s="98"/>
      <c r="F49" s="98"/>
    </row>
    <row r="50" spans="1:6" ht="12" thickBot="1">
      <c r="A50" s="97" t="s">
        <v>179</v>
      </c>
      <c r="B50" s="98">
        <f t="shared" si="4"/>
        <v>126.893</v>
      </c>
      <c r="C50" s="98">
        <v>43.99499999999999</v>
      </c>
      <c r="D50" s="98"/>
      <c r="E50" s="98">
        <v>82.89800000000001</v>
      </c>
      <c r="F50" s="98"/>
    </row>
    <row r="51" spans="1:6" ht="12" thickBot="1">
      <c r="A51" s="97" t="s">
        <v>180</v>
      </c>
      <c r="B51" s="98">
        <f t="shared" si="4"/>
        <v>25.433999999999997</v>
      </c>
      <c r="C51" s="98">
        <v>25.433999999999997</v>
      </c>
      <c r="D51" s="98"/>
      <c r="E51" s="98"/>
      <c r="F51" s="98"/>
    </row>
    <row r="52" spans="1:6" ht="12" thickBot="1">
      <c r="A52" s="97" t="s">
        <v>181</v>
      </c>
      <c r="B52" s="98">
        <f t="shared" si="4"/>
        <v>276.71100000000001</v>
      </c>
      <c r="C52" s="98">
        <v>166.44200000000001</v>
      </c>
      <c r="D52" s="98"/>
      <c r="E52" s="98">
        <v>110.26899999999999</v>
      </c>
      <c r="F52" s="98"/>
    </row>
    <row r="53" spans="1:6" ht="12" thickBot="1">
      <c r="A53" s="97" t="s">
        <v>182</v>
      </c>
      <c r="B53" s="98">
        <f t="shared" si="4"/>
        <v>505.95100000000002</v>
      </c>
      <c r="C53" s="98">
        <v>457.08700000000005</v>
      </c>
      <c r="D53" s="98"/>
      <c r="E53" s="98">
        <v>48.864000000000004</v>
      </c>
      <c r="F53" s="98"/>
    </row>
    <row r="54" spans="1:6" ht="12" thickBot="1">
      <c r="A54" s="97" t="s">
        <v>183</v>
      </c>
      <c r="B54" s="98">
        <f t="shared" si="4"/>
        <v>5.0000000000000001E-3</v>
      </c>
      <c r="C54" s="98">
        <v>5.0000000000000001E-3</v>
      </c>
      <c r="D54" s="98"/>
      <c r="E54" s="98"/>
      <c r="F54" s="98"/>
    </row>
    <row r="55" spans="1:6" ht="12" thickBot="1">
      <c r="A55" s="97" t="s">
        <v>184</v>
      </c>
      <c r="B55" s="98">
        <f t="shared" si="4"/>
        <v>107.989</v>
      </c>
      <c r="C55" s="98">
        <v>107.989</v>
      </c>
      <c r="D55" s="98"/>
      <c r="E55" s="98"/>
      <c r="F55" s="98"/>
    </row>
    <row r="56" spans="1:6" ht="12" thickBot="1">
      <c r="A56" s="97" t="s">
        <v>185</v>
      </c>
      <c r="B56" s="98">
        <f t="shared" si="4"/>
        <v>0.02</v>
      </c>
      <c r="C56" s="98">
        <v>0.02</v>
      </c>
      <c r="D56" s="98"/>
      <c r="E56" s="98"/>
      <c r="F56" s="98"/>
    </row>
    <row r="57" spans="1:6" ht="12" thickBot="1">
      <c r="A57" s="97" t="s">
        <v>186</v>
      </c>
      <c r="B57" s="98">
        <f t="shared" si="4"/>
        <v>907.27099999999996</v>
      </c>
      <c r="C57" s="98">
        <v>907.27099999999996</v>
      </c>
      <c r="D57" s="98"/>
      <c r="E57" s="98"/>
      <c r="F57" s="98"/>
    </row>
    <row r="58" spans="1:6" ht="12" thickBot="1">
      <c r="A58" s="97" t="s">
        <v>94</v>
      </c>
      <c r="B58" s="98">
        <f t="shared" si="4"/>
        <v>87.231999999999999</v>
      </c>
      <c r="C58" s="98">
        <v>87.231999999999999</v>
      </c>
      <c r="D58" s="98"/>
      <c r="E58" s="98"/>
      <c r="F58" s="98"/>
    </row>
    <row r="59" spans="1:6" ht="12" thickBot="1">
      <c r="A59" s="97" t="s">
        <v>187</v>
      </c>
      <c r="B59" s="98">
        <f t="shared" si="4"/>
        <v>209.21199999999999</v>
      </c>
      <c r="C59" s="98">
        <v>209.21199999999999</v>
      </c>
      <c r="D59" s="98"/>
      <c r="E59" s="98"/>
      <c r="F59" s="98"/>
    </row>
    <row r="60" spans="1:6" ht="12" thickBot="1">
      <c r="A60" s="97" t="s">
        <v>188</v>
      </c>
      <c r="B60" s="98">
        <f t="shared" si="4"/>
        <v>970.59199999999987</v>
      </c>
      <c r="C60" s="98">
        <v>970.59199999999987</v>
      </c>
      <c r="D60" s="98"/>
      <c r="E60" s="98"/>
      <c r="F60" s="98"/>
    </row>
    <row r="61" spans="1:6" ht="12" thickBot="1">
      <c r="A61" s="97" t="s">
        <v>95</v>
      </c>
      <c r="B61" s="98">
        <f t="shared" si="4"/>
        <v>93.091000000000008</v>
      </c>
      <c r="C61" s="98">
        <v>93.091000000000008</v>
      </c>
      <c r="D61" s="98"/>
      <c r="E61" s="98"/>
      <c r="F61" s="98"/>
    </row>
    <row r="62" spans="1:6" ht="12" thickBot="1">
      <c r="A62" s="97" t="s">
        <v>101</v>
      </c>
      <c r="B62" s="98">
        <f t="shared" si="4"/>
        <v>5.9</v>
      </c>
      <c r="C62" s="98"/>
      <c r="D62" s="98"/>
      <c r="E62" s="98"/>
      <c r="F62" s="98">
        <v>5.9</v>
      </c>
    </row>
    <row r="63" spans="1:6" ht="12" thickBot="1">
      <c r="A63" s="97" t="s">
        <v>103</v>
      </c>
      <c r="B63" s="98">
        <f t="shared" si="4"/>
        <v>342.411</v>
      </c>
      <c r="C63" s="98">
        <v>342.411</v>
      </c>
      <c r="D63" s="98"/>
      <c r="E63" s="98"/>
      <c r="F63" s="98"/>
    </row>
    <row r="64" spans="1:6" ht="12" thickBot="1">
      <c r="A64" s="97" t="s">
        <v>189</v>
      </c>
      <c r="B64" s="98">
        <f t="shared" si="4"/>
        <v>121.05000000000001</v>
      </c>
      <c r="C64" s="98">
        <v>121.05000000000001</v>
      </c>
      <c r="D64" s="98"/>
      <c r="E64" s="98"/>
      <c r="F64" s="98"/>
    </row>
    <row r="65" spans="1:6" ht="12" thickBot="1">
      <c r="A65" s="97" t="s">
        <v>98</v>
      </c>
      <c r="B65" s="98">
        <f t="shared" si="4"/>
        <v>1215.9000000000001</v>
      </c>
      <c r="C65" s="98"/>
      <c r="D65" s="98"/>
      <c r="E65" s="98">
        <v>13</v>
      </c>
      <c r="F65" s="98">
        <v>1202.9000000000001</v>
      </c>
    </row>
    <row r="66" spans="1:6" ht="12" thickBot="1">
      <c r="A66" s="97" t="s">
        <v>190</v>
      </c>
      <c r="B66" s="98">
        <f t="shared" si="4"/>
        <v>85.491</v>
      </c>
      <c r="C66" s="98">
        <v>85.491</v>
      </c>
      <c r="D66" s="98"/>
      <c r="E66" s="98"/>
      <c r="F66" s="98"/>
    </row>
    <row r="67" spans="1:6" ht="12" thickBot="1">
      <c r="A67" s="97" t="s">
        <v>93</v>
      </c>
      <c r="B67" s="98">
        <f t="shared" si="4"/>
        <v>305.33999999999992</v>
      </c>
      <c r="C67" s="98">
        <v>65.789000000000001</v>
      </c>
      <c r="D67" s="98">
        <v>15.199</v>
      </c>
      <c r="E67" s="98">
        <v>224.35199999999995</v>
      </c>
      <c r="F67" s="98"/>
    </row>
    <row r="68" spans="1:6" ht="12" thickBot="1">
      <c r="A68" s="97" t="s">
        <v>92</v>
      </c>
      <c r="B68" s="98">
        <f t="shared" si="4"/>
        <v>296.06700000000001</v>
      </c>
      <c r="C68" s="98">
        <v>296.06700000000001</v>
      </c>
      <c r="D68" s="98"/>
      <c r="E68" s="98"/>
      <c r="F68" s="98"/>
    </row>
    <row r="69" spans="1:6" ht="11.25" customHeight="1" thickBot="1">
      <c r="A69" s="97" t="s">
        <v>191</v>
      </c>
      <c r="B69" s="98">
        <f t="shared" si="4"/>
        <v>52.926000000000002</v>
      </c>
      <c r="C69" s="98">
        <v>52.926000000000002</v>
      </c>
      <c r="D69" s="98"/>
      <c r="E69" s="98"/>
      <c r="F69" s="98"/>
    </row>
    <row r="70" spans="1:6" ht="12" thickBot="1">
      <c r="A70" s="97" t="s">
        <v>104</v>
      </c>
      <c r="B70" s="98">
        <f t="shared" si="4"/>
        <v>323.59899999999999</v>
      </c>
      <c r="C70" s="98">
        <v>299.084</v>
      </c>
      <c r="D70" s="98">
        <v>23.724000000000004</v>
      </c>
      <c r="E70" s="98">
        <v>0.79100000000000004</v>
      </c>
      <c r="F70" s="98"/>
    </row>
    <row r="71" spans="1:6" ht="12" thickBot="1">
      <c r="A71" s="97" t="s">
        <v>105</v>
      </c>
      <c r="B71" s="98">
        <f t="shared" si="4"/>
        <v>172.476</v>
      </c>
      <c r="C71" s="98">
        <v>172.476</v>
      </c>
      <c r="D71" s="98"/>
      <c r="E71" s="98"/>
      <c r="F71" s="98"/>
    </row>
    <row r="72" spans="1:6" ht="12" thickBot="1">
      <c r="A72" s="97" t="s">
        <v>106</v>
      </c>
      <c r="B72" s="98">
        <f t="shared" si="4"/>
        <v>168.244</v>
      </c>
      <c r="C72" s="98">
        <v>58.539000000000001</v>
      </c>
      <c r="D72" s="98">
        <v>0.04</v>
      </c>
      <c r="E72" s="98">
        <v>109.66499999999999</v>
      </c>
      <c r="F72" s="98"/>
    </row>
    <row r="73" spans="1:6" ht="12" thickBot="1">
      <c r="A73" s="108" t="s">
        <v>162</v>
      </c>
      <c r="B73" s="109">
        <f>+SUM(B33:B72)</f>
        <v>17125.799999999992</v>
      </c>
      <c r="C73" s="109">
        <f>+SUM(C33:C72)</f>
        <v>7832.3790000000008</v>
      </c>
      <c r="D73" s="109">
        <f>+SUM(D33:D72)</f>
        <v>61.186</v>
      </c>
      <c r="E73" s="109">
        <f>+SUM(E33:E72)</f>
        <v>1891.0049999999999</v>
      </c>
      <c r="F73" s="109">
        <f>+SUM(F33:F72)</f>
        <v>7341.23</v>
      </c>
    </row>
    <row r="74" spans="1:6" ht="12" thickBot="1">
      <c r="A74" s="97" t="s">
        <v>192</v>
      </c>
      <c r="B74" s="98">
        <f>+SUM(C74:F74)</f>
        <v>455.40600000000006</v>
      </c>
      <c r="C74" s="98">
        <v>421.63300000000004</v>
      </c>
      <c r="D74" s="98">
        <v>1.7869999999999999</v>
      </c>
      <c r="E74" s="98">
        <v>3.5999999999999997E-2</v>
      </c>
      <c r="F74" s="98">
        <v>31.950000000000021</v>
      </c>
    </row>
    <row r="75" spans="1:6" ht="12" thickBot="1">
      <c r="A75" s="97" t="s">
        <v>193</v>
      </c>
      <c r="B75" s="98">
        <f>+SUM(C75:F75)</f>
        <v>-1159.5569999999998</v>
      </c>
      <c r="C75" s="98">
        <v>-1124.3689999999999</v>
      </c>
      <c r="D75" s="98">
        <v>-2.3860000000000001</v>
      </c>
      <c r="E75" s="98">
        <v>-32.802</v>
      </c>
      <c r="F75" s="98"/>
    </row>
    <row r="76" spans="1:6" ht="12" thickBot="1">
      <c r="A76" s="97" t="s">
        <v>194</v>
      </c>
      <c r="B76" s="98">
        <f>+SUM(C76:F76)</f>
        <v>-95.254000000000005</v>
      </c>
      <c r="C76" s="98">
        <v>34.003</v>
      </c>
      <c r="D76" s="98">
        <v>-3.8470000000000009</v>
      </c>
      <c r="E76" s="98">
        <v>1.3300000000000003</v>
      </c>
      <c r="F76" s="98">
        <v>-126.74000000000001</v>
      </c>
    </row>
    <row r="77" spans="1:6" ht="12" thickBot="1">
      <c r="A77" s="110" t="s">
        <v>195</v>
      </c>
      <c r="B77" s="111">
        <f>+B73+B31+B74+B75+B76</f>
        <v>70781.212721076648</v>
      </c>
      <c r="C77" s="111">
        <f>+C73+C31+C74+C75+C76</f>
        <v>27407.439000000002</v>
      </c>
      <c r="D77" s="111">
        <f>+D73+D31+D74+D75+D76</f>
        <v>1736.0240000000001</v>
      </c>
      <c r="E77" s="111">
        <f>+E73+E31+E74+E75+E76</f>
        <v>4825.5020000000004</v>
      </c>
      <c r="F77" s="111">
        <f>+F73+F31+F74+F75+F76</f>
        <v>36812.247721076666</v>
      </c>
    </row>
    <row r="78" spans="1:6">
      <c r="B78" s="112"/>
      <c r="E78" s="113"/>
      <c r="F78" s="114"/>
    </row>
    <row r="79" spans="1:6">
      <c r="F79" s="115"/>
    </row>
  </sheetData>
  <mergeCells count="2">
    <mergeCell ref="A4:F4"/>
    <mergeCell ref="A32:F32"/>
  </mergeCells>
  <pageMargins left="0.7" right="0.7" top="0.75" bottom="0.75" header="0.3" footer="0.3"/>
  <pageSetup orientation="portrait" r:id="rId1"/>
  <drawing r:id="rId2"/>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F0"/>
  </sheetPr>
  <dimension ref="A2:M15"/>
  <sheetViews>
    <sheetView zoomScaleNormal="100" workbookViewId="0">
      <selection sqref="A1:XFD1048576"/>
    </sheetView>
  </sheetViews>
  <sheetFormatPr baseColWidth="10" defaultColWidth="11.42578125" defaultRowHeight="14.25"/>
  <cols>
    <col min="1" max="1" width="19" style="2" customWidth="1"/>
    <col min="2" max="11" width="7.85546875" style="2" customWidth="1"/>
    <col min="12" max="16384" width="11.42578125" style="2"/>
  </cols>
  <sheetData>
    <row r="2" spans="1:13">
      <c r="A2" s="588" t="s">
        <v>196</v>
      </c>
      <c r="B2" s="588"/>
      <c r="C2" s="588"/>
      <c r="D2" s="588"/>
      <c r="E2" s="588"/>
      <c r="F2" s="588"/>
      <c r="G2" s="588"/>
      <c r="H2" s="588"/>
      <c r="I2" s="588"/>
      <c r="J2" s="588"/>
      <c r="K2" s="588"/>
    </row>
    <row r="3" spans="1:13" ht="15">
      <c r="A3" s="116"/>
      <c r="B3" s="116"/>
      <c r="C3" s="116"/>
      <c r="D3" s="116"/>
      <c r="E3" s="116"/>
      <c r="F3" s="116"/>
      <c r="G3" s="116"/>
      <c r="H3" s="116"/>
      <c r="I3" s="116"/>
      <c r="J3" s="116"/>
    </row>
    <row r="4" spans="1:13" ht="15.75" customHeight="1">
      <c r="A4" s="589" t="s">
        <v>197</v>
      </c>
      <c r="B4" s="590"/>
      <c r="C4" s="590"/>
      <c r="D4" s="590"/>
      <c r="E4" s="590"/>
      <c r="F4" s="590"/>
      <c r="G4" s="590"/>
      <c r="H4" s="590"/>
      <c r="I4" s="590"/>
      <c r="J4" s="590"/>
      <c r="K4" s="590"/>
      <c r="L4" s="590"/>
      <c r="M4" s="590"/>
    </row>
    <row r="5" spans="1:13" ht="15" thickBot="1">
      <c r="A5" s="118" t="s">
        <v>131</v>
      </c>
      <c r="B5" s="119">
        <v>2013</v>
      </c>
      <c r="C5" s="119">
        <v>2014</v>
      </c>
      <c r="D5" s="119">
        <v>2015</v>
      </c>
      <c r="E5" s="119">
        <v>2016</v>
      </c>
      <c r="F5" s="119">
        <v>2017</v>
      </c>
      <c r="G5" s="119">
        <v>2018</v>
      </c>
      <c r="H5" s="119">
        <v>2019</v>
      </c>
      <c r="I5" s="119">
        <v>2020</v>
      </c>
      <c r="J5" s="119">
        <v>2021</v>
      </c>
      <c r="K5" s="119">
        <v>2022</v>
      </c>
      <c r="L5" s="119">
        <v>2023</v>
      </c>
      <c r="M5" s="119">
        <v>2024</v>
      </c>
    </row>
    <row r="6" spans="1:13" ht="15" thickBot="1">
      <c r="A6" s="120" t="s">
        <v>138</v>
      </c>
      <c r="B6" s="121">
        <v>5.43</v>
      </c>
      <c r="C6" s="121">
        <v>5.89</v>
      </c>
      <c r="D6" s="121">
        <v>6</v>
      </c>
      <c r="E6" s="121">
        <v>6.31</v>
      </c>
      <c r="F6" s="121">
        <v>6.15</v>
      </c>
      <c r="G6" s="121">
        <v>6.55</v>
      </c>
      <c r="H6" s="121">
        <v>6.98</v>
      </c>
      <c r="I6" s="121">
        <v>1.48</v>
      </c>
      <c r="J6" s="121">
        <v>2.34</v>
      </c>
      <c r="K6" s="121">
        <v>1.59</v>
      </c>
      <c r="L6" s="121">
        <v>2.300383561643836</v>
      </c>
      <c r="M6" s="121">
        <v>4.1869180327868847</v>
      </c>
    </row>
    <row r="7" spans="1:13" ht="15" thickBot="1">
      <c r="A7" s="120" t="s">
        <v>198</v>
      </c>
      <c r="B7" s="121">
        <v>33.75</v>
      </c>
      <c r="C7" s="121">
        <v>35</v>
      </c>
      <c r="D7" s="121">
        <v>39.229999999999997</v>
      </c>
      <c r="E7" s="121">
        <v>42.78</v>
      </c>
      <c r="F7" s="121">
        <v>44.71</v>
      </c>
      <c r="G7" s="121">
        <v>46.15</v>
      </c>
      <c r="H7" s="121">
        <v>47.69</v>
      </c>
      <c r="I7" s="121">
        <v>39.22</v>
      </c>
      <c r="J7" s="121">
        <v>43.27</v>
      </c>
      <c r="K7" s="121">
        <v>32.68</v>
      </c>
      <c r="L7" s="121">
        <v>39.876904109589042</v>
      </c>
      <c r="M7" s="121">
        <v>40.447933664143896</v>
      </c>
    </row>
    <row r="8" spans="1:13" ht="15" thickBot="1">
      <c r="A8" s="120" t="s">
        <v>199</v>
      </c>
      <c r="B8" s="121">
        <v>14.82</v>
      </c>
      <c r="C8" s="121">
        <v>16.010000000000002</v>
      </c>
      <c r="D8" s="121">
        <v>13.28</v>
      </c>
      <c r="E8" s="121">
        <v>13.66</v>
      </c>
      <c r="F8" s="121">
        <v>13.28</v>
      </c>
      <c r="G8" s="121">
        <v>13.56</v>
      </c>
      <c r="H8" s="121">
        <v>14.89</v>
      </c>
      <c r="I8" s="121">
        <v>4.47</v>
      </c>
      <c r="J8" s="121">
        <v>8.32</v>
      </c>
      <c r="K8" s="121">
        <v>9.18</v>
      </c>
      <c r="L8" s="121">
        <v>11.843679452054795</v>
      </c>
      <c r="M8" s="121">
        <v>13.810620218579235</v>
      </c>
    </row>
    <row r="9" spans="1:13" ht="15" thickBot="1">
      <c r="A9" s="120" t="s">
        <v>200</v>
      </c>
      <c r="B9" s="121">
        <v>70.91</v>
      </c>
      <c r="C9" s="121">
        <v>61.05</v>
      </c>
      <c r="D9" s="121">
        <v>58.01</v>
      </c>
      <c r="E9" s="121">
        <v>61.29</v>
      </c>
      <c r="F9" s="121">
        <v>59.25</v>
      </c>
      <c r="G9" s="121">
        <v>55.49</v>
      </c>
      <c r="H9" s="121">
        <v>52.09</v>
      </c>
      <c r="I9" s="121">
        <v>47.54</v>
      </c>
      <c r="J9" s="121">
        <v>54.15</v>
      </c>
      <c r="K9" s="121">
        <v>42.26</v>
      </c>
      <c r="L9" s="121">
        <v>65.974172602739714</v>
      </c>
      <c r="M9" s="121">
        <v>66.716836065573773</v>
      </c>
    </row>
    <row r="10" spans="1:13" ht="15" thickBot="1">
      <c r="A10" s="120" t="s">
        <v>201</v>
      </c>
      <c r="B10" s="121">
        <v>21.47</v>
      </c>
      <c r="C10" s="121">
        <v>23.95</v>
      </c>
      <c r="D10" s="121">
        <v>29.27</v>
      </c>
      <c r="E10" s="121">
        <v>35.51</v>
      </c>
      <c r="F10" s="121">
        <v>50.16</v>
      </c>
      <c r="G10" s="121">
        <v>44.12</v>
      </c>
      <c r="H10" s="121">
        <v>32.18</v>
      </c>
      <c r="I10" s="121">
        <v>5.42</v>
      </c>
      <c r="J10" s="121">
        <v>5.03</v>
      </c>
      <c r="K10" s="121">
        <v>10.14</v>
      </c>
      <c r="L10" s="121">
        <v>23.628194520547943</v>
      </c>
      <c r="M10" s="121">
        <v>19.44877049180328</v>
      </c>
    </row>
    <row r="11" spans="1:13" ht="15" thickBot="1">
      <c r="A11" s="120" t="s">
        <v>202</v>
      </c>
      <c r="B11" s="121">
        <v>8.67</v>
      </c>
      <c r="C11" s="121">
        <v>6.05</v>
      </c>
      <c r="D11" s="121">
        <v>6.62</v>
      </c>
      <c r="E11" s="121">
        <v>7.48</v>
      </c>
      <c r="F11" s="121">
        <v>7.32</v>
      </c>
      <c r="G11" s="121">
        <v>9.2899999999999991</v>
      </c>
      <c r="H11" s="121">
        <v>12.53</v>
      </c>
      <c r="I11" s="121">
        <v>5.82</v>
      </c>
      <c r="J11" s="121">
        <v>0.51</v>
      </c>
      <c r="K11" s="121">
        <v>0.33</v>
      </c>
      <c r="L11" s="121">
        <v>0.87049863013698636</v>
      </c>
      <c r="M11" s="121">
        <v>0.5800737704918032</v>
      </c>
    </row>
    <row r="12" spans="1:13" ht="15" thickBot="1">
      <c r="A12" s="120" t="s">
        <v>203</v>
      </c>
      <c r="B12" s="121">
        <v>4.59</v>
      </c>
      <c r="C12" s="121">
        <v>5.31</v>
      </c>
      <c r="D12" s="121">
        <v>4.7699999999999996</v>
      </c>
      <c r="E12" s="121">
        <v>4.38</v>
      </c>
      <c r="F12" s="121">
        <v>5.45</v>
      </c>
      <c r="G12" s="121">
        <v>5.25</v>
      </c>
      <c r="H12" s="121">
        <v>4.71</v>
      </c>
      <c r="I12" s="121">
        <v>2.25</v>
      </c>
      <c r="J12" s="121">
        <v>3.8</v>
      </c>
      <c r="K12" s="121">
        <v>3.95</v>
      </c>
      <c r="L12" s="121">
        <v>3.0904684931506856</v>
      </c>
      <c r="M12" s="121">
        <v>3.5925027322404373</v>
      </c>
    </row>
    <row r="13" spans="1:13">
      <c r="L13" s="62"/>
      <c r="M13" s="62"/>
    </row>
    <row r="14" spans="1:13">
      <c r="M14" s="122"/>
    </row>
    <row r="15" spans="1:13">
      <c r="M15" s="62"/>
    </row>
  </sheetData>
  <mergeCells count="2">
    <mergeCell ref="A2:K2"/>
    <mergeCell ref="A4:M4"/>
  </mergeCells>
  <pageMargins left="0.7" right="0.7" top="0.75" bottom="0.75" header="0.3" footer="0.3"/>
  <pageSetup orientation="portrait" r:id="rId1"/>
  <drawing r:id="rId2"/>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F0"/>
  </sheetPr>
  <dimension ref="A1:L10"/>
  <sheetViews>
    <sheetView zoomScale="115" zoomScaleNormal="115" workbookViewId="0">
      <selection sqref="A1:XFD1048576"/>
    </sheetView>
  </sheetViews>
  <sheetFormatPr baseColWidth="10" defaultColWidth="11.42578125" defaultRowHeight="14.25"/>
  <cols>
    <col min="1" max="1" width="14.85546875" style="2" customWidth="1"/>
    <col min="2" max="2" width="13.42578125" style="2" customWidth="1"/>
    <col min="3" max="3" width="13.28515625" style="2" customWidth="1"/>
    <col min="4" max="4" width="13" style="2" customWidth="1"/>
    <col min="5" max="5" width="13.140625" style="2" customWidth="1"/>
    <col min="6" max="16384" width="11.42578125" style="2"/>
  </cols>
  <sheetData>
    <row r="1" spans="1:12">
      <c r="A1" s="588" t="s">
        <v>204</v>
      </c>
      <c r="B1" s="588"/>
      <c r="C1" s="588"/>
      <c r="D1" s="588"/>
      <c r="E1" s="588"/>
      <c r="F1" s="588"/>
      <c r="G1" s="588"/>
      <c r="H1" s="588"/>
      <c r="I1" s="588"/>
    </row>
    <row r="2" spans="1:12" ht="15" thickBot="1"/>
    <row r="3" spans="1:12" ht="15" thickBot="1">
      <c r="A3" s="593" t="s">
        <v>205</v>
      </c>
      <c r="B3" s="594"/>
      <c r="C3" s="594"/>
      <c r="D3" s="594"/>
      <c r="E3" s="594"/>
      <c r="F3" s="594"/>
      <c r="G3" s="594"/>
      <c r="H3" s="594"/>
      <c r="I3" s="595"/>
    </row>
    <row r="4" spans="1:12">
      <c r="A4" s="591" t="s">
        <v>206</v>
      </c>
      <c r="B4" s="596" t="s">
        <v>207</v>
      </c>
      <c r="C4" s="596" t="s">
        <v>208</v>
      </c>
      <c r="D4" s="596" t="s">
        <v>138</v>
      </c>
      <c r="E4" s="596" t="s">
        <v>209</v>
      </c>
      <c r="F4" s="596" t="s">
        <v>210</v>
      </c>
      <c r="G4" s="596" t="s">
        <v>211</v>
      </c>
      <c r="H4" s="596" t="s">
        <v>212</v>
      </c>
      <c r="I4" s="591" t="s">
        <v>18</v>
      </c>
    </row>
    <row r="5" spans="1:12" ht="15" thickBot="1">
      <c r="A5" s="592"/>
      <c r="B5" s="597"/>
      <c r="C5" s="597"/>
      <c r="D5" s="597"/>
      <c r="E5" s="597"/>
      <c r="F5" s="597"/>
      <c r="G5" s="597"/>
      <c r="H5" s="597"/>
      <c r="I5" s="592"/>
    </row>
    <row r="6" spans="1:12" ht="15" thickBot="1">
      <c r="A6" s="126" t="s">
        <v>213</v>
      </c>
      <c r="B6" s="13">
        <v>82.705779999999976</v>
      </c>
      <c r="C6" s="13"/>
      <c r="D6" s="13">
        <v>250.56025</v>
      </c>
      <c r="E6" s="13"/>
      <c r="F6" s="13"/>
      <c r="G6" s="13"/>
      <c r="H6" s="13"/>
      <c r="I6" s="13">
        <f t="shared" ref="I6:I9" si="0">+SUM(B6:H6)</f>
        <v>333.26603</v>
      </c>
    </row>
    <row r="7" spans="1:12" ht="15" thickBot="1">
      <c r="A7" s="126" t="s">
        <v>214</v>
      </c>
      <c r="B7" s="13"/>
      <c r="C7" s="13">
        <v>22.968</v>
      </c>
      <c r="D7" s="13">
        <v>8.0779999999999994</v>
      </c>
      <c r="E7" s="13" t="s">
        <v>215</v>
      </c>
      <c r="F7" s="13"/>
      <c r="G7" s="13"/>
      <c r="H7" s="127"/>
      <c r="I7" s="13">
        <f t="shared" si="0"/>
        <v>31.045999999999999</v>
      </c>
    </row>
    <row r="8" spans="1:12" ht="15" thickBot="1">
      <c r="A8" s="126" t="s">
        <v>216</v>
      </c>
      <c r="B8" s="13"/>
      <c r="C8" s="13">
        <v>8882.9</v>
      </c>
      <c r="D8" s="13"/>
      <c r="E8" s="13">
        <v>13077.38</v>
      </c>
      <c r="F8" s="13">
        <v>1043.3999999999999</v>
      </c>
      <c r="G8" s="13">
        <v>1897.9</v>
      </c>
      <c r="H8" s="13">
        <v>1151.8000000000002</v>
      </c>
      <c r="I8" s="13">
        <f t="shared" si="0"/>
        <v>26053.38</v>
      </c>
    </row>
    <row r="9" spans="1:12" ht="15" thickBot="1">
      <c r="A9" s="126" t="s">
        <v>217</v>
      </c>
      <c r="B9" s="13">
        <v>74.137071428571431</v>
      </c>
      <c r="C9" s="13"/>
      <c r="D9" s="13"/>
      <c r="E9" s="13">
        <v>145.72</v>
      </c>
      <c r="F9" s="13"/>
      <c r="G9" s="13"/>
      <c r="H9" s="13"/>
      <c r="I9" s="13">
        <f t="shared" si="0"/>
        <v>219.85707142857143</v>
      </c>
      <c r="K9" s="61"/>
      <c r="L9" s="62"/>
    </row>
    <row r="10" spans="1:12" ht="15" thickBot="1">
      <c r="A10" s="128" t="s">
        <v>18</v>
      </c>
      <c r="B10" s="80">
        <f>+SUM(B6:B9)</f>
        <v>156.84285142857141</v>
      </c>
      <c r="C10" s="80">
        <f t="shared" ref="C10:I10" si="1">+SUM(C6:C9)</f>
        <v>8905.8680000000004</v>
      </c>
      <c r="D10" s="80">
        <f t="shared" si="1"/>
        <v>258.63824999999997</v>
      </c>
      <c r="E10" s="80">
        <f t="shared" si="1"/>
        <v>13223.099999999999</v>
      </c>
      <c r="F10" s="80">
        <f t="shared" si="1"/>
        <v>1043.3999999999999</v>
      </c>
      <c r="G10" s="80">
        <f t="shared" si="1"/>
        <v>1897.9</v>
      </c>
      <c r="H10" s="80">
        <f t="shared" si="1"/>
        <v>1151.8000000000002</v>
      </c>
      <c r="I10" s="80">
        <f t="shared" si="1"/>
        <v>26637.549101428573</v>
      </c>
    </row>
  </sheetData>
  <mergeCells count="11">
    <mergeCell ref="I4:I5"/>
    <mergeCell ref="A1:I1"/>
    <mergeCell ref="A3:I3"/>
    <mergeCell ref="A4:A5"/>
    <mergeCell ref="B4:B5"/>
    <mergeCell ref="C4:C5"/>
    <mergeCell ref="D4:D5"/>
    <mergeCell ref="E4:E5"/>
    <mergeCell ref="F4:F5"/>
    <mergeCell ref="G4:G5"/>
    <mergeCell ref="H4:H5"/>
  </mergeCells>
  <pageMargins left="0.7" right="0.7" top="0.75" bottom="0.75" header="0.3" footer="0.3"/>
  <drawing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F0"/>
  </sheetPr>
  <dimension ref="A1:V55"/>
  <sheetViews>
    <sheetView topLeftCell="F1" zoomScaleNormal="100" workbookViewId="0">
      <selection sqref="A1:XFD1048576"/>
    </sheetView>
  </sheetViews>
  <sheetFormatPr baseColWidth="10" defaultColWidth="11.42578125" defaultRowHeight="11.25"/>
  <cols>
    <col min="1" max="1" width="31" style="85" customWidth="1"/>
    <col min="2" max="2" width="11.42578125" style="84"/>
    <col min="3" max="3" width="15.5703125" style="84" customWidth="1"/>
    <col min="4" max="4" width="11.42578125" style="84"/>
    <col min="5" max="5" width="12.7109375" style="84" customWidth="1"/>
    <col min="6" max="6" width="13.28515625" style="84" customWidth="1"/>
    <col min="7" max="14" width="11.42578125" style="84"/>
    <col min="15" max="15" width="27.42578125" style="84" customWidth="1"/>
    <col min="16" max="18" width="11.42578125" style="84"/>
    <col min="19" max="19" width="28.85546875" style="84" customWidth="1"/>
    <col min="20" max="21" width="14.7109375" style="84" customWidth="1"/>
    <col min="22" max="16384" width="11.42578125" style="84"/>
  </cols>
  <sheetData>
    <row r="1" spans="1:21" ht="12">
      <c r="A1" s="84"/>
      <c r="B1" s="129" t="s">
        <v>218</v>
      </c>
      <c r="D1" s="130"/>
      <c r="E1" s="130"/>
      <c r="F1" s="130"/>
      <c r="G1" s="130"/>
      <c r="H1" s="130"/>
      <c r="I1" s="130"/>
      <c r="J1" s="130"/>
      <c r="K1" s="130"/>
      <c r="L1" s="130"/>
      <c r="M1" s="130"/>
    </row>
    <row r="3" spans="1:21" ht="12" customHeight="1" thickBot="1">
      <c r="A3" s="598" t="s">
        <v>219</v>
      </c>
      <c r="B3" s="599"/>
      <c r="C3" s="599"/>
      <c r="D3" s="599"/>
      <c r="E3" s="599"/>
      <c r="F3" s="599"/>
      <c r="G3" s="599"/>
      <c r="H3" s="599"/>
      <c r="I3" s="599"/>
      <c r="J3" s="599"/>
      <c r="K3" s="599"/>
      <c r="L3" s="599"/>
      <c r="M3" s="117"/>
      <c r="O3" s="131" t="s">
        <v>220</v>
      </c>
      <c r="P3" s="131">
        <v>2023</v>
      </c>
      <c r="Q3" s="131">
        <v>2024</v>
      </c>
      <c r="S3" s="131" t="s">
        <v>221</v>
      </c>
      <c r="T3" s="131">
        <v>2023</v>
      </c>
      <c r="U3" s="131">
        <v>2024</v>
      </c>
    </row>
    <row r="4" spans="1:21" ht="13.5" thickBot="1">
      <c r="A4" s="132" t="s">
        <v>131</v>
      </c>
      <c r="B4" s="125">
        <v>2013</v>
      </c>
      <c r="C4" s="125">
        <v>2014</v>
      </c>
      <c r="D4" s="124">
        <v>2015</v>
      </c>
      <c r="E4" s="125">
        <v>2016</v>
      </c>
      <c r="F4" s="125">
        <v>2017</v>
      </c>
      <c r="G4" s="124">
        <v>2018</v>
      </c>
      <c r="H4" s="125">
        <v>2019</v>
      </c>
      <c r="I4" s="125">
        <v>2020</v>
      </c>
      <c r="J4" s="124">
        <v>2021</v>
      </c>
      <c r="K4" s="125">
        <v>2022</v>
      </c>
      <c r="L4" s="124">
        <v>2023</v>
      </c>
      <c r="M4" s="124">
        <v>2024</v>
      </c>
      <c r="O4" s="133" t="s">
        <v>222</v>
      </c>
      <c r="P4" s="134">
        <f>+SUM(P5:P8)</f>
        <v>10954.060000000001</v>
      </c>
      <c r="Q4" s="134">
        <f>+SUM(Q5:Q8)</f>
        <v>11257.910851428573</v>
      </c>
      <c r="S4" s="133" t="s">
        <v>222</v>
      </c>
      <c r="T4" s="134">
        <f t="shared" ref="T4:T14" si="0">+P4/365</f>
        <v>30.011123287671236</v>
      </c>
      <c r="U4" s="134">
        <f>+Q4/366</f>
        <v>30.759319266198286</v>
      </c>
    </row>
    <row r="5" spans="1:21" ht="13.5" thickBot="1">
      <c r="A5" s="135" t="s">
        <v>223</v>
      </c>
      <c r="B5" s="136">
        <f t="shared" ref="B5:J5" si="1">+SUM(B6:B8)</f>
        <v>257.65334000000001</v>
      </c>
      <c r="C5" s="136">
        <f t="shared" si="1"/>
        <v>384.13027</v>
      </c>
      <c r="D5" s="136">
        <f t="shared" si="1"/>
        <v>446.79883000000001</v>
      </c>
      <c r="E5" s="136">
        <f t="shared" si="1"/>
        <v>456.03</v>
      </c>
      <c r="F5" s="136">
        <f t="shared" si="1"/>
        <v>386.05617000000007</v>
      </c>
      <c r="G5" s="136">
        <f t="shared" si="1"/>
        <v>378.40957000000003</v>
      </c>
      <c r="H5" s="136">
        <f t="shared" si="1"/>
        <v>414.4994200000001</v>
      </c>
      <c r="I5" s="136">
        <f t="shared" si="1"/>
        <v>400.81986999999998</v>
      </c>
      <c r="J5" s="136">
        <f t="shared" si="1"/>
        <v>403.21999999999997</v>
      </c>
      <c r="K5" s="136">
        <v>408.07158000000004</v>
      </c>
      <c r="L5" s="136">
        <v>352.47</v>
      </c>
      <c r="M5" s="137">
        <f>+SUM(M6:M8)</f>
        <v>333.26603</v>
      </c>
      <c r="O5" s="138" t="s">
        <v>224</v>
      </c>
      <c r="P5" s="139">
        <f>L10+L13+L20</f>
        <v>9354.8000000000011</v>
      </c>
      <c r="Q5" s="139">
        <f>M10+M13+M20</f>
        <v>8905.8680000000004</v>
      </c>
      <c r="S5" s="138" t="s">
        <v>224</v>
      </c>
      <c r="T5" s="139">
        <f t="shared" si="0"/>
        <v>25.629589041095894</v>
      </c>
      <c r="U5" s="139">
        <f t="shared" ref="U5:U14" si="2">+Q5/366</f>
        <v>24.332972677595631</v>
      </c>
    </row>
    <row r="6" spans="1:21" ht="13.5" thickBot="1">
      <c r="A6" s="126" t="s">
        <v>138</v>
      </c>
      <c r="B6" s="13">
        <v>199.88463000000002</v>
      </c>
      <c r="C6" s="13">
        <v>296.19310000000002</v>
      </c>
      <c r="D6" s="13">
        <v>342.14357000000001</v>
      </c>
      <c r="E6" s="13">
        <v>350.46</v>
      </c>
      <c r="F6" s="13">
        <v>315.73319000000004</v>
      </c>
      <c r="G6" s="13">
        <v>305.20049</v>
      </c>
      <c r="H6" s="13">
        <v>315.05369000000007</v>
      </c>
      <c r="I6" s="13">
        <v>302.61270999999999</v>
      </c>
      <c r="J6" s="13">
        <v>305.08</v>
      </c>
      <c r="K6" s="13">
        <v>309.28458000000001</v>
      </c>
      <c r="L6" s="8">
        <v>261.52999999999997</v>
      </c>
      <c r="M6" s="140">
        <v>250.56025</v>
      </c>
      <c r="O6" s="138" t="s">
        <v>225</v>
      </c>
      <c r="P6" s="139">
        <f>+L8+L23</f>
        <v>162.06</v>
      </c>
      <c r="Q6" s="139">
        <f>+M8+M23</f>
        <v>156.84285142857141</v>
      </c>
      <c r="S6" s="138" t="s">
        <v>225</v>
      </c>
      <c r="T6" s="139">
        <f t="shared" si="0"/>
        <v>0.44400000000000001</v>
      </c>
      <c r="U6" s="139">
        <f t="shared" si="2"/>
        <v>0.42853238095238089</v>
      </c>
    </row>
    <row r="7" spans="1:21" ht="13.5" thickBot="1">
      <c r="A7" s="126" t="s">
        <v>226</v>
      </c>
      <c r="B7" s="13">
        <v>0</v>
      </c>
      <c r="C7" s="13">
        <v>0</v>
      </c>
      <c r="D7" s="13">
        <v>0</v>
      </c>
      <c r="E7" s="13">
        <v>0</v>
      </c>
      <c r="F7" s="13">
        <v>0</v>
      </c>
      <c r="G7" s="13">
        <v>0</v>
      </c>
      <c r="H7" s="13">
        <v>0</v>
      </c>
      <c r="I7" s="13">
        <v>0</v>
      </c>
      <c r="J7" s="13"/>
      <c r="K7" s="13">
        <v>0</v>
      </c>
      <c r="L7" s="13">
        <v>0</v>
      </c>
      <c r="O7" s="138" t="s">
        <v>169</v>
      </c>
      <c r="P7" s="139">
        <f>+L15</f>
        <v>1022.2</v>
      </c>
      <c r="Q7" s="139">
        <f>+M15</f>
        <v>1043.3999999999999</v>
      </c>
      <c r="S7" s="138" t="s">
        <v>169</v>
      </c>
      <c r="T7" s="139">
        <f t="shared" si="0"/>
        <v>2.8005479452054796</v>
      </c>
      <c r="U7" s="139">
        <f t="shared" si="2"/>
        <v>2.8508196721311472</v>
      </c>
    </row>
    <row r="8" spans="1:21" ht="13.5" thickBot="1">
      <c r="A8" s="126" t="s">
        <v>207</v>
      </c>
      <c r="B8" s="13">
        <v>57.768710000000013</v>
      </c>
      <c r="C8" s="13">
        <v>87.937169999999981</v>
      </c>
      <c r="D8" s="13">
        <v>104.65525999999998</v>
      </c>
      <c r="E8" s="13">
        <v>105.57</v>
      </c>
      <c r="F8" s="13">
        <v>70.322980000000001</v>
      </c>
      <c r="G8" s="13">
        <v>73.20908</v>
      </c>
      <c r="H8" s="13">
        <v>99.445730000000026</v>
      </c>
      <c r="I8" s="13">
        <v>98.207159999999988</v>
      </c>
      <c r="J8" s="13">
        <v>98.14</v>
      </c>
      <c r="K8" s="13">
        <v>98.787000000000006</v>
      </c>
      <c r="L8" s="8">
        <v>90.94</v>
      </c>
      <c r="M8" s="141">
        <v>82.705779999999976</v>
      </c>
      <c r="O8" s="138" t="s">
        <v>77</v>
      </c>
      <c r="P8" s="139">
        <f>+L18</f>
        <v>415</v>
      </c>
      <c r="Q8" s="139">
        <f>+M18</f>
        <v>1151.8000000000002</v>
      </c>
      <c r="S8" s="138" t="s">
        <v>77</v>
      </c>
      <c r="T8" s="139">
        <f t="shared" si="0"/>
        <v>1.1369863013698631</v>
      </c>
      <c r="U8" s="139">
        <f t="shared" si="2"/>
        <v>3.1469945355191262</v>
      </c>
    </row>
    <row r="9" spans="1:21" ht="13.5" thickBot="1">
      <c r="A9" s="142" t="s">
        <v>227</v>
      </c>
      <c r="B9" s="136">
        <f t="shared" ref="B9:J9" si="3">+SUM(B10:B11)</f>
        <v>836.702</v>
      </c>
      <c r="C9" s="136">
        <f t="shared" si="3"/>
        <v>784.39999999999986</v>
      </c>
      <c r="D9" s="136">
        <f t="shared" si="3"/>
        <v>719.66699999999992</v>
      </c>
      <c r="E9" s="136">
        <f t="shared" si="3"/>
        <v>470</v>
      </c>
      <c r="F9" s="136">
        <f t="shared" si="3"/>
        <v>413.01900000000001</v>
      </c>
      <c r="G9" s="136">
        <f t="shared" si="3"/>
        <v>393.36899999999997</v>
      </c>
      <c r="H9" s="136">
        <f t="shared" si="3"/>
        <v>274.911</v>
      </c>
      <c r="I9" s="136">
        <f t="shared" si="3"/>
        <v>163.35700000000003</v>
      </c>
      <c r="J9" s="136">
        <f t="shared" si="3"/>
        <v>98.6</v>
      </c>
      <c r="K9" s="136">
        <v>85.867000000000004</v>
      </c>
      <c r="L9" s="136">
        <v>75.150000000000006</v>
      </c>
      <c r="M9" s="137">
        <f>+SUM(M10:M11)</f>
        <v>31.045999999999999</v>
      </c>
      <c r="O9" s="133" t="s">
        <v>228</v>
      </c>
      <c r="P9" s="134">
        <f>+SUM(P10:P13)</f>
        <v>15795.859</v>
      </c>
      <c r="Q9" s="134">
        <f>+SUM(Q10:Q13)</f>
        <v>15379.638249999998</v>
      </c>
      <c r="S9" s="133" t="s">
        <v>228</v>
      </c>
      <c r="T9" s="134">
        <f t="shared" si="0"/>
        <v>43.276326027397261</v>
      </c>
      <c r="U9" s="134">
        <f t="shared" si="2"/>
        <v>42.020869535519118</v>
      </c>
    </row>
    <row r="10" spans="1:21" ht="13.5" thickBot="1">
      <c r="A10" s="126" t="s">
        <v>208</v>
      </c>
      <c r="B10" s="13">
        <v>493.34800000000001</v>
      </c>
      <c r="C10" s="13">
        <v>464.80299999999994</v>
      </c>
      <c r="D10" s="13">
        <v>438.44399999999996</v>
      </c>
      <c r="E10" s="13">
        <v>291.61</v>
      </c>
      <c r="F10" s="13">
        <v>255.99600000000001</v>
      </c>
      <c r="G10" s="13">
        <v>244.66799999999998</v>
      </c>
      <c r="H10" s="13">
        <v>172.488</v>
      </c>
      <c r="I10" s="13">
        <v>99.013000000000005</v>
      </c>
      <c r="J10" s="13">
        <v>70.855000000000004</v>
      </c>
      <c r="K10" s="13">
        <v>58.496000000000002</v>
      </c>
      <c r="L10" s="13">
        <v>52.2</v>
      </c>
      <c r="M10" s="143">
        <v>22.968</v>
      </c>
      <c r="O10" s="138" t="s">
        <v>140</v>
      </c>
      <c r="P10" s="139">
        <f>+L6+L11+L21</f>
        <v>284.47999999999996</v>
      </c>
      <c r="Q10" s="139">
        <f>+M6+M11+M21</f>
        <v>258.63824999999997</v>
      </c>
      <c r="S10" s="138" t="s">
        <v>140</v>
      </c>
      <c r="T10" s="139">
        <f t="shared" si="0"/>
        <v>0.77939726027397249</v>
      </c>
      <c r="U10" s="139">
        <f t="shared" si="2"/>
        <v>0.70666188524590157</v>
      </c>
    </row>
    <row r="11" spans="1:21" ht="13.5" thickBot="1">
      <c r="A11" s="126" t="s">
        <v>138</v>
      </c>
      <c r="B11" s="13">
        <v>343.35400000000004</v>
      </c>
      <c r="C11" s="13">
        <v>319.59699999999998</v>
      </c>
      <c r="D11" s="13">
        <v>281.22300000000001</v>
      </c>
      <c r="E11" s="13">
        <v>178.39</v>
      </c>
      <c r="F11" s="13">
        <v>157.023</v>
      </c>
      <c r="G11" s="13">
        <v>148.70099999999999</v>
      </c>
      <c r="H11" s="13">
        <v>102.42300000000002</v>
      </c>
      <c r="I11" s="13">
        <v>64.344000000000008</v>
      </c>
      <c r="J11" s="13">
        <v>27.744999999999997</v>
      </c>
      <c r="K11" s="13">
        <v>27.370999999999999</v>
      </c>
      <c r="L11" s="13">
        <v>22.95</v>
      </c>
      <c r="M11" s="143">
        <v>8.0779999999999994</v>
      </c>
      <c r="O11" s="138" t="s">
        <v>229</v>
      </c>
      <c r="P11" s="139">
        <v>9125.2540000000008</v>
      </c>
      <c r="Q11" s="139">
        <v>9133.9599999999991</v>
      </c>
      <c r="S11" s="138" t="s">
        <v>229</v>
      </c>
      <c r="T11" s="139">
        <f t="shared" si="0"/>
        <v>25.00069589041096</v>
      </c>
      <c r="U11" s="139">
        <f t="shared" si="2"/>
        <v>24.956174863387975</v>
      </c>
    </row>
    <row r="12" spans="1:21" ht="13.5" thickBot="1">
      <c r="A12" s="142" t="s">
        <v>230</v>
      </c>
      <c r="B12" s="136">
        <f t="shared" ref="B12:G12" si="4">+SUM(B13:B16)</f>
        <v>36408.699999999997</v>
      </c>
      <c r="C12" s="136">
        <f t="shared" si="4"/>
        <v>34731.300000000003</v>
      </c>
      <c r="D12" s="136">
        <f t="shared" si="4"/>
        <v>30001.599999999999</v>
      </c>
      <c r="E12" s="136">
        <f t="shared" si="4"/>
        <v>30605.8</v>
      </c>
      <c r="F12" s="136">
        <f t="shared" si="4"/>
        <v>27968.845999999998</v>
      </c>
      <c r="G12" s="136">
        <f t="shared" si="4"/>
        <v>26271.7</v>
      </c>
      <c r="H12" s="136">
        <f>+SUM(H13:H16)</f>
        <v>27136.306</v>
      </c>
      <c r="I12" s="136">
        <f>+SUM(I13:I18)</f>
        <v>28328.3</v>
      </c>
      <c r="J12" s="136">
        <f>+SUM(J13:J18)</f>
        <v>29167.599999999999</v>
      </c>
      <c r="K12" s="136">
        <v>27887.100000000006</v>
      </c>
      <c r="L12" s="136">
        <v>26129.1</v>
      </c>
      <c r="M12" s="137">
        <f>+SUM(M13:M18)</f>
        <v>26053.38</v>
      </c>
      <c r="O12" s="138" t="s">
        <v>73</v>
      </c>
      <c r="P12" s="139">
        <v>4080.4249999999997</v>
      </c>
      <c r="Q12" s="139">
        <v>4089.14</v>
      </c>
      <c r="S12" s="138" t="s">
        <v>73</v>
      </c>
      <c r="T12" s="139">
        <f t="shared" si="0"/>
        <v>11.179246575342464</v>
      </c>
      <c r="U12" s="139">
        <f t="shared" si="2"/>
        <v>11.172513661202185</v>
      </c>
    </row>
    <row r="13" spans="1:21" ht="13.5" thickBot="1">
      <c r="A13" s="126" t="s">
        <v>208</v>
      </c>
      <c r="B13" s="13">
        <v>14712.4</v>
      </c>
      <c r="C13" s="13">
        <v>13761.8</v>
      </c>
      <c r="D13" s="13">
        <v>11639.300000000001</v>
      </c>
      <c r="E13" s="13">
        <v>12547.5</v>
      </c>
      <c r="F13" s="13">
        <v>11256.745999999999</v>
      </c>
      <c r="G13" s="13">
        <v>10823.4</v>
      </c>
      <c r="H13" s="13">
        <v>10935.899999999998</v>
      </c>
      <c r="I13" s="13">
        <v>10676</v>
      </c>
      <c r="J13" s="13">
        <v>10744.599999999999</v>
      </c>
      <c r="K13" s="13">
        <v>9760.4999999999982</v>
      </c>
      <c r="L13" s="13">
        <v>9302.6</v>
      </c>
      <c r="M13" s="143">
        <v>8882.9</v>
      </c>
      <c r="O13" s="138" t="s">
        <v>111</v>
      </c>
      <c r="P13" s="139">
        <f>+L17</f>
        <v>2305.6999999999998</v>
      </c>
      <c r="Q13" s="139">
        <f>+M17</f>
        <v>1897.9</v>
      </c>
      <c r="S13" s="138" t="s">
        <v>111</v>
      </c>
      <c r="T13" s="139">
        <f t="shared" si="0"/>
        <v>6.3169863013698624</v>
      </c>
      <c r="U13" s="139">
        <f t="shared" si="2"/>
        <v>5.1855191256830606</v>
      </c>
    </row>
    <row r="14" spans="1:21" ht="13.5" thickBot="1">
      <c r="A14" s="126" t="s">
        <v>226</v>
      </c>
      <c r="B14" s="13">
        <v>18035.3</v>
      </c>
      <c r="C14" s="13">
        <v>17216.400000000001</v>
      </c>
      <c r="D14" s="13">
        <v>15438.799999999997</v>
      </c>
      <c r="E14" s="13">
        <v>15283.7</v>
      </c>
      <c r="F14" s="13">
        <v>14565.5</v>
      </c>
      <c r="G14" s="13">
        <v>13677.1</v>
      </c>
      <c r="H14" s="13">
        <v>14357.900000000001</v>
      </c>
      <c r="I14" s="13">
        <v>14536.8</v>
      </c>
      <c r="J14" s="13">
        <v>14678.3</v>
      </c>
      <c r="K14" s="13">
        <v>13258.400000000001</v>
      </c>
      <c r="L14" s="13">
        <v>13083.6</v>
      </c>
      <c r="M14" s="143">
        <v>13077.38</v>
      </c>
      <c r="O14" s="133" t="s">
        <v>58</v>
      </c>
      <c r="P14" s="134">
        <f>+P4+P9</f>
        <v>26749.919000000002</v>
      </c>
      <c r="Q14" s="134">
        <f>+Q4+Q9</f>
        <v>26637.549101428573</v>
      </c>
      <c r="S14" s="133" t="s">
        <v>58</v>
      </c>
      <c r="T14" s="134">
        <f t="shared" si="0"/>
        <v>73.2874493150685</v>
      </c>
      <c r="U14" s="134">
        <f t="shared" si="2"/>
        <v>72.780188801717415</v>
      </c>
    </row>
    <row r="15" spans="1:21" ht="12" thickBot="1">
      <c r="A15" s="126" t="s">
        <v>210</v>
      </c>
      <c r="B15" s="13">
        <v>3661</v>
      </c>
      <c r="C15" s="13">
        <v>3753.1000000000004</v>
      </c>
      <c r="D15" s="13">
        <v>2923.5</v>
      </c>
      <c r="E15" s="13">
        <v>2774.6</v>
      </c>
      <c r="F15" s="13">
        <v>2146.6000000000004</v>
      </c>
      <c r="G15" s="13">
        <v>1771.2</v>
      </c>
      <c r="H15" s="13">
        <v>1679.7000000000003</v>
      </c>
      <c r="I15" s="13">
        <v>1662.3</v>
      </c>
      <c r="J15" s="13">
        <v>1446.5</v>
      </c>
      <c r="K15" s="13">
        <v>1094.8999999999999</v>
      </c>
      <c r="L15" s="13">
        <v>1022.2</v>
      </c>
      <c r="M15" s="143">
        <v>1043.3999999999999</v>
      </c>
    </row>
    <row r="16" spans="1:21" ht="13.5" thickBot="1">
      <c r="A16" s="126" t="s">
        <v>231</v>
      </c>
      <c r="B16" s="13">
        <v>0</v>
      </c>
      <c r="C16" s="13">
        <v>0</v>
      </c>
      <c r="D16" s="13">
        <v>0</v>
      </c>
      <c r="E16" s="13">
        <v>0</v>
      </c>
      <c r="F16" s="13">
        <v>0</v>
      </c>
      <c r="G16" s="13">
        <v>0</v>
      </c>
      <c r="H16" s="13">
        <v>162.80600000000001</v>
      </c>
      <c r="I16" s="13">
        <v>0</v>
      </c>
      <c r="J16" s="13"/>
      <c r="K16" s="13">
        <v>0</v>
      </c>
      <c r="L16" s="13">
        <v>0</v>
      </c>
      <c r="M16" s="13">
        <v>0</v>
      </c>
      <c r="O16" s="131" t="s">
        <v>220</v>
      </c>
      <c r="P16" s="131">
        <v>2023</v>
      </c>
      <c r="Q16" s="131">
        <v>2024</v>
      </c>
      <c r="S16" s="131" t="s">
        <v>221</v>
      </c>
      <c r="T16" s="131">
        <v>2023</v>
      </c>
      <c r="U16" s="131">
        <v>2024</v>
      </c>
    </row>
    <row r="17" spans="1:22" ht="15" thickBot="1">
      <c r="A17" s="126" t="s">
        <v>211</v>
      </c>
      <c r="B17" s="13"/>
      <c r="C17" s="13"/>
      <c r="D17" s="13"/>
      <c r="E17" s="13"/>
      <c r="F17" s="13"/>
      <c r="G17" s="13"/>
      <c r="H17" s="13"/>
      <c r="I17" s="13">
        <v>1224.3</v>
      </c>
      <c r="J17" s="13">
        <v>2298.1999999999998</v>
      </c>
      <c r="K17" s="13">
        <v>3407.6000000000008</v>
      </c>
      <c r="L17" s="13">
        <v>2305.6999999999998</v>
      </c>
      <c r="M17" s="143">
        <v>1897.9</v>
      </c>
      <c r="O17" s="144" t="s">
        <v>138</v>
      </c>
      <c r="P17" s="139">
        <f>+P10</f>
        <v>284.47999999999996</v>
      </c>
      <c r="Q17" s="139">
        <f>+Q10</f>
        <v>258.63824999999997</v>
      </c>
      <c r="S17" s="144" t="s">
        <v>232</v>
      </c>
      <c r="T17" s="139">
        <f>+T10+T11+T12</f>
        <v>36.959339726027395</v>
      </c>
      <c r="U17" s="139">
        <f>+U10+U11+U12</f>
        <v>36.83535040983606</v>
      </c>
      <c r="V17" s="100">
        <f>+U17/$U$23</f>
        <v>0.50611781882279006</v>
      </c>
    </row>
    <row r="18" spans="1:22" ht="15" thickBot="1">
      <c r="A18" s="126" t="s">
        <v>212</v>
      </c>
      <c r="B18" s="13"/>
      <c r="C18" s="13"/>
      <c r="D18" s="13"/>
      <c r="E18" s="13"/>
      <c r="F18" s="13"/>
      <c r="G18" s="13"/>
      <c r="H18" s="13"/>
      <c r="I18" s="13">
        <v>228.9</v>
      </c>
      <c r="J18" s="13"/>
      <c r="K18" s="13">
        <v>365.70000000000005</v>
      </c>
      <c r="L18" s="8">
        <v>415</v>
      </c>
      <c r="M18" s="145">
        <v>1151.8000000000002</v>
      </c>
      <c r="O18" s="144" t="s">
        <v>233</v>
      </c>
      <c r="P18" s="139">
        <f>+P11+P12</f>
        <v>13205.679</v>
      </c>
      <c r="Q18" s="139">
        <f>+Q11+Q12</f>
        <v>13223.099999999999</v>
      </c>
      <c r="S18" s="144" t="s">
        <v>234</v>
      </c>
      <c r="T18" s="139">
        <f t="shared" ref="T18:U20" si="5">+T5</f>
        <v>25.629589041095894</v>
      </c>
      <c r="U18" s="139">
        <f t="shared" si="5"/>
        <v>24.332972677595631</v>
      </c>
      <c r="V18" s="100">
        <f t="shared" ref="V18:V22" si="6">+U18/$U$23</f>
        <v>0.33433511341786248</v>
      </c>
    </row>
    <row r="19" spans="1:22" ht="15" thickBot="1">
      <c r="A19" s="142" t="s">
        <v>217</v>
      </c>
      <c r="B19" s="136">
        <f t="shared" ref="B19:J19" si="7">+SUM(B20:B23)</f>
        <v>479.16900000000004</v>
      </c>
      <c r="C19" s="136">
        <f t="shared" si="7"/>
        <v>466.37700000000001</v>
      </c>
      <c r="D19" s="136">
        <f t="shared" si="7"/>
        <v>469.61040476190476</v>
      </c>
      <c r="E19" s="136">
        <f t="shared" si="7"/>
        <v>429.71999999999997</v>
      </c>
      <c r="F19" s="136">
        <f t="shared" si="7"/>
        <v>374.67964285714288</v>
      </c>
      <c r="G19" s="136">
        <f t="shared" si="7"/>
        <v>364.76500000000004</v>
      </c>
      <c r="H19" s="136">
        <f t="shared" si="7"/>
        <v>349.29100000000005</v>
      </c>
      <c r="I19" s="136">
        <f t="shared" si="7"/>
        <v>351.13783333333333</v>
      </c>
      <c r="J19" s="136">
        <f t="shared" si="7"/>
        <v>280.02299999999997</v>
      </c>
      <c r="K19" s="136">
        <v>225.69799999999998</v>
      </c>
      <c r="L19" s="136">
        <v>193.2</v>
      </c>
      <c r="M19" s="137">
        <f>+SUM(M20:M23)</f>
        <v>219.85707142857143</v>
      </c>
      <c r="O19" s="144" t="s">
        <v>234</v>
      </c>
      <c r="P19" s="139">
        <f t="shared" ref="P19:Q21" si="8">+P5</f>
        <v>9354.8000000000011</v>
      </c>
      <c r="Q19" s="139">
        <f t="shared" si="8"/>
        <v>8905.8680000000004</v>
      </c>
      <c r="S19" s="144" t="s">
        <v>235</v>
      </c>
      <c r="T19" s="139">
        <f t="shared" si="5"/>
        <v>0.44400000000000001</v>
      </c>
      <c r="U19" s="139">
        <f t="shared" si="5"/>
        <v>0.42853238095238089</v>
      </c>
      <c r="V19" s="100">
        <f t="shared" si="6"/>
        <v>5.8880361264227552E-3</v>
      </c>
    </row>
    <row r="20" spans="1:22" ht="15" thickBot="1">
      <c r="A20" s="126" t="s">
        <v>208</v>
      </c>
      <c r="B20" s="13">
        <v>0</v>
      </c>
      <c r="C20" s="13">
        <v>0</v>
      </c>
      <c r="D20" s="13">
        <v>0</v>
      </c>
      <c r="E20" s="13">
        <v>0</v>
      </c>
      <c r="F20" s="13">
        <v>0</v>
      </c>
      <c r="G20" s="13">
        <v>0</v>
      </c>
      <c r="H20" s="13">
        <v>0</v>
      </c>
      <c r="I20" s="13">
        <v>0</v>
      </c>
      <c r="J20" s="13"/>
      <c r="K20" s="13">
        <v>0</v>
      </c>
      <c r="L20" s="13">
        <v>0</v>
      </c>
      <c r="M20" s="13">
        <v>0</v>
      </c>
      <c r="O20" s="144" t="s">
        <v>235</v>
      </c>
      <c r="P20" s="139">
        <f t="shared" si="8"/>
        <v>162.06</v>
      </c>
      <c r="Q20" s="139">
        <f t="shared" si="8"/>
        <v>156.84285142857141</v>
      </c>
      <c r="S20" s="144" t="s">
        <v>236</v>
      </c>
      <c r="T20" s="139">
        <f t="shared" si="5"/>
        <v>2.8005479452054796</v>
      </c>
      <c r="U20" s="139">
        <f t="shared" si="5"/>
        <v>2.8508196721311472</v>
      </c>
      <c r="V20" s="100">
        <f t="shared" si="6"/>
        <v>3.9170270358846279E-2</v>
      </c>
    </row>
    <row r="21" spans="1:22" ht="15" thickBot="1">
      <c r="A21" s="126" t="s">
        <v>138</v>
      </c>
      <c r="B21" s="13"/>
      <c r="C21" s="13"/>
      <c r="D21" s="13"/>
      <c r="E21" s="13"/>
      <c r="F21" s="13"/>
      <c r="G21" s="13"/>
      <c r="H21" s="13"/>
      <c r="I21" s="13"/>
      <c r="J21" s="13"/>
      <c r="K21" s="13">
        <v>0</v>
      </c>
      <c r="L21" s="13">
        <v>0</v>
      </c>
      <c r="M21" s="13">
        <v>0</v>
      </c>
      <c r="O21" s="144" t="s">
        <v>236</v>
      </c>
      <c r="P21" s="139">
        <f t="shared" si="8"/>
        <v>1022.2</v>
      </c>
      <c r="Q21" s="139">
        <f t="shared" si="8"/>
        <v>1043.3999999999999</v>
      </c>
      <c r="S21" s="144" t="s">
        <v>237</v>
      </c>
      <c r="T21" s="139">
        <f>+T13</f>
        <v>6.3169863013698624</v>
      </c>
      <c r="U21" s="139">
        <f>+U13</f>
        <v>5.1855191256830606</v>
      </c>
      <c r="V21" s="100">
        <f t="shared" si="6"/>
        <v>7.124904745452787E-2</v>
      </c>
    </row>
    <row r="22" spans="1:22" ht="15" thickBot="1">
      <c r="A22" s="126" t="s">
        <v>226</v>
      </c>
      <c r="B22" s="13">
        <v>339.43</v>
      </c>
      <c r="C22" s="13">
        <v>328.6</v>
      </c>
      <c r="D22" s="13">
        <v>333.68899999999996</v>
      </c>
      <c r="E22" s="13">
        <v>303.14</v>
      </c>
      <c r="F22" s="13">
        <v>260.16164285714285</v>
      </c>
      <c r="G22" s="13">
        <v>262.67700000000002</v>
      </c>
      <c r="H22" s="13">
        <v>242.81600000000003</v>
      </c>
      <c r="I22" s="13">
        <v>239.77916666666667</v>
      </c>
      <c r="J22" s="13">
        <v>187.17</v>
      </c>
      <c r="K22" s="13">
        <v>148.05799999999999</v>
      </c>
      <c r="L22" s="8">
        <v>122.08</v>
      </c>
      <c r="M22" s="145">
        <v>145.72</v>
      </c>
      <c r="O22" s="144" t="s">
        <v>237</v>
      </c>
      <c r="P22" s="139">
        <f>+P13</f>
        <v>2305.6999999999998</v>
      </c>
      <c r="Q22" s="139">
        <f>+Q13</f>
        <v>1897.9</v>
      </c>
      <c r="S22" s="144" t="s">
        <v>238</v>
      </c>
      <c r="T22" s="139">
        <f>+T8</f>
        <v>1.1369863013698631</v>
      </c>
      <c r="U22" s="139">
        <f>+U8</f>
        <v>3.1469945355191262</v>
      </c>
      <c r="V22" s="100">
        <f t="shared" si="6"/>
        <v>4.3239713819550663E-2</v>
      </c>
    </row>
    <row r="23" spans="1:22" ht="15" thickBot="1">
      <c r="A23" s="126" t="s">
        <v>207</v>
      </c>
      <c r="B23" s="13">
        <v>139.73900000000003</v>
      </c>
      <c r="C23" s="13">
        <v>137.77699999999999</v>
      </c>
      <c r="D23" s="13">
        <v>135.92140476190477</v>
      </c>
      <c r="E23" s="13">
        <v>126.58</v>
      </c>
      <c r="F23" s="13">
        <v>114.518</v>
      </c>
      <c r="G23" s="13">
        <v>102.08800000000001</v>
      </c>
      <c r="H23" s="13">
        <v>106.47499999999999</v>
      </c>
      <c r="I23" s="13">
        <v>111.35866666666668</v>
      </c>
      <c r="J23" s="13">
        <v>92.852999999999994</v>
      </c>
      <c r="K23" s="13">
        <v>77.64</v>
      </c>
      <c r="L23" s="8">
        <v>71.12</v>
      </c>
      <c r="M23" s="140">
        <v>74.137071428571431</v>
      </c>
      <c r="O23" s="144" t="s">
        <v>238</v>
      </c>
      <c r="P23" s="139">
        <f>+P8</f>
        <v>415</v>
      </c>
      <c r="Q23" s="139">
        <f>+Q8</f>
        <v>1151.8000000000002</v>
      </c>
      <c r="S23" s="146" t="s">
        <v>151</v>
      </c>
      <c r="T23" s="147">
        <f>+SUM(T17:T22)</f>
        <v>73.2874493150685</v>
      </c>
      <c r="U23" s="148">
        <f>+SUM(U17:U22)</f>
        <v>72.780188801717401</v>
      </c>
      <c r="V23" s="100">
        <f>+(U23/T23)-1</f>
        <v>-6.9215195520088146E-3</v>
      </c>
    </row>
    <row r="24" spans="1:22" ht="14.25">
      <c r="A24" s="149" t="s">
        <v>18</v>
      </c>
      <c r="B24" s="150">
        <f t="shared" ref="B24:L24" si="9">+B5+B9+B12+B19</f>
        <v>37982.224340000001</v>
      </c>
      <c r="C24" s="150">
        <f t="shared" si="9"/>
        <v>36366.207270000006</v>
      </c>
      <c r="D24" s="150">
        <f t="shared" si="9"/>
        <v>31637.676234761904</v>
      </c>
      <c r="E24" s="150">
        <f t="shared" si="9"/>
        <v>31961.55</v>
      </c>
      <c r="F24" s="150">
        <f t="shared" si="9"/>
        <v>29142.600812857141</v>
      </c>
      <c r="G24" s="150">
        <f t="shared" si="9"/>
        <v>27408.243569999999</v>
      </c>
      <c r="H24" s="150">
        <f t="shared" si="9"/>
        <v>28175.007420000002</v>
      </c>
      <c r="I24" s="150">
        <f t="shared" si="9"/>
        <v>29243.614703333333</v>
      </c>
      <c r="J24" s="150">
        <f t="shared" si="9"/>
        <v>29949.442999999999</v>
      </c>
      <c r="K24" s="150">
        <f t="shared" si="9"/>
        <v>28606.736580000008</v>
      </c>
      <c r="L24" s="150">
        <f t="shared" si="9"/>
        <v>26749.919999999998</v>
      </c>
      <c r="M24" s="150">
        <f>+M5+M9+M12+M19</f>
        <v>26637.549101428573</v>
      </c>
      <c r="S24" s="2"/>
    </row>
    <row r="25" spans="1:22" ht="14.25">
      <c r="A25" s="84"/>
      <c r="M25" s="151"/>
      <c r="S25" s="2"/>
    </row>
    <row r="26" spans="1:22" hidden="1">
      <c r="E26" s="107">
        <f t="shared" ref="E26:J26" si="10">+E6+E11+E14+E22</f>
        <v>16115.69</v>
      </c>
      <c r="F26" s="107">
        <f t="shared" si="10"/>
        <v>15298.417832857143</v>
      </c>
      <c r="G26" s="107">
        <f t="shared" si="10"/>
        <v>14393.67849</v>
      </c>
      <c r="H26" s="107">
        <f t="shared" si="10"/>
        <v>15018.192690000002</v>
      </c>
      <c r="I26" s="107">
        <f t="shared" si="10"/>
        <v>15143.535876666667</v>
      </c>
      <c r="J26" s="107">
        <f t="shared" si="10"/>
        <v>15198.295</v>
      </c>
    </row>
    <row r="27" spans="1:22" ht="14.25" hidden="1">
      <c r="E27" s="152">
        <v>6.3132704918032791</v>
      </c>
      <c r="F27" s="152">
        <v>6.1505972602739725</v>
      </c>
      <c r="G27" s="152">
        <v>6.5504849315068485</v>
      </c>
      <c r="H27" s="152">
        <v>6.9837123287671243</v>
      </c>
      <c r="I27" s="153">
        <v>1.4835819500390319</v>
      </c>
      <c r="J27" s="152">
        <v>2.3387178082191782</v>
      </c>
    </row>
    <row r="28" spans="1:22" hidden="1">
      <c r="E28" s="84">
        <v>366</v>
      </c>
      <c r="F28" s="84">
        <v>365</v>
      </c>
      <c r="G28" s="84">
        <v>365</v>
      </c>
      <c r="H28" s="84">
        <v>365</v>
      </c>
      <c r="I28" s="84">
        <v>366</v>
      </c>
      <c r="J28" s="84">
        <v>365</v>
      </c>
    </row>
    <row r="29" spans="1:22" hidden="1">
      <c r="E29" s="84">
        <f t="shared" ref="E29:J29" si="11">+E27*E28</f>
        <v>2310.6570000000002</v>
      </c>
      <c r="F29" s="84">
        <f t="shared" si="11"/>
        <v>2244.9679999999998</v>
      </c>
      <c r="G29" s="84">
        <f t="shared" si="11"/>
        <v>2390.9269999999997</v>
      </c>
      <c r="H29" s="84">
        <f t="shared" si="11"/>
        <v>2549.0550000000003</v>
      </c>
      <c r="I29" s="84">
        <f t="shared" si="11"/>
        <v>542.99099371428565</v>
      </c>
      <c r="J29" s="84">
        <f t="shared" si="11"/>
        <v>853.63200000000006</v>
      </c>
    </row>
    <row r="30" spans="1:22" hidden="1">
      <c r="D30" s="84" t="s">
        <v>151</v>
      </c>
      <c r="E30" s="107">
        <f t="shared" ref="E30:J30" si="12">+E26+E29</f>
        <v>18426.347000000002</v>
      </c>
      <c r="F30" s="107">
        <f t="shared" si="12"/>
        <v>17543.385832857144</v>
      </c>
      <c r="G30" s="107">
        <f t="shared" si="12"/>
        <v>16784.605490000002</v>
      </c>
      <c r="H30" s="107">
        <f t="shared" si="12"/>
        <v>17567.247690000004</v>
      </c>
      <c r="I30" s="107">
        <f t="shared" si="12"/>
        <v>15686.526870380952</v>
      </c>
      <c r="J30" s="107">
        <f t="shared" si="12"/>
        <v>16051.927</v>
      </c>
    </row>
    <row r="31" spans="1:22" hidden="1">
      <c r="E31" s="100">
        <f t="shared" ref="E31:J31" si="13">+E26/E30</f>
        <v>0.87460037521273204</v>
      </c>
      <c r="F31" s="100">
        <f t="shared" si="13"/>
        <v>0.87203336793771113</v>
      </c>
      <c r="G31" s="100">
        <f t="shared" si="13"/>
        <v>0.85755238623722929</v>
      </c>
      <c r="H31" s="100">
        <f t="shared" si="13"/>
        <v>0.85489730406368503</v>
      </c>
      <c r="I31" s="100">
        <f t="shared" si="13"/>
        <v>0.96538488103829068</v>
      </c>
      <c r="J31" s="100">
        <f t="shared" si="13"/>
        <v>0.94682059044998146</v>
      </c>
    </row>
    <row r="32" spans="1:22" hidden="1">
      <c r="F32" s="100">
        <f>+F14/F26</f>
        <v>0.95209191951320482</v>
      </c>
      <c r="G32" s="100">
        <f>+G14/G26</f>
        <v>0.95021574988646285</v>
      </c>
      <c r="H32" s="100">
        <f>+H14/H26</f>
        <v>0.95603381154913125</v>
      </c>
      <c r="I32" s="100">
        <f>+I14/I26</f>
        <v>0.95993433227166369</v>
      </c>
      <c r="J32" s="100">
        <f>+J14/J26</f>
        <v>0.96578596480723655</v>
      </c>
    </row>
    <row r="33" spans="1:1" hidden="1"/>
    <row r="34" spans="1:1" hidden="1"/>
    <row r="38" spans="1:1">
      <c r="A38" s="84"/>
    </row>
    <row r="39" spans="1:1">
      <c r="A39" s="84"/>
    </row>
    <row r="40" spans="1:1">
      <c r="A40" s="84"/>
    </row>
    <row r="41" spans="1:1">
      <c r="A41" s="84"/>
    </row>
    <row r="42" spans="1:1">
      <c r="A42" s="84"/>
    </row>
    <row r="43" spans="1:1">
      <c r="A43" s="84"/>
    </row>
    <row r="44" spans="1:1">
      <c r="A44" s="84"/>
    </row>
    <row r="45" spans="1:1">
      <c r="A45" s="84"/>
    </row>
    <row r="46" spans="1:1">
      <c r="A46" s="84"/>
    </row>
    <row r="47" spans="1:1">
      <c r="A47" s="84"/>
    </row>
    <row r="48" spans="1:1" ht="12" customHeight="1">
      <c r="A48" s="84"/>
    </row>
    <row r="49" s="84" customFormat="1"/>
    <row r="50" s="84" customFormat="1"/>
    <row r="51" s="84" customFormat="1"/>
    <row r="52" s="84" customFormat="1"/>
    <row r="53" s="84" customFormat="1"/>
    <row r="54" s="84" customFormat="1"/>
    <row r="55" s="84" customFormat="1"/>
  </sheetData>
  <mergeCells count="1">
    <mergeCell ref="A3:L3"/>
  </mergeCells>
  <pageMargins left="0.7" right="0.7" top="0.75" bottom="0.75" header="0.3" footer="0.3"/>
  <pageSetup orientation="portrait" r:id="rId1"/>
  <drawing r:id="rId2"/>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F0"/>
  </sheetPr>
  <dimension ref="A2:I81"/>
  <sheetViews>
    <sheetView zoomScaleNormal="100" workbookViewId="0">
      <selection sqref="A1:XFD1048576"/>
    </sheetView>
  </sheetViews>
  <sheetFormatPr baseColWidth="10" defaultColWidth="11.42578125" defaultRowHeight="11.25"/>
  <cols>
    <col min="1" max="1" width="38.85546875" style="85" customWidth="1"/>
    <col min="2" max="2" width="12.5703125" style="84" bestFit="1" customWidth="1"/>
    <col min="3" max="3" width="11.5703125" style="84" bestFit="1" customWidth="1"/>
    <col min="4" max="4" width="12.5703125" style="84" bestFit="1" customWidth="1"/>
    <col min="5" max="5" width="14.7109375" style="84" customWidth="1"/>
    <col min="6" max="6" width="14.5703125" style="84" customWidth="1"/>
    <col min="7" max="7" width="16.5703125" style="84" customWidth="1"/>
    <col min="8" max="16384" width="11.42578125" style="84"/>
  </cols>
  <sheetData>
    <row r="2" spans="1:7" ht="12">
      <c r="A2" s="600" t="s">
        <v>239</v>
      </c>
      <c r="B2" s="600"/>
      <c r="C2" s="600"/>
      <c r="D2" s="600"/>
      <c r="E2" s="600"/>
      <c r="F2" s="600"/>
      <c r="G2" s="600"/>
    </row>
    <row r="4" spans="1:7" ht="22.5" customHeight="1" thickBot="1">
      <c r="A4" s="601" t="s">
        <v>240</v>
      </c>
      <c r="B4" s="601"/>
      <c r="C4" s="601"/>
      <c r="D4" s="601"/>
      <c r="E4" s="601"/>
      <c r="F4" s="601"/>
      <c r="G4" s="601"/>
    </row>
    <row r="5" spans="1:7" ht="18.75" customHeight="1" thickBot="1">
      <c r="A5" s="132" t="s">
        <v>131</v>
      </c>
      <c r="B5" s="124" t="s">
        <v>129</v>
      </c>
      <c r="C5" s="124" t="s">
        <v>130</v>
      </c>
      <c r="D5" s="124" t="s">
        <v>63</v>
      </c>
      <c r="E5" s="124" t="s">
        <v>241</v>
      </c>
      <c r="F5" s="124" t="s">
        <v>64</v>
      </c>
      <c r="G5" s="124" t="s">
        <v>242</v>
      </c>
    </row>
    <row r="6" spans="1:7" ht="12" thickBot="1">
      <c r="A6" s="155" t="s">
        <v>222</v>
      </c>
      <c r="B6" s="156">
        <v>29624.783000000003</v>
      </c>
      <c r="C6" s="156">
        <v>2155.0250000000001</v>
      </c>
      <c r="D6" s="156">
        <v>8323.1249999999982</v>
      </c>
      <c r="E6" s="156">
        <v>65.364000000000004</v>
      </c>
      <c r="F6" s="156">
        <v>27724.53999999999</v>
      </c>
      <c r="G6" s="156">
        <v>67892.836999999985</v>
      </c>
    </row>
    <row r="7" spans="1:7" ht="10.5" customHeight="1" thickBot="1">
      <c r="A7" s="157" t="s">
        <v>243</v>
      </c>
      <c r="B7" s="13">
        <v>13250.626999999997</v>
      </c>
      <c r="C7" s="13">
        <v>714.43999999999994</v>
      </c>
      <c r="D7" s="13">
        <v>3769.4010000000003</v>
      </c>
      <c r="E7" s="13">
        <v>62.544000000000011</v>
      </c>
      <c r="F7" s="13">
        <v>16459.449999999993</v>
      </c>
      <c r="G7" s="13">
        <v>34256.461999999992</v>
      </c>
    </row>
    <row r="8" spans="1:7" ht="10.5" customHeight="1" thickBot="1">
      <c r="A8" s="157" t="s">
        <v>186</v>
      </c>
      <c r="B8" s="13">
        <v>1216.0630000000006</v>
      </c>
      <c r="C8" s="13"/>
      <c r="D8" s="13">
        <v>18.896999999999998</v>
      </c>
      <c r="E8" s="13"/>
      <c r="F8" s="13">
        <v>1205.56</v>
      </c>
      <c r="G8" s="13">
        <v>2440.5200000000004</v>
      </c>
    </row>
    <row r="9" spans="1:7" ht="10.5" customHeight="1" thickBot="1">
      <c r="A9" s="157" t="s">
        <v>244</v>
      </c>
      <c r="B9" s="13">
        <v>15.935999999999998</v>
      </c>
      <c r="C9" s="13"/>
      <c r="D9" s="13"/>
      <c r="E9" s="13"/>
      <c r="F9" s="13"/>
      <c r="G9" s="13">
        <v>15.935999999999998</v>
      </c>
    </row>
    <row r="10" spans="1:7" ht="10.5" customHeight="1" thickBot="1">
      <c r="A10" s="157" t="s">
        <v>93</v>
      </c>
      <c r="B10" s="13">
        <v>172.85</v>
      </c>
      <c r="C10" s="13">
        <v>102.00499999999998</v>
      </c>
      <c r="D10" s="13">
        <v>471.97899999999993</v>
      </c>
      <c r="E10" s="13">
        <v>3.5999999999999997E-2</v>
      </c>
      <c r="F10" s="13"/>
      <c r="G10" s="13">
        <v>746.86999999999978</v>
      </c>
    </row>
    <row r="11" spans="1:7" ht="10.5" customHeight="1" thickBot="1">
      <c r="A11" s="157" t="s">
        <v>98</v>
      </c>
      <c r="B11" s="13">
        <v>62.367999999999995</v>
      </c>
      <c r="C11" s="13"/>
      <c r="D11" s="13">
        <v>10.539000000000001</v>
      </c>
      <c r="E11" s="13"/>
      <c r="F11" s="13">
        <v>756.96999999999991</v>
      </c>
      <c r="G11" s="13">
        <v>829.87699999999995</v>
      </c>
    </row>
    <row r="12" spans="1:7" ht="10.5" customHeight="1" thickBot="1">
      <c r="A12" s="157" t="s">
        <v>94</v>
      </c>
      <c r="B12" s="13">
        <v>218.62800000000001</v>
      </c>
      <c r="C12" s="13">
        <v>0.64300000000000013</v>
      </c>
      <c r="D12" s="13">
        <v>34.787999999999997</v>
      </c>
      <c r="E12" s="13"/>
      <c r="F12" s="13"/>
      <c r="G12" s="13">
        <v>254.05900000000003</v>
      </c>
    </row>
    <row r="13" spans="1:7" ht="10.5" customHeight="1" thickBot="1">
      <c r="A13" s="157" t="s">
        <v>95</v>
      </c>
      <c r="B13" s="13">
        <v>271.87700000000001</v>
      </c>
      <c r="C13" s="13"/>
      <c r="D13" s="13"/>
      <c r="E13" s="13"/>
      <c r="F13" s="13"/>
      <c r="G13" s="13">
        <v>271.87700000000001</v>
      </c>
    </row>
    <row r="14" spans="1:7" ht="10.5" customHeight="1" thickBot="1">
      <c r="A14" s="157" t="s">
        <v>92</v>
      </c>
      <c r="B14" s="13">
        <v>1353.3789999999999</v>
      </c>
      <c r="C14" s="13">
        <v>20.198999999999998</v>
      </c>
      <c r="D14" s="13">
        <v>43.975000000000001</v>
      </c>
      <c r="E14" s="13"/>
      <c r="F14" s="13"/>
      <c r="G14" s="13">
        <v>1417.5529999999999</v>
      </c>
    </row>
    <row r="15" spans="1:7" ht="10.5" customHeight="1" thickBot="1">
      <c r="A15" s="157" t="s">
        <v>96</v>
      </c>
      <c r="B15" s="13">
        <v>818.58400000000006</v>
      </c>
      <c r="C15" s="13">
        <v>38.840000000000003</v>
      </c>
      <c r="D15" s="13">
        <v>113.997</v>
      </c>
      <c r="E15" s="13"/>
      <c r="F15" s="13"/>
      <c r="G15" s="13">
        <v>971.42100000000005</v>
      </c>
    </row>
    <row r="16" spans="1:7" ht="10.5" customHeight="1" thickBot="1">
      <c r="A16" s="157" t="s">
        <v>99</v>
      </c>
      <c r="B16" s="13">
        <v>476.32600000000002</v>
      </c>
      <c r="C16" s="13"/>
      <c r="D16" s="13"/>
      <c r="E16" s="13"/>
      <c r="F16" s="13"/>
      <c r="G16" s="13">
        <v>476.32600000000002</v>
      </c>
    </row>
    <row r="17" spans="1:9" ht="10.5" customHeight="1" thickBot="1">
      <c r="A17" s="157" t="s">
        <v>187</v>
      </c>
      <c r="B17" s="13">
        <v>705.96199999999999</v>
      </c>
      <c r="C17" s="13"/>
      <c r="D17" s="13">
        <v>9.1859999999999999</v>
      </c>
      <c r="E17" s="13"/>
      <c r="F17" s="13"/>
      <c r="G17" s="13">
        <v>715.14800000000002</v>
      </c>
    </row>
    <row r="18" spans="1:9" ht="10.5" customHeight="1" thickBot="1">
      <c r="A18" s="157" t="s">
        <v>103</v>
      </c>
      <c r="B18" s="13">
        <v>914.37700000000018</v>
      </c>
      <c r="C18" s="13"/>
      <c r="D18" s="13">
        <v>354.01300000000003</v>
      </c>
      <c r="E18" s="13"/>
      <c r="F18" s="13"/>
      <c r="G18" s="13">
        <v>1268.3900000000003</v>
      </c>
    </row>
    <row r="19" spans="1:9" ht="10.5" customHeight="1" thickBot="1">
      <c r="A19" s="157" t="s">
        <v>245</v>
      </c>
      <c r="B19" s="13">
        <v>15.452999999999998</v>
      </c>
      <c r="C19" s="13"/>
      <c r="D19" s="13"/>
      <c r="E19" s="13"/>
      <c r="F19" s="13"/>
      <c r="G19" s="13">
        <v>15.452999999999998</v>
      </c>
    </row>
    <row r="20" spans="1:9" ht="10.5" customHeight="1" thickBot="1">
      <c r="A20" s="157" t="s">
        <v>165</v>
      </c>
      <c r="B20" s="13">
        <v>681.81299999999999</v>
      </c>
      <c r="C20" s="13"/>
      <c r="D20" s="13"/>
      <c r="E20" s="13"/>
      <c r="F20" s="13"/>
      <c r="G20" s="13">
        <v>681.81299999999999</v>
      </c>
    </row>
    <row r="21" spans="1:9" ht="10.5" customHeight="1" thickBot="1">
      <c r="A21" s="157" t="s">
        <v>246</v>
      </c>
      <c r="B21" s="13">
        <v>2179.308</v>
      </c>
      <c r="C21" s="13"/>
      <c r="D21" s="13">
        <v>225.93599999999998</v>
      </c>
      <c r="E21" s="13"/>
      <c r="F21" s="13"/>
      <c r="G21" s="13">
        <v>2405.2440000000001</v>
      </c>
    </row>
    <row r="22" spans="1:9" ht="10.5" customHeight="1" thickBot="1">
      <c r="A22" s="157" t="s">
        <v>169</v>
      </c>
      <c r="B22" s="13">
        <v>345.70299999999997</v>
      </c>
      <c r="C22" s="13"/>
      <c r="D22" s="13">
        <v>7.1790000000000003</v>
      </c>
      <c r="E22" s="13"/>
      <c r="F22" s="13"/>
      <c r="G22" s="13">
        <v>352.88199999999995</v>
      </c>
    </row>
    <row r="23" spans="1:9" ht="10.5" customHeight="1" thickBot="1">
      <c r="A23" s="157" t="s">
        <v>170</v>
      </c>
      <c r="B23" s="13">
        <v>2.258</v>
      </c>
      <c r="C23" s="13"/>
      <c r="D23" s="13">
        <v>128.53300000000002</v>
      </c>
      <c r="E23" s="13"/>
      <c r="F23" s="13"/>
      <c r="G23" s="13">
        <v>130.79100000000003</v>
      </c>
    </row>
    <row r="24" spans="1:9" ht="10.5" customHeight="1" thickBot="1">
      <c r="A24" s="157" t="s">
        <v>77</v>
      </c>
      <c r="B24" s="13">
        <v>2171.4429999999993</v>
      </c>
      <c r="C24" s="13">
        <v>260.53200000000004</v>
      </c>
      <c r="D24" s="13">
        <v>437.01400000000007</v>
      </c>
      <c r="E24" s="13">
        <v>0.20400000000000007</v>
      </c>
      <c r="F24" s="13">
        <v>302.85000000000002</v>
      </c>
      <c r="G24" s="13">
        <v>3172.0429999999997</v>
      </c>
    </row>
    <row r="25" spans="1:9" ht="10.5" customHeight="1" thickBot="1">
      <c r="A25" s="157" t="s">
        <v>76</v>
      </c>
      <c r="B25" s="13"/>
      <c r="C25" s="13">
        <v>14.59</v>
      </c>
      <c r="D25" s="13">
        <v>474.49699999999996</v>
      </c>
      <c r="E25" s="13"/>
      <c r="F25" s="13"/>
      <c r="G25" s="13">
        <v>489.08699999999993</v>
      </c>
    </row>
    <row r="26" spans="1:9" ht="10.5" customHeight="1" thickBot="1">
      <c r="A26" s="157" t="s">
        <v>173</v>
      </c>
      <c r="B26" s="13"/>
      <c r="C26" s="13"/>
      <c r="D26" s="13"/>
      <c r="E26" s="13"/>
      <c r="F26" s="13">
        <v>4622.0000000000009</v>
      </c>
      <c r="G26" s="13">
        <v>4622.0000000000009</v>
      </c>
    </row>
    <row r="27" spans="1:9" ht="10.5" customHeight="1" thickBot="1">
      <c r="A27" s="157" t="s">
        <v>247</v>
      </c>
      <c r="B27" s="13"/>
      <c r="C27" s="13"/>
      <c r="D27" s="13"/>
      <c r="E27" s="13"/>
      <c r="F27" s="13">
        <v>0.19999999999999998</v>
      </c>
      <c r="G27" s="13">
        <v>0.19999999999999998</v>
      </c>
      <c r="I27" s="2"/>
    </row>
    <row r="28" spans="1:9" ht="10.5" customHeight="1" thickBot="1">
      <c r="A28" s="157" t="s">
        <v>248</v>
      </c>
      <c r="B28" s="13"/>
      <c r="C28" s="13"/>
      <c r="D28" s="13"/>
      <c r="E28" s="13"/>
      <c r="F28" s="13">
        <v>40.96</v>
      </c>
      <c r="G28" s="13">
        <v>40.96</v>
      </c>
    </row>
    <row r="29" spans="1:9" ht="10.5" customHeight="1" thickBot="1">
      <c r="A29" s="157" t="s">
        <v>249</v>
      </c>
      <c r="B29" s="13">
        <v>0.76800000000000024</v>
      </c>
      <c r="C29" s="13"/>
      <c r="D29" s="13"/>
      <c r="E29" s="13"/>
      <c r="F29" s="13"/>
      <c r="G29" s="13">
        <v>0.76800000000000024</v>
      </c>
    </row>
    <row r="30" spans="1:9" ht="10.5" customHeight="1" thickBot="1">
      <c r="A30" s="157" t="s">
        <v>88</v>
      </c>
      <c r="B30" s="13">
        <v>457.84600000000006</v>
      </c>
      <c r="C30" s="13"/>
      <c r="D30" s="13">
        <v>184.76999999999998</v>
      </c>
      <c r="E30" s="13"/>
      <c r="F30" s="13"/>
      <c r="G30" s="13">
        <v>642.61599999999999</v>
      </c>
    </row>
    <row r="31" spans="1:9" ht="10.5" customHeight="1" thickBot="1">
      <c r="A31" s="157" t="s">
        <v>84</v>
      </c>
      <c r="B31" s="13">
        <v>4.548</v>
      </c>
      <c r="C31" s="13">
        <v>67.353999999999999</v>
      </c>
      <c r="D31" s="13">
        <v>481.19499999999982</v>
      </c>
      <c r="E31" s="13"/>
      <c r="F31" s="13"/>
      <c r="G31" s="13">
        <v>553.09699999999987</v>
      </c>
    </row>
    <row r="32" spans="1:9" ht="10.5" customHeight="1" thickBot="1">
      <c r="A32" s="157" t="s">
        <v>83</v>
      </c>
      <c r="B32" s="13">
        <v>3.9960000000000009</v>
      </c>
      <c r="C32" s="13">
        <v>59.818999999999996</v>
      </c>
      <c r="D32" s="13">
        <v>143.50800000000001</v>
      </c>
      <c r="E32" s="13"/>
      <c r="F32" s="13">
        <v>1234.7599999999998</v>
      </c>
      <c r="G32" s="13">
        <v>1442.0829999999999</v>
      </c>
    </row>
    <row r="33" spans="1:7" ht="10.5" customHeight="1" thickBot="1">
      <c r="A33" s="157" t="s">
        <v>86</v>
      </c>
      <c r="B33" s="13"/>
      <c r="C33" s="13"/>
      <c r="D33" s="13">
        <v>170.00799999999998</v>
      </c>
      <c r="E33" s="13"/>
      <c r="F33" s="13"/>
      <c r="G33" s="13">
        <v>170.00799999999998</v>
      </c>
    </row>
    <row r="34" spans="1:7" ht="10.5" customHeight="1" thickBot="1">
      <c r="A34" s="157" t="s">
        <v>250</v>
      </c>
      <c r="B34" s="13"/>
      <c r="C34" s="13"/>
      <c r="D34" s="13"/>
      <c r="E34" s="13"/>
      <c r="F34" s="13">
        <v>262.08</v>
      </c>
      <c r="G34" s="13">
        <v>262.08</v>
      </c>
    </row>
    <row r="35" spans="1:7" ht="10.5" customHeight="1" thickBot="1">
      <c r="A35" s="157" t="s">
        <v>104</v>
      </c>
      <c r="B35" s="13">
        <v>1262.5880000000002</v>
      </c>
      <c r="C35" s="13">
        <v>800.44900000000007</v>
      </c>
      <c r="D35" s="13">
        <v>102.334</v>
      </c>
      <c r="E35" s="13">
        <v>3.5999999999999997E-2</v>
      </c>
      <c r="F35" s="13"/>
      <c r="G35" s="13">
        <v>2165.4070000000002</v>
      </c>
    </row>
    <row r="36" spans="1:7" ht="10.5" customHeight="1" thickBot="1">
      <c r="A36" s="157" t="s">
        <v>105</v>
      </c>
      <c r="B36" s="13">
        <v>713.67200000000003</v>
      </c>
      <c r="C36" s="13"/>
      <c r="D36" s="13"/>
      <c r="E36" s="13"/>
      <c r="F36" s="13"/>
      <c r="G36" s="13">
        <v>713.67200000000003</v>
      </c>
    </row>
    <row r="37" spans="1:7" ht="10.5" customHeight="1" thickBot="1">
      <c r="A37" s="157" t="s">
        <v>106</v>
      </c>
      <c r="B37" s="13">
        <v>1266.8440000000001</v>
      </c>
      <c r="C37" s="13">
        <v>5.2649999999999997</v>
      </c>
      <c r="D37" s="13">
        <v>352.07900000000001</v>
      </c>
      <c r="E37" s="13">
        <v>2.2799999999999998</v>
      </c>
      <c r="F37" s="13">
        <v>1697.4400000000003</v>
      </c>
      <c r="G37" s="13">
        <v>3323.9080000000004</v>
      </c>
    </row>
    <row r="38" spans="1:7" ht="10.5" customHeight="1" thickBot="1">
      <c r="A38" s="157" t="s">
        <v>251</v>
      </c>
      <c r="B38" s="13">
        <v>0.16800000000000004</v>
      </c>
      <c r="C38" s="13"/>
      <c r="D38" s="13"/>
      <c r="E38" s="13"/>
      <c r="F38" s="13"/>
      <c r="G38" s="13">
        <v>0.16800000000000004</v>
      </c>
    </row>
    <row r="39" spans="1:7" ht="10.5" customHeight="1" thickBot="1">
      <c r="A39" s="157" t="s">
        <v>166</v>
      </c>
      <c r="B39" s="13"/>
      <c r="C39" s="13"/>
      <c r="D39" s="13"/>
      <c r="E39" s="13"/>
      <c r="F39" s="13">
        <v>8.4300000000000015</v>
      </c>
      <c r="G39" s="13">
        <v>8.4300000000000015</v>
      </c>
    </row>
    <row r="40" spans="1:7" ht="10.5" customHeight="1" thickBot="1">
      <c r="A40" s="157" t="s">
        <v>74</v>
      </c>
      <c r="B40" s="13">
        <v>872.10599999999999</v>
      </c>
      <c r="C40" s="13">
        <v>70.88900000000001</v>
      </c>
      <c r="D40" s="13">
        <v>775.15800000000002</v>
      </c>
      <c r="E40" s="13">
        <v>0.26399999999999996</v>
      </c>
      <c r="F40" s="13">
        <v>266.01</v>
      </c>
      <c r="G40" s="13">
        <v>1984.4269999999999</v>
      </c>
    </row>
    <row r="41" spans="1:7" ht="10.5" customHeight="1" thickBot="1">
      <c r="A41" s="157" t="s">
        <v>252</v>
      </c>
      <c r="B41" s="13">
        <v>1.3920000000000003</v>
      </c>
      <c r="C41" s="13"/>
      <c r="D41" s="13"/>
      <c r="E41" s="13"/>
      <c r="F41" s="13"/>
      <c r="G41" s="13">
        <v>1.3920000000000003</v>
      </c>
    </row>
    <row r="42" spans="1:7" ht="10.5" customHeight="1" thickBot="1">
      <c r="A42" s="157" t="s">
        <v>253</v>
      </c>
      <c r="B42" s="13">
        <v>1.74</v>
      </c>
      <c r="C42" s="13"/>
      <c r="D42" s="13"/>
      <c r="E42" s="13"/>
      <c r="F42" s="13"/>
      <c r="G42" s="13">
        <v>1.74</v>
      </c>
    </row>
    <row r="43" spans="1:7" ht="10.5" customHeight="1" thickBot="1">
      <c r="A43" s="157" t="s">
        <v>254</v>
      </c>
      <c r="B43" s="13">
        <v>3.1440000000000001</v>
      </c>
      <c r="C43" s="13"/>
      <c r="D43" s="13"/>
      <c r="E43" s="13"/>
      <c r="F43" s="13"/>
      <c r="G43" s="13">
        <v>3.1440000000000001</v>
      </c>
    </row>
    <row r="44" spans="1:7" ht="10.5" customHeight="1" thickBot="1">
      <c r="A44" s="157" t="s">
        <v>255</v>
      </c>
      <c r="B44" s="13">
        <v>0.13199999999999998</v>
      </c>
      <c r="C44" s="13"/>
      <c r="D44" s="13"/>
      <c r="E44" s="13"/>
      <c r="F44" s="13"/>
      <c r="G44" s="13">
        <v>0.13199999999999998</v>
      </c>
    </row>
    <row r="45" spans="1:7" ht="10.5" customHeight="1" thickBot="1">
      <c r="A45" s="157" t="s">
        <v>101</v>
      </c>
      <c r="B45" s="13"/>
      <c r="C45" s="13"/>
      <c r="D45" s="13"/>
      <c r="E45" s="13"/>
      <c r="F45" s="13">
        <v>314.98</v>
      </c>
      <c r="G45" s="13">
        <v>314.98</v>
      </c>
    </row>
    <row r="46" spans="1:7" ht="10.5" customHeight="1" thickBot="1">
      <c r="A46" s="157" t="s">
        <v>82</v>
      </c>
      <c r="B46" s="13"/>
      <c r="C46" s="13"/>
      <c r="D46" s="13"/>
      <c r="E46" s="13"/>
      <c r="F46" s="13">
        <v>406.73000000000008</v>
      </c>
      <c r="G46" s="13">
        <v>406.73000000000008</v>
      </c>
    </row>
    <row r="47" spans="1:7" ht="10.5" customHeight="1" thickBot="1">
      <c r="A47" s="157" t="s">
        <v>147</v>
      </c>
      <c r="B47" s="13"/>
      <c r="C47" s="13"/>
      <c r="D47" s="13"/>
      <c r="E47" s="13"/>
      <c r="F47" s="13">
        <v>46.639999999999993</v>
      </c>
      <c r="G47" s="13">
        <v>46.639999999999993</v>
      </c>
    </row>
    <row r="48" spans="1:7" ht="10.5" customHeight="1" thickBot="1">
      <c r="A48" s="157" t="s">
        <v>256</v>
      </c>
      <c r="B48" s="13">
        <v>64.391000000000005</v>
      </c>
      <c r="C48" s="13"/>
      <c r="D48" s="13">
        <v>14.138999999999999</v>
      </c>
      <c r="E48" s="13"/>
      <c r="F48" s="13"/>
      <c r="G48" s="13">
        <v>78.53</v>
      </c>
    </row>
    <row r="49" spans="1:7" ht="10.5" customHeight="1" thickBot="1">
      <c r="A49" s="157" t="s">
        <v>172</v>
      </c>
      <c r="B49" s="13">
        <v>0.75800000000000001</v>
      </c>
      <c r="C49" s="13"/>
      <c r="D49" s="13"/>
      <c r="E49" s="13"/>
      <c r="F49" s="13"/>
      <c r="G49" s="13">
        <v>0.75800000000000001</v>
      </c>
    </row>
    <row r="50" spans="1:7" ht="10.5" customHeight="1" thickBot="1">
      <c r="A50" s="157" t="s">
        <v>80</v>
      </c>
      <c r="B50" s="13"/>
      <c r="C50" s="13"/>
      <c r="D50" s="13"/>
      <c r="E50" s="13"/>
      <c r="F50" s="13">
        <v>99.48</v>
      </c>
      <c r="G50" s="13">
        <v>99.48</v>
      </c>
    </row>
    <row r="51" spans="1:7" ht="10.5" customHeight="1" thickBot="1">
      <c r="A51" s="157" t="s">
        <v>89</v>
      </c>
      <c r="B51" s="13">
        <v>51.367999999999995</v>
      </c>
      <c r="C51" s="13"/>
      <c r="D51" s="13"/>
      <c r="E51" s="13"/>
      <c r="F51" s="13"/>
      <c r="G51" s="13">
        <v>51.367999999999995</v>
      </c>
    </row>
    <row r="52" spans="1:7" ht="10.5" customHeight="1" thickBot="1">
      <c r="A52" s="157" t="s">
        <v>257</v>
      </c>
      <c r="B52" s="13">
        <v>46.366999999999997</v>
      </c>
      <c r="C52" s="13"/>
      <c r="D52" s="13"/>
      <c r="E52" s="13"/>
      <c r="F52" s="13"/>
      <c r="G52" s="13">
        <v>46.366999999999997</v>
      </c>
    </row>
    <row r="53" spans="1:7" ht="10.5" customHeight="1" thickBot="1">
      <c r="A53" s="158" t="s">
        <v>228</v>
      </c>
      <c r="B53" s="156">
        <v>9241.8359999999993</v>
      </c>
      <c r="C53" s="156">
        <v>299.02599999999995</v>
      </c>
      <c r="D53" s="156">
        <v>3871.6640000000002</v>
      </c>
      <c r="E53" s="156">
        <v>0.38399999999999995</v>
      </c>
      <c r="F53" s="156">
        <v>13562.05</v>
      </c>
      <c r="G53" s="156">
        <v>26974.959999999995</v>
      </c>
    </row>
    <row r="54" spans="1:7" ht="10.5" customHeight="1" thickBot="1">
      <c r="A54" s="157" t="s">
        <v>73</v>
      </c>
      <c r="B54" s="13">
        <v>64.204000000000008</v>
      </c>
      <c r="C54" s="13"/>
      <c r="D54" s="13"/>
      <c r="E54" s="13"/>
      <c r="F54" s="13"/>
      <c r="G54" s="13">
        <v>64.204000000000008</v>
      </c>
    </row>
    <row r="55" spans="1:7" ht="10.5" customHeight="1" thickBot="1">
      <c r="A55" s="157" t="s">
        <v>140</v>
      </c>
      <c r="B55" s="13">
        <v>455.92099999999994</v>
      </c>
      <c r="C55" s="13"/>
      <c r="D55" s="13"/>
      <c r="E55" s="13"/>
      <c r="F55" s="13">
        <v>63.87</v>
      </c>
      <c r="G55" s="13">
        <v>519.79099999999994</v>
      </c>
    </row>
    <row r="56" spans="1:7" ht="10.5" customHeight="1" thickBot="1">
      <c r="A56" s="157" t="s">
        <v>117</v>
      </c>
      <c r="B56" s="13">
        <v>627.279</v>
      </c>
      <c r="C56" s="13"/>
      <c r="D56" s="13">
        <v>523.05700000000002</v>
      </c>
      <c r="E56" s="13"/>
      <c r="F56" s="13">
        <v>834.51</v>
      </c>
      <c r="G56" s="13">
        <v>1984.846</v>
      </c>
    </row>
    <row r="57" spans="1:7" ht="10.5" customHeight="1" thickBot="1">
      <c r="A57" s="157" t="s">
        <v>116</v>
      </c>
      <c r="B57" s="13">
        <v>1251.6489999999999</v>
      </c>
      <c r="C57" s="13">
        <v>64.334000000000003</v>
      </c>
      <c r="D57" s="13">
        <v>646.15099999999995</v>
      </c>
      <c r="E57" s="13"/>
      <c r="F57" s="13">
        <v>2859.2499999999995</v>
      </c>
      <c r="G57" s="13">
        <v>4821.384</v>
      </c>
    </row>
    <row r="58" spans="1:7" ht="10.5" customHeight="1" thickBot="1">
      <c r="A58" s="157" t="s">
        <v>149</v>
      </c>
      <c r="B58" s="13">
        <v>249.48700000000002</v>
      </c>
      <c r="C58" s="13">
        <v>112.851</v>
      </c>
      <c r="D58" s="13">
        <v>17.594999999999999</v>
      </c>
      <c r="E58" s="13"/>
      <c r="F58" s="13"/>
      <c r="G58" s="13">
        <v>379.93299999999999</v>
      </c>
    </row>
    <row r="59" spans="1:7" ht="10.5" customHeight="1" thickBot="1">
      <c r="A59" s="157" t="s">
        <v>152</v>
      </c>
      <c r="B59" s="13">
        <v>36.576000000000008</v>
      </c>
      <c r="C59" s="13">
        <v>75.130999999999986</v>
      </c>
      <c r="D59" s="13">
        <v>34.58400000000001</v>
      </c>
      <c r="E59" s="13">
        <v>0.26399999999999996</v>
      </c>
      <c r="F59" s="13"/>
      <c r="G59" s="13">
        <v>146.55500000000001</v>
      </c>
    </row>
    <row r="60" spans="1:7" ht="10.5" customHeight="1" thickBot="1">
      <c r="A60" s="157" t="s">
        <v>111</v>
      </c>
      <c r="B60" s="13">
        <v>2530.4989999999998</v>
      </c>
      <c r="C60" s="13"/>
      <c r="D60" s="13">
        <v>1184.8710000000001</v>
      </c>
      <c r="E60" s="13"/>
      <c r="F60" s="13">
        <v>6685.41</v>
      </c>
      <c r="G60" s="13">
        <v>10400.779999999999</v>
      </c>
    </row>
    <row r="61" spans="1:7" ht="10.5" customHeight="1" thickBot="1">
      <c r="A61" s="157" t="s">
        <v>153</v>
      </c>
      <c r="B61" s="13">
        <v>27.156000000000002</v>
      </c>
      <c r="C61" s="13"/>
      <c r="D61" s="13">
        <v>1.6E-2</v>
      </c>
      <c r="E61" s="13"/>
      <c r="F61" s="13"/>
      <c r="G61" s="13">
        <v>27.172000000000001</v>
      </c>
    </row>
    <row r="62" spans="1:7" ht="10.5" customHeight="1" thickBot="1">
      <c r="A62" s="157" t="s">
        <v>258</v>
      </c>
      <c r="B62" s="13"/>
      <c r="C62" s="13"/>
      <c r="D62" s="13">
        <v>2.1839999999999997</v>
      </c>
      <c r="E62" s="13"/>
      <c r="F62" s="13"/>
      <c r="G62" s="13">
        <v>2.1839999999999997</v>
      </c>
    </row>
    <row r="63" spans="1:7" ht="10.5" customHeight="1" thickBot="1">
      <c r="A63" s="157" t="s">
        <v>154</v>
      </c>
      <c r="B63" s="13"/>
      <c r="C63" s="13"/>
      <c r="D63" s="13">
        <v>367.25400000000002</v>
      </c>
      <c r="E63" s="13"/>
      <c r="F63" s="13">
        <v>138.70999999999998</v>
      </c>
      <c r="G63" s="13">
        <v>505.964</v>
      </c>
    </row>
    <row r="64" spans="1:7" ht="10.5" customHeight="1" thickBot="1">
      <c r="A64" s="157" t="s">
        <v>119</v>
      </c>
      <c r="B64" s="13">
        <v>2375.165</v>
      </c>
      <c r="C64" s="13">
        <v>20.64</v>
      </c>
      <c r="D64" s="13">
        <v>428.2700000000001</v>
      </c>
      <c r="E64" s="13"/>
      <c r="F64" s="13">
        <v>1025.5899999999999</v>
      </c>
      <c r="G64" s="13">
        <v>3849.665</v>
      </c>
    </row>
    <row r="65" spans="1:7" ht="10.5" customHeight="1" thickBot="1">
      <c r="A65" s="157" t="s">
        <v>115</v>
      </c>
      <c r="B65" s="13"/>
      <c r="C65" s="13"/>
      <c r="D65" s="13">
        <v>198.57399999999993</v>
      </c>
      <c r="E65" s="13"/>
      <c r="F65" s="13"/>
      <c r="G65" s="13">
        <v>198.57399999999993</v>
      </c>
    </row>
    <row r="66" spans="1:7" ht="10.5" customHeight="1" thickBot="1">
      <c r="A66" s="157" t="s">
        <v>259</v>
      </c>
      <c r="B66" s="13">
        <v>7.7880000000000003</v>
      </c>
      <c r="C66" s="13"/>
      <c r="D66" s="13"/>
      <c r="E66" s="13"/>
      <c r="F66" s="13"/>
      <c r="G66" s="13">
        <v>7.7880000000000003</v>
      </c>
    </row>
    <row r="67" spans="1:7" ht="10.5" customHeight="1" thickBot="1">
      <c r="A67" s="157" t="s">
        <v>121</v>
      </c>
      <c r="B67" s="13">
        <v>4.1639999999999997</v>
      </c>
      <c r="C67" s="13"/>
      <c r="D67" s="13">
        <v>33.39</v>
      </c>
      <c r="E67" s="13"/>
      <c r="F67" s="13"/>
      <c r="G67" s="13">
        <v>37.554000000000002</v>
      </c>
    </row>
    <row r="68" spans="1:7" ht="10.5" customHeight="1" thickBot="1">
      <c r="A68" s="157" t="s">
        <v>122</v>
      </c>
      <c r="B68" s="13">
        <v>9.1669999999999998</v>
      </c>
      <c r="C68" s="13"/>
      <c r="D68" s="13">
        <v>46.54699999999999</v>
      </c>
      <c r="E68" s="13"/>
      <c r="F68" s="13"/>
      <c r="G68" s="13">
        <v>55.713999999999992</v>
      </c>
    </row>
    <row r="69" spans="1:7" ht="10.5" customHeight="1" thickBot="1">
      <c r="A69" s="157" t="s">
        <v>107</v>
      </c>
      <c r="B69" s="13">
        <v>829.03399999999988</v>
      </c>
      <c r="C69" s="13">
        <v>26.069999999999993</v>
      </c>
      <c r="D69" s="13">
        <v>0.192</v>
      </c>
      <c r="E69" s="13">
        <v>0.11999999999999998</v>
      </c>
      <c r="F69" s="13">
        <v>1556.1800000000003</v>
      </c>
      <c r="G69" s="13">
        <v>2411.596</v>
      </c>
    </row>
    <row r="70" spans="1:7" ht="10.5" customHeight="1" thickBot="1">
      <c r="A70" s="157" t="s">
        <v>156</v>
      </c>
      <c r="B70" s="13"/>
      <c r="C70" s="13"/>
      <c r="D70" s="13"/>
      <c r="E70" s="13"/>
      <c r="F70" s="13">
        <v>10.420000000000002</v>
      </c>
      <c r="G70" s="13">
        <v>10.420000000000002</v>
      </c>
    </row>
    <row r="71" spans="1:7" ht="10.5" customHeight="1" thickBot="1">
      <c r="A71" s="157" t="s">
        <v>113</v>
      </c>
      <c r="B71" s="13"/>
      <c r="C71" s="13"/>
      <c r="D71" s="13">
        <v>32.160000000000004</v>
      </c>
      <c r="E71" s="13"/>
      <c r="F71" s="13"/>
      <c r="G71" s="13">
        <v>32.160000000000004</v>
      </c>
    </row>
    <row r="72" spans="1:7" ht="10.5" customHeight="1" thickBot="1">
      <c r="A72" s="157" t="s">
        <v>157</v>
      </c>
      <c r="B72" s="13">
        <v>0.26399999999999996</v>
      </c>
      <c r="C72" s="13"/>
      <c r="D72" s="13">
        <v>34.230999999999995</v>
      </c>
      <c r="E72" s="13"/>
      <c r="F72" s="13"/>
      <c r="G72" s="13">
        <v>34.494999999999997</v>
      </c>
    </row>
    <row r="73" spans="1:7" ht="10.5" customHeight="1" thickBot="1">
      <c r="A73" s="157" t="s">
        <v>158</v>
      </c>
      <c r="B73" s="13"/>
      <c r="C73" s="13"/>
      <c r="D73" s="13"/>
      <c r="E73" s="13"/>
      <c r="F73" s="13">
        <v>388.10999999999996</v>
      </c>
      <c r="G73" s="13">
        <v>388.10999999999996</v>
      </c>
    </row>
    <row r="74" spans="1:7" ht="10.5" customHeight="1" thickBot="1">
      <c r="A74" s="157" t="s">
        <v>114</v>
      </c>
      <c r="B74" s="13"/>
      <c r="C74" s="13"/>
      <c r="D74" s="13">
        <v>60.296999999999997</v>
      </c>
      <c r="E74" s="13"/>
      <c r="F74" s="13"/>
      <c r="G74" s="13">
        <v>60.296999999999997</v>
      </c>
    </row>
    <row r="75" spans="1:7" ht="10.5" customHeight="1" thickBot="1">
      <c r="A75" s="157" t="s">
        <v>160</v>
      </c>
      <c r="B75" s="13"/>
      <c r="C75" s="13"/>
      <c r="D75" s="13">
        <v>208.60299999999998</v>
      </c>
      <c r="E75" s="13"/>
      <c r="F75" s="13"/>
      <c r="G75" s="13">
        <v>208.60299999999998</v>
      </c>
    </row>
    <row r="76" spans="1:7" ht="10.5" customHeight="1" thickBot="1">
      <c r="A76" s="157" t="s">
        <v>161</v>
      </c>
      <c r="B76" s="13"/>
      <c r="C76" s="13"/>
      <c r="D76" s="13">
        <v>53.687999999999995</v>
      </c>
      <c r="E76" s="13"/>
      <c r="F76" s="13"/>
      <c r="G76" s="13">
        <v>53.687999999999995</v>
      </c>
    </row>
    <row r="77" spans="1:7" ht="10.5" customHeight="1" thickBot="1">
      <c r="A77" s="157" t="s">
        <v>260</v>
      </c>
      <c r="B77" s="13">
        <v>773.48299999999995</v>
      </c>
      <c r="C77" s="13"/>
      <c r="D77" s="13"/>
      <c r="E77" s="13"/>
      <c r="F77" s="13"/>
      <c r="G77" s="13">
        <v>773.48299999999995</v>
      </c>
    </row>
    <row r="78" spans="1:7" ht="10.5" customHeight="1">
      <c r="A78" s="149" t="s">
        <v>151</v>
      </c>
      <c r="B78" s="159">
        <v>38866.619000000006</v>
      </c>
      <c r="C78" s="159">
        <v>2454.0509999999999</v>
      </c>
      <c r="D78" s="159">
        <v>12194.788999999997</v>
      </c>
      <c r="E78" s="159">
        <v>65.748000000000005</v>
      </c>
      <c r="F78" s="159">
        <v>41286.589999999982</v>
      </c>
      <c r="G78" s="159">
        <v>94867.796999999991</v>
      </c>
    </row>
    <row r="79" spans="1:7">
      <c r="B79" s="100">
        <f>+B78/$G$78</f>
        <v>0.40969243757183493</v>
      </c>
      <c r="C79" s="100">
        <f t="shared" ref="C79:F79" si="0">+C78/$G$78</f>
        <v>2.5868114129392085E-2</v>
      </c>
      <c r="D79" s="100">
        <f t="shared" si="0"/>
        <v>0.12854508469296486</v>
      </c>
      <c r="E79" s="100">
        <f t="shared" si="0"/>
        <v>6.930486643428645E-4</v>
      </c>
      <c r="F79" s="100">
        <f t="shared" si="0"/>
        <v>0.43520131494146519</v>
      </c>
    </row>
    <row r="81" spans="4:4">
      <c r="D81" s="100"/>
    </row>
  </sheetData>
  <mergeCells count="2">
    <mergeCell ref="A2:G2"/>
    <mergeCell ref="A4:G4"/>
  </mergeCells>
  <pageMargins left="0.7" right="0.7" top="0.75" bottom="0.75" header="0.3" footer="0.3"/>
  <pageSetup orientation="portrait"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F0"/>
  </sheetPr>
  <dimension ref="A1:Y32"/>
  <sheetViews>
    <sheetView zoomScale="85" zoomScaleNormal="85" workbookViewId="0">
      <selection sqref="A1:XFD1048576"/>
    </sheetView>
  </sheetViews>
  <sheetFormatPr baseColWidth="10" defaultColWidth="11.42578125" defaultRowHeight="11.25"/>
  <cols>
    <col min="1" max="1" width="21.28515625" style="84" customWidth="1"/>
    <col min="2" max="13" width="11.5703125" style="84" bestFit="1" customWidth="1"/>
    <col min="14" max="14" width="11.42578125" style="84"/>
    <col min="15" max="15" width="18.42578125" style="84" customWidth="1"/>
    <col min="16" max="16" width="13.85546875" style="84" customWidth="1"/>
    <col min="17" max="18" width="11.5703125" style="84" bestFit="1" customWidth="1"/>
    <col min="19" max="19" width="13.85546875" style="84" bestFit="1" customWidth="1"/>
    <col min="20" max="22" width="11.5703125" style="84" bestFit="1" customWidth="1"/>
    <col min="23" max="23" width="19.85546875" style="84" customWidth="1"/>
    <col min="24" max="25" width="11.5703125" style="84" bestFit="1" customWidth="1"/>
    <col min="26" max="16384" width="11.42578125" style="84"/>
  </cols>
  <sheetData>
    <row r="1" spans="1:25" ht="12">
      <c r="A1" s="600" t="s">
        <v>261</v>
      </c>
      <c r="B1" s="600"/>
      <c r="C1" s="600"/>
      <c r="D1" s="600"/>
      <c r="E1" s="600"/>
      <c r="F1" s="600"/>
      <c r="G1" s="600"/>
      <c r="H1" s="600"/>
      <c r="I1" s="600"/>
      <c r="J1" s="600"/>
      <c r="K1" s="600"/>
    </row>
    <row r="2" spans="1:25">
      <c r="P2" s="84">
        <v>2023</v>
      </c>
      <c r="Q2" s="84">
        <v>2023</v>
      </c>
      <c r="S2" s="84">
        <v>2024</v>
      </c>
      <c r="T2" s="84">
        <v>2024</v>
      </c>
    </row>
    <row r="3" spans="1:25" ht="12" customHeight="1">
      <c r="A3" s="589" t="s">
        <v>262</v>
      </c>
      <c r="B3" s="590"/>
      <c r="C3" s="590"/>
      <c r="D3" s="590"/>
      <c r="E3" s="590"/>
      <c r="F3" s="590"/>
      <c r="G3" s="590"/>
      <c r="H3" s="590"/>
      <c r="I3" s="590"/>
      <c r="J3" s="590"/>
      <c r="K3" s="590"/>
      <c r="L3" s="590"/>
      <c r="M3" s="117"/>
      <c r="O3" s="160" t="s">
        <v>263</v>
      </c>
      <c r="P3" s="160" t="s">
        <v>264</v>
      </c>
      <c r="Q3" s="160" t="s">
        <v>265</v>
      </c>
      <c r="R3" s="160" t="s">
        <v>134</v>
      </c>
      <c r="S3" s="160" t="s">
        <v>264</v>
      </c>
      <c r="T3" s="160" t="s">
        <v>265</v>
      </c>
      <c r="U3" s="160" t="s">
        <v>134</v>
      </c>
      <c r="W3" s="160" t="s">
        <v>263</v>
      </c>
      <c r="X3" s="160" t="s">
        <v>265</v>
      </c>
      <c r="Y3" s="160" t="s">
        <v>134</v>
      </c>
    </row>
    <row r="4" spans="1:25" ht="15" thickBot="1">
      <c r="A4" s="161" t="s">
        <v>266</v>
      </c>
      <c r="B4" s="119">
        <v>2013</v>
      </c>
      <c r="C4" s="119">
        <v>2014</v>
      </c>
      <c r="D4" s="119">
        <v>2015</v>
      </c>
      <c r="E4" s="119">
        <v>2016</v>
      </c>
      <c r="F4" s="119">
        <v>2017</v>
      </c>
      <c r="G4" s="119">
        <v>2018</v>
      </c>
      <c r="H4" s="119">
        <v>2019</v>
      </c>
      <c r="I4" s="119">
        <v>2020</v>
      </c>
      <c r="J4" s="119">
        <v>2021</v>
      </c>
      <c r="K4" s="119">
        <v>2022</v>
      </c>
      <c r="L4" s="119">
        <v>2023</v>
      </c>
      <c r="M4" s="119">
        <v>2024</v>
      </c>
      <c r="O4" s="162" t="s">
        <v>138</v>
      </c>
      <c r="P4" s="163">
        <f>+L5</f>
        <v>23973.672342040176</v>
      </c>
      <c r="Q4" s="163">
        <f t="shared" ref="Q4:Q6" si="0">+P4/365</f>
        <v>65.681294087781311</v>
      </c>
      <c r="R4" s="164">
        <f>+P4/$P$11</f>
        <v>0.2376311631705951</v>
      </c>
      <c r="S4" s="163">
        <f>+M5</f>
        <v>24882.148345474881</v>
      </c>
      <c r="T4" s="163">
        <f>+S4/366</f>
        <v>67.984011872882192</v>
      </c>
      <c r="U4" s="164">
        <f>+S4/$S$11</f>
        <v>0.23845433499221286</v>
      </c>
      <c r="V4" s="165">
        <f>+(T4/Q4)-1</f>
        <v>3.5058958826593267E-2</v>
      </c>
      <c r="W4" s="162" t="s">
        <v>138</v>
      </c>
      <c r="X4" s="163">
        <f>+M5/366</f>
        <v>67.984011872882192</v>
      </c>
      <c r="Y4" s="164">
        <f>+X4/$X$12</f>
        <v>0.23845345648024788</v>
      </c>
    </row>
    <row r="5" spans="1:25" ht="23.25" thickBot="1">
      <c r="A5" s="126" t="s">
        <v>267</v>
      </c>
      <c r="B5" s="13">
        <v>17959.599999999999</v>
      </c>
      <c r="C5" s="13">
        <v>18242.63</v>
      </c>
      <c r="D5" s="13">
        <v>18869.400000000001</v>
      </c>
      <c r="E5" s="13">
        <v>20018.45</v>
      </c>
      <c r="F5" s="13">
        <v>20831.27</v>
      </c>
      <c r="G5" s="13">
        <v>22266.04</v>
      </c>
      <c r="H5" s="13">
        <v>23157.71</v>
      </c>
      <c r="I5" s="13">
        <v>20542.91</v>
      </c>
      <c r="J5" s="13">
        <v>22846.33</v>
      </c>
      <c r="K5" s="13">
        <v>23361.25</v>
      </c>
      <c r="L5" s="13">
        <v>23973.672342040176</v>
      </c>
      <c r="M5" s="13">
        <v>24882.148345474881</v>
      </c>
      <c r="O5" s="162" t="s">
        <v>146</v>
      </c>
      <c r="P5" s="163">
        <f>L21+L22+L26</f>
        <v>48344.06</v>
      </c>
      <c r="Q5" s="163">
        <f t="shared" si="0"/>
        <v>132.44947945205479</v>
      </c>
      <c r="R5" s="164">
        <f>+P5/$P$11</f>
        <v>0.47919463677843016</v>
      </c>
      <c r="S5" s="163">
        <f>M21+M22+M26</f>
        <v>49436.35</v>
      </c>
      <c r="T5" s="163">
        <f t="shared" ref="T5:T11" si="1">+S5/366</f>
        <v>135.07199453551911</v>
      </c>
      <c r="U5" s="164">
        <f t="shared" ref="U5:U11" si="2">+S5/$S$11</f>
        <v>0.47376584208156319</v>
      </c>
      <c r="V5" s="165">
        <f t="shared" ref="V5:V11" si="3">+(T5/Q5)-1</f>
        <v>1.9800116197615125E-2</v>
      </c>
      <c r="W5" s="162" t="s">
        <v>146</v>
      </c>
      <c r="X5" s="163">
        <f>SUM(M21:M23)/366</f>
        <v>134.68860655737706</v>
      </c>
      <c r="Y5" s="164">
        <f t="shared" ref="Y5:Y12" si="4">+X5/$X$12</f>
        <v>0.47241936592632477</v>
      </c>
    </row>
    <row r="6" spans="1:25" ht="15" thickBot="1">
      <c r="A6" s="126" t="s">
        <v>268</v>
      </c>
      <c r="B6" s="8" t="s">
        <v>215</v>
      </c>
      <c r="C6" s="8" t="s">
        <v>215</v>
      </c>
      <c r="D6" s="8" t="s">
        <v>215</v>
      </c>
      <c r="E6" s="8" t="s">
        <v>215</v>
      </c>
      <c r="F6" s="8" t="s">
        <v>215</v>
      </c>
      <c r="G6" s="8" t="s">
        <v>215</v>
      </c>
      <c r="H6" s="8" t="s">
        <v>215</v>
      </c>
      <c r="I6" s="8">
        <v>9.43</v>
      </c>
      <c r="J6" s="8" t="s">
        <v>215</v>
      </c>
      <c r="K6" s="8" t="s">
        <v>269</v>
      </c>
      <c r="L6" s="13">
        <v>0</v>
      </c>
      <c r="M6" s="13"/>
      <c r="O6" s="162" t="s">
        <v>270</v>
      </c>
      <c r="P6" s="163">
        <f>SUM(L6:L19)</f>
        <v>19206.45</v>
      </c>
      <c r="Q6" s="163">
        <f t="shared" si="0"/>
        <v>52.62041095890411</v>
      </c>
      <c r="R6" s="164">
        <f t="shared" ref="R6:R10" si="5">+P6/$P$11</f>
        <v>0.19037763546448272</v>
      </c>
      <c r="S6" s="163">
        <f>SUM(M6:M19)</f>
        <v>19897.565859999999</v>
      </c>
      <c r="T6" s="163">
        <f t="shared" si="1"/>
        <v>54.364934043715841</v>
      </c>
      <c r="U6" s="164">
        <f t="shared" si="2"/>
        <v>0.1906853367013597</v>
      </c>
      <c r="V6" s="165">
        <f t="shared" si="3"/>
        <v>3.3152973399888097E-2</v>
      </c>
      <c r="W6" s="162" t="s">
        <v>270</v>
      </c>
      <c r="X6" s="163" cm="1">
        <f t="array" ref="X6">+SUM(M6:M19/366)</f>
        <v>54.364934043715841</v>
      </c>
      <c r="Y6" s="164">
        <f t="shared" si="4"/>
        <v>0.19068463417963852</v>
      </c>
    </row>
    <row r="7" spans="1:25" ht="15" thickBot="1">
      <c r="A7" s="126" t="s">
        <v>271</v>
      </c>
      <c r="B7" s="8">
        <v>0.12</v>
      </c>
      <c r="C7" s="8">
        <v>15.63</v>
      </c>
      <c r="D7" s="8">
        <v>4.29</v>
      </c>
      <c r="E7" s="8">
        <v>1.54</v>
      </c>
      <c r="F7" s="8">
        <v>0.28999999999999998</v>
      </c>
      <c r="G7" s="8">
        <v>0.26</v>
      </c>
      <c r="H7" s="8">
        <v>0.04</v>
      </c>
      <c r="I7" s="8">
        <v>18.7</v>
      </c>
      <c r="J7" s="8">
        <v>21.36</v>
      </c>
      <c r="K7" s="8">
        <v>37.1</v>
      </c>
      <c r="L7" s="13">
        <v>0.08</v>
      </c>
      <c r="M7" s="13"/>
      <c r="O7" s="162" t="s">
        <v>144</v>
      </c>
      <c r="P7" s="163">
        <f>+L20</f>
        <v>7317.3</v>
      </c>
      <c r="Q7" s="163">
        <f>+P7/365</f>
        <v>20.047397260273971</v>
      </c>
      <c r="R7" s="164">
        <f t="shared" si="5"/>
        <v>7.2530336006094792E-2</v>
      </c>
      <c r="S7" s="163">
        <f>+M20</f>
        <v>7467.22</v>
      </c>
      <c r="T7" s="163">
        <f t="shared" si="1"/>
        <v>20.402240437158472</v>
      </c>
      <c r="U7" s="164">
        <f t="shared" si="2"/>
        <v>7.1560982380541663E-2</v>
      </c>
      <c r="V7" s="165">
        <f t="shared" si="3"/>
        <v>1.7700211767023744E-2</v>
      </c>
      <c r="W7" s="162" t="s">
        <v>144</v>
      </c>
      <c r="X7" s="163">
        <f>+M20/366</f>
        <v>20.402240437158472</v>
      </c>
      <c r="Y7" s="164">
        <f t="shared" si="4"/>
        <v>7.1560718736019324E-2</v>
      </c>
    </row>
    <row r="8" spans="1:25" ht="15" thickBot="1">
      <c r="A8" s="126" t="s">
        <v>272</v>
      </c>
      <c r="B8" s="8">
        <v>3.9</v>
      </c>
      <c r="C8" s="8">
        <v>38.29</v>
      </c>
      <c r="D8" s="8">
        <v>6.79</v>
      </c>
      <c r="E8" s="8">
        <v>15.01</v>
      </c>
      <c r="F8" s="8">
        <v>13.62</v>
      </c>
      <c r="G8" s="8">
        <v>15.55</v>
      </c>
      <c r="H8" s="8">
        <v>24.84</v>
      </c>
      <c r="I8" s="8">
        <v>58.46</v>
      </c>
      <c r="J8" s="8">
        <v>149.44999999999999</v>
      </c>
      <c r="K8" s="8">
        <v>41.19</v>
      </c>
      <c r="L8" s="13">
        <v>5.3</v>
      </c>
      <c r="M8" s="13"/>
      <c r="O8" s="162" t="s">
        <v>147</v>
      </c>
      <c r="P8" s="163">
        <f>+L24+L25</f>
        <v>900.05</v>
      </c>
      <c r="Q8" s="163">
        <f t="shared" ref="Q8:Q9" si="6">+P8/365</f>
        <v>2.4658904109589042</v>
      </c>
      <c r="R8" s="164">
        <f t="shared" si="5"/>
        <v>8.9214503877503466E-3</v>
      </c>
      <c r="S8" s="163">
        <f>+M24+M25</f>
        <v>1333.7029999999997</v>
      </c>
      <c r="T8" s="163">
        <f t="shared" si="1"/>
        <v>3.6439972677595622</v>
      </c>
      <c r="U8" s="164">
        <f t="shared" si="2"/>
        <v>1.2781342572453407E-2</v>
      </c>
      <c r="V8" s="165">
        <f t="shared" si="3"/>
        <v>0.47776123852257113</v>
      </c>
      <c r="W8" s="162" t="s">
        <v>147</v>
      </c>
      <c r="X8" s="163">
        <f>+SUM(M24:M25)/366</f>
        <v>3.6439972677595622</v>
      </c>
      <c r="Y8" s="164">
        <f t="shared" si="4"/>
        <v>1.2781295483511288E-2</v>
      </c>
    </row>
    <row r="9" spans="1:25" ht="15" thickBot="1">
      <c r="A9" s="126" t="s">
        <v>273</v>
      </c>
      <c r="B9" s="8">
        <v>586.48</v>
      </c>
      <c r="C9" s="8">
        <v>685.45</v>
      </c>
      <c r="D9" s="8">
        <v>788.8</v>
      </c>
      <c r="E9" s="8">
        <v>958.8</v>
      </c>
      <c r="F9" s="13">
        <v>1082.08</v>
      </c>
      <c r="G9" s="13">
        <v>1249.6099999999999</v>
      </c>
      <c r="H9" s="13">
        <v>1426.38</v>
      </c>
      <c r="I9" s="13">
        <v>1277.75</v>
      </c>
      <c r="J9" s="13">
        <v>1845.35</v>
      </c>
      <c r="K9" s="13">
        <v>1755.85</v>
      </c>
      <c r="L9" s="13">
        <v>235.04</v>
      </c>
      <c r="M9" s="13"/>
      <c r="O9" s="162" t="s">
        <v>274</v>
      </c>
      <c r="P9" s="163">
        <f>+L27+L28</f>
        <v>1058.3399999999999</v>
      </c>
      <c r="Q9" s="163">
        <f t="shared" si="6"/>
        <v>2.8995616438356162</v>
      </c>
      <c r="R9" s="164">
        <f t="shared" si="5"/>
        <v>1.049044808996356E-2</v>
      </c>
      <c r="S9" s="163">
        <f>+M27+M28</f>
        <v>1261.3580000000002</v>
      </c>
      <c r="T9" s="163">
        <f t="shared" si="1"/>
        <v>3.4463333333333339</v>
      </c>
      <c r="U9" s="164">
        <f t="shared" si="2"/>
        <v>1.208803512064132E-2</v>
      </c>
      <c r="V9" s="165">
        <f t="shared" si="3"/>
        <v>0.18857046569785418</v>
      </c>
      <c r="W9" s="162" t="s">
        <v>274</v>
      </c>
      <c r="X9" s="163">
        <f>+SUM(M27:M28)/366</f>
        <v>3.4463333333333339</v>
      </c>
      <c r="Y9" s="164">
        <f t="shared" si="4"/>
        <v>1.2087990585978165E-2</v>
      </c>
    </row>
    <row r="10" spans="1:25" ht="15" thickBot="1">
      <c r="A10" s="126" t="s">
        <v>275</v>
      </c>
      <c r="B10" s="13">
        <v>1344.41</v>
      </c>
      <c r="C10" s="13">
        <v>1255.29</v>
      </c>
      <c r="D10" s="13">
        <v>1263.58</v>
      </c>
      <c r="E10" s="13">
        <v>1316.66</v>
      </c>
      <c r="F10" s="13">
        <v>1355.46</v>
      </c>
      <c r="G10" s="13">
        <v>1351.99</v>
      </c>
      <c r="H10" s="13">
        <v>1357.43</v>
      </c>
      <c r="I10" s="13">
        <v>1154.49</v>
      </c>
      <c r="J10" s="13">
        <v>1261.8599999999999</v>
      </c>
      <c r="K10" s="13">
        <v>1175.1099999999999</v>
      </c>
      <c r="L10" s="13">
        <v>1178.55</v>
      </c>
      <c r="M10" s="13">
        <v>910.58799999999997</v>
      </c>
      <c r="O10" s="162" t="s">
        <v>150</v>
      </c>
      <c r="P10" s="163">
        <f>+L29</f>
        <v>86.19</v>
      </c>
      <c r="Q10" s="163">
        <f>+P10/365</f>
        <v>0.23613698630136987</v>
      </c>
      <c r="R10" s="164">
        <f t="shared" si="5"/>
        <v>8.5433010268340923E-4</v>
      </c>
      <c r="S10" s="163">
        <f>+M29</f>
        <v>69.3</v>
      </c>
      <c r="T10" s="163">
        <f t="shared" si="1"/>
        <v>0.18934426229508197</v>
      </c>
      <c r="U10" s="164">
        <f t="shared" si="2"/>
        <v>6.64126151227838E-4</v>
      </c>
      <c r="V10" s="165">
        <f t="shared" si="3"/>
        <v>-0.19815923265222279</v>
      </c>
      <c r="W10" s="162" t="s">
        <v>276</v>
      </c>
      <c r="X10" s="163">
        <f>+M26/365</f>
        <v>0.38443835616438354</v>
      </c>
      <c r="Y10" s="164">
        <f t="shared" si="4"/>
        <v>1.3484149038216428E-3</v>
      </c>
    </row>
    <row r="11" spans="1:25" ht="15" thickBot="1">
      <c r="A11" s="126" t="s">
        <v>277</v>
      </c>
      <c r="B11" s="8">
        <v>301.60000000000002</v>
      </c>
      <c r="C11" s="8">
        <v>291.2</v>
      </c>
      <c r="D11" s="8">
        <v>335.2</v>
      </c>
      <c r="E11" s="8">
        <v>360.2</v>
      </c>
      <c r="F11" s="8">
        <v>347.2</v>
      </c>
      <c r="G11" s="8">
        <v>333.01</v>
      </c>
      <c r="H11" s="8">
        <v>306.18</v>
      </c>
      <c r="I11" s="8">
        <v>181.04</v>
      </c>
      <c r="J11" s="8">
        <v>244.65</v>
      </c>
      <c r="K11" s="8">
        <v>235.68</v>
      </c>
      <c r="L11" s="13">
        <v>18.91</v>
      </c>
      <c r="M11" s="13"/>
      <c r="O11" s="162" t="s">
        <v>151</v>
      </c>
      <c r="P11" s="163">
        <f>+SUM(P4:P10)</f>
        <v>100886.06234204017</v>
      </c>
      <c r="Q11" s="163">
        <f>+P11/365</f>
        <v>276.40017080011006</v>
      </c>
      <c r="R11" s="164">
        <f>+SUM(R4:R10)</f>
        <v>1.0000000000000002</v>
      </c>
      <c r="S11" s="163">
        <f>+SUM(S4:S10)</f>
        <v>104347.64520547488</v>
      </c>
      <c r="T11" s="163">
        <f t="shared" si="1"/>
        <v>285.10285575266363</v>
      </c>
      <c r="U11" s="164">
        <f t="shared" si="2"/>
        <v>1</v>
      </c>
      <c r="V11" s="165">
        <f t="shared" si="3"/>
        <v>3.1485816117122756E-2</v>
      </c>
      <c r="W11" s="162" t="s">
        <v>150</v>
      </c>
      <c r="X11" s="163">
        <f>+SUM(M29)/366</f>
        <v>0.18934426229508197</v>
      </c>
      <c r="Y11" s="164">
        <f t="shared" si="4"/>
        <v>6.6412370445843828E-4</v>
      </c>
    </row>
    <row r="12" spans="1:25" ht="15" thickBot="1">
      <c r="A12" s="126" t="s">
        <v>278</v>
      </c>
      <c r="B12" s="8">
        <v>497.96</v>
      </c>
      <c r="C12" s="8">
        <v>536.16999999999996</v>
      </c>
      <c r="D12" s="8">
        <v>668.14</v>
      </c>
      <c r="E12" s="8">
        <v>741.63</v>
      </c>
      <c r="F12" s="8">
        <v>765.58</v>
      </c>
      <c r="G12" s="8">
        <v>805.11</v>
      </c>
      <c r="H12" s="8">
        <v>788.54</v>
      </c>
      <c r="I12" s="8">
        <v>601.54999999999995</v>
      </c>
      <c r="J12" s="8">
        <v>758.47</v>
      </c>
      <c r="K12" s="8">
        <v>726.59</v>
      </c>
      <c r="L12" s="13">
        <v>93.1</v>
      </c>
      <c r="M12" s="13"/>
      <c r="T12" s="107"/>
      <c r="W12" s="162" t="s">
        <v>151</v>
      </c>
      <c r="X12" s="163">
        <f>+SUM(X4:X11)</f>
        <v>285.10390613068591</v>
      </c>
      <c r="Y12" s="164">
        <f t="shared" si="4"/>
        <v>1</v>
      </c>
    </row>
    <row r="13" spans="1:25" ht="12" thickBot="1">
      <c r="A13" s="126" t="s">
        <v>279</v>
      </c>
      <c r="B13" s="13">
        <v>1408.78</v>
      </c>
      <c r="C13" s="13">
        <v>1716.07</v>
      </c>
      <c r="D13" s="13">
        <v>2224.02</v>
      </c>
      <c r="E13" s="13">
        <v>2828.78</v>
      </c>
      <c r="F13" s="13">
        <v>3216.37</v>
      </c>
      <c r="G13" s="13">
        <v>3515.02</v>
      </c>
      <c r="H13" s="13">
        <v>3900.99</v>
      </c>
      <c r="I13" s="13">
        <v>2996.66</v>
      </c>
      <c r="J13" s="13">
        <v>4581.78</v>
      </c>
      <c r="K13" s="13">
        <v>4965.68</v>
      </c>
      <c r="L13" s="13">
        <v>840.38</v>
      </c>
      <c r="M13" s="13"/>
    </row>
    <row r="14" spans="1:25" ht="12" thickBot="1">
      <c r="A14" s="126" t="s">
        <v>280</v>
      </c>
      <c r="B14" s="13">
        <v>5519.16</v>
      </c>
      <c r="C14" s="13">
        <v>5948.11</v>
      </c>
      <c r="D14" s="13">
        <v>7074.33</v>
      </c>
      <c r="E14" s="13">
        <v>8238.3700000000008</v>
      </c>
      <c r="F14" s="13">
        <v>8732.09</v>
      </c>
      <c r="G14" s="13">
        <v>9344.48</v>
      </c>
      <c r="H14" s="13">
        <v>9638.66</v>
      </c>
      <c r="I14" s="13">
        <v>7426.37</v>
      </c>
      <c r="J14" s="13">
        <v>9442.68</v>
      </c>
      <c r="K14" s="13">
        <v>9522.31</v>
      </c>
      <c r="L14" s="13">
        <v>1448.01</v>
      </c>
      <c r="M14" s="13"/>
    </row>
    <row r="15" spans="1:25" ht="12" thickBot="1">
      <c r="A15" s="126" t="s">
        <v>281</v>
      </c>
      <c r="B15" s="13">
        <v>3304.7</v>
      </c>
      <c r="C15" s="13">
        <v>3019.56</v>
      </c>
      <c r="D15" s="13">
        <v>2605</v>
      </c>
      <c r="E15" s="13">
        <v>2313.83</v>
      </c>
      <c r="F15" s="13">
        <v>1925.75</v>
      </c>
      <c r="G15" s="13">
        <v>1649.77</v>
      </c>
      <c r="H15" s="13">
        <v>1334.42</v>
      </c>
      <c r="I15" s="8">
        <v>969.85</v>
      </c>
      <c r="J15" s="8">
        <v>818.47</v>
      </c>
      <c r="K15" s="8">
        <v>960.93</v>
      </c>
      <c r="L15" s="13">
        <v>613.49</v>
      </c>
      <c r="M15" s="13"/>
    </row>
    <row r="16" spans="1:25" ht="12" thickBot="1">
      <c r="A16" s="157" t="s">
        <v>282</v>
      </c>
      <c r="B16" s="13"/>
      <c r="C16" s="13"/>
      <c r="D16" s="13"/>
      <c r="E16" s="13"/>
      <c r="F16" s="13"/>
      <c r="G16" s="13"/>
      <c r="H16" s="13"/>
      <c r="I16" s="8"/>
      <c r="J16" s="8"/>
      <c r="K16" s="8"/>
      <c r="L16" s="13">
        <v>48.37</v>
      </c>
      <c r="M16" s="13">
        <v>56.183999999999997</v>
      </c>
    </row>
    <row r="17" spans="1:13" ht="12" thickBot="1">
      <c r="A17" s="157" t="s">
        <v>283</v>
      </c>
      <c r="B17" s="13"/>
      <c r="C17" s="13"/>
      <c r="D17" s="13"/>
      <c r="E17" s="13"/>
      <c r="F17" s="13"/>
      <c r="G17" s="13"/>
      <c r="H17" s="13"/>
      <c r="I17" s="8"/>
      <c r="J17" s="8"/>
      <c r="K17" s="8"/>
      <c r="L17" s="13">
        <v>1215.27</v>
      </c>
      <c r="M17" s="13">
        <v>1682.403</v>
      </c>
    </row>
    <row r="18" spans="1:13" ht="12" thickBot="1">
      <c r="A18" s="157" t="s">
        <v>284</v>
      </c>
      <c r="B18" s="13"/>
      <c r="C18" s="13"/>
      <c r="D18" s="13"/>
      <c r="E18" s="13"/>
      <c r="F18" s="13"/>
      <c r="G18" s="13"/>
      <c r="H18" s="13"/>
      <c r="I18" s="8"/>
      <c r="J18" s="8"/>
      <c r="K18" s="8"/>
      <c r="L18" s="13">
        <v>5410.56</v>
      </c>
      <c r="M18" s="13">
        <v>7035.7114799999963</v>
      </c>
    </row>
    <row r="19" spans="1:13" ht="12" thickBot="1">
      <c r="A19" s="157" t="s">
        <v>285</v>
      </c>
      <c r="B19" s="13"/>
      <c r="C19" s="13"/>
      <c r="D19" s="13"/>
      <c r="E19" s="13"/>
      <c r="F19" s="13"/>
      <c r="G19" s="13"/>
      <c r="H19" s="13"/>
      <c r="I19" s="8"/>
      <c r="J19" s="8"/>
      <c r="K19" s="8"/>
      <c r="L19" s="13">
        <v>8099.39</v>
      </c>
      <c r="M19" s="13">
        <v>10212.679380000001</v>
      </c>
    </row>
    <row r="20" spans="1:13" ht="23.25" thickBot="1">
      <c r="A20" s="126" t="s">
        <v>286</v>
      </c>
      <c r="B20" s="13">
        <v>6065.23</v>
      </c>
      <c r="C20" s="13">
        <v>6686.73</v>
      </c>
      <c r="D20" s="13">
        <v>7042.32</v>
      </c>
      <c r="E20" s="13">
        <v>7808.09</v>
      </c>
      <c r="F20" s="13">
        <v>7945.62</v>
      </c>
      <c r="G20" s="13">
        <v>8242.66</v>
      </c>
      <c r="H20" s="13">
        <v>8400.6299999999992</v>
      </c>
      <c r="I20" s="13">
        <v>2875.62</v>
      </c>
      <c r="J20" s="13">
        <v>4032.46</v>
      </c>
      <c r="K20" s="13">
        <v>5541.32</v>
      </c>
      <c r="L20" s="13">
        <v>7317.3</v>
      </c>
      <c r="M20" s="13">
        <v>7467.22</v>
      </c>
    </row>
    <row r="21" spans="1:13" ht="12" thickBot="1">
      <c r="A21" s="126" t="s">
        <v>287</v>
      </c>
      <c r="B21" s="13">
        <v>18289.939999999999</v>
      </c>
      <c r="C21" s="13">
        <v>17773.96</v>
      </c>
      <c r="D21" s="13">
        <v>18774.009999999998</v>
      </c>
      <c r="E21" s="13">
        <v>13634.78</v>
      </c>
      <c r="F21" s="13">
        <v>5798.11</v>
      </c>
      <c r="G21" s="13">
        <v>3783.06</v>
      </c>
      <c r="H21" s="13">
        <v>3877.48</v>
      </c>
      <c r="I21" s="13">
        <v>1888.84</v>
      </c>
      <c r="J21" s="13">
        <v>1570.65</v>
      </c>
      <c r="K21" s="13">
        <v>2157.9699999999998</v>
      </c>
      <c r="L21" s="13">
        <v>1564.74</v>
      </c>
      <c r="M21" s="13">
        <v>1706.26</v>
      </c>
    </row>
    <row r="22" spans="1:13">
      <c r="A22" s="604" t="s">
        <v>288</v>
      </c>
      <c r="B22" s="602">
        <v>19092.84</v>
      </c>
      <c r="C22" s="602">
        <v>18760.740000000002</v>
      </c>
      <c r="D22" s="602">
        <v>20874.330000000002</v>
      </c>
      <c r="E22" s="602">
        <v>28075.84</v>
      </c>
      <c r="F22" s="602">
        <v>35855.480000000003</v>
      </c>
      <c r="G22" s="602">
        <v>37693.519999999997</v>
      </c>
      <c r="H22" s="602">
        <v>38981.43</v>
      </c>
      <c r="I22" s="602">
        <v>33743.89</v>
      </c>
      <c r="J22" s="602">
        <v>43716.04</v>
      </c>
      <c r="K22" s="602">
        <v>44270.12</v>
      </c>
      <c r="L22" s="602">
        <v>46591.199999999997</v>
      </c>
      <c r="M22" s="602">
        <v>47589.77</v>
      </c>
    </row>
    <row r="23" spans="1:13" ht="10.5" customHeight="1" thickBot="1">
      <c r="A23" s="605"/>
      <c r="B23" s="603"/>
      <c r="C23" s="603"/>
      <c r="D23" s="603"/>
      <c r="E23" s="603"/>
      <c r="F23" s="603"/>
      <c r="G23" s="603"/>
      <c r="H23" s="603"/>
      <c r="I23" s="603"/>
      <c r="J23" s="603"/>
      <c r="K23" s="603"/>
      <c r="L23" s="603"/>
      <c r="M23" s="603"/>
    </row>
    <row r="24" spans="1:13" ht="12" thickBot="1">
      <c r="A24" s="126" t="s">
        <v>289</v>
      </c>
      <c r="B24" s="13">
        <v>1156.01</v>
      </c>
      <c r="C24" s="8">
        <v>877.52</v>
      </c>
      <c r="D24" s="8">
        <v>792.03</v>
      </c>
      <c r="E24" s="8">
        <v>757.4</v>
      </c>
      <c r="F24" s="8">
        <v>843.41</v>
      </c>
      <c r="G24" s="13">
        <v>1182.51</v>
      </c>
      <c r="H24" s="8">
        <v>984.52</v>
      </c>
      <c r="I24" s="13">
        <v>1020.88</v>
      </c>
      <c r="J24" s="13">
        <v>1100.69</v>
      </c>
      <c r="K24" s="13">
        <v>944.08</v>
      </c>
      <c r="L24" s="13">
        <v>749.51</v>
      </c>
      <c r="M24" s="13">
        <v>1068.6949999999997</v>
      </c>
    </row>
    <row r="25" spans="1:13" ht="12" thickBot="1">
      <c r="A25" s="126" t="s">
        <v>290</v>
      </c>
      <c r="B25" s="13">
        <v>1444.37</v>
      </c>
      <c r="C25" s="8">
        <v>721.7</v>
      </c>
      <c r="D25" s="8">
        <v>757.56</v>
      </c>
      <c r="E25" s="8">
        <v>698.5</v>
      </c>
      <c r="F25" s="8">
        <v>668.12</v>
      </c>
      <c r="G25" s="8">
        <v>771.24</v>
      </c>
      <c r="H25" s="8">
        <v>609.36</v>
      </c>
      <c r="I25" s="8">
        <v>316.86</v>
      </c>
      <c r="J25" s="8">
        <v>369.29</v>
      </c>
      <c r="K25" s="13">
        <v>339.69</v>
      </c>
      <c r="L25" s="13">
        <v>150.54</v>
      </c>
      <c r="M25" s="13">
        <v>265.00799999999998</v>
      </c>
    </row>
    <row r="26" spans="1:13" ht="23.25" thickBot="1">
      <c r="A26" s="126" t="s">
        <v>291</v>
      </c>
      <c r="B26" s="13">
        <v>1554.97</v>
      </c>
      <c r="C26" s="8">
        <v>924.17</v>
      </c>
      <c r="D26" s="13">
        <v>1069.72</v>
      </c>
      <c r="E26" s="13">
        <v>1363.47</v>
      </c>
      <c r="F26" s="13">
        <v>1241.69</v>
      </c>
      <c r="G26" s="13">
        <v>1114.46</v>
      </c>
      <c r="H26" s="13">
        <v>1329.76</v>
      </c>
      <c r="I26" s="8">
        <v>793.05</v>
      </c>
      <c r="J26" s="8">
        <v>56.97</v>
      </c>
      <c r="K26" s="8">
        <v>129.38999999999999</v>
      </c>
      <c r="L26" s="13">
        <v>188.12</v>
      </c>
      <c r="M26" s="13">
        <v>140.32</v>
      </c>
    </row>
    <row r="27" spans="1:13" ht="15" thickBot="1">
      <c r="A27" s="126" t="s">
        <v>292</v>
      </c>
      <c r="B27" s="8">
        <v>222.5</v>
      </c>
      <c r="C27" s="8">
        <v>221.59</v>
      </c>
      <c r="D27" s="8">
        <v>163.13999999999999</v>
      </c>
      <c r="E27" s="8">
        <v>151.63999999999999</v>
      </c>
      <c r="F27" s="8">
        <v>173.66</v>
      </c>
      <c r="G27" s="8">
        <v>171.63</v>
      </c>
      <c r="H27" s="8">
        <v>160.41</v>
      </c>
      <c r="I27" s="167">
        <v>71.69</v>
      </c>
      <c r="J27" s="8">
        <v>126.55</v>
      </c>
      <c r="K27" s="8">
        <v>131.71</v>
      </c>
      <c r="L27" s="13">
        <v>110.1</v>
      </c>
      <c r="M27" s="13">
        <v>93.310999999999993</v>
      </c>
    </row>
    <row r="28" spans="1:13" ht="12" thickBot="1">
      <c r="A28" s="126" t="s">
        <v>293</v>
      </c>
      <c r="B28" s="13">
        <v>1133.01</v>
      </c>
      <c r="C28" s="13">
        <v>1447.51</v>
      </c>
      <c r="D28" s="13">
        <v>1246.8399999999999</v>
      </c>
      <c r="E28" s="13">
        <v>1171.25</v>
      </c>
      <c r="F28" s="13">
        <v>1473.91</v>
      </c>
      <c r="G28" s="13">
        <v>1478.3</v>
      </c>
      <c r="H28" s="13">
        <v>1342.63</v>
      </c>
      <c r="I28" s="8">
        <v>686.07</v>
      </c>
      <c r="J28" s="13">
        <v>1030.51</v>
      </c>
      <c r="K28" s="8">
        <v>1186.45</v>
      </c>
      <c r="L28" s="13">
        <v>948.24</v>
      </c>
      <c r="M28" s="13">
        <v>1168.0470000000003</v>
      </c>
    </row>
    <row r="29" spans="1:13" ht="12" thickBot="1">
      <c r="A29" s="126" t="s">
        <v>203</v>
      </c>
      <c r="B29" s="8">
        <v>924.04</v>
      </c>
      <c r="C29" s="8">
        <v>698.06</v>
      </c>
      <c r="D29" s="8">
        <v>697.14</v>
      </c>
      <c r="E29" s="8">
        <v>460.59</v>
      </c>
      <c r="F29" s="8">
        <v>492.59</v>
      </c>
      <c r="G29" s="8">
        <v>456.57</v>
      </c>
      <c r="H29" s="8">
        <v>578.16</v>
      </c>
      <c r="I29" s="8">
        <v>295.29000000000002</v>
      </c>
      <c r="J29" s="8">
        <v>115.85</v>
      </c>
      <c r="K29" s="8">
        <v>110.66</v>
      </c>
      <c r="L29" s="13">
        <v>86.19</v>
      </c>
      <c r="M29" s="13">
        <v>69.3</v>
      </c>
    </row>
    <row r="30" spans="1:13" ht="12" thickBot="1">
      <c r="A30" s="118" t="s">
        <v>18</v>
      </c>
      <c r="B30" s="168">
        <v>80809.62</v>
      </c>
      <c r="C30" s="168">
        <v>79860.38</v>
      </c>
      <c r="D30" s="168">
        <v>85256.65</v>
      </c>
      <c r="E30" s="168">
        <v>90914.82</v>
      </c>
      <c r="F30" s="168">
        <v>92762.29</v>
      </c>
      <c r="G30" s="168">
        <v>95424.79</v>
      </c>
      <c r="H30" s="168">
        <v>98199.56</v>
      </c>
      <c r="I30" s="168">
        <v>76929.39</v>
      </c>
      <c r="J30" s="168">
        <v>94089.42</v>
      </c>
      <c r="K30" s="168">
        <v>97593.06</v>
      </c>
      <c r="L30" s="168">
        <v>100886.04</v>
      </c>
      <c r="M30" s="168">
        <f>+SUM(M5:M29)</f>
        <v>104347.64520547491</v>
      </c>
    </row>
    <row r="31" spans="1:13" ht="12" thickBot="1">
      <c r="A31" s="128" t="s">
        <v>294</v>
      </c>
      <c r="B31" s="169">
        <v>221.4</v>
      </c>
      <c r="C31" s="169">
        <v>218.8</v>
      </c>
      <c r="D31" s="169">
        <v>233.58</v>
      </c>
      <c r="E31" s="169">
        <v>248.4</v>
      </c>
      <c r="F31" s="169">
        <v>254.14</v>
      </c>
      <c r="G31" s="169">
        <v>261.44</v>
      </c>
      <c r="H31" s="169">
        <v>269.04000000000002</v>
      </c>
      <c r="I31" s="169">
        <v>210.19</v>
      </c>
      <c r="J31" s="169">
        <v>257.77999999999997</v>
      </c>
      <c r="K31" s="169">
        <v>267.38</v>
      </c>
      <c r="L31" s="170">
        <v>276.39999999999998</v>
      </c>
      <c r="M31" s="170">
        <f>+M30/366</f>
        <v>285.10285575266369</v>
      </c>
    </row>
    <row r="32" spans="1:13">
      <c r="M32" s="171"/>
    </row>
  </sheetData>
  <mergeCells count="15">
    <mergeCell ref="M22:M23"/>
    <mergeCell ref="A1:K1"/>
    <mergeCell ref="A3:L3"/>
    <mergeCell ref="A22:A23"/>
    <mergeCell ref="B22:B23"/>
    <mergeCell ref="C22:C23"/>
    <mergeCell ref="D22:D23"/>
    <mergeCell ref="E22:E23"/>
    <mergeCell ref="F22:F23"/>
    <mergeCell ref="G22:G23"/>
    <mergeCell ref="H22:H23"/>
    <mergeCell ref="I22:I23"/>
    <mergeCell ref="J22:J23"/>
    <mergeCell ref="K22:K23"/>
    <mergeCell ref="L22:L23"/>
  </mergeCells>
  <pageMargins left="0.7" right="0.7" top="0.75" bottom="0.75" header="0.3" footer="0.3"/>
  <pageSetup orientation="portrait" r:id="rId1"/>
  <drawing r:id="rId2"/>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F0"/>
  </sheetPr>
  <dimension ref="A1:I27"/>
  <sheetViews>
    <sheetView zoomScale="130" zoomScaleNormal="130" workbookViewId="0">
      <selection sqref="A1:XFD1048576"/>
    </sheetView>
  </sheetViews>
  <sheetFormatPr baseColWidth="10" defaultColWidth="11.42578125" defaultRowHeight="11.25"/>
  <cols>
    <col min="1" max="16384" width="11.42578125" style="84"/>
  </cols>
  <sheetData>
    <row r="1" spans="1:8" ht="12">
      <c r="A1" s="600" t="s">
        <v>295</v>
      </c>
      <c r="B1" s="600"/>
      <c r="C1" s="600"/>
      <c r="D1" s="600"/>
      <c r="E1" s="600"/>
      <c r="F1" s="600"/>
      <c r="G1" s="600"/>
      <c r="H1" s="600"/>
    </row>
    <row r="2" spans="1:8" ht="12" thickBot="1"/>
    <row r="3" spans="1:8" ht="23.25" thickBot="1">
      <c r="A3" s="606">
        <v>2024</v>
      </c>
      <c r="B3" s="593" t="s">
        <v>296</v>
      </c>
      <c r="C3" s="594"/>
      <c r="D3" s="606" t="s">
        <v>297</v>
      </c>
      <c r="E3" s="123" t="s">
        <v>138</v>
      </c>
      <c r="F3" s="123" t="s">
        <v>298</v>
      </c>
      <c r="G3" s="123" t="s">
        <v>16</v>
      </c>
      <c r="H3" s="172"/>
    </row>
    <row r="4" spans="1:8" ht="23.25" thickBot="1">
      <c r="A4" s="607"/>
      <c r="B4" s="119" t="s">
        <v>299</v>
      </c>
      <c r="C4" s="119" t="s">
        <v>300</v>
      </c>
      <c r="D4" s="607"/>
      <c r="E4" s="119" t="s">
        <v>301</v>
      </c>
      <c r="F4" s="119" t="s">
        <v>302</v>
      </c>
      <c r="G4" s="119" t="s">
        <v>303</v>
      </c>
      <c r="H4" s="172"/>
    </row>
    <row r="5" spans="1:8" ht="12" thickBot="1">
      <c r="A5" s="126" t="s">
        <v>304</v>
      </c>
      <c r="B5" s="173">
        <v>15.95595887007449</v>
      </c>
      <c r="C5" s="173">
        <v>17.399144147350899</v>
      </c>
      <c r="D5" s="173">
        <v>17.141760537657294</v>
      </c>
      <c r="E5" s="173">
        <v>45.752864067136237</v>
      </c>
      <c r="F5" s="173">
        <v>7.1878069521356194</v>
      </c>
      <c r="G5" s="173">
        <v>1.7153589703263716</v>
      </c>
      <c r="H5" s="174"/>
    </row>
    <row r="6" spans="1:8" ht="12" thickBot="1">
      <c r="A6" s="126" t="s">
        <v>305</v>
      </c>
      <c r="B6" s="173">
        <v>15.685924789106744</v>
      </c>
      <c r="C6" s="173">
        <v>17.386687937238246</v>
      </c>
      <c r="D6" s="173">
        <v>16.875397678241399</v>
      </c>
      <c r="E6" s="173">
        <v>46.584458875188389</v>
      </c>
      <c r="F6" s="173">
        <v>7.5649770189643677</v>
      </c>
      <c r="G6" s="173">
        <v>1.714719571244349</v>
      </c>
      <c r="H6" s="174"/>
    </row>
    <row r="7" spans="1:8" ht="12" thickBot="1">
      <c r="A7" s="126" t="s">
        <v>306</v>
      </c>
      <c r="B7" s="173">
        <v>16.070930971791039</v>
      </c>
      <c r="C7" s="173">
        <v>18.094235505264034</v>
      </c>
      <c r="D7" s="173">
        <v>17.376056895181666</v>
      </c>
      <c r="E7" s="173">
        <v>47.480501968159849</v>
      </c>
      <c r="F7" s="173">
        <v>7.6395477677993924</v>
      </c>
      <c r="G7" s="173">
        <v>1.7262840974245437</v>
      </c>
      <c r="H7" s="174"/>
    </row>
    <row r="8" spans="1:8" ht="12" thickBot="1">
      <c r="A8" s="126" t="s">
        <v>307</v>
      </c>
      <c r="B8" s="173">
        <v>16.772557645491673</v>
      </c>
      <c r="C8" s="173">
        <v>18.742045498773049</v>
      </c>
      <c r="D8" s="173">
        <v>17.395887750699078</v>
      </c>
      <c r="E8" s="173">
        <v>48.609948886430026</v>
      </c>
      <c r="F8" s="173">
        <v>7.4872276671797842</v>
      </c>
      <c r="G8" s="173">
        <v>1.7407290886045415</v>
      </c>
      <c r="H8" s="174"/>
    </row>
    <row r="9" spans="1:8" ht="12" thickBot="1">
      <c r="A9" s="126" t="s">
        <v>308</v>
      </c>
      <c r="B9" s="173">
        <v>16.662603885282412</v>
      </c>
      <c r="C9" s="173">
        <v>18.521098376687458</v>
      </c>
      <c r="D9" s="173">
        <v>17.155211887126523</v>
      </c>
      <c r="E9" s="173">
        <v>49.94044709081269</v>
      </c>
      <c r="F9" s="173">
        <v>7.3424730794669717</v>
      </c>
      <c r="G9" s="173">
        <v>1.7407503672778417</v>
      </c>
      <c r="H9" s="174"/>
    </row>
    <row r="10" spans="1:8" ht="12" thickBot="1">
      <c r="A10" s="126" t="s">
        <v>309</v>
      </c>
      <c r="B10" s="173">
        <v>16.333266616643851</v>
      </c>
      <c r="C10" s="173">
        <v>18.077996864487282</v>
      </c>
      <c r="D10" s="173">
        <v>16.816617447973456</v>
      </c>
      <c r="E10" s="173">
        <v>49.823006963471805</v>
      </c>
      <c r="F10" s="173">
        <v>7.2279543396881545</v>
      </c>
      <c r="G10" s="173">
        <v>1.7619657039114038</v>
      </c>
      <c r="H10" s="174"/>
    </row>
    <row r="11" spans="1:8" ht="12" thickBot="1">
      <c r="A11" s="126" t="s">
        <v>310</v>
      </c>
      <c r="B11" s="173">
        <v>16.395716409376664</v>
      </c>
      <c r="C11" s="173">
        <v>18.008583381754821</v>
      </c>
      <c r="D11" s="173">
        <v>16.482352015494421</v>
      </c>
      <c r="E11" s="173">
        <v>51.611156186613051</v>
      </c>
      <c r="F11" s="173">
        <v>7.2266636769747752</v>
      </c>
      <c r="G11" s="173">
        <v>1.7455819320804582</v>
      </c>
      <c r="H11" s="174"/>
    </row>
    <row r="12" spans="1:8" ht="12" thickBot="1">
      <c r="A12" s="126" t="s">
        <v>311</v>
      </c>
      <c r="B12" s="173">
        <v>16.382569638811049</v>
      </c>
      <c r="C12" s="173">
        <v>17.948830661457652</v>
      </c>
      <c r="D12" s="173">
        <v>16.62054521276572</v>
      </c>
      <c r="E12" s="173">
        <v>51.920912315030314</v>
      </c>
      <c r="F12" s="173">
        <v>7.2507952600692729</v>
      </c>
      <c r="G12" s="173">
        <v>1.7484413180303675</v>
      </c>
      <c r="H12" s="174"/>
    </row>
    <row r="13" spans="1:8" ht="12" thickBot="1">
      <c r="A13" s="126" t="s">
        <v>312</v>
      </c>
      <c r="B13" s="173">
        <v>15.710883109846847</v>
      </c>
      <c r="C13" s="173">
        <v>17.099509521852376</v>
      </c>
      <c r="D13" s="173">
        <v>15.849103625463831</v>
      </c>
      <c r="E13" s="173">
        <v>52.090634108923702</v>
      </c>
      <c r="F13" s="173">
        <v>7.2143114803895321</v>
      </c>
      <c r="G13" s="173">
        <v>1.7526335877862589</v>
      </c>
      <c r="H13" s="174"/>
    </row>
    <row r="14" spans="1:8" ht="12" thickBot="1">
      <c r="A14" s="126" t="s">
        <v>313</v>
      </c>
      <c r="B14" s="173">
        <v>15.24884183673465</v>
      </c>
      <c r="C14" s="173">
        <v>16.546607119741338</v>
      </c>
      <c r="D14" s="173">
        <v>15.423384615384816</v>
      </c>
      <c r="E14" s="173">
        <v>52.949287257019428</v>
      </c>
      <c r="F14" s="173">
        <v>7.4026826721893384</v>
      </c>
      <c r="G14" s="173">
        <v>1.7455819320804582</v>
      </c>
      <c r="H14" s="174"/>
    </row>
    <row r="15" spans="1:8" ht="12" thickBot="1">
      <c r="A15" s="126" t="s">
        <v>314</v>
      </c>
      <c r="B15" s="173">
        <v>15.15369428571425</v>
      </c>
      <c r="C15" s="173">
        <v>16.404795389049053</v>
      </c>
      <c r="D15" s="173">
        <v>15.246927890769609</v>
      </c>
      <c r="E15" s="173">
        <v>53.90796042617928</v>
      </c>
      <c r="F15" s="173">
        <v>7.5979586338942866</v>
      </c>
      <c r="G15" s="173">
        <v>1.7484413180303675</v>
      </c>
      <c r="H15" s="174"/>
    </row>
    <row r="16" spans="1:8" ht="12" thickBot="1">
      <c r="A16" s="126" t="s">
        <v>315</v>
      </c>
      <c r="B16" s="173">
        <v>15.079663840982338</v>
      </c>
      <c r="C16" s="173">
        <v>16.390475276752941</v>
      </c>
      <c r="D16" s="173">
        <v>15.424342008528273</v>
      </c>
      <c r="E16" s="173">
        <v>54.368791732908875</v>
      </c>
      <c r="F16" s="173">
        <v>7.6134162161979164</v>
      </c>
      <c r="G16" s="173">
        <v>1.7526335877862589</v>
      </c>
      <c r="H16" s="174"/>
    </row>
    <row r="19" spans="1:9">
      <c r="A19" s="175" t="s">
        <v>316</v>
      </c>
    </row>
    <row r="27" spans="1:9" ht="14.25">
      <c r="I27" s="2"/>
    </row>
  </sheetData>
  <mergeCells count="4">
    <mergeCell ref="A1:H1"/>
    <mergeCell ref="A3:A4"/>
    <mergeCell ref="B3:C3"/>
    <mergeCell ref="D3:D4"/>
  </mergeCells>
  <pageMargins left="0.7" right="0.7" top="0.75" bottom="0.75" header="0.3" footer="0.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F0"/>
  </sheetPr>
  <dimension ref="A1:I27"/>
  <sheetViews>
    <sheetView zoomScale="145" zoomScaleNormal="145" workbookViewId="0">
      <selection sqref="A1:XFD1048576"/>
    </sheetView>
  </sheetViews>
  <sheetFormatPr baseColWidth="10" defaultColWidth="11.42578125" defaultRowHeight="11.25"/>
  <cols>
    <col min="1" max="1" width="11.42578125" style="12"/>
    <col min="2" max="3" width="16" style="12" customWidth="1"/>
    <col min="4" max="4" width="15.28515625" style="12" customWidth="1"/>
    <col min="5" max="5" width="15.5703125" style="12" bestFit="1" customWidth="1"/>
    <col min="6" max="6" width="12.85546875" style="12" customWidth="1"/>
    <col min="7" max="16384" width="11.42578125" style="12"/>
  </cols>
  <sheetData>
    <row r="1" spans="1:6" ht="12">
      <c r="A1" s="600" t="s">
        <v>317</v>
      </c>
      <c r="B1" s="600"/>
      <c r="C1" s="600"/>
      <c r="D1" s="600"/>
      <c r="E1" s="600"/>
      <c r="F1" s="600"/>
    </row>
    <row r="2" spans="1:6" ht="12" thickBot="1"/>
    <row r="3" spans="1:6" ht="21" customHeight="1" thickBot="1">
      <c r="A3" s="606">
        <v>2024</v>
      </c>
      <c r="B3" s="608" t="s">
        <v>296</v>
      </c>
      <c r="C3" s="609"/>
      <c r="D3" s="606" t="s">
        <v>318</v>
      </c>
      <c r="E3" s="123" t="s">
        <v>138</v>
      </c>
      <c r="F3" s="123" t="s">
        <v>298</v>
      </c>
    </row>
    <row r="4" spans="1:6" ht="12" thickBot="1">
      <c r="A4" s="607"/>
      <c r="B4" s="119" t="s">
        <v>299</v>
      </c>
      <c r="C4" s="119" t="s">
        <v>300</v>
      </c>
      <c r="D4" s="607"/>
      <c r="E4" s="119" t="s">
        <v>301</v>
      </c>
      <c r="F4" s="119" t="s">
        <v>302</v>
      </c>
    </row>
    <row r="5" spans="1:6" ht="12" thickBot="1">
      <c r="A5" s="126" t="s">
        <v>304</v>
      </c>
      <c r="B5" s="173">
        <v>15.469536977947017</v>
      </c>
      <c r="C5" s="173">
        <v>16.887566754555575</v>
      </c>
      <c r="D5" s="173">
        <v>16.355673257816584</v>
      </c>
      <c r="E5" s="173">
        <v>42.132594838004451</v>
      </c>
      <c r="F5" s="173">
        <v>7.3620007995674328</v>
      </c>
    </row>
    <row r="6" spans="1:6" ht="12" thickBot="1">
      <c r="A6" s="126" t="s">
        <v>305</v>
      </c>
      <c r="B6" s="173">
        <v>15.451058232832334</v>
      </c>
      <c r="C6" s="173">
        <v>17.015037505103422</v>
      </c>
      <c r="D6" s="173">
        <v>16.136157927144932</v>
      </c>
      <c r="E6" s="173">
        <v>43.083859261277233</v>
      </c>
      <c r="F6" s="173">
        <v>7.6823716142258869</v>
      </c>
    </row>
    <row r="7" spans="1:6" ht="12" thickBot="1">
      <c r="A7" s="126" t="s">
        <v>306</v>
      </c>
      <c r="B7" s="173">
        <v>16.05416816508027</v>
      </c>
      <c r="C7" s="173">
        <v>17.711079614425078</v>
      </c>
      <c r="D7" s="173">
        <v>16.739329872456597</v>
      </c>
      <c r="E7" s="173">
        <v>44.091835369654561</v>
      </c>
      <c r="F7" s="173">
        <v>7.7808230642065581</v>
      </c>
    </row>
    <row r="8" spans="1:6" ht="12" thickBot="1">
      <c r="A8" s="126" t="s">
        <v>307</v>
      </c>
      <c r="B8" s="173">
        <v>16.616371652539318</v>
      </c>
      <c r="C8" s="173">
        <v>18.171586308065628</v>
      </c>
      <c r="D8" s="173">
        <v>16.764324960436301</v>
      </c>
      <c r="E8" s="173">
        <v>45.168679198062776</v>
      </c>
      <c r="F8" s="173">
        <v>7.6316853762277148</v>
      </c>
    </row>
    <row r="9" spans="1:6" ht="12" thickBot="1">
      <c r="A9" s="126" t="s">
        <v>308</v>
      </c>
      <c r="B9" s="173">
        <v>16.524110785908874</v>
      </c>
      <c r="C9" s="173">
        <v>18.081328800867105</v>
      </c>
      <c r="D9" s="173">
        <v>16.661796267225668</v>
      </c>
      <c r="E9" s="173">
        <v>46.846231848852895</v>
      </c>
      <c r="F9" s="173">
        <v>7.4606064543055304</v>
      </c>
    </row>
    <row r="10" spans="1:6" ht="12" thickBot="1">
      <c r="A10" s="126" t="s">
        <v>309</v>
      </c>
      <c r="B10" s="173">
        <v>15.990911673818291</v>
      </c>
      <c r="C10" s="173">
        <v>17.561679841063889</v>
      </c>
      <c r="D10" s="173">
        <v>16.065202060959024</v>
      </c>
      <c r="E10" s="173">
        <v>46.429274069334951</v>
      </c>
      <c r="F10" s="173">
        <v>7.2451774747834721</v>
      </c>
    </row>
    <row r="11" spans="1:6" ht="12" thickBot="1">
      <c r="A11" s="126" t="s">
        <v>310</v>
      </c>
      <c r="B11" s="173">
        <v>16.2054490291262</v>
      </c>
      <c r="C11" s="173">
        <v>17.766339207048471</v>
      </c>
      <c r="D11" s="173">
        <v>15.93940292096225</v>
      </c>
      <c r="E11" s="173">
        <v>46.929137589140957</v>
      </c>
      <c r="F11" s="173">
        <v>7.235395570655843</v>
      </c>
    </row>
    <row r="12" spans="1:6" ht="12" thickBot="1">
      <c r="A12" s="126" t="s">
        <v>311</v>
      </c>
      <c r="B12" s="173">
        <v>16.276333861595337</v>
      </c>
      <c r="C12" s="173">
        <v>17.775879707701041</v>
      </c>
      <c r="D12" s="173">
        <v>16.011456310679751</v>
      </c>
      <c r="E12" s="173">
        <v>47.313000663304344</v>
      </c>
      <c r="F12" s="173">
        <v>7.2594761700653452</v>
      </c>
    </row>
    <row r="13" spans="1:6" ht="12" thickBot="1">
      <c r="A13" s="126" t="s">
        <v>312</v>
      </c>
      <c r="B13" s="173">
        <v>15.569886093972565</v>
      </c>
      <c r="C13" s="173">
        <v>16.951014271151994</v>
      </c>
      <c r="D13" s="173">
        <v>15.442979145978224</v>
      </c>
      <c r="E13" s="173">
        <v>47.434459293699561</v>
      </c>
      <c r="F13" s="173">
        <v>7.1828012174607174</v>
      </c>
    </row>
    <row r="14" spans="1:6" ht="12" thickBot="1">
      <c r="A14" s="126" t="s">
        <v>313</v>
      </c>
      <c r="B14" s="173">
        <v>14.89439080459783</v>
      </c>
      <c r="C14" s="173">
        <v>16.152060150376094</v>
      </c>
      <c r="D14" s="173">
        <v>14.769208430913528</v>
      </c>
      <c r="E14" s="173">
        <v>48.264307821718376</v>
      </c>
      <c r="F14" s="173">
        <v>7.4366341683384531</v>
      </c>
    </row>
    <row r="15" spans="1:6" ht="12" thickBot="1">
      <c r="A15" s="126" t="s">
        <v>314</v>
      </c>
      <c r="B15" s="173">
        <v>14.88369315068506</v>
      </c>
      <c r="C15" s="173">
        <v>16.094533096926799</v>
      </c>
      <c r="D15" s="173">
        <v>14.677304109589155</v>
      </c>
      <c r="E15" s="173">
        <v>49.423806415178291</v>
      </c>
      <c r="F15" s="173">
        <v>7.9064732025964997</v>
      </c>
    </row>
    <row r="16" spans="1:6" ht="12" thickBot="1">
      <c r="A16" s="126" t="s">
        <v>315</v>
      </c>
      <c r="B16" s="173">
        <v>14.774008714597024</v>
      </c>
      <c r="C16" s="173">
        <v>16.009505300353503</v>
      </c>
      <c r="D16" s="173">
        <v>14.841026058632107</v>
      </c>
      <c r="E16" s="173">
        <v>49.551415232613166</v>
      </c>
      <c r="F16" s="173">
        <v>7.7793436705744208</v>
      </c>
    </row>
    <row r="19" spans="1:9">
      <c r="A19" s="176" t="s">
        <v>319</v>
      </c>
    </row>
    <row r="27" spans="1:9" ht="14.25">
      <c r="I27" s="2"/>
    </row>
  </sheetData>
  <mergeCells count="4">
    <mergeCell ref="A1:F1"/>
    <mergeCell ref="A3:A4"/>
    <mergeCell ref="B3:C3"/>
    <mergeCell ref="D3:D4"/>
  </mergeCells>
  <pageMargins left="0.7" right="0.7" top="0.75" bottom="0.75" header="0.3" footer="0.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F0"/>
  </sheetPr>
  <dimension ref="A1:I27"/>
  <sheetViews>
    <sheetView zoomScale="130" zoomScaleNormal="130" workbookViewId="0">
      <selection sqref="A1:XFD1048576"/>
    </sheetView>
  </sheetViews>
  <sheetFormatPr baseColWidth="10" defaultColWidth="11.42578125" defaultRowHeight="11.25"/>
  <cols>
    <col min="1" max="5" width="11.42578125" style="12"/>
    <col min="6" max="6" width="16.42578125" style="12" customWidth="1"/>
    <col min="7" max="16384" width="11.42578125" style="12"/>
  </cols>
  <sheetData>
    <row r="1" spans="1:7" ht="12">
      <c r="A1" s="600" t="s">
        <v>320</v>
      </c>
      <c r="B1" s="600"/>
      <c r="C1" s="600"/>
      <c r="D1" s="600"/>
      <c r="E1" s="600"/>
      <c r="F1" s="600"/>
    </row>
    <row r="2" spans="1:7" ht="12" thickBot="1"/>
    <row r="3" spans="1:7" ht="15.75" customHeight="1" thickBot="1">
      <c r="A3" s="606">
        <v>2024</v>
      </c>
      <c r="B3" s="593" t="s">
        <v>296</v>
      </c>
      <c r="C3" s="595"/>
      <c r="D3" s="606" t="s">
        <v>318</v>
      </c>
      <c r="E3" s="123" t="s">
        <v>138</v>
      </c>
      <c r="F3" s="123" t="s">
        <v>298</v>
      </c>
      <c r="G3" s="123" t="s">
        <v>16</v>
      </c>
    </row>
    <row r="4" spans="1:7" ht="23.25" thickBot="1">
      <c r="A4" s="607"/>
      <c r="B4" s="119" t="s">
        <v>299</v>
      </c>
      <c r="C4" s="119" t="s">
        <v>300</v>
      </c>
      <c r="D4" s="607"/>
      <c r="E4" s="119" t="s">
        <v>301</v>
      </c>
      <c r="F4" s="119" t="s">
        <v>302</v>
      </c>
      <c r="G4" s="119" t="s">
        <v>303</v>
      </c>
    </row>
    <row r="5" spans="1:7" ht="12" thickBot="1">
      <c r="A5" s="126" t="s">
        <v>304</v>
      </c>
      <c r="B5" s="173">
        <v>17.177261563035501</v>
      </c>
      <c r="C5" s="173">
        <v>18.416806977415419</v>
      </c>
      <c r="D5" s="173">
        <v>16.574049362727759</v>
      </c>
      <c r="E5" s="173">
        <v>44.499298304818744</v>
      </c>
      <c r="F5" s="173">
        <v>7.1077879200381329</v>
      </c>
      <c r="G5" s="177">
        <v>1.94</v>
      </c>
    </row>
    <row r="6" spans="1:7" ht="12" thickBot="1">
      <c r="A6" s="126" t="s">
        <v>305</v>
      </c>
      <c r="B6" s="173">
        <v>16.837415475290669</v>
      </c>
      <c r="C6" s="173">
        <v>18.215617927747239</v>
      </c>
      <c r="D6" s="173">
        <v>16.340267067117928</v>
      </c>
      <c r="E6" s="173">
        <v>45.588903717810012</v>
      </c>
      <c r="F6" s="173">
        <v>7.3963020544373625</v>
      </c>
      <c r="G6" s="177">
        <v>1.9664705882352944</v>
      </c>
    </row>
    <row r="7" spans="1:7" ht="12" thickBot="1">
      <c r="A7" s="126" t="s">
        <v>306</v>
      </c>
      <c r="B7" s="173">
        <v>17.077598320202661</v>
      </c>
      <c r="C7" s="173">
        <v>18.550981359362066</v>
      </c>
      <c r="D7" s="173">
        <v>16.844212969669176</v>
      </c>
      <c r="E7" s="173">
        <v>46.234861808671901</v>
      </c>
      <c r="F7" s="173">
        <v>7.5160101393323862</v>
      </c>
      <c r="G7" s="177">
        <v>2.0399999999999996</v>
      </c>
    </row>
    <row r="8" spans="1:7" ht="12" thickBot="1">
      <c r="A8" s="126" t="s">
        <v>307</v>
      </c>
      <c r="B8" s="173">
        <v>17.286266481713287</v>
      </c>
      <c r="C8" s="173">
        <v>18.823636038568232</v>
      </c>
      <c r="D8" s="173">
        <v>16.891769688070134</v>
      </c>
      <c r="E8" s="173">
        <v>47.348355823412412</v>
      </c>
      <c r="F8" s="173">
        <v>7.2531402201400486</v>
      </c>
      <c r="G8" s="177">
        <v>2.0449999999999999</v>
      </c>
    </row>
    <row r="9" spans="1:7" ht="12" thickBot="1">
      <c r="A9" s="126" t="s">
        <v>308</v>
      </c>
      <c r="B9" s="173">
        <v>17.439413862356311</v>
      </c>
      <c r="C9" s="173">
        <v>18.801213273350388</v>
      </c>
      <c r="D9" s="173">
        <v>16.885363098106261</v>
      </c>
      <c r="E9" s="173">
        <v>48.701564296026675</v>
      </c>
      <c r="F9" s="173">
        <v>7.1537929909076725</v>
      </c>
      <c r="G9" s="177">
        <v>2.0499999999999998</v>
      </c>
    </row>
    <row r="10" spans="1:7" ht="12" thickBot="1">
      <c r="A10" s="126" t="s">
        <v>309</v>
      </c>
      <c r="B10" s="173">
        <v>17.22552971570866</v>
      </c>
      <c r="C10" s="173">
        <v>18.622542126106207</v>
      </c>
      <c r="D10" s="173">
        <v>16.346643982655877</v>
      </c>
      <c r="E10" s="173">
        <v>48.734941909941924</v>
      </c>
      <c r="F10" s="173">
        <v>7.1075502700131201</v>
      </c>
      <c r="G10" s="177">
        <v>2.056</v>
      </c>
    </row>
    <row r="11" spans="1:7" ht="12" thickBot="1">
      <c r="A11" s="126" t="s">
        <v>310</v>
      </c>
      <c r="B11" s="173">
        <v>16.913565768621297</v>
      </c>
      <c r="C11" s="173">
        <v>18.444919268030176</v>
      </c>
      <c r="D11" s="173">
        <v>16.258138385502487</v>
      </c>
      <c r="E11" s="173">
        <v>49.110179762140461</v>
      </c>
      <c r="F11" s="173">
        <v>7.1036145952945908</v>
      </c>
      <c r="G11" s="177">
        <v>2.056</v>
      </c>
    </row>
    <row r="12" spans="1:7" ht="12" thickBot="1">
      <c r="A12" s="126" t="s">
        <v>311</v>
      </c>
      <c r="B12" s="173">
        <v>16.843842756183776</v>
      </c>
      <c r="C12" s="173">
        <v>18.337858851674675</v>
      </c>
      <c r="D12" s="173">
        <v>16.223965517241442</v>
      </c>
      <c r="E12" s="173">
        <v>49.463826558804477</v>
      </c>
      <c r="F12" s="173">
        <v>7.2157963332996884</v>
      </c>
      <c r="G12" s="177">
        <v>2.056</v>
      </c>
    </row>
    <row r="13" spans="1:7" ht="12" thickBot="1">
      <c r="A13" s="126" t="s">
        <v>312</v>
      </c>
      <c r="B13" s="173">
        <v>16.300375939849701</v>
      </c>
      <c r="C13" s="173">
        <v>17.767056778679009</v>
      </c>
      <c r="D13" s="173">
        <v>15.441665299425773</v>
      </c>
      <c r="E13" s="173">
        <v>49.316864316084647</v>
      </c>
      <c r="F13" s="173">
        <v>7.0566062223591688</v>
      </c>
      <c r="G13" s="177">
        <v>2.056</v>
      </c>
    </row>
    <row r="14" spans="1:7" ht="12" thickBot="1">
      <c r="A14" s="126" t="s">
        <v>313</v>
      </c>
      <c r="B14" s="173">
        <v>15.698750000000096</v>
      </c>
      <c r="C14" s="173">
        <v>17.321178903826294</v>
      </c>
      <c r="D14" s="173">
        <v>14.739758754863859</v>
      </c>
      <c r="E14" s="173">
        <v>49.929141292016965</v>
      </c>
      <c r="F14" s="173">
        <v>7.1746172349338702</v>
      </c>
      <c r="G14" s="177">
        <v>2.056</v>
      </c>
    </row>
    <row r="15" spans="1:7" ht="12" thickBot="1">
      <c r="A15" s="126" t="s">
        <v>314</v>
      </c>
      <c r="B15" s="173">
        <v>15.634057835820885</v>
      </c>
      <c r="C15" s="173">
        <v>17.267789203084849</v>
      </c>
      <c r="D15" s="173">
        <v>14.597206959706968</v>
      </c>
      <c r="E15" s="173">
        <v>50.794776830401815</v>
      </c>
      <c r="F15" s="173">
        <v>7.4257661126030658</v>
      </c>
      <c r="G15" s="177">
        <v>2.056</v>
      </c>
    </row>
    <row r="16" spans="1:7" ht="12" thickBot="1">
      <c r="A16" s="126" t="s">
        <v>315</v>
      </c>
      <c r="B16" s="173">
        <v>15.357155963302791</v>
      </c>
      <c r="C16" s="173">
        <v>17.051428571428623</v>
      </c>
      <c r="D16" s="173">
        <v>14.798514492753617</v>
      </c>
      <c r="E16" s="173">
        <v>50.831751154874816</v>
      </c>
      <c r="F16" s="173">
        <v>7.4128369248872712</v>
      </c>
      <c r="G16" s="177">
        <v>2.056</v>
      </c>
    </row>
    <row r="19" spans="1:9">
      <c r="A19" s="176" t="s">
        <v>321</v>
      </c>
    </row>
    <row r="27" spans="1:9" ht="14.25">
      <c r="I27" s="2"/>
    </row>
  </sheetData>
  <mergeCells count="4">
    <mergeCell ref="A1:F1"/>
    <mergeCell ref="A3:A4"/>
    <mergeCell ref="B3:C3"/>
    <mergeCell ref="D3:D4"/>
  </mergeCells>
  <pageMargins left="0.7" right="0.7" top="0.75" bottom="0.75" header="0.3" footer="0.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F0"/>
  </sheetPr>
  <dimension ref="A1:I27"/>
  <sheetViews>
    <sheetView zoomScale="130" zoomScaleNormal="130" workbookViewId="0">
      <selection sqref="A1:XFD1048576"/>
    </sheetView>
  </sheetViews>
  <sheetFormatPr baseColWidth="10" defaultColWidth="11.42578125" defaultRowHeight="11.25"/>
  <cols>
    <col min="1" max="5" width="11.42578125" style="12"/>
    <col min="6" max="6" width="16.140625" style="12" customWidth="1"/>
    <col min="7" max="16384" width="11.42578125" style="12"/>
  </cols>
  <sheetData>
    <row r="1" spans="1:7" ht="12">
      <c r="A1" s="600" t="s">
        <v>322</v>
      </c>
      <c r="B1" s="600"/>
      <c r="C1" s="600"/>
      <c r="D1" s="600"/>
      <c r="E1" s="600"/>
      <c r="F1" s="600"/>
    </row>
    <row r="2" spans="1:7" ht="12" thickBot="1"/>
    <row r="3" spans="1:7" ht="15.75" customHeight="1" thickBot="1">
      <c r="A3" s="606">
        <v>2024</v>
      </c>
      <c r="B3" s="610" t="s">
        <v>296</v>
      </c>
      <c r="C3" s="609"/>
      <c r="D3" s="606" t="s">
        <v>318</v>
      </c>
      <c r="E3" s="123" t="s">
        <v>138</v>
      </c>
      <c r="F3" s="123" t="s">
        <v>298</v>
      </c>
      <c r="G3" s="123" t="s">
        <v>16</v>
      </c>
    </row>
    <row r="4" spans="1:7" ht="23.25" thickBot="1">
      <c r="A4" s="607"/>
      <c r="B4" s="119" t="s">
        <v>299</v>
      </c>
      <c r="C4" s="119" t="s">
        <v>300</v>
      </c>
      <c r="D4" s="607"/>
      <c r="E4" s="119" t="s">
        <v>301</v>
      </c>
      <c r="F4" s="119" t="s">
        <v>302</v>
      </c>
      <c r="G4" s="119" t="s">
        <v>303</v>
      </c>
    </row>
    <row r="5" spans="1:7" ht="12" thickBot="1">
      <c r="A5" s="126" t="s">
        <v>304</v>
      </c>
      <c r="B5" s="173">
        <v>15.64812825971741</v>
      </c>
      <c r="C5" s="173">
        <v>16.88209727724329</v>
      </c>
      <c r="D5" s="173">
        <v>16.469285791395428</v>
      </c>
      <c r="E5" s="173">
        <v>46.773259088581668</v>
      </c>
      <c r="F5" s="173">
        <v>6.9894892029652187</v>
      </c>
      <c r="G5" s="173">
        <v>2.2999999999999998</v>
      </c>
    </row>
    <row r="6" spans="1:7" ht="12" thickBot="1">
      <c r="A6" s="126" t="s">
        <v>305</v>
      </c>
      <c r="B6" s="173">
        <v>15.49553132351954</v>
      </c>
      <c r="C6" s="173">
        <v>16.920970200085129</v>
      </c>
      <c r="D6" s="173">
        <v>16.197505310268934</v>
      </c>
      <c r="E6" s="173">
        <v>47.696387520525491</v>
      </c>
      <c r="F6" s="173">
        <v>7.267937556472881</v>
      </c>
      <c r="G6" s="173">
        <v>2.2999999999999985</v>
      </c>
    </row>
    <row r="7" spans="1:7" ht="12" thickBot="1">
      <c r="A7" s="126" t="s">
        <v>306</v>
      </c>
      <c r="B7" s="173">
        <v>15.909238782638139</v>
      </c>
      <c r="C7" s="173">
        <v>17.832313092054378</v>
      </c>
      <c r="D7" s="173">
        <v>16.878448413895747</v>
      </c>
      <c r="E7" s="173">
        <v>48.913956744868045</v>
      </c>
      <c r="F7" s="173">
        <v>7.1315079347972814</v>
      </c>
      <c r="G7" s="173">
        <v>2.2999999999999989</v>
      </c>
    </row>
    <row r="8" spans="1:7" ht="12" thickBot="1">
      <c r="A8" s="126" t="s">
        <v>307</v>
      </c>
      <c r="B8" s="173">
        <v>16.574772609401119</v>
      </c>
      <c r="C8" s="173">
        <v>18.045538484419104</v>
      </c>
      <c r="D8" s="173">
        <v>16.805427597141971</v>
      </c>
      <c r="E8" s="173">
        <v>50.261519721019738</v>
      </c>
      <c r="F8" s="173">
        <v>6.7687340540039012</v>
      </c>
      <c r="G8" s="173">
        <v>2.2999999999999985</v>
      </c>
    </row>
    <row r="9" spans="1:7" ht="12" thickBot="1">
      <c r="A9" s="126" t="s">
        <v>308</v>
      </c>
      <c r="B9" s="173">
        <v>16.479944927282361</v>
      </c>
      <c r="C9" s="173">
        <v>17.884546877947542</v>
      </c>
      <c r="D9" s="173">
        <v>16.773379809058714</v>
      </c>
      <c r="E9" s="173">
        <v>51.86957893361118</v>
      </c>
      <c r="F9" s="173">
        <v>6.7334279027658495</v>
      </c>
      <c r="G9" s="173">
        <v>2.2999999999999985</v>
      </c>
    </row>
    <row r="10" spans="1:7" ht="12" thickBot="1">
      <c r="A10" s="126" t="s">
        <v>309</v>
      </c>
      <c r="B10" s="173">
        <v>16.083918379281517</v>
      </c>
      <c r="C10" s="173">
        <v>17.489120038522238</v>
      </c>
      <c r="D10" s="173">
        <v>16.277166130604282</v>
      </c>
      <c r="E10" s="173">
        <v>51.52802103174605</v>
      </c>
      <c r="F10" s="173">
        <v>6.663842895228262</v>
      </c>
      <c r="G10" s="173">
        <v>2.2999999999999985</v>
      </c>
    </row>
    <row r="11" spans="1:7" ht="12" thickBot="1">
      <c r="A11" s="126" t="s">
        <v>310</v>
      </c>
      <c r="B11" s="173">
        <v>16.119782016348765</v>
      </c>
      <c r="C11" s="173">
        <v>17.481432432432417</v>
      </c>
      <c r="D11" s="173">
        <v>16.231615384615377</v>
      </c>
      <c r="E11" s="173">
        <v>52.189970942140292</v>
      </c>
      <c r="F11" s="173">
        <v>6.6435279086968553</v>
      </c>
      <c r="G11" s="173">
        <v>2.2999999999999985</v>
      </c>
    </row>
    <row r="12" spans="1:7" ht="12" thickBot="1">
      <c r="A12" s="126" t="s">
        <v>311</v>
      </c>
      <c r="B12" s="173">
        <v>16.076026490066202</v>
      </c>
      <c r="C12" s="173">
        <v>17.310718954248312</v>
      </c>
      <c r="D12" s="173">
        <v>16.082668918918916</v>
      </c>
      <c r="E12" s="173">
        <v>52.10046082949308</v>
      </c>
      <c r="F12" s="173">
        <v>6.7342872774004086</v>
      </c>
      <c r="G12" s="173">
        <v>2.2999999999999985</v>
      </c>
    </row>
    <row r="13" spans="1:7" ht="12" thickBot="1">
      <c r="A13" s="126" t="s">
        <v>312</v>
      </c>
      <c r="B13" s="173">
        <v>15.43949367088605</v>
      </c>
      <c r="C13" s="173">
        <v>16.554700315457357</v>
      </c>
      <c r="D13" s="173">
        <v>15.538333333333293</v>
      </c>
      <c r="E13" s="173">
        <v>52.255886243386243</v>
      </c>
      <c r="F13" s="173">
        <v>6.7054600113437139</v>
      </c>
      <c r="G13" s="173">
        <v>2.2999999999999985</v>
      </c>
    </row>
    <row r="14" spans="1:7" ht="12" thickBot="1">
      <c r="A14" s="126" t="s">
        <v>313</v>
      </c>
      <c r="B14" s="173">
        <v>14.725213414634105</v>
      </c>
      <c r="C14" s="173">
        <v>15.643527607361946</v>
      </c>
      <c r="D14" s="173">
        <v>14.652366863905293</v>
      </c>
      <c r="E14" s="173">
        <v>52.712429595494108</v>
      </c>
      <c r="F14" s="173">
        <v>6.9706862381648635</v>
      </c>
      <c r="G14" s="173">
        <v>2.2999999999999985</v>
      </c>
    </row>
    <row r="15" spans="1:7" ht="12" thickBot="1">
      <c r="A15" s="126" t="s">
        <v>314</v>
      </c>
      <c r="B15" s="173">
        <v>14.786920731707275</v>
      </c>
      <c r="C15" s="173">
        <v>15.673149847094798</v>
      </c>
      <c r="D15" s="173">
        <v>14.594121212121181</v>
      </c>
      <c r="E15" s="173">
        <v>53.97548888888889</v>
      </c>
      <c r="F15" s="173">
        <v>7.1535968321539132</v>
      </c>
      <c r="G15" s="173">
        <v>2.2999999999999985</v>
      </c>
    </row>
    <row r="16" spans="1:7" ht="12" thickBot="1">
      <c r="A16" s="126" t="s">
        <v>315</v>
      </c>
      <c r="B16" s="173">
        <v>14.666761133603243</v>
      </c>
      <c r="C16" s="173">
        <v>15.539919354838682</v>
      </c>
      <c r="D16" s="173">
        <v>14.698359999999981</v>
      </c>
      <c r="E16" s="173">
        <v>53.320161290322559</v>
      </c>
      <c r="F16" s="173">
        <v>7.1385902972727635</v>
      </c>
      <c r="G16" s="173">
        <v>2.2999999999999985</v>
      </c>
    </row>
    <row r="19" spans="1:9">
      <c r="A19" s="176" t="s">
        <v>323</v>
      </c>
    </row>
    <row r="27" spans="1:9" ht="14.25">
      <c r="I27" s="2"/>
    </row>
  </sheetData>
  <mergeCells count="4">
    <mergeCell ref="A1:F1"/>
    <mergeCell ref="A3:A4"/>
    <mergeCell ref="B3:C3"/>
    <mergeCell ref="D3:D4"/>
  </mergeCells>
  <pageMargins left="0.7" right="0.7" top="0.75" bottom="0.75" header="0.3" footer="0.3"/>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F0"/>
  </sheetPr>
  <dimension ref="A1:I27"/>
  <sheetViews>
    <sheetView zoomScale="145" zoomScaleNormal="145" workbookViewId="0">
      <selection sqref="A1:XFD1048576"/>
    </sheetView>
  </sheetViews>
  <sheetFormatPr baseColWidth="10" defaultColWidth="11.42578125" defaultRowHeight="11.25"/>
  <cols>
    <col min="1" max="5" width="11.42578125" style="12"/>
    <col min="6" max="6" width="15.5703125" style="12" customWidth="1"/>
    <col min="7" max="16384" width="11.42578125" style="12"/>
  </cols>
  <sheetData>
    <row r="1" spans="1:7" ht="12">
      <c r="A1" s="600" t="s">
        <v>324</v>
      </c>
      <c r="B1" s="600"/>
      <c r="C1" s="600"/>
      <c r="D1" s="600"/>
      <c r="E1" s="600"/>
      <c r="F1" s="154"/>
    </row>
    <row r="2" spans="1:7" ht="12" thickBot="1"/>
    <row r="3" spans="1:7" ht="15.75" customHeight="1" thickBot="1">
      <c r="A3" s="606">
        <v>2024</v>
      </c>
      <c r="B3" s="610" t="s">
        <v>325</v>
      </c>
      <c r="C3" s="609"/>
      <c r="D3" s="606" t="s">
        <v>318</v>
      </c>
      <c r="E3" s="123" t="s">
        <v>138</v>
      </c>
      <c r="F3" s="123" t="s">
        <v>298</v>
      </c>
      <c r="G3" s="123" t="s">
        <v>16</v>
      </c>
    </row>
    <row r="4" spans="1:7" ht="23.25" thickBot="1">
      <c r="A4" s="607"/>
      <c r="B4" s="119" t="s">
        <v>299</v>
      </c>
      <c r="C4" s="119" t="s">
        <v>300</v>
      </c>
      <c r="D4" s="607"/>
      <c r="E4" s="119" t="s">
        <v>301</v>
      </c>
      <c r="F4" s="119" t="s">
        <v>302</v>
      </c>
      <c r="G4" s="119" t="s">
        <v>303</v>
      </c>
    </row>
    <row r="5" spans="1:7" ht="12" thickBot="1">
      <c r="A5" s="126" t="s">
        <v>304</v>
      </c>
      <c r="B5" s="173">
        <v>15.078625998031967</v>
      </c>
      <c r="C5" s="173">
        <v>16.580814019932298</v>
      </c>
      <c r="D5" s="173">
        <v>16.764308652686474</v>
      </c>
      <c r="E5" s="173">
        <v>46.516835748792282</v>
      </c>
      <c r="F5" s="173">
        <v>10.872916666666669</v>
      </c>
      <c r="G5" s="173">
        <v>2.3000000000000003</v>
      </c>
    </row>
    <row r="6" spans="1:7" ht="12" thickBot="1">
      <c r="A6" s="126" t="s">
        <v>305</v>
      </c>
      <c r="B6" s="173">
        <v>15.04666970286765</v>
      </c>
      <c r="C6" s="173">
        <v>16.673338260411029</v>
      </c>
      <c r="D6" s="173">
        <v>16.432845628700662</v>
      </c>
      <c r="E6" s="173">
        <v>48.312153110047817</v>
      </c>
      <c r="F6" s="173">
        <v>10.863043478260879</v>
      </c>
      <c r="G6" s="173">
        <v>2.2999999999999994</v>
      </c>
    </row>
    <row r="7" spans="1:7" ht="12" thickBot="1">
      <c r="A7" s="126" t="s">
        <v>306</v>
      </c>
      <c r="B7" s="173">
        <v>15.764642494736876</v>
      </c>
      <c r="C7" s="173">
        <v>17.5746405179904</v>
      </c>
      <c r="D7" s="173">
        <v>17.053109360118974</v>
      </c>
      <c r="E7" s="173">
        <v>49.440475161987045</v>
      </c>
      <c r="F7" s="173">
        <v>10.824193548387099</v>
      </c>
      <c r="G7" s="173">
        <v>2.3000000000000003</v>
      </c>
    </row>
    <row r="8" spans="1:7" ht="12" thickBot="1">
      <c r="A8" s="126" t="s">
        <v>307</v>
      </c>
      <c r="B8" s="173">
        <v>16.649271434544939</v>
      </c>
      <c r="C8" s="173">
        <v>18.168815601567051</v>
      </c>
      <c r="D8" s="173">
        <v>17.163297554560074</v>
      </c>
      <c r="E8" s="173">
        <v>50.698365180467142</v>
      </c>
      <c r="F8" s="173">
        <v>10.649999999999991</v>
      </c>
      <c r="G8" s="173">
        <v>2.2999999999999994</v>
      </c>
    </row>
    <row r="9" spans="1:7" ht="12" thickBot="1">
      <c r="A9" s="126" t="s">
        <v>308</v>
      </c>
      <c r="B9" s="173">
        <v>16.660190753765779</v>
      </c>
      <c r="C9" s="173">
        <v>18.159862252627757</v>
      </c>
      <c r="D9" s="173">
        <v>17.097275200202461</v>
      </c>
      <c r="E9" s="173">
        <v>52.901699779249512</v>
      </c>
      <c r="F9" s="173">
        <v>10.649999999999995</v>
      </c>
      <c r="G9" s="173">
        <v>2.35</v>
      </c>
    </row>
    <row r="10" spans="1:7" ht="12" thickBot="1">
      <c r="A10" s="126" t="s">
        <v>309</v>
      </c>
      <c r="B10" s="173">
        <v>16.122027703782113</v>
      </c>
      <c r="C10" s="173">
        <v>17.693307435465769</v>
      </c>
      <c r="D10" s="173">
        <v>16.573295600877763</v>
      </c>
      <c r="E10" s="173">
        <v>52.530093023255745</v>
      </c>
      <c r="F10" s="173">
        <v>10.649999999999997</v>
      </c>
      <c r="G10" s="173">
        <v>2.3500000000000005</v>
      </c>
    </row>
    <row r="11" spans="1:7" ht="12" thickBot="1">
      <c r="A11" s="126" t="s">
        <v>310</v>
      </c>
      <c r="B11" s="173">
        <v>16.343340659340672</v>
      </c>
      <c r="C11" s="173">
        <v>17.734276485788097</v>
      </c>
      <c r="D11" s="173">
        <v>16.580319634703194</v>
      </c>
      <c r="E11" s="173">
        <v>51.511539163770777</v>
      </c>
      <c r="F11" s="173">
        <v>10.750000000000002</v>
      </c>
      <c r="G11" s="173">
        <v>2.3500000000000005</v>
      </c>
    </row>
    <row r="12" spans="1:7" ht="12" thickBot="1">
      <c r="A12" s="126" t="s">
        <v>311</v>
      </c>
      <c r="B12" s="173">
        <v>16.329430051813517</v>
      </c>
      <c r="C12" s="173">
        <v>17.650247295208647</v>
      </c>
      <c r="D12" s="173">
        <v>16.542098092643048</v>
      </c>
      <c r="E12" s="173">
        <v>52.265911816358198</v>
      </c>
      <c r="F12" s="173">
        <v>10.662500000000007</v>
      </c>
      <c r="G12" s="173">
        <v>2.3500000000000005</v>
      </c>
    </row>
    <row r="13" spans="1:7" ht="12" thickBot="1">
      <c r="A13" s="126" t="s">
        <v>312</v>
      </c>
      <c r="B13" s="173">
        <v>15.603763066202077</v>
      </c>
      <c r="C13" s="173">
        <v>16.868253751705257</v>
      </c>
      <c r="D13" s="173">
        <v>16.035301204819337</v>
      </c>
      <c r="E13" s="173">
        <v>52.816247784198339</v>
      </c>
      <c r="F13" s="173">
        <v>10.581395348837205</v>
      </c>
      <c r="G13" s="173">
        <v>2.3500000000000005</v>
      </c>
    </row>
    <row r="14" spans="1:7" ht="12" thickBot="1">
      <c r="A14" s="126" t="s">
        <v>313</v>
      </c>
      <c r="B14" s="173">
        <v>14.940752565564448</v>
      </c>
      <c r="C14" s="173">
        <v>15.903130779392333</v>
      </c>
      <c r="D14" s="173">
        <v>15.302387543252602</v>
      </c>
      <c r="E14" s="173">
        <v>53.476741831379485</v>
      </c>
      <c r="F14" s="173">
        <v>10.649999999999995</v>
      </c>
      <c r="G14" s="173">
        <v>2.3500000000000005</v>
      </c>
    </row>
    <row r="15" spans="1:7" ht="12" thickBot="1">
      <c r="A15" s="126" t="s">
        <v>314</v>
      </c>
      <c r="B15" s="173">
        <v>14.672409638554191</v>
      </c>
      <c r="C15" s="173">
        <v>15.63622183708836</v>
      </c>
      <c r="D15" s="173">
        <v>15.013757575757598</v>
      </c>
      <c r="E15" s="173">
        <v>54.823686435024683</v>
      </c>
      <c r="F15" s="173">
        <v>10.649999999999995</v>
      </c>
      <c r="G15" s="173">
        <v>2.3500000000000005</v>
      </c>
    </row>
    <row r="16" spans="1:7" ht="12" thickBot="1">
      <c r="A16" s="126" t="s">
        <v>315</v>
      </c>
      <c r="B16" s="173">
        <v>14.53271513353115</v>
      </c>
      <c r="C16" s="173">
        <v>15.583404255319108</v>
      </c>
      <c r="D16" s="173">
        <v>15.097382039573818</v>
      </c>
      <c r="E16" s="173">
        <v>54.686628688882131</v>
      </c>
      <c r="F16" s="173">
        <v>10.622093023255806</v>
      </c>
      <c r="G16" s="173">
        <v>2.3500000000000005</v>
      </c>
    </row>
    <row r="18" spans="1:9">
      <c r="A18" s="176" t="s">
        <v>326</v>
      </c>
    </row>
    <row r="27" spans="1:9" ht="14.25">
      <c r="I27" s="2"/>
    </row>
  </sheetData>
  <mergeCells count="4">
    <mergeCell ref="A1:E1"/>
    <mergeCell ref="A3:A4"/>
    <mergeCell ref="B3:C3"/>
    <mergeCell ref="D3:D4"/>
  </mergeCells>
  <pageMargins left="0.7" right="0.7" top="0.75" bottom="0.75" header="0.3" footer="0.3"/>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F0"/>
  </sheetPr>
  <dimension ref="A1:I27"/>
  <sheetViews>
    <sheetView zoomScale="145" zoomScaleNormal="145" workbookViewId="0">
      <selection sqref="A1:XFD1048576"/>
    </sheetView>
  </sheetViews>
  <sheetFormatPr baseColWidth="10" defaultColWidth="11.42578125" defaultRowHeight="11.25"/>
  <cols>
    <col min="1" max="5" width="11.42578125" style="12"/>
    <col min="6" max="6" width="14.7109375" style="12" customWidth="1"/>
    <col min="7" max="16384" width="11.42578125" style="12"/>
  </cols>
  <sheetData>
    <row r="1" spans="1:7" ht="12">
      <c r="A1" s="600" t="s">
        <v>327</v>
      </c>
      <c r="B1" s="600"/>
      <c r="C1" s="600"/>
      <c r="D1" s="600"/>
      <c r="E1" s="600"/>
      <c r="F1" s="600"/>
    </row>
    <row r="2" spans="1:7" ht="12" thickBot="1"/>
    <row r="3" spans="1:7" ht="15.75" customHeight="1" thickBot="1">
      <c r="A3" s="606">
        <v>2024</v>
      </c>
      <c r="B3" s="610" t="s">
        <v>296</v>
      </c>
      <c r="C3" s="609"/>
      <c r="D3" s="606" t="s">
        <v>318</v>
      </c>
      <c r="E3" s="123" t="s">
        <v>138</v>
      </c>
      <c r="F3" s="123" t="s">
        <v>298</v>
      </c>
      <c r="G3" s="123" t="s">
        <v>16</v>
      </c>
    </row>
    <row r="4" spans="1:7" ht="23.25" thickBot="1">
      <c r="A4" s="607"/>
      <c r="B4" s="119" t="s">
        <v>299</v>
      </c>
      <c r="C4" s="119" t="s">
        <v>300</v>
      </c>
      <c r="D4" s="607"/>
      <c r="E4" s="119" t="s">
        <v>301</v>
      </c>
      <c r="F4" s="119" t="s">
        <v>302</v>
      </c>
      <c r="G4" s="119" t="s">
        <v>303</v>
      </c>
    </row>
    <row r="5" spans="1:7" ht="12" thickBot="1">
      <c r="A5" s="126" t="s">
        <v>304</v>
      </c>
      <c r="B5" s="178">
        <v>15.824443956566819</v>
      </c>
      <c r="C5" s="178">
        <v>16.892969213434924</v>
      </c>
      <c r="D5" s="178">
        <v>16.532547567349269</v>
      </c>
      <c r="E5" s="178">
        <v>40.515402281680586</v>
      </c>
      <c r="F5" s="178">
        <v>7.2277971143311399</v>
      </c>
      <c r="G5" s="178">
        <v>2.39</v>
      </c>
    </row>
    <row r="6" spans="1:7" ht="12" thickBot="1">
      <c r="A6" s="126" t="s">
        <v>305</v>
      </c>
      <c r="B6" s="178">
        <v>15.423054605939258</v>
      </c>
      <c r="C6" s="178">
        <v>16.508132381063248</v>
      </c>
      <c r="D6" s="178">
        <v>16.175545913603486</v>
      </c>
      <c r="E6" s="178">
        <v>41.580292076783508</v>
      </c>
      <c r="F6" s="178">
        <v>7.615799423663228</v>
      </c>
      <c r="G6" s="178">
        <v>2.39</v>
      </c>
    </row>
    <row r="7" spans="1:7" ht="12" thickBot="1">
      <c r="A7" s="126" t="s">
        <v>306</v>
      </c>
      <c r="B7" s="178">
        <v>15.637297529407043</v>
      </c>
      <c r="C7" s="178">
        <v>17.287901504482655</v>
      </c>
      <c r="D7" s="178">
        <v>16.826611189996516</v>
      </c>
      <c r="E7" s="178">
        <v>43.415635787692381</v>
      </c>
      <c r="F7" s="178">
        <v>7.5436751599592364</v>
      </c>
      <c r="G7" s="178">
        <v>2.39</v>
      </c>
    </row>
    <row r="8" spans="1:7" ht="12" thickBot="1">
      <c r="A8" s="126" t="s">
        <v>307</v>
      </c>
      <c r="B8" s="178">
        <v>16.165244322617347</v>
      </c>
      <c r="C8" s="178">
        <v>17.703807982172261</v>
      </c>
      <c r="D8" s="178">
        <v>16.826482532321648</v>
      </c>
      <c r="E8" s="178">
        <v>44.920654804508501</v>
      </c>
      <c r="F8" s="178">
        <v>7.3478982161559365</v>
      </c>
      <c r="G8" s="178">
        <v>2.5311764705882354</v>
      </c>
    </row>
    <row r="9" spans="1:7" ht="12" thickBot="1">
      <c r="A9" s="126" t="s">
        <v>308</v>
      </c>
      <c r="B9" s="178">
        <v>16.190209179392692</v>
      </c>
      <c r="C9" s="178">
        <v>17.63390950445438</v>
      </c>
      <c r="D9" s="178">
        <v>16.68685781692999</v>
      </c>
      <c r="E9" s="178">
        <v>46.817130346505337</v>
      </c>
      <c r="F9" s="178">
        <v>7.2527984510851331</v>
      </c>
      <c r="G9" s="178">
        <v>2.5900000000000012</v>
      </c>
    </row>
    <row r="10" spans="1:7" ht="12" thickBot="1">
      <c r="A10" s="126" t="s">
        <v>309</v>
      </c>
      <c r="B10" s="178">
        <v>15.972196690094218</v>
      </c>
      <c r="C10" s="178">
        <v>17.349671868697929</v>
      </c>
      <c r="D10" s="178">
        <v>16.27315106142537</v>
      </c>
      <c r="E10" s="178">
        <v>46.875288657883004</v>
      </c>
      <c r="F10" s="178">
        <v>7.115794288030461</v>
      </c>
      <c r="G10" s="178">
        <v>2.5900000000000016</v>
      </c>
    </row>
    <row r="11" spans="1:7" ht="12" thickBot="1">
      <c r="A11" s="126" t="s">
        <v>310</v>
      </c>
      <c r="B11" s="178">
        <v>16.112225274725304</v>
      </c>
      <c r="C11" s="178">
        <v>17.482218890554702</v>
      </c>
      <c r="D11" s="178">
        <v>16.243506493506466</v>
      </c>
      <c r="E11" s="178">
        <v>47.190499167536871</v>
      </c>
      <c r="F11" s="178">
        <v>7.099664104135222</v>
      </c>
      <c r="G11" s="178">
        <v>2.5900000000000016</v>
      </c>
    </row>
    <row r="12" spans="1:7" ht="12" thickBot="1">
      <c r="A12" s="126" t="s">
        <v>311</v>
      </c>
      <c r="B12" s="178">
        <v>16.200888208269511</v>
      </c>
      <c r="C12" s="178">
        <v>17.514241435562781</v>
      </c>
      <c r="D12" s="178">
        <v>16.226563944530035</v>
      </c>
      <c r="E12" s="178">
        <v>47.231979271497472</v>
      </c>
      <c r="F12" s="178">
        <v>7.1121055413237473</v>
      </c>
      <c r="G12" s="178">
        <v>2.5900000000000016</v>
      </c>
    </row>
    <row r="13" spans="1:7" ht="12" thickBot="1">
      <c r="A13" s="126" t="s">
        <v>312</v>
      </c>
      <c r="B13" s="178">
        <v>15.847280832095104</v>
      </c>
      <c r="C13" s="178">
        <v>17.055389610389572</v>
      </c>
      <c r="D13" s="178">
        <v>15.825812591508056</v>
      </c>
      <c r="E13" s="178">
        <v>47.809298349866118</v>
      </c>
      <c r="F13" s="178">
        <v>7.1191019945407303</v>
      </c>
      <c r="G13" s="178">
        <v>2.5900000000000016</v>
      </c>
    </row>
    <row r="14" spans="1:7" ht="12" thickBot="1">
      <c r="A14" s="126" t="s">
        <v>313</v>
      </c>
      <c r="B14" s="178">
        <v>15.420647382920114</v>
      </c>
      <c r="C14" s="178">
        <v>16.411049562682191</v>
      </c>
      <c r="D14" s="178">
        <v>15.375294117647051</v>
      </c>
      <c r="E14" s="178">
        <v>48.732614654721147</v>
      </c>
      <c r="F14" s="178">
        <v>7.3432910015367661</v>
      </c>
      <c r="G14" s="178">
        <v>2.5900000000000016</v>
      </c>
    </row>
    <row r="15" spans="1:7" ht="12" thickBot="1">
      <c r="A15" s="126" t="s">
        <v>314</v>
      </c>
      <c r="B15" s="178">
        <v>15.243441358024686</v>
      </c>
      <c r="C15" s="178">
        <v>16.20956738768718</v>
      </c>
      <c r="D15" s="178">
        <v>15.161794071762863</v>
      </c>
      <c r="E15" s="178">
        <v>49.592453377072744</v>
      </c>
      <c r="F15" s="178">
        <v>7.5943742432111705</v>
      </c>
      <c r="G15" s="178">
        <v>2.5900000000000016</v>
      </c>
    </row>
    <row r="16" spans="1:7" ht="12" thickBot="1">
      <c r="A16" s="126" t="s">
        <v>315</v>
      </c>
      <c r="B16" s="178">
        <v>17.527182866556835</v>
      </c>
      <c r="C16" s="178">
        <v>19.604767857142836</v>
      </c>
      <c r="D16" s="178">
        <v>15.083652597402574</v>
      </c>
      <c r="E16" s="178">
        <v>49.607188658416533</v>
      </c>
      <c r="F16" s="178">
        <v>7.5874530741101198</v>
      </c>
      <c r="G16" s="178">
        <v>2.5900000000000016</v>
      </c>
    </row>
    <row r="19" spans="1:9">
      <c r="A19" s="176" t="s">
        <v>328</v>
      </c>
    </row>
    <row r="27" spans="1:9" ht="14.25">
      <c r="I27" s="2"/>
    </row>
  </sheetData>
  <mergeCells count="4">
    <mergeCell ref="A1:F1"/>
    <mergeCell ref="A3:A4"/>
    <mergeCell ref="B3:C3"/>
    <mergeCell ref="D3:D4"/>
  </mergeCells>
  <pageMargins left="0.7" right="0.7" top="0.75" bottom="0.75" header="0.3" footer="0.3"/>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F0"/>
  </sheetPr>
  <dimension ref="A1:I27"/>
  <sheetViews>
    <sheetView zoomScale="160" zoomScaleNormal="160" workbookViewId="0">
      <selection sqref="A1:XFD1048576"/>
    </sheetView>
  </sheetViews>
  <sheetFormatPr baseColWidth="10" defaultColWidth="11.42578125" defaultRowHeight="15"/>
  <cols>
    <col min="5" max="5" width="14.28515625" customWidth="1"/>
  </cols>
  <sheetData>
    <row r="1" spans="1:7">
      <c r="A1" s="600" t="s">
        <v>329</v>
      </c>
      <c r="B1" s="600"/>
      <c r="C1" s="600"/>
      <c r="D1" s="600"/>
      <c r="E1" s="600"/>
      <c r="F1" s="600"/>
    </row>
    <row r="2" spans="1:7" ht="15.75" thickBot="1"/>
    <row r="3" spans="1:7" ht="23.25" thickBot="1">
      <c r="A3" s="606">
        <v>2024</v>
      </c>
      <c r="B3" s="610"/>
      <c r="C3" s="609"/>
      <c r="D3" s="606" t="s">
        <v>318</v>
      </c>
      <c r="E3" s="123" t="s">
        <v>138</v>
      </c>
      <c r="F3" s="123" t="s">
        <v>298</v>
      </c>
      <c r="G3" s="123" t="s">
        <v>16</v>
      </c>
    </row>
    <row r="4" spans="1:7" ht="23.25" thickBot="1">
      <c r="A4" s="607"/>
      <c r="B4" s="119" t="s">
        <v>299</v>
      </c>
      <c r="C4" s="119" t="s">
        <v>300</v>
      </c>
      <c r="D4" s="607"/>
      <c r="E4" s="119" t="s">
        <v>301</v>
      </c>
      <c r="F4" s="119" t="s">
        <v>302</v>
      </c>
      <c r="G4" s="119" t="s">
        <v>303</v>
      </c>
    </row>
    <row r="5" spans="1:7" ht="12.75" customHeight="1" thickBot="1">
      <c r="A5" s="126" t="s">
        <v>304</v>
      </c>
      <c r="B5" s="173">
        <v>15.207558113135883</v>
      </c>
      <c r="C5" s="173">
        <v>16.199305432943699</v>
      </c>
      <c r="D5" s="173">
        <v>16.305269383252824</v>
      </c>
      <c r="E5" s="173">
        <v>44.137485970819412</v>
      </c>
      <c r="F5" s="173">
        <v>6.995026334584507</v>
      </c>
      <c r="G5" s="173">
        <v>1.989090322580648</v>
      </c>
    </row>
    <row r="6" spans="1:7" ht="12.75" customHeight="1" thickBot="1">
      <c r="A6" s="126" t="s">
        <v>305</v>
      </c>
      <c r="B6" s="173">
        <v>15.02006236207149</v>
      </c>
      <c r="C6" s="173">
        <v>16.336986449905393</v>
      </c>
      <c r="D6" s="173">
        <v>16.080602557415148</v>
      </c>
      <c r="E6" s="173">
        <v>44.973278882575734</v>
      </c>
      <c r="F6" s="173">
        <v>7.4455393040563225</v>
      </c>
      <c r="G6" s="173">
        <v>1.994480459770116</v>
      </c>
    </row>
    <row r="7" spans="1:7" ht="12.75" customHeight="1" thickBot="1">
      <c r="A7" s="126" t="s">
        <v>306</v>
      </c>
      <c r="B7" s="173">
        <v>15.550563363051868</v>
      </c>
      <c r="C7" s="173">
        <v>17.445254449222929</v>
      </c>
      <c r="D7" s="173">
        <v>16.804563552535786</v>
      </c>
      <c r="E7" s="173">
        <v>45.589177457762361</v>
      </c>
      <c r="F7" s="173">
        <v>7.5197037918778564</v>
      </c>
      <c r="G7" s="173">
        <v>1.9976369863013685</v>
      </c>
    </row>
    <row r="8" spans="1:7" ht="12.75" customHeight="1" thickBot="1">
      <c r="A8" s="126" t="s">
        <v>307</v>
      </c>
      <c r="B8" s="173">
        <v>16.403660782500367</v>
      </c>
      <c r="C8" s="173">
        <v>17.795678543048179</v>
      </c>
      <c r="D8" s="173">
        <v>16.735646600699965</v>
      </c>
      <c r="E8" s="173">
        <v>46.887636858091454</v>
      </c>
      <c r="F8" s="173">
        <v>7.4638598431721874</v>
      </c>
      <c r="G8" s="173">
        <v>2.0147253521126767</v>
      </c>
    </row>
    <row r="9" spans="1:7" ht="12.75" customHeight="1" thickBot="1">
      <c r="A9" s="126" t="s">
        <v>308</v>
      </c>
      <c r="B9" s="173">
        <v>16.408349178144562</v>
      </c>
      <c r="C9" s="173">
        <v>17.780564374017555</v>
      </c>
      <c r="D9" s="173">
        <v>16.612600517115776</v>
      </c>
      <c r="E9" s="173">
        <v>47.182657312423842</v>
      </c>
      <c r="F9" s="173">
        <v>7.3450623206440664</v>
      </c>
      <c r="G9" s="173">
        <v>2.0128597122302163</v>
      </c>
    </row>
    <row r="10" spans="1:7" ht="12.75" customHeight="1" thickBot="1">
      <c r="A10" s="126" t="s">
        <v>309</v>
      </c>
      <c r="B10" s="173">
        <v>15.967350311560713</v>
      </c>
      <c r="C10" s="173">
        <v>17.141520367174255</v>
      </c>
      <c r="D10" s="173">
        <v>16.0411428927925</v>
      </c>
      <c r="E10" s="173">
        <v>47.635452396303492</v>
      </c>
      <c r="F10" s="173">
        <v>7.1250627200399883</v>
      </c>
      <c r="G10" s="173">
        <v>2.010196850393704</v>
      </c>
    </row>
    <row r="11" spans="1:7" ht="12.75" customHeight="1" thickBot="1">
      <c r="A11" s="126" t="s">
        <v>310</v>
      </c>
      <c r="B11" s="173">
        <v>16.109754204398428</v>
      </c>
      <c r="C11" s="173">
        <v>17.293267716535407</v>
      </c>
      <c r="D11" s="173">
        <v>16.116712517193935</v>
      </c>
      <c r="E11" s="173">
        <v>48.573764993686773</v>
      </c>
      <c r="F11" s="173">
        <v>7.000165654395353</v>
      </c>
      <c r="G11" s="173">
        <v>2.0457851239669447</v>
      </c>
    </row>
    <row r="12" spans="1:7" ht="12.75" customHeight="1" thickBot="1">
      <c r="A12" s="126" t="s">
        <v>311</v>
      </c>
      <c r="B12" s="173">
        <v>16.105483870967721</v>
      </c>
      <c r="C12" s="173">
        <v>17.229759547383278</v>
      </c>
      <c r="D12" s="173">
        <v>16.093426883308709</v>
      </c>
      <c r="E12" s="173">
        <v>48.214894057765072</v>
      </c>
      <c r="F12" s="173">
        <v>6.9824388325556468</v>
      </c>
      <c r="G12" s="173">
        <v>2.0572897196261706</v>
      </c>
    </row>
    <row r="13" spans="1:7" ht="12.75" customHeight="1" thickBot="1">
      <c r="A13" s="126" t="s">
        <v>312</v>
      </c>
      <c r="B13" s="173">
        <v>15.408711340206157</v>
      </c>
      <c r="C13" s="173">
        <v>16.40105534105534</v>
      </c>
      <c r="D13" s="173">
        <v>15.503794940079899</v>
      </c>
      <c r="E13" s="173">
        <v>49.203102748799409</v>
      </c>
      <c r="F13" s="173">
        <v>6.9172178296356277</v>
      </c>
      <c r="G13" s="173">
        <v>2.060909090909091</v>
      </c>
    </row>
    <row r="14" spans="1:7" ht="12.75" customHeight="1" thickBot="1">
      <c r="A14" s="126" t="s">
        <v>313</v>
      </c>
      <c r="B14" s="173">
        <v>14.834504748982345</v>
      </c>
      <c r="C14" s="173">
        <v>15.747303523035292</v>
      </c>
      <c r="D14" s="173">
        <v>14.765094594594563</v>
      </c>
      <c r="E14" s="173">
        <v>49.531477130859052</v>
      </c>
      <c r="F14" s="173">
        <v>7.1318254089449162</v>
      </c>
      <c r="G14" s="173">
        <v>2.060909090909091</v>
      </c>
    </row>
    <row r="15" spans="1:7" ht="12.75" customHeight="1" thickBot="1">
      <c r="A15" s="126" t="s">
        <v>314</v>
      </c>
      <c r="B15" s="173">
        <v>14.797971014492754</v>
      </c>
      <c r="C15" s="173">
        <v>15.728470418470447</v>
      </c>
      <c r="D15" s="173">
        <v>14.622896652110589</v>
      </c>
      <c r="E15" s="173">
        <v>50.911580367403801</v>
      </c>
      <c r="F15" s="173">
        <v>7.441837306905466</v>
      </c>
      <c r="G15" s="173">
        <v>2.060909090909091</v>
      </c>
    </row>
    <row r="16" spans="1:7" ht="12.75" customHeight="1" thickBot="1">
      <c r="A16" s="126" t="s">
        <v>315</v>
      </c>
      <c r="B16" s="173">
        <v>14.652137628111308</v>
      </c>
      <c r="C16" s="173">
        <v>15.532212518195038</v>
      </c>
      <c r="D16" s="173">
        <v>14.750058823529374</v>
      </c>
      <c r="E16" s="173">
        <v>50.024068159068207</v>
      </c>
      <c r="F16" s="173">
        <v>7.3064231959016057</v>
      </c>
      <c r="G16" s="173">
        <v>2.060909090909091</v>
      </c>
    </row>
    <row r="18" spans="1:9">
      <c r="A18" s="179" t="s">
        <v>330</v>
      </c>
    </row>
    <row r="27" spans="1:9">
      <c r="I27" s="2"/>
    </row>
  </sheetData>
  <mergeCells count="4">
    <mergeCell ref="A1:F1"/>
    <mergeCell ref="A3:A4"/>
    <mergeCell ref="B3:C3"/>
    <mergeCell ref="D3:D4"/>
  </mergeCells>
  <pageMargins left="0.7" right="0.7" top="0.75" bottom="0.75" header="0.3" footer="0.3"/>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F0"/>
  </sheetPr>
  <dimension ref="A1:I27"/>
  <sheetViews>
    <sheetView zoomScale="145" zoomScaleNormal="145" workbookViewId="0">
      <selection sqref="A1:XFD1048576"/>
    </sheetView>
  </sheetViews>
  <sheetFormatPr baseColWidth="10" defaultColWidth="11.42578125" defaultRowHeight="15"/>
  <cols>
    <col min="5" max="5" width="15.5703125" bestFit="1" customWidth="1"/>
    <col min="6" max="6" width="17.5703125" customWidth="1"/>
  </cols>
  <sheetData>
    <row r="1" spans="1:6">
      <c r="A1" s="600" t="s">
        <v>331</v>
      </c>
      <c r="B1" s="600"/>
      <c r="C1" s="600"/>
      <c r="D1" s="600"/>
      <c r="E1" s="600"/>
      <c r="F1" s="600"/>
    </row>
    <row r="2" spans="1:6" ht="15.75" thickBot="1"/>
    <row r="3" spans="1:6" ht="15.75" thickBot="1">
      <c r="A3" s="606">
        <v>2024</v>
      </c>
      <c r="B3" s="610" t="s">
        <v>296</v>
      </c>
      <c r="C3" s="609"/>
      <c r="D3" s="606" t="s">
        <v>318</v>
      </c>
      <c r="E3" s="123" t="s">
        <v>138</v>
      </c>
      <c r="F3" s="123" t="s">
        <v>298</v>
      </c>
    </row>
    <row r="4" spans="1:6" ht="15.75" thickBot="1">
      <c r="A4" s="607"/>
      <c r="B4" s="119" t="s">
        <v>299</v>
      </c>
      <c r="C4" s="119" t="s">
        <v>300</v>
      </c>
      <c r="D4" s="607"/>
      <c r="E4" s="119" t="s">
        <v>301</v>
      </c>
      <c r="F4" s="119" t="s">
        <v>302</v>
      </c>
    </row>
    <row r="5" spans="1:6" ht="12" customHeight="1" thickBot="1">
      <c r="A5" s="126" t="s">
        <v>304</v>
      </c>
      <c r="B5" s="173">
        <v>16.290827834799611</v>
      </c>
      <c r="C5" s="173">
        <v>17.478894230769217</v>
      </c>
      <c r="D5" s="173">
        <v>17.187031825701172</v>
      </c>
      <c r="E5" s="173">
        <v>47.451800470139176</v>
      </c>
      <c r="F5" s="173">
        <v>9.2182795698924807</v>
      </c>
    </row>
    <row r="6" spans="1:6" ht="12" customHeight="1" thickBot="1">
      <c r="A6" s="126" t="s">
        <v>305</v>
      </c>
      <c r="B6" s="173">
        <v>15.740562555260814</v>
      </c>
      <c r="C6" s="173">
        <v>17.085753757736512</v>
      </c>
      <c r="D6" s="173">
        <v>16.659183244916001</v>
      </c>
      <c r="E6" s="173">
        <v>48.647511867442915</v>
      </c>
      <c r="F6" s="173">
        <v>9.1249999999999964</v>
      </c>
    </row>
    <row r="7" spans="1:6" ht="12" customHeight="1" thickBot="1">
      <c r="A7" s="126" t="s">
        <v>306</v>
      </c>
      <c r="B7" s="173">
        <v>16.345432034363487</v>
      </c>
      <c r="C7" s="173">
        <v>17.920702637416337</v>
      </c>
      <c r="D7" s="173">
        <v>17.126919787202048</v>
      </c>
      <c r="E7" s="173">
        <v>49.91995061211189</v>
      </c>
      <c r="F7" s="173">
        <v>9.1861111111111065</v>
      </c>
    </row>
    <row r="8" spans="1:6" ht="12" customHeight="1" thickBot="1">
      <c r="A8" s="126" t="s">
        <v>307</v>
      </c>
      <c r="B8" s="173">
        <v>16.901323669386173</v>
      </c>
      <c r="C8" s="173">
        <v>18.278182935120437</v>
      </c>
      <c r="D8" s="173">
        <v>17.166687160062153</v>
      </c>
      <c r="E8" s="173">
        <v>51.319462374662379</v>
      </c>
      <c r="F8" s="173">
        <v>9.1734195402298884</v>
      </c>
    </row>
    <row r="9" spans="1:6" ht="12" customHeight="1" thickBot="1">
      <c r="A9" s="126" t="s">
        <v>308</v>
      </c>
      <c r="B9" s="173">
        <v>16.96363819648095</v>
      </c>
      <c r="C9" s="173">
        <v>18.425595674486804</v>
      </c>
      <c r="D9" s="173">
        <v>17.131778958944299</v>
      </c>
      <c r="E9" s="173">
        <v>52.401547037192202</v>
      </c>
      <c r="F9" s="173">
        <v>9.0564247311827977</v>
      </c>
    </row>
    <row r="10" spans="1:6" ht="12" customHeight="1" thickBot="1">
      <c r="A10" s="126" t="s">
        <v>309</v>
      </c>
      <c r="B10" s="173">
        <v>16.454872571872571</v>
      </c>
      <c r="C10" s="173">
        <v>17.887872960372977</v>
      </c>
      <c r="D10" s="173">
        <v>16.648649232711737</v>
      </c>
      <c r="E10" s="173">
        <v>52.767894444444458</v>
      </c>
      <c r="F10" s="173">
        <v>9.0048333333333304</v>
      </c>
    </row>
    <row r="11" spans="1:6" ht="12" customHeight="1" thickBot="1">
      <c r="A11" s="126" t="s">
        <v>310</v>
      </c>
      <c r="B11" s="173">
        <v>16.607142857142847</v>
      </c>
      <c r="C11" s="173">
        <v>18.015210526315791</v>
      </c>
      <c r="D11" s="173">
        <v>16.553606557377048</v>
      </c>
      <c r="E11" s="173">
        <v>53.407338220918852</v>
      </c>
      <c r="F11" s="173">
        <v>8.9306451612903253</v>
      </c>
    </row>
    <row r="12" spans="1:6" ht="12" customHeight="1" thickBot="1">
      <c r="A12" s="126" t="s">
        <v>311</v>
      </c>
      <c r="B12" s="173">
        <v>16.723872832369935</v>
      </c>
      <c r="C12" s="173">
        <v>18.145350318471323</v>
      </c>
      <c r="D12" s="173">
        <v>16.592571428571421</v>
      </c>
      <c r="E12" s="173">
        <v>53.333502205679622</v>
      </c>
      <c r="F12" s="173">
        <v>8.918817204301078</v>
      </c>
    </row>
    <row r="13" spans="1:6" ht="12" customHeight="1" thickBot="1">
      <c r="A13" s="126" t="s">
        <v>312</v>
      </c>
      <c r="B13" s="173">
        <v>16.418823529411764</v>
      </c>
      <c r="C13" s="173">
        <v>17.730745341614899</v>
      </c>
      <c r="D13" s="173">
        <v>16.197976878612707</v>
      </c>
      <c r="E13" s="173">
        <v>52.500248316498329</v>
      </c>
      <c r="F13" s="173">
        <v>8.8147222222222243</v>
      </c>
    </row>
    <row r="14" spans="1:6" ht="12" customHeight="1" thickBot="1">
      <c r="A14" s="126" t="s">
        <v>313</v>
      </c>
      <c r="B14" s="173">
        <v>15.970301507537688</v>
      </c>
      <c r="C14" s="173">
        <v>17.142128712871283</v>
      </c>
      <c r="D14" s="173">
        <v>15.545441176470595</v>
      </c>
      <c r="E14" s="173">
        <v>53.187570511925337</v>
      </c>
      <c r="F14" s="173">
        <v>8.8155913978494631</v>
      </c>
    </row>
    <row r="15" spans="1:6" ht="12" customHeight="1" thickBot="1">
      <c r="A15" s="126" t="s">
        <v>314</v>
      </c>
      <c r="B15" s="173">
        <v>15.742316384180814</v>
      </c>
      <c r="C15" s="173">
        <v>16.869371428571423</v>
      </c>
      <c r="D15" s="173">
        <v>15.201284916201111</v>
      </c>
      <c r="E15" s="173">
        <v>54.989430550930543</v>
      </c>
      <c r="F15" s="173">
        <v>9.06388888888889</v>
      </c>
    </row>
    <row r="16" spans="1:6" ht="12" customHeight="1" thickBot="1">
      <c r="A16" s="126" t="s">
        <v>315</v>
      </c>
      <c r="B16" s="173">
        <v>15.721187499999989</v>
      </c>
      <c r="C16" s="173">
        <v>16.853437499999991</v>
      </c>
      <c r="D16" s="173">
        <v>15.366503067484656</v>
      </c>
      <c r="E16" s="173">
        <v>56.068330773169478</v>
      </c>
      <c r="F16" s="173">
        <v>9.0650537634408597</v>
      </c>
    </row>
    <row r="19" spans="1:9">
      <c r="A19" s="179" t="s">
        <v>332</v>
      </c>
    </row>
    <row r="27" spans="1:9">
      <c r="I27" s="2"/>
    </row>
  </sheetData>
  <mergeCells count="4">
    <mergeCell ref="A1:F1"/>
    <mergeCell ref="A3:A4"/>
    <mergeCell ref="B3:C3"/>
    <mergeCell ref="D3:D4"/>
  </mergeCells>
  <pageMargins left="0.7" right="0.7" top="0.75" bottom="0.75" header="0.3" footer="0.3"/>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F0"/>
  </sheetPr>
  <dimension ref="A1:J44"/>
  <sheetViews>
    <sheetView zoomScale="130" zoomScaleNormal="130" workbookViewId="0">
      <selection sqref="A1:XFD1048576"/>
    </sheetView>
  </sheetViews>
  <sheetFormatPr baseColWidth="10" defaultColWidth="11.42578125" defaultRowHeight="11.25"/>
  <cols>
    <col min="1" max="4" width="11.42578125" style="12"/>
    <col min="5" max="5" width="10.28515625" style="12" bestFit="1" customWidth="1"/>
    <col min="6" max="6" width="15" style="12" customWidth="1"/>
    <col min="7" max="16384" width="11.42578125" style="12"/>
  </cols>
  <sheetData>
    <row r="1" spans="1:7" ht="12">
      <c r="A1" s="600" t="s">
        <v>333</v>
      </c>
      <c r="B1" s="600"/>
      <c r="C1" s="600"/>
      <c r="D1" s="600"/>
      <c r="E1" s="600"/>
      <c r="F1" s="600"/>
    </row>
    <row r="2" spans="1:7" ht="12" thickBot="1"/>
    <row r="3" spans="1:7" ht="15.75" customHeight="1" thickBot="1">
      <c r="A3" s="606">
        <v>2024</v>
      </c>
      <c r="B3" s="610" t="s">
        <v>325</v>
      </c>
      <c r="C3" s="609"/>
      <c r="D3" s="606" t="s">
        <v>318</v>
      </c>
      <c r="E3" s="123" t="s">
        <v>138</v>
      </c>
      <c r="F3" s="123" t="s">
        <v>298</v>
      </c>
      <c r="G3" s="123" t="s">
        <v>16</v>
      </c>
    </row>
    <row r="4" spans="1:7" ht="23.25" thickBot="1">
      <c r="A4" s="607"/>
      <c r="B4" s="119" t="s">
        <v>299</v>
      </c>
      <c r="C4" s="119" t="s">
        <v>300</v>
      </c>
      <c r="D4" s="607"/>
      <c r="E4" s="119" t="s">
        <v>301</v>
      </c>
      <c r="F4" s="119" t="s">
        <v>302</v>
      </c>
      <c r="G4" s="119" t="s">
        <v>303</v>
      </c>
    </row>
    <row r="5" spans="1:7" ht="12" thickBot="1">
      <c r="A5" s="126" t="s">
        <v>304</v>
      </c>
      <c r="B5" s="173">
        <v>18.350327197582544</v>
      </c>
      <c r="C5" s="173">
        <v>20.579329095786797</v>
      </c>
      <c r="D5" s="173">
        <v>18.259781237148129</v>
      </c>
      <c r="E5" s="173">
        <v>48.791139291465399</v>
      </c>
      <c r="F5" s="173">
        <v>7.9198113010048594</v>
      </c>
      <c r="G5" s="173">
        <v>1.8733333333333335</v>
      </c>
    </row>
    <row r="6" spans="1:7" ht="12" thickBot="1">
      <c r="A6" s="126" t="s">
        <v>305</v>
      </c>
      <c r="B6" s="173">
        <v>17.692855043277987</v>
      </c>
      <c r="C6" s="173">
        <v>19.759358642565115</v>
      </c>
      <c r="D6" s="173">
        <v>17.966462915444218</v>
      </c>
      <c r="E6" s="173">
        <v>49.384172661870494</v>
      </c>
      <c r="F6" s="173">
        <v>7.7203808236782363</v>
      </c>
      <c r="G6" s="173">
        <v>1.9091176470588243</v>
      </c>
    </row>
    <row r="7" spans="1:7" ht="12" thickBot="1">
      <c r="A7" s="126" t="s">
        <v>306</v>
      </c>
      <c r="B7" s="173">
        <v>17.626904840128088</v>
      </c>
      <c r="C7" s="173">
        <v>19.472104998166401</v>
      </c>
      <c r="D7" s="173">
        <v>18.555251518434662</v>
      </c>
      <c r="E7" s="173">
        <v>50.084385059385099</v>
      </c>
      <c r="F7" s="173">
        <v>7.789774794202212</v>
      </c>
      <c r="G7" s="173">
        <v>1.9857894736842099</v>
      </c>
    </row>
    <row r="8" spans="1:7" ht="12" thickBot="1">
      <c r="A8" s="126" t="s">
        <v>307</v>
      </c>
      <c r="B8" s="173">
        <v>17.877152024401969</v>
      </c>
      <c r="C8" s="173">
        <v>19.816109147142161</v>
      </c>
      <c r="D8" s="173">
        <v>18.707387557637631</v>
      </c>
      <c r="E8" s="173">
        <v>50.416297021091559</v>
      </c>
      <c r="F8" s="173">
        <v>7.7688064139460851</v>
      </c>
      <c r="G8" s="173">
        <v>1.9457777777777792</v>
      </c>
    </row>
    <row r="9" spans="1:7" ht="12" thickBot="1">
      <c r="A9" s="126" t="s">
        <v>308</v>
      </c>
      <c r="B9" s="173">
        <v>17.848719580770862</v>
      </c>
      <c r="C9" s="173">
        <v>19.736491774937537</v>
      </c>
      <c r="D9" s="173">
        <v>18.596569065884911</v>
      </c>
      <c r="E9" s="173">
        <v>51.348828976034859</v>
      </c>
      <c r="F9" s="173">
        <v>7.6149252493976363</v>
      </c>
      <c r="G9" s="173">
        <v>2</v>
      </c>
    </row>
    <row r="10" spans="1:7" ht="12" thickBot="1">
      <c r="A10" s="126" t="s">
        <v>309</v>
      </c>
      <c r="B10" s="173">
        <v>17.691050896030251</v>
      </c>
      <c r="C10" s="173">
        <v>19.630014369671461</v>
      </c>
      <c r="D10" s="173">
        <v>18.177555483462644</v>
      </c>
      <c r="E10" s="173">
        <v>51.306643518518513</v>
      </c>
      <c r="F10" s="173">
        <v>7.6138169253155379</v>
      </c>
      <c r="G10" s="173">
        <v>1.9697222222222217</v>
      </c>
    </row>
    <row r="11" spans="1:7" ht="12" thickBot="1">
      <c r="A11" s="126" t="s">
        <v>310</v>
      </c>
      <c r="B11" s="173">
        <v>17.802254641909837</v>
      </c>
      <c r="C11" s="173">
        <v>19.798405379442894</v>
      </c>
      <c r="D11" s="173">
        <v>18.193855098390017</v>
      </c>
      <c r="E11" s="173">
        <v>51.496378691141267</v>
      </c>
      <c r="F11" s="173">
        <v>7.7013117339649524</v>
      </c>
      <c r="G11" s="173">
        <v>1.9989999999999994</v>
      </c>
    </row>
    <row r="12" spans="1:7" ht="12" thickBot="1">
      <c r="A12" s="126" t="s">
        <v>311</v>
      </c>
      <c r="B12" s="173">
        <v>17.822429614181424</v>
      </c>
      <c r="C12" s="173">
        <v>19.775995500562452</v>
      </c>
      <c r="D12" s="173">
        <v>18.122152560083585</v>
      </c>
      <c r="E12" s="173">
        <v>51.995964642411295</v>
      </c>
      <c r="F12" s="173">
        <v>7.6238170337555617</v>
      </c>
      <c r="G12" s="173">
        <v>1.9962500000000001</v>
      </c>
    </row>
    <row r="13" spans="1:7" ht="12" thickBot="1">
      <c r="A13" s="126" t="s">
        <v>312</v>
      </c>
      <c r="B13" s="173">
        <v>17.332085106382959</v>
      </c>
      <c r="C13" s="173">
        <v>19.269534090909115</v>
      </c>
      <c r="D13" s="173">
        <v>17.417914438502638</v>
      </c>
      <c r="E13" s="173">
        <v>51.538340021401872</v>
      </c>
      <c r="F13" s="173">
        <v>7.5841716708183302</v>
      </c>
      <c r="G13" s="173">
        <v>1.9450000000000001</v>
      </c>
    </row>
    <row r="14" spans="1:7" ht="12" thickBot="1">
      <c r="A14" s="126" t="s">
        <v>313</v>
      </c>
      <c r="B14" s="173">
        <v>16.868383733055243</v>
      </c>
      <c r="C14" s="173">
        <v>18.68031833150382</v>
      </c>
      <c r="D14" s="173">
        <v>16.707458847736614</v>
      </c>
      <c r="E14" s="173">
        <v>53.024521221532126</v>
      </c>
      <c r="F14" s="173">
        <v>7.5434307537593801</v>
      </c>
      <c r="G14" s="173">
        <v>1.9450000000000001</v>
      </c>
    </row>
    <row r="15" spans="1:7" ht="12" thickBot="1">
      <c r="A15" s="126" t="s">
        <v>314</v>
      </c>
      <c r="B15" s="173">
        <v>16.617415115005461</v>
      </c>
      <c r="C15" s="173">
        <v>18.426153846153909</v>
      </c>
      <c r="D15" s="173">
        <v>16.52755801104972</v>
      </c>
      <c r="E15" s="173">
        <v>53.784487522281729</v>
      </c>
      <c r="F15" s="173">
        <v>7.6763048611072371</v>
      </c>
      <c r="G15" s="173">
        <v>1.9450000000000001</v>
      </c>
    </row>
    <row r="16" spans="1:7" ht="12" thickBot="1">
      <c r="A16" s="126" t="s">
        <v>315</v>
      </c>
      <c r="B16" s="173">
        <v>16.30546605293441</v>
      </c>
      <c r="C16" s="173">
        <v>18.127355473554772</v>
      </c>
      <c r="D16" s="173">
        <v>16.560775462962951</v>
      </c>
      <c r="E16" s="173">
        <v>53.178407578085</v>
      </c>
      <c r="F16" s="173">
        <v>7.6425775694086164</v>
      </c>
      <c r="G16" s="173">
        <v>1.9450000000000001</v>
      </c>
    </row>
    <row r="19" spans="1:9">
      <c r="A19" s="176" t="s">
        <v>334</v>
      </c>
    </row>
    <row r="27" spans="1:9" ht="14.25">
      <c r="I27" s="2"/>
    </row>
    <row r="44" spans="10:10" ht="12" thickBot="1">
      <c r="J44" s="173"/>
    </row>
  </sheetData>
  <mergeCells count="4">
    <mergeCell ref="A1:F1"/>
    <mergeCell ref="A3:A4"/>
    <mergeCell ref="B3:C3"/>
    <mergeCell ref="D3:D4"/>
  </mergeCells>
  <pageMargins left="0.7" right="0.7" top="0.75" bottom="0.75" header="0.3" footer="0.3"/>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F0"/>
  </sheetPr>
  <dimension ref="A1:I27"/>
  <sheetViews>
    <sheetView zoomScale="145" zoomScaleNormal="145" workbookViewId="0">
      <selection sqref="A1:XFD1048576"/>
    </sheetView>
  </sheetViews>
  <sheetFormatPr baseColWidth="10" defaultColWidth="11.42578125" defaultRowHeight="11.25"/>
  <cols>
    <col min="1" max="5" width="11.42578125" style="12"/>
    <col min="6" max="6" width="15.28515625" style="12" customWidth="1"/>
    <col min="7" max="16384" width="11.42578125" style="12"/>
  </cols>
  <sheetData>
    <row r="1" spans="1:6" ht="12">
      <c r="A1" s="600" t="s">
        <v>335</v>
      </c>
      <c r="B1" s="600"/>
      <c r="C1" s="600"/>
      <c r="D1" s="600"/>
      <c r="E1" s="600"/>
    </row>
    <row r="2" spans="1:6" ht="12" thickBot="1"/>
    <row r="3" spans="1:6" ht="15.75" customHeight="1" thickBot="1">
      <c r="A3" s="606">
        <v>2024</v>
      </c>
      <c r="B3" s="610" t="s">
        <v>296</v>
      </c>
      <c r="C3" s="609"/>
      <c r="D3" s="606" t="s">
        <v>318</v>
      </c>
      <c r="E3" s="123" t="s">
        <v>138</v>
      </c>
      <c r="F3" s="123" t="s">
        <v>298</v>
      </c>
    </row>
    <row r="4" spans="1:6" ht="23.25" thickBot="1">
      <c r="A4" s="607"/>
      <c r="B4" s="119" t="s">
        <v>299</v>
      </c>
      <c r="C4" s="119" t="s">
        <v>300</v>
      </c>
      <c r="D4" s="607"/>
      <c r="E4" s="119" t="s">
        <v>301</v>
      </c>
      <c r="F4" s="119" t="s">
        <v>302</v>
      </c>
    </row>
    <row r="5" spans="1:6" ht="12" thickBot="1">
      <c r="A5" s="126" t="s">
        <v>304</v>
      </c>
      <c r="B5" s="173">
        <v>16.950613628554155</v>
      </c>
      <c r="C5" s="173">
        <v>18.027649098493015</v>
      </c>
      <c r="D5" s="173">
        <v>16.950088237359065</v>
      </c>
      <c r="E5" s="173">
        <v>45.069797352406042</v>
      </c>
      <c r="F5" s="173">
        <v>11.780000000000005</v>
      </c>
    </row>
    <row r="6" spans="1:6" ht="12" thickBot="1">
      <c r="A6" s="126" t="s">
        <v>305</v>
      </c>
      <c r="B6" s="173">
        <v>16.600371855030581</v>
      </c>
      <c r="C6" s="173">
        <v>17.677365728021947</v>
      </c>
      <c r="D6" s="173">
        <v>16.388937298655993</v>
      </c>
      <c r="E6" s="173">
        <v>46.504733365949122</v>
      </c>
      <c r="F6" s="173">
        <v>11.961538461538463</v>
      </c>
    </row>
    <row r="7" spans="1:6" ht="12" thickBot="1">
      <c r="A7" s="126" t="s">
        <v>306</v>
      </c>
      <c r="B7" s="173">
        <v>16.764484270877251</v>
      </c>
      <c r="C7" s="173">
        <v>17.815061227906483</v>
      </c>
      <c r="D7" s="173">
        <v>17.034948748518936</v>
      </c>
      <c r="E7" s="173">
        <v>47.438282449258047</v>
      </c>
      <c r="F7" s="173">
        <v>12.1</v>
      </c>
    </row>
    <row r="8" spans="1:6" ht="12" thickBot="1">
      <c r="A8" s="126" t="s">
        <v>307</v>
      </c>
      <c r="B8" s="173">
        <v>16.991688476781349</v>
      </c>
      <c r="C8" s="173">
        <v>17.980076623910801</v>
      </c>
      <c r="D8" s="173">
        <v>17.087287090134627</v>
      </c>
      <c r="E8" s="173">
        <v>49.075318098108198</v>
      </c>
      <c r="F8" s="173">
        <v>12.099999999999998</v>
      </c>
    </row>
    <row r="9" spans="1:6" ht="12" thickBot="1">
      <c r="A9" s="126" t="s">
        <v>308</v>
      </c>
      <c r="B9" s="173">
        <v>16.998974579815052</v>
      </c>
      <c r="C9" s="173">
        <v>18.079304665600418</v>
      </c>
      <c r="D9" s="173">
        <v>17.030040921971644</v>
      </c>
      <c r="E9" s="173">
        <v>50.559794372294398</v>
      </c>
      <c r="F9" s="173">
        <v>12.100000000000003</v>
      </c>
    </row>
    <row r="10" spans="1:6" ht="12" thickBot="1">
      <c r="A10" s="126" t="s">
        <v>309</v>
      </c>
      <c r="B10" s="173">
        <v>16.732786264668626</v>
      </c>
      <c r="C10" s="173">
        <v>17.859081661852553</v>
      </c>
      <c r="D10" s="173">
        <v>16.548509733889563</v>
      </c>
      <c r="E10" s="173">
        <v>50.089583333333387</v>
      </c>
      <c r="F10" s="173">
        <v>12.100000000000001</v>
      </c>
    </row>
    <row r="11" spans="1:6" ht="12" thickBot="1">
      <c r="A11" s="126" t="s">
        <v>310</v>
      </c>
      <c r="B11" s="173">
        <v>16.449534883720961</v>
      </c>
      <c r="C11" s="173">
        <v>17.791255411255367</v>
      </c>
      <c r="D11" s="173">
        <v>16.000066225165593</v>
      </c>
      <c r="E11" s="173">
        <v>51.25832167832165</v>
      </c>
      <c r="F11" s="173">
        <v>12.1</v>
      </c>
    </row>
    <row r="12" spans="1:6" ht="12" thickBot="1">
      <c r="A12" s="126" t="s">
        <v>311</v>
      </c>
      <c r="B12" s="173">
        <v>16.501960784313781</v>
      </c>
      <c r="C12" s="173">
        <v>17.825021276595709</v>
      </c>
      <c r="D12" s="173">
        <v>16.033636363636393</v>
      </c>
      <c r="E12" s="173">
        <v>51.971509351892095</v>
      </c>
      <c r="F12" s="173">
        <v>12.1</v>
      </c>
    </row>
    <row r="13" spans="1:6" ht="12" thickBot="1">
      <c r="A13" s="126" t="s">
        <v>312</v>
      </c>
      <c r="B13" s="173">
        <v>16.275207756232717</v>
      </c>
      <c r="C13" s="173">
        <v>17.388700361010777</v>
      </c>
      <c r="D13" s="173">
        <v>15.621835616438378</v>
      </c>
      <c r="E13" s="173">
        <v>51.472020933977461</v>
      </c>
      <c r="F13" s="173">
        <v>12.1</v>
      </c>
    </row>
    <row r="14" spans="1:6" ht="12" thickBot="1">
      <c r="A14" s="126" t="s">
        <v>313</v>
      </c>
      <c r="B14" s="173">
        <v>15.859311224489806</v>
      </c>
      <c r="C14" s="173">
        <v>16.949791666666655</v>
      </c>
      <c r="D14" s="173">
        <v>14.870453400503742</v>
      </c>
      <c r="E14" s="173">
        <v>51.728876211950443</v>
      </c>
      <c r="F14" s="173">
        <v>12.1</v>
      </c>
    </row>
    <row r="15" spans="1:6" ht="12" thickBot="1">
      <c r="A15" s="126" t="s">
        <v>314</v>
      </c>
      <c r="B15" s="173">
        <v>15.396821917808207</v>
      </c>
      <c r="C15" s="173">
        <v>16.585124555160114</v>
      </c>
      <c r="D15" s="173">
        <v>14.532144772117967</v>
      </c>
      <c r="E15" s="173">
        <v>53.181355439208843</v>
      </c>
      <c r="F15" s="173">
        <v>12.1</v>
      </c>
    </row>
    <row r="16" spans="1:6" ht="12" thickBot="1">
      <c r="A16" s="126" t="s">
        <v>315</v>
      </c>
      <c r="B16" s="173">
        <v>15.123421828908533</v>
      </c>
      <c r="C16" s="173">
        <v>16.426590909090873</v>
      </c>
      <c r="D16" s="173">
        <v>14.710569800569802</v>
      </c>
      <c r="E16" s="173">
        <v>53.355945945945919</v>
      </c>
      <c r="F16" s="173">
        <v>12.1</v>
      </c>
    </row>
    <row r="18" spans="1:9">
      <c r="A18" s="176" t="s">
        <v>336</v>
      </c>
    </row>
    <row r="27" spans="1:9" ht="14.25">
      <c r="I27" s="2"/>
    </row>
  </sheetData>
  <mergeCells count="4">
    <mergeCell ref="A1:E1"/>
    <mergeCell ref="A3:A4"/>
    <mergeCell ref="B3:C3"/>
    <mergeCell ref="D3:D4"/>
  </mergeCells>
  <pageMargins left="0.7" right="0.7" top="0.75" bottom="0.75" header="0.3" footer="0.3"/>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F0"/>
  </sheetPr>
  <dimension ref="A1:I27"/>
  <sheetViews>
    <sheetView zoomScale="145" zoomScaleNormal="145" workbookViewId="0">
      <selection sqref="A1:XFD1048576"/>
    </sheetView>
  </sheetViews>
  <sheetFormatPr baseColWidth="10" defaultColWidth="11.42578125" defaultRowHeight="11.25"/>
  <cols>
    <col min="1" max="5" width="11.42578125" style="12"/>
    <col min="6" max="6" width="16.140625" style="12" customWidth="1"/>
    <col min="7" max="16384" width="11.42578125" style="12"/>
  </cols>
  <sheetData>
    <row r="1" spans="1:6" ht="12">
      <c r="A1" s="600" t="s">
        <v>337</v>
      </c>
      <c r="B1" s="600"/>
      <c r="C1" s="600"/>
      <c r="D1" s="600"/>
      <c r="E1" s="600"/>
      <c r="F1" s="600"/>
    </row>
    <row r="2" spans="1:6" ht="12" thickBot="1"/>
    <row r="3" spans="1:6" ht="15.75" customHeight="1" thickBot="1">
      <c r="A3" s="606">
        <v>2024</v>
      </c>
      <c r="B3" s="610" t="s">
        <v>296</v>
      </c>
      <c r="C3" s="609"/>
      <c r="D3" s="606" t="s">
        <v>318</v>
      </c>
      <c r="E3" s="123" t="s">
        <v>138</v>
      </c>
      <c r="F3" s="123" t="s">
        <v>298</v>
      </c>
    </row>
    <row r="4" spans="1:6" ht="23.25" thickBot="1">
      <c r="A4" s="607"/>
      <c r="B4" s="119" t="s">
        <v>299</v>
      </c>
      <c r="C4" s="119" t="s">
        <v>300</v>
      </c>
      <c r="D4" s="607"/>
      <c r="E4" s="119" t="s">
        <v>301</v>
      </c>
      <c r="F4" s="119" t="s">
        <v>302</v>
      </c>
    </row>
    <row r="5" spans="1:6" ht="12" thickBot="1">
      <c r="A5" s="126" t="s">
        <v>304</v>
      </c>
      <c r="B5" s="178">
        <v>16.560676802400753</v>
      </c>
      <c r="C5" s="178">
        <v>17.498939064157426</v>
      </c>
      <c r="D5" s="178">
        <v>16.543045062676821</v>
      </c>
      <c r="E5" s="178">
        <v>43.142078392857179</v>
      </c>
      <c r="F5" s="178">
        <v>7.6650561958116539</v>
      </c>
    </row>
    <row r="6" spans="1:6" ht="12" thickBot="1">
      <c r="A6" s="126" t="s">
        <v>305</v>
      </c>
      <c r="B6" s="178">
        <v>16.414685905951067</v>
      </c>
      <c r="C6" s="178">
        <v>17.433839709279461</v>
      </c>
      <c r="D6" s="178">
        <v>16.362855351878125</v>
      </c>
      <c r="E6" s="178">
        <v>44.099264360866783</v>
      </c>
      <c r="F6" s="178">
        <v>7.9357903026530439</v>
      </c>
    </row>
    <row r="7" spans="1:6" ht="12" thickBot="1">
      <c r="A7" s="126" t="s">
        <v>306</v>
      </c>
      <c r="B7" s="178">
        <v>16.502198493356126</v>
      </c>
      <c r="C7" s="178">
        <v>17.519308098219838</v>
      </c>
      <c r="D7" s="178">
        <v>16.693841730223195</v>
      </c>
      <c r="E7" s="178">
        <v>45.611674183935477</v>
      </c>
      <c r="F7" s="178">
        <v>7.9520339267240434</v>
      </c>
    </row>
    <row r="8" spans="1:6" ht="12" thickBot="1">
      <c r="A8" s="126" t="s">
        <v>307</v>
      </c>
      <c r="B8" s="178">
        <v>16.849736318973395</v>
      </c>
      <c r="C8" s="178">
        <v>17.944573996382552</v>
      </c>
      <c r="D8" s="178">
        <v>16.587898555340928</v>
      </c>
      <c r="E8" s="178">
        <v>46.635111468023752</v>
      </c>
      <c r="F8" s="178">
        <v>7.787673218284981</v>
      </c>
    </row>
    <row r="9" spans="1:6" ht="12" thickBot="1">
      <c r="A9" s="126" t="s">
        <v>308</v>
      </c>
      <c r="B9" s="178">
        <v>17.192569696617284</v>
      </c>
      <c r="C9" s="178">
        <v>18.369260510937703</v>
      </c>
      <c r="D9" s="178">
        <v>16.562381083138366</v>
      </c>
      <c r="E9" s="178">
        <v>47.701306902106907</v>
      </c>
      <c r="F9" s="178">
        <v>7.7688192952507409</v>
      </c>
    </row>
    <row r="10" spans="1:6" ht="12" thickBot="1">
      <c r="A10" s="126" t="s">
        <v>309</v>
      </c>
      <c r="B10" s="178">
        <v>16.989226766335793</v>
      </c>
      <c r="C10" s="178">
        <v>18.025529816252369</v>
      </c>
      <c r="D10" s="178">
        <v>16.026138170491805</v>
      </c>
      <c r="E10" s="178">
        <v>48.789945236189389</v>
      </c>
      <c r="F10" s="178">
        <v>7.5823498799377695</v>
      </c>
    </row>
    <row r="11" spans="1:6" ht="12" thickBot="1">
      <c r="A11" s="126" t="s">
        <v>310</v>
      </c>
      <c r="B11" s="178">
        <v>16.986090373280902</v>
      </c>
      <c r="C11" s="178">
        <v>18.006725490196075</v>
      </c>
      <c r="D11" s="178">
        <v>15.86930894308947</v>
      </c>
      <c r="E11" s="178">
        <v>49.195741018460133</v>
      </c>
      <c r="F11" s="178">
        <v>7.5557814604750018</v>
      </c>
    </row>
    <row r="12" spans="1:6" ht="12" thickBot="1">
      <c r="A12" s="126" t="s">
        <v>311</v>
      </c>
      <c r="B12" s="178">
        <v>16.99430041152258</v>
      </c>
      <c r="C12" s="178">
        <v>18.015679012345654</v>
      </c>
      <c r="D12" s="178">
        <v>15.896618556701069</v>
      </c>
      <c r="E12" s="178">
        <v>49.53769960963065</v>
      </c>
      <c r="F12" s="178">
        <v>7.5573349621072534</v>
      </c>
    </row>
    <row r="13" spans="1:6" ht="12" thickBot="1">
      <c r="A13" s="126" t="s">
        <v>312</v>
      </c>
      <c r="B13" s="178">
        <v>16.584139344262244</v>
      </c>
      <c r="C13" s="178">
        <v>17.548275154004084</v>
      </c>
      <c r="D13" s="178">
        <v>15.522868852459023</v>
      </c>
      <c r="E13" s="178">
        <v>49.940451848683125</v>
      </c>
      <c r="F13" s="178">
        <v>7.5121640044051903</v>
      </c>
    </row>
    <row r="14" spans="1:6" ht="12" thickBot="1">
      <c r="A14" s="126" t="s">
        <v>313</v>
      </c>
      <c r="B14" s="178">
        <v>15.632699619771786</v>
      </c>
      <c r="C14" s="178">
        <v>16.642237093690184</v>
      </c>
      <c r="D14" s="178">
        <v>14.841300191204532</v>
      </c>
      <c r="E14" s="178">
        <v>50.678075195392822</v>
      </c>
      <c r="F14" s="178">
        <v>7.554369915072594</v>
      </c>
    </row>
    <row r="15" spans="1:6" ht="12" thickBot="1">
      <c r="A15" s="126" t="s">
        <v>314</v>
      </c>
      <c r="B15" s="178">
        <v>15.450377358490517</v>
      </c>
      <c r="C15" s="178">
        <v>16.475303983228464</v>
      </c>
      <c r="D15" s="178">
        <v>14.69808421052624</v>
      </c>
      <c r="E15" s="178">
        <v>51.593228577716566</v>
      </c>
      <c r="F15" s="178">
        <v>7.7656355504144994</v>
      </c>
    </row>
    <row r="16" spans="1:6" ht="12" thickBot="1">
      <c r="A16" s="126" t="s">
        <v>315</v>
      </c>
      <c r="B16" s="178">
        <v>15.429795918367292</v>
      </c>
      <c r="C16" s="178">
        <v>16.455903614457778</v>
      </c>
      <c r="D16" s="178">
        <v>14.953566037735783</v>
      </c>
      <c r="E16" s="178">
        <v>51.757640778793203</v>
      </c>
      <c r="F16" s="178">
        <v>7.7742857339792852</v>
      </c>
    </row>
    <row r="19" spans="1:9">
      <c r="A19" s="176" t="s">
        <v>338</v>
      </c>
    </row>
    <row r="27" spans="1:9" ht="14.25">
      <c r="I27" s="2"/>
    </row>
  </sheetData>
  <mergeCells count="4">
    <mergeCell ref="A1:F1"/>
    <mergeCell ref="A3:A4"/>
    <mergeCell ref="B3:C3"/>
    <mergeCell ref="D3:D4"/>
  </mergeCells>
  <pageMargins left="0.7" right="0.7" top="0.75" bottom="0.75" header="0.3" footer="0.3"/>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F0"/>
  </sheetPr>
  <dimension ref="A1:I27"/>
  <sheetViews>
    <sheetView zoomScale="145" zoomScaleNormal="145" workbookViewId="0">
      <selection sqref="A1:XFD1048576"/>
    </sheetView>
  </sheetViews>
  <sheetFormatPr baseColWidth="10" defaultColWidth="11.42578125" defaultRowHeight="11.25"/>
  <cols>
    <col min="1" max="5" width="11.42578125" style="12"/>
    <col min="6" max="6" width="14.85546875" style="12" customWidth="1"/>
    <col min="7" max="16384" width="11.42578125" style="12"/>
  </cols>
  <sheetData>
    <row r="1" spans="1:7" ht="12">
      <c r="A1" s="600" t="s">
        <v>339</v>
      </c>
      <c r="B1" s="600"/>
      <c r="C1" s="600"/>
      <c r="D1" s="600"/>
      <c r="E1" s="600"/>
      <c r="F1" s="154"/>
    </row>
    <row r="2" spans="1:7" ht="12" thickBot="1"/>
    <row r="3" spans="1:7" ht="15.75" customHeight="1" thickBot="1">
      <c r="A3" s="606">
        <v>2024</v>
      </c>
      <c r="B3" s="610" t="s">
        <v>296</v>
      </c>
      <c r="C3" s="609"/>
      <c r="D3" s="606" t="s">
        <v>340</v>
      </c>
      <c r="E3" s="123" t="s">
        <v>138</v>
      </c>
      <c r="F3" s="123" t="s">
        <v>298</v>
      </c>
      <c r="G3" s="123" t="s">
        <v>16</v>
      </c>
    </row>
    <row r="4" spans="1:7" ht="23.25" thickBot="1">
      <c r="A4" s="607"/>
      <c r="B4" s="119" t="s">
        <v>299</v>
      </c>
      <c r="C4" s="119" t="s">
        <v>300</v>
      </c>
      <c r="D4" s="607"/>
      <c r="E4" s="119" t="s">
        <v>301</v>
      </c>
      <c r="F4" s="119" t="s">
        <v>302</v>
      </c>
      <c r="G4" s="119" t="s">
        <v>303</v>
      </c>
    </row>
    <row r="5" spans="1:7" ht="12" thickBot="1">
      <c r="A5" s="126" t="s">
        <v>304</v>
      </c>
      <c r="B5" s="173">
        <v>16.932891443566955</v>
      </c>
      <c r="C5" s="173">
        <v>17.940282833205806</v>
      </c>
      <c r="D5" s="173">
        <v>17.154380600035502</v>
      </c>
      <c r="E5" s="173">
        <v>44.835401963627788</v>
      </c>
      <c r="F5" s="173">
        <v>7.0888850418262859</v>
      </c>
      <c r="G5" s="173">
        <v>2.5608510638297859</v>
      </c>
    </row>
    <row r="6" spans="1:7" ht="12" thickBot="1">
      <c r="A6" s="126" t="s">
        <v>305</v>
      </c>
      <c r="B6" s="173">
        <v>16.627286733759476</v>
      </c>
      <c r="C6" s="173">
        <v>17.678821759207302</v>
      </c>
      <c r="D6" s="173">
        <v>16.706414562480923</v>
      </c>
      <c r="E6" s="173">
        <v>45.578385566115436</v>
      </c>
      <c r="F6" s="173">
        <v>7.364836219801103</v>
      </c>
      <c r="G6" s="173">
        <v>2.592000000000001</v>
      </c>
    </row>
    <row r="7" spans="1:7" ht="12" thickBot="1">
      <c r="A7" s="126" t="s">
        <v>306</v>
      </c>
      <c r="B7" s="173">
        <v>16.849405605893324</v>
      </c>
      <c r="C7" s="173">
        <v>18.136211102644463</v>
      </c>
      <c r="D7" s="173">
        <v>17.289560867222683</v>
      </c>
      <c r="E7" s="173">
        <v>46.646773277499094</v>
      </c>
      <c r="F7" s="173">
        <v>7.4449282579454348</v>
      </c>
      <c r="G7" s="173">
        <v>2.6291999999999995</v>
      </c>
    </row>
    <row r="8" spans="1:7" ht="12" thickBot="1">
      <c r="A8" s="126" t="s">
        <v>307</v>
      </c>
      <c r="B8" s="173">
        <v>16.984078972957807</v>
      </c>
      <c r="C8" s="173">
        <v>18.388024193421337</v>
      </c>
      <c r="D8" s="173">
        <v>17.240322818480426</v>
      </c>
      <c r="E8" s="173">
        <v>47.379523836246086</v>
      </c>
      <c r="F8" s="173">
        <v>7.3153582154206802</v>
      </c>
      <c r="G8" s="173">
        <v>2.600000000000001</v>
      </c>
    </row>
    <row r="9" spans="1:7" ht="12" thickBot="1">
      <c r="A9" s="126" t="s">
        <v>308</v>
      </c>
      <c r="B9" s="173">
        <v>17.055370204285243</v>
      </c>
      <c r="C9" s="173">
        <v>18.550796156925816</v>
      </c>
      <c r="D9" s="173">
        <v>17.145205945461711</v>
      </c>
      <c r="E9" s="173">
        <v>48.514292282786961</v>
      </c>
      <c r="F9" s="173">
        <v>7.1580538108524152</v>
      </c>
      <c r="G9" s="173">
        <v>2.5900000000000021</v>
      </c>
    </row>
    <row r="10" spans="1:7" ht="12" thickBot="1">
      <c r="A10" s="126" t="s">
        <v>309</v>
      </c>
      <c r="B10" s="173">
        <v>17.026031566068713</v>
      </c>
      <c r="C10" s="173">
        <v>18.29595884438886</v>
      </c>
      <c r="D10" s="173">
        <v>16.863011525299147</v>
      </c>
      <c r="E10" s="173">
        <v>48.161431591042756</v>
      </c>
      <c r="F10" s="173">
        <v>7.0134068200656632</v>
      </c>
      <c r="G10" s="173">
        <v>2.5900000000000021</v>
      </c>
    </row>
    <row r="11" spans="1:7" ht="12" thickBot="1">
      <c r="A11" s="126" t="s">
        <v>310</v>
      </c>
      <c r="B11" s="173">
        <v>17.036035294117767</v>
      </c>
      <c r="C11" s="173">
        <v>18.537760479042038</v>
      </c>
      <c r="D11" s="173">
        <v>16.957893175074211</v>
      </c>
      <c r="E11" s="173">
        <v>48.810488149842953</v>
      </c>
      <c r="F11" s="173">
        <v>7.0190080050968628</v>
      </c>
      <c r="G11" s="173">
        <v>2.59</v>
      </c>
    </row>
    <row r="12" spans="1:7" ht="12" thickBot="1">
      <c r="A12" s="126" t="s">
        <v>311</v>
      </c>
      <c r="B12" s="173">
        <v>16.961939058171865</v>
      </c>
      <c r="C12" s="173">
        <v>18.382538354253928</v>
      </c>
      <c r="D12" s="173">
        <v>16.867537212449339</v>
      </c>
      <c r="E12" s="173">
        <v>49.071893770697699</v>
      </c>
      <c r="F12" s="173">
        <v>7.0876266304091553</v>
      </c>
      <c r="G12" s="173">
        <v>2.59</v>
      </c>
    </row>
    <row r="13" spans="1:7" ht="12" thickBot="1">
      <c r="A13" s="126" t="s">
        <v>312</v>
      </c>
      <c r="B13" s="173">
        <v>16.370566433566466</v>
      </c>
      <c r="C13" s="173">
        <v>17.677412935323332</v>
      </c>
      <c r="D13" s="173">
        <v>16.178352033660676</v>
      </c>
      <c r="E13" s="173">
        <v>49.637362147595283</v>
      </c>
      <c r="F13" s="173">
        <v>6.9773194908423291</v>
      </c>
      <c r="G13" s="173">
        <v>2.59</v>
      </c>
    </row>
    <row r="14" spans="1:7" ht="12" thickBot="1">
      <c r="A14" s="126" t="s">
        <v>313</v>
      </c>
      <c r="B14" s="173">
        <v>15.91991288114512</v>
      </c>
      <c r="C14" s="173">
        <v>17.209779874213833</v>
      </c>
      <c r="D14" s="173">
        <v>15.497456683168457</v>
      </c>
      <c r="E14" s="173">
        <v>50.396517501813094</v>
      </c>
      <c r="F14" s="173">
        <v>7.1666627007719788</v>
      </c>
      <c r="G14" s="173">
        <v>2.59</v>
      </c>
    </row>
    <row r="15" spans="1:7" ht="12" thickBot="1">
      <c r="A15" s="126" t="s">
        <v>314</v>
      </c>
      <c r="B15" s="173">
        <v>15.7033931240658</v>
      </c>
      <c r="C15" s="173">
        <v>16.903718820861723</v>
      </c>
      <c r="D15" s="173">
        <v>15.187063089195206</v>
      </c>
      <c r="E15" s="173">
        <v>51.478641093474366</v>
      </c>
      <c r="F15" s="173">
        <v>7.375115296604795</v>
      </c>
      <c r="G15" s="173">
        <v>2.59</v>
      </c>
    </row>
    <row r="16" spans="1:7" ht="12" thickBot="1">
      <c r="A16" s="126" t="s">
        <v>315</v>
      </c>
      <c r="B16" s="173">
        <v>15.608952599388425</v>
      </c>
      <c r="C16" s="173">
        <v>16.824969465648877</v>
      </c>
      <c r="D16" s="173">
        <v>15.373882618510192</v>
      </c>
      <c r="E16" s="173">
        <v>51.037377264412598</v>
      </c>
      <c r="F16" s="173">
        <v>7.3900877535233658</v>
      </c>
      <c r="G16" s="173">
        <v>2.59</v>
      </c>
    </row>
    <row r="17" spans="1:9" ht="12" thickBot="1">
      <c r="G17" s="173"/>
    </row>
    <row r="19" spans="1:9">
      <c r="A19" s="176" t="s">
        <v>341</v>
      </c>
    </row>
    <row r="27" spans="1:9" ht="14.25">
      <c r="I27" s="2"/>
    </row>
  </sheetData>
  <mergeCells count="4">
    <mergeCell ref="A1:E1"/>
    <mergeCell ref="A3:A4"/>
    <mergeCell ref="B3:C3"/>
    <mergeCell ref="D3:D4"/>
  </mergeCells>
  <pageMargins left="0.7" right="0.7" top="0.75" bottom="0.75" header="0.3" footer="0.3"/>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F0"/>
  </sheetPr>
  <dimension ref="A1:K27"/>
  <sheetViews>
    <sheetView zoomScale="130" zoomScaleNormal="130" workbookViewId="0">
      <selection sqref="A1:XFD1048576"/>
    </sheetView>
  </sheetViews>
  <sheetFormatPr baseColWidth="10" defaultColWidth="12.85546875" defaultRowHeight="11.25"/>
  <cols>
    <col min="1" max="1" width="18.42578125" style="184" customWidth="1"/>
    <col min="2" max="16384" width="12.85546875" style="12"/>
  </cols>
  <sheetData>
    <row r="1" spans="1:11" ht="12">
      <c r="A1" s="600" t="s">
        <v>342</v>
      </c>
      <c r="B1" s="600"/>
      <c r="C1" s="600"/>
      <c r="D1" s="600"/>
      <c r="E1" s="600"/>
      <c r="F1" s="600"/>
      <c r="G1" s="600"/>
      <c r="H1" s="600"/>
      <c r="I1" s="600"/>
      <c r="J1" s="600"/>
      <c r="K1" s="600"/>
    </row>
    <row r="3" spans="1:11" ht="12" customHeight="1">
      <c r="A3" s="589" t="s">
        <v>343</v>
      </c>
      <c r="B3" s="590"/>
      <c r="C3" s="590"/>
      <c r="D3" s="590"/>
      <c r="E3" s="590"/>
      <c r="F3" s="590"/>
      <c r="G3" s="590"/>
      <c r="H3" s="590"/>
      <c r="I3" s="590"/>
      <c r="J3" s="590"/>
      <c r="K3" s="590"/>
    </row>
    <row r="4" spans="1:11" ht="12" thickBot="1">
      <c r="A4" s="180" t="s">
        <v>131</v>
      </c>
      <c r="B4" s="119">
        <v>2015</v>
      </c>
      <c r="C4" s="119">
        <v>2016</v>
      </c>
      <c r="D4" s="119">
        <v>2017</v>
      </c>
      <c r="E4" s="119">
        <v>2018</v>
      </c>
      <c r="F4" s="119">
        <v>2019</v>
      </c>
      <c r="G4" s="119">
        <v>2020</v>
      </c>
      <c r="H4" s="119">
        <v>2021</v>
      </c>
      <c r="I4" s="119">
        <v>2022</v>
      </c>
      <c r="J4" s="119">
        <v>2023</v>
      </c>
      <c r="K4" s="119">
        <v>2024</v>
      </c>
    </row>
    <row r="5" spans="1:11" ht="12" thickBot="1">
      <c r="A5" s="166" t="s">
        <v>344</v>
      </c>
      <c r="B5" s="181">
        <v>2906.63</v>
      </c>
      <c r="C5" s="182">
        <v>845.25</v>
      </c>
      <c r="D5" s="182">
        <v>572.58000000000004</v>
      </c>
      <c r="E5" s="182">
        <v>2367.23</v>
      </c>
      <c r="F5" s="182">
        <v>2071.6799999999998</v>
      </c>
      <c r="G5" s="182">
        <v>4088.76</v>
      </c>
      <c r="H5" s="182">
        <v>4300.17</v>
      </c>
      <c r="I5" s="182">
        <v>6099.08</v>
      </c>
      <c r="J5" s="182">
        <v>5363.1657916903496</v>
      </c>
      <c r="K5" s="182">
        <v>6509.6575742445566</v>
      </c>
    </row>
    <row r="6" spans="1:11" ht="12" thickBot="1">
      <c r="A6" s="166" t="s">
        <v>345</v>
      </c>
      <c r="B6" s="183">
        <v>50898.879999999997</v>
      </c>
      <c r="C6" s="7">
        <v>60314.94</v>
      </c>
      <c r="D6" s="7">
        <v>51808.68</v>
      </c>
      <c r="E6" s="7">
        <v>51399.360000000001</v>
      </c>
      <c r="F6" s="7">
        <v>54715.39</v>
      </c>
      <c r="G6" s="7">
        <v>58398.68</v>
      </c>
      <c r="H6" s="7">
        <v>37106.54</v>
      </c>
      <c r="I6" s="7">
        <v>40837.15</v>
      </c>
      <c r="J6" s="7">
        <v>51962.51</v>
      </c>
      <c r="K6" s="7">
        <v>54160.889693484372</v>
      </c>
    </row>
    <row r="7" spans="1:11" ht="23.25" thickBot="1">
      <c r="A7" s="166" t="s">
        <v>346</v>
      </c>
      <c r="B7" s="183">
        <v>1075.67</v>
      </c>
      <c r="C7" s="7">
        <v>1460.97</v>
      </c>
      <c r="D7" s="7">
        <v>607.97</v>
      </c>
      <c r="E7" s="7">
        <v>66.17</v>
      </c>
      <c r="F7" s="7">
        <v>0</v>
      </c>
      <c r="G7" s="7">
        <v>751.04</v>
      </c>
      <c r="H7" s="7">
        <v>0</v>
      </c>
      <c r="I7" s="7">
        <v>0</v>
      </c>
      <c r="J7" s="7">
        <v>0</v>
      </c>
      <c r="K7" s="7">
        <v>0</v>
      </c>
    </row>
    <row r="8" spans="1:11" ht="12" thickBot="1">
      <c r="A8" s="166" t="s">
        <v>347</v>
      </c>
      <c r="B8" s="183">
        <v>16707.740000000002</v>
      </c>
      <c r="C8" s="7">
        <v>18678.919999999998</v>
      </c>
      <c r="D8" s="7">
        <v>19961.240000000002</v>
      </c>
      <c r="E8" s="7">
        <v>17803.36</v>
      </c>
      <c r="F8" s="7">
        <v>15691.55</v>
      </c>
      <c r="G8" s="7">
        <v>13415.93</v>
      </c>
      <c r="H8" s="7">
        <v>13388.3</v>
      </c>
      <c r="I8" s="7">
        <v>12132.17</v>
      </c>
      <c r="J8" s="7">
        <v>11011.590164899826</v>
      </c>
      <c r="K8" s="7">
        <v>9887.2804230057245</v>
      </c>
    </row>
    <row r="9" spans="1:11" ht="12" thickBot="1">
      <c r="A9" s="166" t="s">
        <v>210</v>
      </c>
      <c r="B9" s="183">
        <v>5843.29</v>
      </c>
      <c r="C9" s="7">
        <v>7606.35</v>
      </c>
      <c r="D9" s="7">
        <v>9054.49</v>
      </c>
      <c r="E9" s="7">
        <v>9190.9500000000007</v>
      </c>
      <c r="F9" s="7">
        <v>7790.53</v>
      </c>
      <c r="G9" s="7">
        <v>6941.07</v>
      </c>
      <c r="H9" s="7">
        <v>4210.26</v>
      </c>
      <c r="I9" s="7">
        <v>6218.83</v>
      </c>
      <c r="J9" s="7">
        <v>4296.6564452075399</v>
      </c>
      <c r="K9" s="7">
        <v>5396.7042767174662</v>
      </c>
    </row>
    <row r="10" spans="1:11" ht="23.25" thickBot="1">
      <c r="A10" s="166" t="s">
        <v>348</v>
      </c>
      <c r="B10" s="183">
        <v>9814.2999999999993</v>
      </c>
      <c r="C10" s="7">
        <v>12134.31</v>
      </c>
      <c r="D10" s="7">
        <v>16837.86</v>
      </c>
      <c r="E10" s="7">
        <v>16696.25</v>
      </c>
      <c r="F10" s="7">
        <v>13122.75</v>
      </c>
      <c r="G10" s="7">
        <v>4416.2299999999996</v>
      </c>
      <c r="H10" s="7">
        <v>7391.82</v>
      </c>
      <c r="I10" s="7">
        <v>8420.69</v>
      </c>
      <c r="J10" s="7">
        <v>15359.919652163982</v>
      </c>
      <c r="K10" s="7">
        <v>10267.966904481089</v>
      </c>
    </row>
    <row r="11" spans="1:11" ht="12" thickBot="1">
      <c r="A11" s="166" t="s">
        <v>203</v>
      </c>
      <c r="B11" s="183">
        <v>223.2</v>
      </c>
      <c r="C11" s="7">
        <v>111.53</v>
      </c>
      <c r="D11" s="7">
        <v>74.38</v>
      </c>
      <c r="E11" s="7">
        <v>90.29</v>
      </c>
      <c r="F11" s="7">
        <v>96.56</v>
      </c>
      <c r="G11" s="7">
        <v>265.05</v>
      </c>
      <c r="H11" s="7">
        <v>125.27</v>
      </c>
      <c r="I11" s="7">
        <v>166.71</v>
      </c>
      <c r="J11" s="7">
        <v>154.52011036744807</v>
      </c>
      <c r="K11" s="182">
        <v>941.08486155986179</v>
      </c>
    </row>
    <row r="14" spans="1:11">
      <c r="D14" s="84"/>
    </row>
    <row r="15" spans="1:11">
      <c r="D15" s="84"/>
    </row>
    <row r="27" spans="9:9" ht="14.25">
      <c r="I27" s="2"/>
    </row>
  </sheetData>
  <mergeCells count="2">
    <mergeCell ref="A1:K1"/>
    <mergeCell ref="A3:K3"/>
  </mergeCells>
  <pageMargins left="0.7" right="0.7" top="0.75" bottom="0.75" header="0.3" footer="0.3"/>
  <drawing r:id="rId1"/>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F0"/>
  </sheetPr>
  <dimension ref="A1:L27"/>
  <sheetViews>
    <sheetView zoomScale="130" zoomScaleNormal="130" workbookViewId="0">
      <selection activeCell="F25" sqref="F25"/>
    </sheetView>
  </sheetViews>
  <sheetFormatPr baseColWidth="10" defaultColWidth="11.42578125" defaultRowHeight="11.25"/>
  <cols>
    <col min="1" max="1" width="17.28515625" style="12" customWidth="1"/>
    <col min="2" max="3" width="11.5703125" style="12" bestFit="1" customWidth="1"/>
    <col min="4" max="5" width="12.140625" style="12" bestFit="1" customWidth="1"/>
    <col min="6" max="6" width="12.140625" style="12" customWidth="1"/>
    <col min="7" max="16384" width="11.42578125" style="12"/>
  </cols>
  <sheetData>
    <row r="1" spans="1:12" ht="12.75">
      <c r="A1" s="611" t="s">
        <v>349</v>
      </c>
      <c r="B1" s="611"/>
      <c r="C1" s="611"/>
      <c r="D1" s="611"/>
      <c r="E1" s="611"/>
      <c r="F1" s="611"/>
      <c r="G1" s="611"/>
      <c r="H1" s="611"/>
      <c r="I1" s="611"/>
      <c r="J1" s="611"/>
      <c r="K1" s="611"/>
      <c r="L1" s="611"/>
    </row>
    <row r="2" spans="1:12">
      <c r="A2" s="84"/>
      <c r="B2" s="84"/>
      <c r="C2" s="84"/>
      <c r="D2" s="84"/>
      <c r="E2" s="84"/>
      <c r="F2" s="84"/>
      <c r="G2" s="84"/>
      <c r="H2" s="84"/>
      <c r="I2" s="84"/>
    </row>
    <row r="3" spans="1:12" ht="12" customHeight="1">
      <c r="A3" s="589" t="s">
        <v>350</v>
      </c>
      <c r="B3" s="590"/>
      <c r="C3" s="590"/>
      <c r="D3" s="590"/>
      <c r="E3" s="590"/>
      <c r="F3" s="590"/>
      <c r="G3" s="590"/>
      <c r="H3" s="590"/>
      <c r="I3" s="590"/>
      <c r="J3" s="590"/>
      <c r="K3" s="117"/>
    </row>
    <row r="4" spans="1:12" ht="12" thickBot="1">
      <c r="A4" s="118" t="s">
        <v>131</v>
      </c>
      <c r="B4" s="119">
        <v>2015</v>
      </c>
      <c r="C4" s="119">
        <v>2016</v>
      </c>
      <c r="D4" s="119">
        <v>2017</v>
      </c>
      <c r="E4" s="119">
        <v>2018</v>
      </c>
      <c r="F4" s="119">
        <v>2019</v>
      </c>
      <c r="G4" s="119">
        <v>2020</v>
      </c>
      <c r="H4" s="119">
        <v>2021</v>
      </c>
      <c r="I4" s="119">
        <v>2022</v>
      </c>
      <c r="J4" s="119">
        <v>2023</v>
      </c>
      <c r="K4" s="185">
        <v>2024</v>
      </c>
    </row>
    <row r="5" spans="1:12" ht="12" thickBot="1">
      <c r="A5" s="166" t="s">
        <v>344</v>
      </c>
      <c r="B5" s="186">
        <v>120071.32</v>
      </c>
      <c r="C5" s="186">
        <v>24015.81</v>
      </c>
      <c r="D5" s="186">
        <v>25644.31</v>
      </c>
      <c r="E5" s="186">
        <v>138873.88</v>
      </c>
      <c r="F5" s="186">
        <v>121952.4</v>
      </c>
      <c r="G5" s="186">
        <v>151659.41</v>
      </c>
      <c r="H5" s="186">
        <v>289657.34000000003</v>
      </c>
      <c r="I5" s="186">
        <v>521694.17</v>
      </c>
      <c r="J5" s="186">
        <v>224847.37754058838</v>
      </c>
      <c r="K5" s="186">
        <v>322335.65735000005</v>
      </c>
      <c r="L5" s="166" t="s">
        <v>243</v>
      </c>
    </row>
    <row r="6" spans="1:12" ht="12" thickBot="1">
      <c r="A6" s="187" t="s">
        <v>351</v>
      </c>
      <c r="B6" s="188">
        <v>449075.22</v>
      </c>
      <c r="C6" s="188">
        <v>522171.53</v>
      </c>
      <c r="D6" s="188">
        <v>747859.38</v>
      </c>
      <c r="E6" s="188">
        <v>998645.9</v>
      </c>
      <c r="F6" s="188">
        <v>600496.81000000006</v>
      </c>
      <c r="G6" s="188">
        <v>599332.36</v>
      </c>
      <c r="H6" s="188">
        <v>1781845.28</v>
      </c>
      <c r="I6" s="188">
        <v>2692457.94</v>
      </c>
      <c r="J6" s="188">
        <v>1572204.49</v>
      </c>
      <c r="K6" s="189">
        <v>1536681.6310099999</v>
      </c>
      <c r="L6" s="166" t="s">
        <v>90</v>
      </c>
    </row>
    <row r="7" spans="1:12" ht="11.25" customHeight="1" thickBot="1">
      <c r="A7" s="187" t="s">
        <v>352</v>
      </c>
      <c r="B7" s="188">
        <v>34427.769999999997</v>
      </c>
      <c r="C7" s="188">
        <v>32047.07</v>
      </c>
      <c r="D7" s="188">
        <v>31875.49</v>
      </c>
      <c r="E7" s="188">
        <v>4192.79</v>
      </c>
      <c r="F7" s="190" t="s">
        <v>215</v>
      </c>
      <c r="G7" s="188">
        <v>39050.39</v>
      </c>
      <c r="H7" s="190" t="s">
        <v>215</v>
      </c>
      <c r="I7" s="190" t="s">
        <v>215</v>
      </c>
      <c r="J7" s="190" t="s">
        <v>215</v>
      </c>
      <c r="K7" s="191">
        <v>0</v>
      </c>
      <c r="L7" s="166" t="s">
        <v>353</v>
      </c>
    </row>
    <row r="8" spans="1:12" ht="12" thickBot="1">
      <c r="A8" s="166" t="s">
        <v>347</v>
      </c>
      <c r="B8" s="186">
        <v>860197.63</v>
      </c>
      <c r="C8" s="186">
        <v>789710.14</v>
      </c>
      <c r="D8" s="186">
        <v>1091366.4099999999</v>
      </c>
      <c r="E8" s="186">
        <v>1182051.58</v>
      </c>
      <c r="F8" s="186">
        <v>883049.87</v>
      </c>
      <c r="G8" s="186">
        <v>533145.28</v>
      </c>
      <c r="H8" s="186">
        <v>904709.83</v>
      </c>
      <c r="I8" s="186">
        <v>1063484.3899999999</v>
      </c>
      <c r="J8" s="186">
        <v>855745.37241363525</v>
      </c>
      <c r="K8" s="186">
        <v>711114.91461999994</v>
      </c>
      <c r="L8" s="166" t="s">
        <v>354</v>
      </c>
    </row>
    <row r="9" spans="1:12" ht="23.25" thickBot="1">
      <c r="A9" s="166" t="s">
        <v>210</v>
      </c>
      <c r="B9" s="186">
        <v>436809.04</v>
      </c>
      <c r="C9" s="186">
        <v>449356.64</v>
      </c>
      <c r="D9" s="186">
        <v>589755.61</v>
      </c>
      <c r="E9" s="186">
        <v>783496.05</v>
      </c>
      <c r="F9" s="186">
        <v>677923.79</v>
      </c>
      <c r="G9" s="186">
        <v>600199.89</v>
      </c>
      <c r="H9" s="186">
        <v>399125.89</v>
      </c>
      <c r="I9" s="186">
        <v>834333.68</v>
      </c>
      <c r="J9" s="186">
        <v>565796.81251879036</v>
      </c>
      <c r="K9" s="186">
        <v>636387.05485700059</v>
      </c>
      <c r="L9" s="166" t="s">
        <v>355</v>
      </c>
    </row>
    <row r="10" spans="1:12" ht="11.25" customHeight="1" thickBot="1">
      <c r="A10" s="187" t="s">
        <v>356</v>
      </c>
      <c r="B10" s="188">
        <v>385145.08</v>
      </c>
      <c r="C10" s="188">
        <v>406790.01</v>
      </c>
      <c r="D10" s="188">
        <v>727719.01</v>
      </c>
      <c r="E10" s="188">
        <v>1004710.6</v>
      </c>
      <c r="F10" s="188">
        <v>730018.87</v>
      </c>
      <c r="G10" s="188">
        <v>238635.31</v>
      </c>
      <c r="H10" s="188">
        <v>584203.26</v>
      </c>
      <c r="I10" s="188">
        <v>765359.49</v>
      </c>
      <c r="J10" s="188">
        <v>947982.92636871338</v>
      </c>
      <c r="K10" s="189">
        <v>770225.56587999989</v>
      </c>
      <c r="L10" s="166" t="s">
        <v>357</v>
      </c>
    </row>
    <row r="11" spans="1:12" ht="12" thickBot="1">
      <c r="A11" s="166" t="s">
        <v>203</v>
      </c>
      <c r="B11" s="186">
        <v>26988.06</v>
      </c>
      <c r="C11" s="186">
        <v>19403.88</v>
      </c>
      <c r="D11" s="186">
        <v>17002.57</v>
      </c>
      <c r="E11" s="186">
        <v>25212.22</v>
      </c>
      <c r="F11" s="186">
        <v>26584.38</v>
      </c>
      <c r="G11" s="186">
        <v>22805.45</v>
      </c>
      <c r="H11" s="186">
        <v>33306.160000000003</v>
      </c>
      <c r="I11" s="186">
        <v>39265.69</v>
      </c>
      <c r="J11" s="186">
        <v>48725.531170107424</v>
      </c>
      <c r="K11" s="186">
        <v>91773.211588000006</v>
      </c>
      <c r="L11" s="166" t="s">
        <v>358</v>
      </c>
    </row>
    <row r="12" spans="1:12">
      <c r="A12" s="192"/>
      <c r="B12" s="193"/>
      <c r="C12" s="193"/>
      <c r="D12" s="193"/>
      <c r="E12" s="193"/>
      <c r="F12" s="193"/>
      <c r="G12" s="193"/>
      <c r="H12" s="193"/>
      <c r="I12" s="193"/>
      <c r="J12" s="193"/>
      <c r="K12" s="193"/>
    </row>
    <row r="13" spans="1:12">
      <c r="A13" s="589" t="s">
        <v>359</v>
      </c>
      <c r="B13" s="590"/>
      <c r="C13" s="590"/>
      <c r="D13" s="590"/>
      <c r="E13" s="590"/>
      <c r="F13" s="590"/>
      <c r="G13" s="590"/>
      <c r="H13" s="590"/>
      <c r="I13" s="590"/>
      <c r="J13" s="590"/>
      <c r="K13" s="117"/>
    </row>
    <row r="14" spans="1:12" ht="12" thickBot="1">
      <c r="A14" s="118" t="s">
        <v>131</v>
      </c>
      <c r="B14" s="119">
        <v>2015</v>
      </c>
      <c r="C14" s="119">
        <v>2016</v>
      </c>
      <c r="D14" s="119">
        <v>2017</v>
      </c>
      <c r="E14" s="119">
        <v>2018</v>
      </c>
      <c r="F14" s="119">
        <v>2019</v>
      </c>
      <c r="G14" s="119">
        <v>2020</v>
      </c>
      <c r="H14" s="119">
        <v>2021</v>
      </c>
      <c r="I14" s="119">
        <v>2022</v>
      </c>
      <c r="J14" s="119">
        <v>2023</v>
      </c>
      <c r="K14" s="185">
        <v>2024</v>
      </c>
    </row>
    <row r="15" spans="1:12" ht="12" thickBot="1">
      <c r="A15" s="166" t="s">
        <v>344</v>
      </c>
      <c r="B15" s="194">
        <f>+B5/1000</f>
        <v>120.07132</v>
      </c>
      <c r="C15" s="194">
        <f t="shared" ref="C15:K16" si="0">+C5/1000</f>
        <v>24.015810000000002</v>
      </c>
      <c r="D15" s="194">
        <f t="shared" si="0"/>
        <v>25.644310000000001</v>
      </c>
      <c r="E15" s="194">
        <f t="shared" si="0"/>
        <v>138.87388000000001</v>
      </c>
      <c r="F15" s="194">
        <f t="shared" si="0"/>
        <v>121.9524</v>
      </c>
      <c r="G15" s="194">
        <f t="shared" si="0"/>
        <v>151.65941000000001</v>
      </c>
      <c r="H15" s="194">
        <f t="shared" si="0"/>
        <v>289.65734000000003</v>
      </c>
      <c r="I15" s="194">
        <f t="shared" si="0"/>
        <v>521.69416999999999</v>
      </c>
      <c r="J15" s="194">
        <f t="shared" si="0"/>
        <v>224.84737754058838</v>
      </c>
      <c r="K15" s="194">
        <f t="shared" si="0"/>
        <v>322.33565735000008</v>
      </c>
    </row>
    <row r="16" spans="1:12" ht="12" thickBot="1">
      <c r="A16" s="187" t="s">
        <v>351</v>
      </c>
      <c r="B16" s="195">
        <f t="shared" ref="B16:K21" si="1">+B6/1000</f>
        <v>449.07521999999994</v>
      </c>
      <c r="C16" s="195">
        <f t="shared" si="1"/>
        <v>522.17153000000008</v>
      </c>
      <c r="D16" s="195">
        <f t="shared" si="1"/>
        <v>747.85937999999999</v>
      </c>
      <c r="E16" s="195">
        <f t="shared" si="1"/>
        <v>998.64589999999998</v>
      </c>
      <c r="F16" s="195">
        <f t="shared" si="1"/>
        <v>600.4968100000001</v>
      </c>
      <c r="G16" s="195">
        <f t="shared" si="1"/>
        <v>599.33235999999999</v>
      </c>
      <c r="H16" s="195">
        <f t="shared" si="1"/>
        <v>1781.84528</v>
      </c>
      <c r="I16" s="195">
        <f t="shared" si="1"/>
        <v>2692.4579399999998</v>
      </c>
      <c r="J16" s="195">
        <f t="shared" si="1"/>
        <v>1572.2044900000001</v>
      </c>
      <c r="K16" s="195">
        <f t="shared" si="0"/>
        <v>1536.6816310099998</v>
      </c>
    </row>
    <row r="17" spans="1:11" ht="22.5">
      <c r="A17" s="187" t="s">
        <v>352</v>
      </c>
      <c r="B17" s="195">
        <f t="shared" si="1"/>
        <v>34.427769999999995</v>
      </c>
      <c r="C17" s="195">
        <f t="shared" si="1"/>
        <v>32.047069999999998</v>
      </c>
      <c r="D17" s="195">
        <f t="shared" si="1"/>
        <v>31.875490000000003</v>
      </c>
      <c r="E17" s="195">
        <f t="shared" si="1"/>
        <v>4.1927899999999996</v>
      </c>
      <c r="F17" s="195" t="s">
        <v>215</v>
      </c>
      <c r="G17" s="195">
        <f t="shared" si="1"/>
        <v>39.05039</v>
      </c>
      <c r="H17" s="195" t="s">
        <v>215</v>
      </c>
      <c r="I17" s="195" t="s">
        <v>215</v>
      </c>
      <c r="J17" s="195" t="s">
        <v>215</v>
      </c>
      <c r="K17" s="195" t="s">
        <v>215</v>
      </c>
    </row>
    <row r="18" spans="1:11" ht="12" thickBot="1">
      <c r="A18" s="166" t="s">
        <v>347</v>
      </c>
      <c r="B18" s="194">
        <f t="shared" si="1"/>
        <v>860.19763</v>
      </c>
      <c r="C18" s="194">
        <f t="shared" si="1"/>
        <v>789.71014000000002</v>
      </c>
      <c r="D18" s="194">
        <f t="shared" si="1"/>
        <v>1091.3664099999999</v>
      </c>
      <c r="E18" s="194">
        <f t="shared" si="1"/>
        <v>1182.0515800000001</v>
      </c>
      <c r="F18" s="194">
        <f t="shared" si="1"/>
        <v>883.04986999999994</v>
      </c>
      <c r="G18" s="194">
        <f t="shared" si="1"/>
        <v>533.14528000000007</v>
      </c>
      <c r="H18" s="194">
        <f t="shared" si="1"/>
        <v>904.70983000000001</v>
      </c>
      <c r="I18" s="194">
        <f t="shared" si="1"/>
        <v>1063.4843899999998</v>
      </c>
      <c r="J18" s="194">
        <f t="shared" si="1"/>
        <v>855.74537241363521</v>
      </c>
      <c r="K18" s="194">
        <f t="shared" si="1"/>
        <v>711.11491461999992</v>
      </c>
    </row>
    <row r="19" spans="1:11" ht="12" thickBot="1">
      <c r="A19" s="166" t="s">
        <v>210</v>
      </c>
      <c r="B19" s="194">
        <f t="shared" si="1"/>
        <v>436.80903999999998</v>
      </c>
      <c r="C19" s="194">
        <f t="shared" si="1"/>
        <v>449.35664000000003</v>
      </c>
      <c r="D19" s="194">
        <f t="shared" si="1"/>
        <v>589.75560999999993</v>
      </c>
      <c r="E19" s="194">
        <f t="shared" si="1"/>
        <v>783.49605000000008</v>
      </c>
      <c r="F19" s="194">
        <f t="shared" si="1"/>
        <v>677.92379000000005</v>
      </c>
      <c r="G19" s="194">
        <f t="shared" si="1"/>
        <v>600.19988999999998</v>
      </c>
      <c r="H19" s="194">
        <f t="shared" si="1"/>
        <v>399.12589000000003</v>
      </c>
      <c r="I19" s="194">
        <f t="shared" si="1"/>
        <v>834.33368000000007</v>
      </c>
      <c r="J19" s="194">
        <f t="shared" si="1"/>
        <v>565.79681251879038</v>
      </c>
      <c r="K19" s="194">
        <f t="shared" si="1"/>
        <v>636.38705485700063</v>
      </c>
    </row>
    <row r="20" spans="1:11" ht="22.5">
      <c r="A20" s="187" t="s">
        <v>356</v>
      </c>
      <c r="B20" s="195">
        <f t="shared" si="1"/>
        <v>385.14508000000001</v>
      </c>
      <c r="C20" s="195">
        <f t="shared" si="1"/>
        <v>406.79001</v>
      </c>
      <c r="D20" s="195">
        <f t="shared" si="1"/>
        <v>727.71901000000003</v>
      </c>
      <c r="E20" s="195">
        <f t="shared" si="1"/>
        <v>1004.7106</v>
      </c>
      <c r="F20" s="195">
        <f t="shared" si="1"/>
        <v>730.01886999999999</v>
      </c>
      <c r="G20" s="195">
        <f t="shared" si="1"/>
        <v>238.63531</v>
      </c>
      <c r="H20" s="195">
        <f t="shared" si="1"/>
        <v>584.20326</v>
      </c>
      <c r="I20" s="195">
        <f t="shared" si="1"/>
        <v>765.35948999999994</v>
      </c>
      <c r="J20" s="195">
        <f t="shared" si="1"/>
        <v>947.98292636871338</v>
      </c>
      <c r="K20" s="195">
        <f t="shared" si="1"/>
        <v>770.22556587999986</v>
      </c>
    </row>
    <row r="21" spans="1:11" ht="12" thickBot="1">
      <c r="A21" s="166" t="s">
        <v>203</v>
      </c>
      <c r="B21" s="194">
        <f t="shared" si="1"/>
        <v>26.988060000000001</v>
      </c>
      <c r="C21" s="194">
        <f t="shared" si="1"/>
        <v>19.403880000000001</v>
      </c>
      <c r="D21" s="194">
        <f t="shared" si="1"/>
        <v>17.002569999999999</v>
      </c>
      <c r="E21" s="194">
        <f t="shared" si="1"/>
        <v>25.212220000000002</v>
      </c>
      <c r="F21" s="194">
        <f t="shared" si="1"/>
        <v>26.584379999999999</v>
      </c>
      <c r="G21" s="194">
        <f t="shared" si="1"/>
        <v>22.80545</v>
      </c>
      <c r="H21" s="194">
        <f t="shared" si="1"/>
        <v>33.306160000000006</v>
      </c>
      <c r="I21" s="194">
        <f t="shared" si="1"/>
        <v>39.265689999999999</v>
      </c>
      <c r="J21" s="194">
        <f t="shared" si="1"/>
        <v>48.725531170107423</v>
      </c>
      <c r="K21" s="194">
        <f t="shared" si="1"/>
        <v>91.773211588000009</v>
      </c>
    </row>
    <row r="22" spans="1:11">
      <c r="A22" s="84"/>
      <c r="B22" s="84"/>
      <c r="C22" s="84"/>
      <c r="D22" s="84"/>
      <c r="E22" s="84"/>
      <c r="F22" s="84"/>
      <c r="G22" s="84"/>
      <c r="H22" s="84"/>
      <c r="I22" s="84"/>
    </row>
    <row r="23" spans="1:11">
      <c r="A23" s="84"/>
      <c r="B23" s="84"/>
      <c r="C23" s="84"/>
      <c r="D23" s="84"/>
      <c r="E23" s="84"/>
      <c r="F23" s="84"/>
      <c r="G23" s="84"/>
      <c r="H23" s="84"/>
      <c r="I23" s="84"/>
    </row>
    <row r="27" spans="1:11" ht="14.25">
      <c r="I27" s="2"/>
    </row>
  </sheetData>
  <mergeCells count="3">
    <mergeCell ref="A1:L1"/>
    <mergeCell ref="A3:J3"/>
    <mergeCell ref="A13:J13"/>
  </mergeCells>
  <pageMargins left="0.7" right="0.7" top="0.75" bottom="0.75" header="0.3" footer="0.3"/>
  <drawing r:id="rId1"/>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F0"/>
  </sheetPr>
  <dimension ref="A1:L27"/>
  <sheetViews>
    <sheetView zoomScale="130" zoomScaleNormal="130" workbookViewId="0">
      <selection sqref="A1:XFD1048576"/>
    </sheetView>
  </sheetViews>
  <sheetFormatPr baseColWidth="10" defaultColWidth="11.42578125" defaultRowHeight="11.25"/>
  <cols>
    <col min="1" max="1" width="18.28515625" style="12" customWidth="1"/>
    <col min="2" max="16384" width="11.42578125" style="12"/>
  </cols>
  <sheetData>
    <row r="1" spans="1:12" ht="12">
      <c r="A1" s="580" t="s">
        <v>360</v>
      </c>
      <c r="B1" s="580"/>
      <c r="C1" s="580"/>
      <c r="D1" s="580"/>
      <c r="E1" s="580"/>
      <c r="F1" s="580"/>
      <c r="G1" s="580"/>
      <c r="H1" s="580"/>
    </row>
    <row r="3" spans="1:12">
      <c r="A3" s="196"/>
      <c r="B3" s="196"/>
      <c r="C3" s="196"/>
      <c r="D3" s="196"/>
      <c r="E3" s="196"/>
      <c r="F3" s="196"/>
      <c r="G3" s="196"/>
      <c r="H3" s="196"/>
    </row>
    <row r="4" spans="1:12" ht="12" customHeight="1">
      <c r="A4" s="589" t="s">
        <v>361</v>
      </c>
      <c r="B4" s="590"/>
      <c r="C4" s="590"/>
      <c r="D4" s="590"/>
      <c r="E4" s="590"/>
      <c r="F4" s="590"/>
      <c r="G4" s="590"/>
      <c r="H4" s="590"/>
      <c r="I4" s="590"/>
      <c r="J4" s="590"/>
      <c r="K4" s="117"/>
    </row>
    <row r="5" spans="1:12" ht="12" thickBot="1">
      <c r="A5" s="118" t="s">
        <v>131</v>
      </c>
      <c r="B5" s="119">
        <v>2015</v>
      </c>
      <c r="C5" s="119">
        <v>2016</v>
      </c>
      <c r="D5" s="119">
        <v>2017</v>
      </c>
      <c r="E5" s="119">
        <v>2018</v>
      </c>
      <c r="F5" s="119">
        <v>2019</v>
      </c>
      <c r="G5" s="119">
        <v>2020</v>
      </c>
      <c r="H5" s="119">
        <v>2021</v>
      </c>
      <c r="I5" s="119">
        <v>2022</v>
      </c>
      <c r="J5" s="119">
        <v>2023</v>
      </c>
      <c r="K5" s="185">
        <v>2024</v>
      </c>
    </row>
    <row r="6" spans="1:12" ht="12" thickBot="1">
      <c r="A6" s="197" t="s">
        <v>243</v>
      </c>
      <c r="B6" s="198">
        <v>31326.81</v>
      </c>
      <c r="C6" s="198">
        <v>38489.18</v>
      </c>
      <c r="D6" s="198">
        <v>45735.96</v>
      </c>
      <c r="E6" s="198">
        <v>41117.129999999997</v>
      </c>
      <c r="F6" s="198">
        <v>38295.300000000003</v>
      </c>
      <c r="G6" s="198">
        <v>14891.77</v>
      </c>
      <c r="H6" s="198">
        <v>24822.41</v>
      </c>
      <c r="I6" s="198">
        <v>24571.95</v>
      </c>
      <c r="J6" s="198">
        <v>40890.008595024236</v>
      </c>
      <c r="K6" s="198">
        <v>46618.378793356904</v>
      </c>
      <c r="L6" s="197" t="s">
        <v>344</v>
      </c>
    </row>
    <row r="7" spans="1:12" ht="23.25" thickBot="1">
      <c r="A7" s="197" t="s">
        <v>353</v>
      </c>
      <c r="B7" s="198">
        <v>1119.18</v>
      </c>
      <c r="C7" s="198">
        <v>1816.05</v>
      </c>
      <c r="D7" s="198">
        <v>2491.5300000000002</v>
      </c>
      <c r="E7" s="198">
        <v>4240.3</v>
      </c>
      <c r="F7" s="198">
        <v>4052.66</v>
      </c>
      <c r="G7" s="198">
        <v>4191.82</v>
      </c>
      <c r="H7" s="198">
        <v>6133.4</v>
      </c>
      <c r="I7" s="198">
        <v>6814.99</v>
      </c>
      <c r="J7" s="198">
        <v>5032.4441112254281</v>
      </c>
      <c r="K7" s="198">
        <v>7182.3481344642096</v>
      </c>
      <c r="L7" s="197" t="s">
        <v>362</v>
      </c>
    </row>
    <row r="8" spans="1:12" ht="12" thickBot="1">
      <c r="A8" s="197" t="s">
        <v>354</v>
      </c>
      <c r="B8" s="198">
        <v>5063.3599999999997</v>
      </c>
      <c r="C8" s="198">
        <v>6979.09</v>
      </c>
      <c r="D8" s="198">
        <v>7776.87</v>
      </c>
      <c r="E8" s="198">
        <v>8428.9</v>
      </c>
      <c r="F8" s="198">
        <v>6682.49</v>
      </c>
      <c r="G8" s="198">
        <v>8887.77</v>
      </c>
      <c r="H8" s="198">
        <v>11900.43</v>
      </c>
      <c r="I8" s="198">
        <v>11118.15</v>
      </c>
      <c r="J8" s="198">
        <v>9712.0284882753622</v>
      </c>
      <c r="K8" s="198">
        <v>7708.9913577415964</v>
      </c>
      <c r="L8" s="197" t="s">
        <v>347</v>
      </c>
    </row>
    <row r="9" spans="1:12" ht="23.25" thickBot="1">
      <c r="A9" s="197" t="s">
        <v>355</v>
      </c>
      <c r="B9" s="198">
        <v>22074.73</v>
      </c>
      <c r="C9" s="198">
        <v>28310.89</v>
      </c>
      <c r="D9" s="198">
        <v>30881.23</v>
      </c>
      <c r="E9" s="198">
        <v>29994.93</v>
      </c>
      <c r="F9" s="198">
        <v>29288.19</v>
      </c>
      <c r="G9" s="198">
        <v>26958.53</v>
      </c>
      <c r="H9" s="198">
        <v>32742.65</v>
      </c>
      <c r="I9" s="198">
        <v>37862.11</v>
      </c>
      <c r="J9" s="198">
        <v>34488.076961636543</v>
      </c>
      <c r="K9" s="198">
        <v>31919.929298983305</v>
      </c>
      <c r="L9" s="197" t="s">
        <v>210</v>
      </c>
    </row>
    <row r="10" spans="1:12" ht="12" thickBot="1">
      <c r="A10" s="197" t="s">
        <v>358</v>
      </c>
      <c r="B10" s="198">
        <v>1117.6400000000001</v>
      </c>
      <c r="C10" s="198">
        <v>1093.1300000000001</v>
      </c>
      <c r="D10" s="198">
        <v>1322.87</v>
      </c>
      <c r="E10" s="198">
        <v>1232.46</v>
      </c>
      <c r="F10" s="198">
        <v>1187.33</v>
      </c>
      <c r="G10" s="198">
        <v>1020.43</v>
      </c>
      <c r="H10" s="198">
        <v>1285.9100000000001</v>
      </c>
      <c r="I10" s="198">
        <v>1735.14</v>
      </c>
      <c r="J10" s="198">
        <v>1286.8963794021402</v>
      </c>
      <c r="K10" s="198">
        <v>1335.1667275698828</v>
      </c>
      <c r="L10" s="197" t="s">
        <v>203</v>
      </c>
    </row>
    <row r="11" spans="1:12" ht="22.5">
      <c r="A11" s="199" t="s">
        <v>363</v>
      </c>
      <c r="B11" s="200">
        <v>0</v>
      </c>
      <c r="C11" s="200">
        <v>149.65</v>
      </c>
      <c r="D11" s="200">
        <v>149.86000000000001</v>
      </c>
      <c r="E11" s="200">
        <v>0</v>
      </c>
      <c r="F11" s="200">
        <v>207.37</v>
      </c>
      <c r="G11" s="200">
        <v>201.93</v>
      </c>
      <c r="H11" s="200">
        <v>368.59</v>
      </c>
      <c r="I11" s="200">
        <v>120.17</v>
      </c>
      <c r="J11" s="200">
        <v>356.07024157047272</v>
      </c>
      <c r="K11" s="200">
        <v>82.005630757549994</v>
      </c>
      <c r="L11" s="199" t="s">
        <v>364</v>
      </c>
    </row>
    <row r="12" spans="1:12">
      <c r="K12" s="201">
        <f>+SUM(K6:K11)</f>
        <v>94846.819942873437</v>
      </c>
    </row>
    <row r="14" spans="1:12">
      <c r="D14" s="84"/>
    </row>
    <row r="15" spans="1:12">
      <c r="D15" s="84"/>
    </row>
    <row r="27" spans="9:9" ht="14.25">
      <c r="I27" s="2"/>
    </row>
  </sheetData>
  <mergeCells count="2">
    <mergeCell ref="A1:H1"/>
    <mergeCell ref="A4:J4"/>
  </mergeCells>
  <pageMargins left="0.7" right="0.7" top="0.75" bottom="0.75" header="0.3" footer="0.3"/>
  <drawing r:id="rId1"/>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F0"/>
  </sheetPr>
  <dimension ref="A1:K27"/>
  <sheetViews>
    <sheetView zoomScale="130" zoomScaleNormal="130" workbookViewId="0">
      <selection activeCell="L19" sqref="L19"/>
    </sheetView>
  </sheetViews>
  <sheetFormatPr baseColWidth="10" defaultColWidth="11.42578125" defaultRowHeight="11.25"/>
  <cols>
    <col min="1" max="1" width="12.7109375" style="12" customWidth="1"/>
    <col min="2" max="5" width="12.140625" style="12" bestFit="1" customWidth="1"/>
    <col min="6" max="6" width="12.140625" style="12" customWidth="1"/>
    <col min="7" max="16384" width="11.42578125" style="12"/>
  </cols>
  <sheetData>
    <row r="1" spans="1:11" ht="12.75">
      <c r="A1" s="611" t="s">
        <v>365</v>
      </c>
      <c r="B1" s="611"/>
      <c r="C1" s="611"/>
      <c r="D1" s="611"/>
      <c r="E1" s="611"/>
      <c r="F1" s="611"/>
      <c r="G1" s="611"/>
      <c r="H1" s="611"/>
      <c r="I1" s="611"/>
      <c r="J1" s="611"/>
      <c r="K1" s="611"/>
    </row>
    <row r="3" spans="1:11" ht="12" customHeight="1">
      <c r="A3" s="589" t="s">
        <v>366</v>
      </c>
      <c r="B3" s="590"/>
      <c r="C3" s="590"/>
      <c r="D3" s="590"/>
      <c r="E3" s="590"/>
      <c r="F3" s="590"/>
      <c r="G3" s="590"/>
      <c r="H3" s="590"/>
      <c r="I3" s="590"/>
      <c r="J3" s="590"/>
      <c r="K3" s="590"/>
    </row>
    <row r="4" spans="1:11" ht="12" thickBot="1">
      <c r="A4" s="118" t="s">
        <v>131</v>
      </c>
      <c r="B4" s="119">
        <v>2015</v>
      </c>
      <c r="C4" s="119">
        <v>2016</v>
      </c>
      <c r="D4" s="119">
        <v>2017</v>
      </c>
      <c r="E4" s="119">
        <v>2018</v>
      </c>
      <c r="F4" s="119">
        <v>2019</v>
      </c>
      <c r="G4" s="119">
        <v>2020</v>
      </c>
      <c r="H4" s="119">
        <v>2021</v>
      </c>
      <c r="I4" s="119">
        <v>2022</v>
      </c>
      <c r="J4" s="119">
        <v>2023</v>
      </c>
      <c r="K4" s="119">
        <v>2024</v>
      </c>
    </row>
    <row r="5" spans="1:11" ht="12" thickBot="1">
      <c r="A5" s="197" t="s">
        <v>243</v>
      </c>
      <c r="B5" s="202">
        <v>1642254.88</v>
      </c>
      <c r="C5" s="202">
        <v>1600634.42</v>
      </c>
      <c r="D5" s="202">
        <v>2458799.19</v>
      </c>
      <c r="E5" s="202">
        <v>2853824.65</v>
      </c>
      <c r="F5" s="202">
        <v>2478976.83</v>
      </c>
      <c r="G5" s="202">
        <v>776421.82</v>
      </c>
      <c r="H5" s="202">
        <v>1816485.31</v>
      </c>
      <c r="I5" s="202">
        <v>2493933.4500000002</v>
      </c>
      <c r="J5" s="202">
        <v>3224008.12</v>
      </c>
      <c r="K5" s="202">
        <v>3918253.0665760008</v>
      </c>
    </row>
    <row r="6" spans="1:11" ht="23.25" thickBot="1">
      <c r="A6" s="197" t="s">
        <v>353</v>
      </c>
      <c r="B6" s="203">
        <v>40171.64</v>
      </c>
      <c r="C6" s="203">
        <v>60123.61</v>
      </c>
      <c r="D6" s="203">
        <v>109991.91</v>
      </c>
      <c r="E6" s="203">
        <v>208664.13</v>
      </c>
      <c r="F6" s="203">
        <v>137615.38</v>
      </c>
      <c r="G6" s="203">
        <v>148553.79</v>
      </c>
      <c r="H6" s="203">
        <v>345370.44</v>
      </c>
      <c r="I6" s="203">
        <v>414582.96</v>
      </c>
      <c r="J6" s="203">
        <v>340566.39</v>
      </c>
      <c r="K6" s="203">
        <v>354749.20978600002</v>
      </c>
    </row>
    <row r="7" spans="1:11" ht="12" thickBot="1">
      <c r="A7" s="197" t="s">
        <v>354</v>
      </c>
      <c r="B7" s="202">
        <v>380893.66</v>
      </c>
      <c r="C7" s="202">
        <v>423613.28</v>
      </c>
      <c r="D7" s="202">
        <v>559352.13</v>
      </c>
      <c r="E7" s="202">
        <v>716835.44</v>
      </c>
      <c r="F7" s="202">
        <v>509834.78</v>
      </c>
      <c r="G7" s="202">
        <v>491289.16</v>
      </c>
      <c r="H7" s="202">
        <v>1025052.12</v>
      </c>
      <c r="I7" s="202">
        <v>1396469.42</v>
      </c>
      <c r="J7" s="202">
        <v>1193867.96</v>
      </c>
      <c r="K7" s="202">
        <v>807297.66376700008</v>
      </c>
    </row>
    <row r="8" spans="1:11" ht="23.25" thickBot="1">
      <c r="A8" s="197" t="s">
        <v>355</v>
      </c>
      <c r="B8" s="202">
        <v>1526737.05</v>
      </c>
      <c r="C8" s="202">
        <v>1602705.73</v>
      </c>
      <c r="D8" s="202">
        <v>2047809.66</v>
      </c>
      <c r="E8" s="202">
        <v>2661152.54</v>
      </c>
      <c r="F8" s="202">
        <v>2414391.4</v>
      </c>
      <c r="G8" s="202">
        <v>1551553.09</v>
      </c>
      <c r="H8" s="202">
        <v>2744447.38</v>
      </c>
      <c r="I8" s="202">
        <v>5662104.3200000003</v>
      </c>
      <c r="J8" s="202">
        <v>4020492.69</v>
      </c>
      <c r="K8" s="202">
        <v>3387644.9138660002</v>
      </c>
    </row>
    <row r="9" spans="1:11" ht="12" thickBot="1">
      <c r="A9" s="197" t="s">
        <v>358</v>
      </c>
      <c r="B9" s="202">
        <v>258931.89</v>
      </c>
      <c r="C9" s="202">
        <v>276285.94</v>
      </c>
      <c r="D9" s="202">
        <v>267397.13</v>
      </c>
      <c r="E9" s="202">
        <v>321943.78999999998</v>
      </c>
      <c r="F9" s="202">
        <v>310819.01</v>
      </c>
      <c r="G9" s="202">
        <v>237693.8</v>
      </c>
      <c r="H9" s="202">
        <v>370456.69</v>
      </c>
      <c r="I9" s="202">
        <v>533748.80000000005</v>
      </c>
      <c r="J9" s="202">
        <v>361831.36</v>
      </c>
      <c r="K9" s="202">
        <v>397006.69291899982</v>
      </c>
    </row>
    <row r="10" spans="1:11" ht="22.5">
      <c r="A10" s="199" t="s">
        <v>363</v>
      </c>
      <c r="B10" s="203" t="s">
        <v>215</v>
      </c>
      <c r="C10" s="203">
        <v>6255.01</v>
      </c>
      <c r="D10" s="203">
        <v>7936.48</v>
      </c>
      <c r="E10" s="203" t="s">
        <v>215</v>
      </c>
      <c r="F10" s="203">
        <v>13019.77</v>
      </c>
      <c r="G10" s="203">
        <v>9306.86</v>
      </c>
      <c r="H10" s="203">
        <v>25707.65</v>
      </c>
      <c r="I10" s="203">
        <v>11909.64</v>
      </c>
      <c r="J10" s="203">
        <v>24074.92</v>
      </c>
      <c r="K10" s="203">
        <v>7442.3883029999997</v>
      </c>
    </row>
    <row r="11" spans="1:11">
      <c r="K11" s="204">
        <f>+SUM(K5:K10)</f>
        <v>8872393.9352170005</v>
      </c>
    </row>
    <row r="12" spans="1:11" ht="11.25" customHeight="1">
      <c r="A12" s="589" t="s">
        <v>367</v>
      </c>
      <c r="B12" s="590"/>
      <c r="C12" s="590"/>
      <c r="D12" s="590"/>
      <c r="E12" s="590"/>
      <c r="F12" s="590"/>
      <c r="G12" s="590"/>
      <c r="H12" s="590"/>
      <c r="I12" s="590"/>
      <c r="J12" s="590"/>
      <c r="K12" s="590"/>
    </row>
    <row r="13" spans="1:11" ht="12" thickBot="1">
      <c r="A13" s="118" t="s">
        <v>131</v>
      </c>
      <c r="B13" s="119">
        <v>2015</v>
      </c>
      <c r="C13" s="119">
        <v>2016</v>
      </c>
      <c r="D13" s="119">
        <v>2017</v>
      </c>
      <c r="E13" s="119">
        <v>2018</v>
      </c>
      <c r="F13" s="119">
        <v>2019</v>
      </c>
      <c r="G13" s="119">
        <v>2020</v>
      </c>
      <c r="H13" s="119">
        <v>2021</v>
      </c>
      <c r="I13" s="119">
        <v>2022</v>
      </c>
      <c r="J13" s="119">
        <v>2023</v>
      </c>
      <c r="K13" s="119">
        <v>2024</v>
      </c>
    </row>
    <row r="14" spans="1:11" ht="12" thickBot="1">
      <c r="A14" s="197" t="s">
        <v>243</v>
      </c>
      <c r="B14" s="205">
        <f>+B5/1000</f>
        <v>1642.25488</v>
      </c>
      <c r="C14" s="205">
        <f t="shared" ref="C14:J14" si="0">+C5/1000</f>
        <v>1600.6344199999999</v>
      </c>
      <c r="D14" s="205">
        <f t="shared" si="0"/>
        <v>2458.7991899999997</v>
      </c>
      <c r="E14" s="205">
        <f t="shared" si="0"/>
        <v>2853.82465</v>
      </c>
      <c r="F14" s="205">
        <f t="shared" si="0"/>
        <v>2478.9768300000001</v>
      </c>
      <c r="G14" s="205">
        <f t="shared" si="0"/>
        <v>776.42181999999991</v>
      </c>
      <c r="H14" s="205">
        <f t="shared" si="0"/>
        <v>1816.48531</v>
      </c>
      <c r="I14" s="205">
        <f t="shared" si="0"/>
        <v>2493.93345</v>
      </c>
      <c r="J14" s="205">
        <f t="shared" si="0"/>
        <v>3224.00812</v>
      </c>
      <c r="K14" s="205">
        <f>+K5/1000</f>
        <v>3918.2530665760009</v>
      </c>
    </row>
    <row r="15" spans="1:11" ht="23.25" thickBot="1">
      <c r="A15" s="197" t="s">
        <v>353</v>
      </c>
      <c r="B15" s="205">
        <f t="shared" ref="B15:K19" si="1">+B6/1000</f>
        <v>40.171639999999996</v>
      </c>
      <c r="C15" s="205">
        <f t="shared" si="1"/>
        <v>60.123609999999999</v>
      </c>
      <c r="D15" s="205">
        <f t="shared" si="1"/>
        <v>109.99191</v>
      </c>
      <c r="E15" s="205">
        <f t="shared" si="1"/>
        <v>208.66413</v>
      </c>
      <c r="F15" s="205">
        <f t="shared" si="1"/>
        <v>137.61538000000002</v>
      </c>
      <c r="G15" s="205">
        <f t="shared" si="1"/>
        <v>148.55379000000002</v>
      </c>
      <c r="H15" s="205">
        <f t="shared" si="1"/>
        <v>345.37044000000003</v>
      </c>
      <c r="I15" s="205">
        <f t="shared" si="1"/>
        <v>414.58296000000001</v>
      </c>
      <c r="J15" s="205">
        <f t="shared" si="1"/>
        <v>340.56639000000001</v>
      </c>
      <c r="K15" s="205">
        <f t="shared" si="1"/>
        <v>354.74920978599999</v>
      </c>
    </row>
    <row r="16" spans="1:11" ht="12" thickBot="1">
      <c r="A16" s="197" t="s">
        <v>354</v>
      </c>
      <c r="B16" s="205">
        <f t="shared" si="1"/>
        <v>380.89365999999995</v>
      </c>
      <c r="C16" s="205">
        <f t="shared" si="1"/>
        <v>423.61328000000003</v>
      </c>
      <c r="D16" s="205">
        <f t="shared" si="1"/>
        <v>559.35212999999999</v>
      </c>
      <c r="E16" s="205">
        <f t="shared" si="1"/>
        <v>716.83543999999995</v>
      </c>
      <c r="F16" s="205">
        <f t="shared" si="1"/>
        <v>509.83478000000002</v>
      </c>
      <c r="G16" s="205">
        <f t="shared" si="1"/>
        <v>491.28915999999998</v>
      </c>
      <c r="H16" s="205">
        <f t="shared" si="1"/>
        <v>1025.0521200000001</v>
      </c>
      <c r="I16" s="205">
        <f t="shared" si="1"/>
        <v>1396.4694199999999</v>
      </c>
      <c r="J16" s="205">
        <f t="shared" si="1"/>
        <v>1193.86796</v>
      </c>
      <c r="K16" s="205">
        <f t="shared" si="1"/>
        <v>807.29766376700013</v>
      </c>
    </row>
    <row r="17" spans="1:11" ht="23.25" thickBot="1">
      <c r="A17" s="197" t="s">
        <v>355</v>
      </c>
      <c r="B17" s="205">
        <f t="shared" si="1"/>
        <v>1526.73705</v>
      </c>
      <c r="C17" s="205">
        <f t="shared" si="1"/>
        <v>1602.7057299999999</v>
      </c>
      <c r="D17" s="205">
        <f t="shared" si="1"/>
        <v>2047.8096599999999</v>
      </c>
      <c r="E17" s="205">
        <f t="shared" si="1"/>
        <v>2661.15254</v>
      </c>
      <c r="F17" s="205">
        <f t="shared" si="1"/>
        <v>2414.3914</v>
      </c>
      <c r="G17" s="205">
        <f t="shared" si="1"/>
        <v>1551.5530900000001</v>
      </c>
      <c r="H17" s="205">
        <f t="shared" si="1"/>
        <v>2744.4473800000001</v>
      </c>
      <c r="I17" s="205">
        <f t="shared" si="1"/>
        <v>5662.1043200000004</v>
      </c>
      <c r="J17" s="205">
        <f t="shared" si="1"/>
        <v>4020.49269</v>
      </c>
      <c r="K17" s="205">
        <f t="shared" si="1"/>
        <v>3387.644913866</v>
      </c>
    </row>
    <row r="18" spans="1:11" ht="12" thickBot="1">
      <c r="A18" s="197" t="s">
        <v>358</v>
      </c>
      <c r="B18" s="205">
        <f t="shared" si="1"/>
        <v>258.93189000000001</v>
      </c>
      <c r="C18" s="205">
        <f t="shared" si="1"/>
        <v>276.28593999999998</v>
      </c>
      <c r="D18" s="205">
        <f t="shared" si="1"/>
        <v>267.39713</v>
      </c>
      <c r="E18" s="205">
        <f t="shared" si="1"/>
        <v>321.94378999999998</v>
      </c>
      <c r="F18" s="205">
        <f t="shared" si="1"/>
        <v>310.81900999999999</v>
      </c>
      <c r="G18" s="205">
        <f t="shared" si="1"/>
        <v>237.69379999999998</v>
      </c>
      <c r="H18" s="205">
        <f t="shared" si="1"/>
        <v>370.45668999999998</v>
      </c>
      <c r="I18" s="205">
        <f t="shared" si="1"/>
        <v>533.74880000000007</v>
      </c>
      <c r="J18" s="205">
        <f t="shared" si="1"/>
        <v>361.83135999999996</v>
      </c>
      <c r="K18" s="205">
        <f t="shared" si="1"/>
        <v>397.00669291899982</v>
      </c>
    </row>
    <row r="19" spans="1:11" ht="23.25" thickBot="1">
      <c r="A19" s="199" t="s">
        <v>363</v>
      </c>
      <c r="B19" s="205" t="s">
        <v>215</v>
      </c>
      <c r="C19" s="205">
        <f t="shared" si="1"/>
        <v>6.2550100000000004</v>
      </c>
      <c r="D19" s="205">
        <f t="shared" si="1"/>
        <v>7.9364799999999995</v>
      </c>
      <c r="E19" s="205" t="s">
        <v>215</v>
      </c>
      <c r="F19" s="205">
        <f t="shared" si="1"/>
        <v>13.019770000000001</v>
      </c>
      <c r="G19" s="205">
        <f t="shared" si="1"/>
        <v>9.3068600000000004</v>
      </c>
      <c r="H19" s="205">
        <f t="shared" si="1"/>
        <v>25.707650000000001</v>
      </c>
      <c r="I19" s="205">
        <f t="shared" si="1"/>
        <v>11.90964</v>
      </c>
      <c r="J19" s="205">
        <f t="shared" si="1"/>
        <v>24.074919999999999</v>
      </c>
      <c r="K19" s="205">
        <f t="shared" si="1"/>
        <v>7.4423883029999995</v>
      </c>
    </row>
    <row r="27" spans="1:11" ht="14.25">
      <c r="I27" s="2"/>
    </row>
  </sheetData>
  <mergeCells count="3">
    <mergeCell ref="A1:K1"/>
    <mergeCell ref="A3:K3"/>
    <mergeCell ref="A12:K12"/>
  </mergeCells>
  <pageMargins left="0.7" right="0.7" top="0.75" bottom="0.75" header="0.3" footer="0.3"/>
  <drawing r:id="rId1"/>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F0"/>
  </sheetPr>
  <dimension ref="A1:L27"/>
  <sheetViews>
    <sheetView zoomScaleNormal="100" workbookViewId="0">
      <selection activeCell="A30" sqref="A30"/>
    </sheetView>
  </sheetViews>
  <sheetFormatPr baseColWidth="10" defaultColWidth="11.42578125" defaultRowHeight="15"/>
  <cols>
    <col min="1" max="1" width="14" customWidth="1"/>
  </cols>
  <sheetData>
    <row r="1" spans="1:12">
      <c r="A1" s="611" t="s">
        <v>368</v>
      </c>
      <c r="B1" s="611"/>
      <c r="C1" s="611"/>
      <c r="D1" s="611"/>
      <c r="E1" s="611"/>
      <c r="F1" s="611"/>
      <c r="G1" s="611"/>
      <c r="H1" s="611"/>
    </row>
    <row r="3" spans="1:12" ht="15.75" customHeight="1">
      <c r="A3" s="589" t="s">
        <v>369</v>
      </c>
      <c r="B3" s="590"/>
      <c r="C3" s="590"/>
      <c r="D3" s="590"/>
      <c r="E3" s="590"/>
      <c r="F3" s="590"/>
      <c r="G3" s="590"/>
      <c r="H3" s="590"/>
      <c r="I3" s="590"/>
      <c r="J3" s="590"/>
      <c r="K3" s="117"/>
    </row>
    <row r="4" spans="1:12" ht="23.25" thickBot="1">
      <c r="A4" s="161" t="s">
        <v>370</v>
      </c>
      <c r="B4" s="119">
        <v>2015</v>
      </c>
      <c r="C4" s="119">
        <v>2016</v>
      </c>
      <c r="D4" s="119">
        <v>2017</v>
      </c>
      <c r="E4" s="119">
        <v>2018</v>
      </c>
      <c r="F4" s="119">
        <v>2019</v>
      </c>
      <c r="G4" s="119">
        <v>2020</v>
      </c>
      <c r="H4" s="119">
        <v>2021</v>
      </c>
      <c r="I4" s="119">
        <v>2022</v>
      </c>
      <c r="J4" s="119">
        <v>2023</v>
      </c>
      <c r="K4" s="119">
        <v>2024</v>
      </c>
    </row>
    <row r="5" spans="1:12" ht="15.75" thickBot="1">
      <c r="A5" s="206" t="s">
        <v>371</v>
      </c>
      <c r="B5" s="127">
        <v>1723.82</v>
      </c>
      <c r="C5" s="127">
        <v>1208.6600000000001</v>
      </c>
      <c r="D5" s="207">
        <v>332.47</v>
      </c>
      <c r="E5" s="207">
        <v>169.13</v>
      </c>
      <c r="F5" s="207" t="s">
        <v>215</v>
      </c>
      <c r="G5" s="207" t="s">
        <v>215</v>
      </c>
      <c r="H5" s="8" t="s">
        <v>215</v>
      </c>
      <c r="I5" s="8" t="s">
        <v>215</v>
      </c>
      <c r="J5" s="8" t="s">
        <v>215</v>
      </c>
      <c r="K5" s="8" t="s">
        <v>215</v>
      </c>
    </row>
    <row r="6" spans="1:12" ht="15.75" thickBot="1">
      <c r="A6" s="206" t="s">
        <v>372</v>
      </c>
      <c r="B6" s="207">
        <v>1E-3</v>
      </c>
      <c r="C6" s="207" t="s">
        <v>215</v>
      </c>
      <c r="D6" s="207">
        <v>12.81</v>
      </c>
      <c r="E6" s="207" t="s">
        <v>215</v>
      </c>
      <c r="F6" s="207" t="s">
        <v>215</v>
      </c>
      <c r="G6" s="207" t="s">
        <v>215</v>
      </c>
      <c r="H6" s="8" t="s">
        <v>215</v>
      </c>
      <c r="I6" s="8" t="s">
        <v>215</v>
      </c>
      <c r="J6" s="8" t="s">
        <v>215</v>
      </c>
      <c r="K6" s="8" t="s">
        <v>215</v>
      </c>
    </row>
    <row r="7" spans="1:12" ht="15.75" thickBot="1">
      <c r="A7" s="206" t="s">
        <v>373</v>
      </c>
      <c r="B7" s="207" t="s">
        <v>215</v>
      </c>
      <c r="C7" s="207" t="s">
        <v>215</v>
      </c>
      <c r="D7" s="207" t="s">
        <v>215</v>
      </c>
      <c r="E7" s="207" t="s">
        <v>215</v>
      </c>
      <c r="F7" s="207" t="s">
        <v>215</v>
      </c>
      <c r="G7" s="207" t="s">
        <v>215</v>
      </c>
      <c r="H7" s="207" t="s">
        <v>215</v>
      </c>
      <c r="I7" s="207" t="s">
        <v>215</v>
      </c>
      <c r="J7" s="208">
        <v>13.18</v>
      </c>
      <c r="K7" s="208" t="s">
        <v>215</v>
      </c>
      <c r="L7" s="209">
        <f>+J7/$J$19</f>
        <v>1.548711561284561E-2</v>
      </c>
    </row>
    <row r="8" spans="1:12" ht="15.75" thickBot="1">
      <c r="A8" s="206" t="s">
        <v>374</v>
      </c>
      <c r="B8" s="207" t="s">
        <v>215</v>
      </c>
      <c r="C8" s="207">
        <v>115.08</v>
      </c>
      <c r="D8" s="207" t="s">
        <v>215</v>
      </c>
      <c r="E8" s="207" t="s">
        <v>215</v>
      </c>
      <c r="F8" s="207" t="s">
        <v>215</v>
      </c>
      <c r="G8" s="207" t="s">
        <v>215</v>
      </c>
      <c r="H8" s="8" t="s">
        <v>215</v>
      </c>
      <c r="I8" s="8" t="s">
        <v>215</v>
      </c>
      <c r="J8" s="8" t="s">
        <v>215</v>
      </c>
      <c r="K8" s="8" t="s">
        <v>215</v>
      </c>
    </row>
    <row r="9" spans="1:12" ht="15.75" thickBot="1">
      <c r="A9" s="206" t="s">
        <v>375</v>
      </c>
      <c r="B9" s="207">
        <v>250.88</v>
      </c>
      <c r="C9" s="207">
        <v>118.59</v>
      </c>
      <c r="D9" s="207">
        <v>999.43</v>
      </c>
      <c r="E9" s="207">
        <v>347.69</v>
      </c>
      <c r="F9" s="207" t="s">
        <v>215</v>
      </c>
      <c r="G9" s="207" t="s">
        <v>215</v>
      </c>
      <c r="H9" s="8">
        <v>218.77</v>
      </c>
      <c r="I9" s="8" t="s">
        <v>215</v>
      </c>
      <c r="J9" s="8">
        <v>288.25</v>
      </c>
      <c r="K9" s="8">
        <v>157.01</v>
      </c>
      <c r="L9" s="209">
        <f>+J9/$J$19</f>
        <v>0.33870721361174105</v>
      </c>
    </row>
    <row r="10" spans="1:12" ht="15.75" thickBot="1">
      <c r="A10" s="206" t="s">
        <v>376</v>
      </c>
      <c r="B10" s="207">
        <v>92.01</v>
      </c>
      <c r="C10" s="207" t="s">
        <v>215</v>
      </c>
      <c r="D10" s="207">
        <v>134.74</v>
      </c>
      <c r="E10" s="207">
        <v>365.26</v>
      </c>
      <c r="F10" s="207">
        <v>740.84</v>
      </c>
      <c r="G10" s="207">
        <v>418.72</v>
      </c>
      <c r="H10" s="8">
        <v>304.70999999999998</v>
      </c>
      <c r="I10" s="8" t="s">
        <v>215</v>
      </c>
      <c r="J10" s="8" t="s">
        <v>215</v>
      </c>
      <c r="K10" s="208">
        <v>149.89192226694351</v>
      </c>
    </row>
    <row r="11" spans="1:12" ht="15.75" thickBot="1">
      <c r="A11" s="206" t="s">
        <v>377</v>
      </c>
      <c r="B11" s="207" t="s">
        <v>215</v>
      </c>
      <c r="C11" s="207">
        <v>12.37</v>
      </c>
      <c r="D11" s="207" t="s">
        <v>215</v>
      </c>
      <c r="E11" s="207">
        <v>322.20999999999998</v>
      </c>
      <c r="F11" s="207" t="s">
        <v>215</v>
      </c>
      <c r="G11" s="207">
        <v>153.94</v>
      </c>
      <c r="H11" s="8">
        <v>153.25</v>
      </c>
      <c r="I11" s="8" t="s">
        <v>215</v>
      </c>
      <c r="J11" s="8" t="s">
        <v>215</v>
      </c>
      <c r="K11" s="8" t="s">
        <v>215</v>
      </c>
    </row>
    <row r="12" spans="1:12" ht="15.75" thickBot="1">
      <c r="A12" s="206" t="s">
        <v>378</v>
      </c>
      <c r="B12" s="207" t="s">
        <v>215</v>
      </c>
      <c r="C12" s="207">
        <v>612.59</v>
      </c>
      <c r="D12" s="207">
        <v>466.98</v>
      </c>
      <c r="E12" s="207">
        <v>135.63999999999999</v>
      </c>
      <c r="F12" s="207" t="s">
        <v>215</v>
      </c>
      <c r="G12" s="207" t="s">
        <v>215</v>
      </c>
      <c r="H12" s="8" t="s">
        <v>215</v>
      </c>
      <c r="I12" s="8" t="s">
        <v>215</v>
      </c>
      <c r="J12" s="8" t="s">
        <v>215</v>
      </c>
      <c r="K12" s="8" t="s">
        <v>215</v>
      </c>
    </row>
    <row r="13" spans="1:12" ht="15.75" thickBot="1">
      <c r="A13" s="206" t="s">
        <v>379</v>
      </c>
      <c r="B13" s="207" t="s">
        <v>215</v>
      </c>
      <c r="C13" s="207" t="s">
        <v>215</v>
      </c>
      <c r="D13" s="207">
        <v>0.01</v>
      </c>
      <c r="E13" s="207" t="s">
        <v>215</v>
      </c>
      <c r="F13" s="207" t="s">
        <v>215</v>
      </c>
      <c r="G13" s="207" t="s">
        <v>215</v>
      </c>
      <c r="H13" s="8" t="s">
        <v>215</v>
      </c>
      <c r="I13" s="8" t="s">
        <v>215</v>
      </c>
      <c r="J13" s="8" t="s">
        <v>215</v>
      </c>
      <c r="K13" s="8"/>
    </row>
    <row r="14" spans="1:12" ht="15.75" thickBot="1">
      <c r="A14" s="206" t="s">
        <v>380</v>
      </c>
      <c r="B14" s="207" t="s">
        <v>215</v>
      </c>
      <c r="C14" s="207" t="s">
        <v>215</v>
      </c>
      <c r="D14" s="207" t="s">
        <v>215</v>
      </c>
      <c r="E14" s="207">
        <v>48.97</v>
      </c>
      <c r="F14" s="207">
        <v>99.48</v>
      </c>
      <c r="G14" s="207" t="s">
        <v>215</v>
      </c>
      <c r="H14" s="8" t="s">
        <v>215</v>
      </c>
      <c r="I14" s="8">
        <v>29.82</v>
      </c>
      <c r="J14" s="8" t="s">
        <v>215</v>
      </c>
      <c r="K14" s="8">
        <v>518.16999999999996</v>
      </c>
      <c r="L14" s="209"/>
    </row>
    <row r="15" spans="1:12" ht="15.75" thickBot="1">
      <c r="A15" s="206" t="s">
        <v>381</v>
      </c>
      <c r="B15" s="207" t="s">
        <v>215</v>
      </c>
      <c r="C15" s="207" t="s">
        <v>215</v>
      </c>
      <c r="D15" s="207" t="s">
        <v>215</v>
      </c>
      <c r="E15" s="207">
        <v>0.05</v>
      </c>
      <c r="F15" s="207" t="s">
        <v>215</v>
      </c>
      <c r="G15" s="207" t="s">
        <v>215</v>
      </c>
      <c r="H15" s="8" t="s">
        <v>215</v>
      </c>
      <c r="I15" s="8" t="s">
        <v>215</v>
      </c>
      <c r="J15" s="8" t="s">
        <v>215</v>
      </c>
      <c r="K15" s="8" t="s">
        <v>215</v>
      </c>
    </row>
    <row r="16" spans="1:12" ht="15.75" thickBot="1">
      <c r="A16" s="206" t="s">
        <v>382</v>
      </c>
      <c r="B16" s="207" t="s">
        <v>215</v>
      </c>
      <c r="C16" s="207" t="s">
        <v>215</v>
      </c>
      <c r="D16" s="207" t="s">
        <v>215</v>
      </c>
      <c r="E16" s="207" t="s">
        <v>215</v>
      </c>
      <c r="F16" s="207">
        <v>165.45</v>
      </c>
      <c r="G16" s="207" t="s">
        <v>215</v>
      </c>
      <c r="H16" s="8" t="s">
        <v>215</v>
      </c>
      <c r="I16" s="8" t="s">
        <v>215</v>
      </c>
      <c r="J16" s="8" t="s">
        <v>215</v>
      </c>
      <c r="K16" s="8" t="s">
        <v>215</v>
      </c>
    </row>
    <row r="17" spans="1:12" ht="15.75" thickBot="1">
      <c r="A17" s="206" t="s">
        <v>383</v>
      </c>
      <c r="B17" s="207" t="s">
        <v>215</v>
      </c>
      <c r="C17" s="207" t="s">
        <v>215</v>
      </c>
      <c r="D17" s="207" t="s">
        <v>215</v>
      </c>
      <c r="E17" s="207" t="s">
        <v>215</v>
      </c>
      <c r="F17" s="207" t="s">
        <v>215</v>
      </c>
      <c r="G17" s="207">
        <v>123.57</v>
      </c>
      <c r="H17" s="8">
        <v>59.58</v>
      </c>
      <c r="I17" s="8" t="s">
        <v>215</v>
      </c>
      <c r="J17" s="8">
        <v>523.02</v>
      </c>
      <c r="K17" s="8" t="s">
        <v>215</v>
      </c>
      <c r="L17" s="209">
        <f>+J17/$J$19</f>
        <v>0.61457292927393858</v>
      </c>
    </row>
    <row r="18" spans="1:12" ht="15.75" thickBot="1">
      <c r="A18" s="206" t="s">
        <v>384</v>
      </c>
      <c r="B18" s="207" t="s">
        <v>215</v>
      </c>
      <c r="C18" s="207" t="s">
        <v>215</v>
      </c>
      <c r="D18" s="207" t="s">
        <v>215</v>
      </c>
      <c r="E18" s="207" t="s">
        <v>215</v>
      </c>
      <c r="F18" s="207" t="s">
        <v>215</v>
      </c>
      <c r="G18" s="207" t="s">
        <v>215</v>
      </c>
      <c r="H18" s="207" t="s">
        <v>215</v>
      </c>
      <c r="I18" s="207" t="s">
        <v>215</v>
      </c>
      <c r="J18" s="8">
        <v>26.58</v>
      </c>
      <c r="K18" s="8" t="s">
        <v>215</v>
      </c>
      <c r="L18" s="209">
        <f>+J18/$J$19</f>
        <v>3.1232741501474683E-2</v>
      </c>
    </row>
    <row r="19" spans="1:12" ht="15.75" thickBot="1">
      <c r="A19" s="210" t="s">
        <v>18</v>
      </c>
      <c r="B19" s="211">
        <v>2066.71</v>
      </c>
      <c r="C19" s="211">
        <v>2067.29</v>
      </c>
      <c r="D19" s="211">
        <v>1946.45</v>
      </c>
      <c r="E19" s="211">
        <v>1388.94</v>
      </c>
      <c r="F19" s="211">
        <v>1005.77</v>
      </c>
      <c r="G19" s="212">
        <v>696.23</v>
      </c>
      <c r="H19" s="212">
        <v>736.31</v>
      </c>
      <c r="I19" s="212">
        <v>29.82</v>
      </c>
      <c r="J19" s="212">
        <v>851.03</v>
      </c>
      <c r="K19" s="213">
        <f>+SUM(K5:K18)</f>
        <v>825.07192226694349</v>
      </c>
    </row>
    <row r="20" spans="1:12" ht="15.75" thickBot="1">
      <c r="A20" s="128" t="s">
        <v>133</v>
      </c>
      <c r="B20" s="169">
        <v>5.66</v>
      </c>
      <c r="C20" s="169">
        <v>5.65</v>
      </c>
      <c r="D20" s="169">
        <v>5.33</v>
      </c>
      <c r="E20" s="169">
        <v>3.81</v>
      </c>
      <c r="F20" s="169">
        <v>2.76</v>
      </c>
      <c r="G20" s="169">
        <v>1.91</v>
      </c>
      <c r="H20" s="169">
        <v>2.02</v>
      </c>
      <c r="I20" s="169">
        <v>0.08</v>
      </c>
      <c r="J20" s="169">
        <v>2.33</v>
      </c>
      <c r="K20" s="170">
        <f>+K19/366</f>
        <v>2.254294869581813</v>
      </c>
    </row>
    <row r="21" spans="1:12">
      <c r="H21" s="214"/>
      <c r="I21" s="214"/>
      <c r="J21" s="214"/>
      <c r="K21" s="214"/>
    </row>
    <row r="27" spans="1:12">
      <c r="I27" s="2"/>
    </row>
  </sheetData>
  <mergeCells count="2">
    <mergeCell ref="A1:H1"/>
    <mergeCell ref="A3:J3"/>
  </mergeCells>
  <pageMargins left="0.7" right="0.7" top="0.75" bottom="0.75" header="0.3" footer="0.3"/>
  <drawing r:id="rId1"/>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34"/>
  <sheetViews>
    <sheetView showGridLines="0" zoomScaleNormal="100" workbookViewId="0">
      <selection activeCell="D14" sqref="D14"/>
    </sheetView>
  </sheetViews>
  <sheetFormatPr baseColWidth="10" defaultRowHeight="15"/>
  <cols>
    <col min="1" max="1" width="10.85546875" style="47" customWidth="1"/>
    <col min="2" max="14" width="11.42578125" style="47"/>
  </cols>
  <sheetData>
    <row r="1" spans="1:14">
      <c r="A1" s="54" t="s">
        <v>29</v>
      </c>
      <c r="B1"/>
      <c r="C1"/>
      <c r="D1"/>
      <c r="E1"/>
      <c r="F1"/>
      <c r="G1"/>
      <c r="H1"/>
      <c r="I1"/>
      <c r="J1"/>
      <c r="K1"/>
      <c r="L1"/>
      <c r="M1"/>
      <c r="N1"/>
    </row>
    <row r="2" spans="1:14" ht="15.75" thickBot="1">
      <c r="A2"/>
      <c r="B2"/>
      <c r="C2"/>
      <c r="D2"/>
      <c r="E2"/>
      <c r="F2"/>
      <c r="G2"/>
      <c r="H2"/>
      <c r="I2"/>
      <c r="J2"/>
      <c r="K2"/>
      <c r="L2"/>
      <c r="M2"/>
      <c r="N2"/>
    </row>
    <row r="3" spans="1:14" ht="15.75" thickBot="1">
      <c r="A3" s="42">
        <v>2024</v>
      </c>
      <c r="B3" s="42" t="s">
        <v>26</v>
      </c>
      <c r="C3" s="42" t="s">
        <v>27</v>
      </c>
      <c r="D3" s="42" t="s">
        <v>18</v>
      </c>
      <c r="E3"/>
      <c r="F3"/>
      <c r="G3"/>
      <c r="H3"/>
      <c r="I3"/>
      <c r="J3"/>
      <c r="K3"/>
      <c r="L3"/>
      <c r="M3"/>
      <c r="N3"/>
    </row>
    <row r="4" spans="1:14" ht="15.75" thickBot="1">
      <c r="A4" s="36" t="s">
        <v>2</v>
      </c>
      <c r="B4" s="45">
        <v>10643.8</v>
      </c>
      <c r="C4" s="45">
        <v>38369.199999999997</v>
      </c>
      <c r="D4" s="45">
        <f>SUM(B4:C4)</f>
        <v>49013</v>
      </c>
      <c r="E4"/>
      <c r="F4"/>
      <c r="G4"/>
      <c r="H4"/>
      <c r="I4"/>
      <c r="J4"/>
      <c r="K4"/>
      <c r="L4"/>
      <c r="M4"/>
      <c r="N4"/>
    </row>
    <row r="5" spans="1:14" ht="15.75" thickBot="1">
      <c r="A5" s="36" t="s">
        <v>3</v>
      </c>
      <c r="B5" s="45">
        <v>9787</v>
      </c>
      <c r="C5" s="45">
        <v>36087.4</v>
      </c>
      <c r="D5" s="45">
        <f t="shared" ref="D5:D15" si="0">SUM(B5:C5)</f>
        <v>45874.400000000001</v>
      </c>
      <c r="E5"/>
      <c r="F5"/>
      <c r="G5"/>
      <c r="H5"/>
      <c r="I5"/>
      <c r="J5"/>
      <c r="K5"/>
      <c r="L5"/>
      <c r="M5"/>
      <c r="N5"/>
    </row>
    <row r="6" spans="1:14" ht="15.75" thickBot="1">
      <c r="A6" s="36" t="s">
        <v>4</v>
      </c>
      <c r="B6" s="45">
        <v>8240.6</v>
      </c>
      <c r="C6" s="45">
        <v>40048</v>
      </c>
      <c r="D6" s="45">
        <f t="shared" si="0"/>
        <v>48288.6</v>
      </c>
      <c r="E6"/>
      <c r="F6"/>
      <c r="K6"/>
      <c r="L6"/>
      <c r="M6"/>
      <c r="N6"/>
    </row>
    <row r="7" spans="1:14" ht="15.75" thickBot="1">
      <c r="A7" s="36" t="s">
        <v>5</v>
      </c>
      <c r="B7" s="45">
        <v>9659.6</v>
      </c>
      <c r="C7" s="45">
        <v>34376.699999999997</v>
      </c>
      <c r="D7" s="45">
        <f t="shared" si="0"/>
        <v>44036.299999999996</v>
      </c>
      <c r="E7"/>
      <c r="F7"/>
      <c r="K7"/>
      <c r="L7"/>
      <c r="M7"/>
      <c r="N7"/>
    </row>
    <row r="8" spans="1:14" ht="15.75" thickBot="1">
      <c r="A8" s="36" t="s">
        <v>6</v>
      </c>
      <c r="B8" s="45">
        <v>9717.2999999999993</v>
      </c>
      <c r="C8" s="45">
        <v>39863.599999999999</v>
      </c>
      <c r="D8" s="45">
        <f t="shared" si="0"/>
        <v>49580.899999999994</v>
      </c>
      <c r="E8"/>
      <c r="F8"/>
      <c r="K8"/>
      <c r="L8"/>
      <c r="M8"/>
      <c r="N8"/>
    </row>
    <row r="9" spans="1:14" ht="15.75" thickBot="1">
      <c r="A9" s="36" t="s">
        <v>7</v>
      </c>
      <c r="B9" s="45">
        <v>8743.7999999999993</v>
      </c>
      <c r="C9" s="45">
        <v>38248</v>
      </c>
      <c r="D9" s="45">
        <f t="shared" si="0"/>
        <v>46991.8</v>
      </c>
      <c r="E9"/>
      <c r="F9"/>
      <c r="K9"/>
      <c r="L9"/>
      <c r="M9"/>
      <c r="N9"/>
    </row>
    <row r="10" spans="1:14" ht="15.75" thickBot="1">
      <c r="A10" s="36" t="s">
        <v>8</v>
      </c>
      <c r="B10" s="45">
        <v>8061.3</v>
      </c>
      <c r="C10" s="45">
        <v>39566.1</v>
      </c>
      <c r="D10" s="45">
        <f t="shared" si="0"/>
        <v>47627.4</v>
      </c>
      <c r="E10"/>
      <c r="F10"/>
      <c r="K10"/>
      <c r="L10"/>
      <c r="M10"/>
      <c r="N10"/>
    </row>
    <row r="11" spans="1:14" ht="15.75" thickBot="1">
      <c r="A11" s="36" t="s">
        <v>9</v>
      </c>
      <c r="B11" s="45">
        <v>8341.4</v>
      </c>
      <c r="C11" s="45">
        <v>37934.300000000003</v>
      </c>
      <c r="D11" s="45">
        <f t="shared" si="0"/>
        <v>46275.700000000004</v>
      </c>
      <c r="E11"/>
      <c r="F11"/>
      <c r="K11"/>
      <c r="L11"/>
      <c r="M11"/>
      <c r="N11"/>
    </row>
    <row r="12" spans="1:14" ht="15.75" thickBot="1">
      <c r="A12" s="36" t="s">
        <v>10</v>
      </c>
      <c r="B12" s="45">
        <v>8861.7000000000007</v>
      </c>
      <c r="C12" s="45">
        <v>36979.1</v>
      </c>
      <c r="D12" s="45">
        <f t="shared" si="0"/>
        <v>45840.800000000003</v>
      </c>
      <c r="E12"/>
      <c r="F12"/>
      <c r="K12"/>
      <c r="L12"/>
      <c r="M12"/>
      <c r="N12"/>
    </row>
    <row r="13" spans="1:14" ht="18.95" customHeight="1" thickBot="1">
      <c r="A13" s="36" t="s">
        <v>11</v>
      </c>
      <c r="B13" s="45">
        <v>8109.7</v>
      </c>
      <c r="C13" s="45">
        <v>39019.9</v>
      </c>
      <c r="D13" s="45">
        <f t="shared" si="0"/>
        <v>47129.599999999999</v>
      </c>
      <c r="E13"/>
      <c r="F13"/>
      <c r="K13"/>
      <c r="L13"/>
      <c r="M13"/>
      <c r="N13"/>
    </row>
    <row r="14" spans="1:14" ht="18.95" customHeight="1" thickBot="1">
      <c r="A14" s="36" t="s">
        <v>12</v>
      </c>
      <c r="B14" s="45">
        <v>9038.7000000000007</v>
      </c>
      <c r="C14" s="45">
        <v>36076.800000000003</v>
      </c>
      <c r="D14" s="45">
        <f t="shared" si="0"/>
        <v>45115.5</v>
      </c>
      <c r="F14"/>
    </row>
    <row r="15" spans="1:14" ht="18.95" customHeight="1" thickBot="1">
      <c r="A15" s="36" t="s">
        <v>13</v>
      </c>
      <c r="B15" s="45">
        <v>9219.7999999999993</v>
      </c>
      <c r="C15" s="45">
        <v>38552.1</v>
      </c>
      <c r="D15" s="45">
        <f t="shared" si="0"/>
        <v>47771.899999999994</v>
      </c>
      <c r="F15"/>
    </row>
    <row r="16" spans="1:14" ht="18.95" customHeight="1">
      <c r="E16" s="53"/>
      <c r="F16"/>
    </row>
    <row r="17" spans="1:14" ht="18.95" customHeight="1">
      <c r="A17" s="51"/>
      <c r="F17"/>
    </row>
    <row r="18" spans="1:14" ht="18.95" customHeight="1">
      <c r="A18" s="51"/>
      <c r="F18"/>
    </row>
    <row r="19" spans="1:14" ht="18.95" customHeight="1">
      <c r="A19" s="612"/>
      <c r="B19" s="612"/>
      <c r="C19" s="54"/>
      <c r="D19" s="54"/>
      <c r="F19"/>
    </row>
    <row r="20" spans="1:14" ht="18.95" customHeight="1">
      <c r="F20"/>
    </row>
    <row r="21" spans="1:14" ht="18.95" customHeight="1">
      <c r="F21"/>
    </row>
    <row r="22" spans="1:14" ht="18.95" customHeight="1">
      <c r="F22"/>
    </row>
    <row r="23" spans="1:14" ht="18.95" customHeight="1">
      <c r="F23"/>
    </row>
    <row r="24" spans="1:14" ht="18.95" customHeight="1">
      <c r="F24"/>
    </row>
    <row r="25" spans="1:14" ht="18.95" customHeight="1">
      <c r="F25"/>
    </row>
    <row r="26" spans="1:14" ht="18.95" customHeight="1">
      <c r="F26"/>
    </row>
    <row r="27" spans="1:14" ht="18.95" customHeight="1"/>
    <row r="28" spans="1:14" ht="18.95" customHeight="1"/>
    <row r="29" spans="1:14" ht="18.95" customHeight="1">
      <c r="H29" s="54"/>
      <c r="I29" s="54"/>
      <c r="J29" s="54"/>
      <c r="K29" s="54"/>
      <c r="L29" s="54"/>
      <c r="M29" s="54"/>
      <c r="N29" s="54"/>
    </row>
    <row r="30" spans="1:14" ht="18.95" customHeight="1">
      <c r="F30" s="54"/>
    </row>
    <row r="34" spans="5:5">
      <c r="E34" s="54"/>
    </row>
  </sheetData>
  <mergeCells count="1">
    <mergeCell ref="A19:B19"/>
  </mergeCells>
  <pageMargins left="0.7" right="0.7" top="0.75" bottom="0.75" header="0.3" footer="0.3"/>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26"/>
  <sheetViews>
    <sheetView showGridLines="0" zoomScaleNormal="100" workbookViewId="0">
      <selection activeCell="A17" sqref="A17:D20"/>
    </sheetView>
  </sheetViews>
  <sheetFormatPr baseColWidth="10" defaultRowHeight="15"/>
  <cols>
    <col min="1" max="1" width="11.5703125" style="47" bestFit="1" customWidth="1"/>
    <col min="2" max="2" width="13" style="47" bestFit="1" customWidth="1"/>
    <col min="3" max="3" width="13.140625" style="47" bestFit="1" customWidth="1"/>
    <col min="4" max="10" width="13" style="47" bestFit="1" customWidth="1"/>
    <col min="11" max="11" width="13.140625" style="47" bestFit="1" customWidth="1"/>
    <col min="12" max="13" width="13" style="47" bestFit="1" customWidth="1"/>
    <col min="14" max="14" width="11.42578125" style="47"/>
  </cols>
  <sheetData>
    <row r="1" spans="1:14">
      <c r="A1" s="613" t="s">
        <v>30</v>
      </c>
      <c r="B1" s="613"/>
      <c r="C1" s="613"/>
      <c r="D1" s="613"/>
      <c r="E1" s="613"/>
      <c r="F1" s="613"/>
      <c r="G1"/>
      <c r="H1"/>
      <c r="I1"/>
      <c r="J1"/>
      <c r="K1"/>
      <c r="L1"/>
      <c r="M1"/>
      <c r="N1"/>
    </row>
    <row r="2" spans="1:14" ht="15.75" thickBot="1">
      <c r="A2"/>
      <c r="B2"/>
      <c r="C2"/>
      <c r="D2"/>
      <c r="E2"/>
      <c r="F2"/>
      <c r="G2"/>
      <c r="H2"/>
      <c r="I2"/>
      <c r="J2"/>
      <c r="K2"/>
      <c r="L2"/>
      <c r="M2"/>
      <c r="N2"/>
    </row>
    <row r="3" spans="1:14" ht="15.75" thickBot="1">
      <c r="A3" s="42">
        <v>2024</v>
      </c>
      <c r="B3" s="42" t="s">
        <v>26</v>
      </c>
      <c r="C3" s="42" t="s">
        <v>27</v>
      </c>
      <c r="D3" s="42" t="s">
        <v>18</v>
      </c>
      <c r="E3"/>
      <c r="J3"/>
      <c r="K3"/>
      <c r="L3"/>
      <c r="M3"/>
      <c r="N3"/>
    </row>
    <row r="4" spans="1:14" ht="15.75" thickBot="1">
      <c r="A4" s="36" t="s">
        <v>2</v>
      </c>
      <c r="B4" s="45">
        <v>426231</v>
      </c>
      <c r="C4" s="45">
        <v>1593626</v>
      </c>
      <c r="D4" s="45">
        <f>SUM(B4:C4)</f>
        <v>2019857</v>
      </c>
      <c r="E4"/>
      <c r="J4"/>
      <c r="K4"/>
      <c r="L4"/>
      <c r="M4"/>
      <c r="N4"/>
    </row>
    <row r="5" spans="1:14" ht="15.75" thickBot="1">
      <c r="A5" s="36" t="s">
        <v>3</v>
      </c>
      <c r="B5" s="45">
        <v>403837</v>
      </c>
      <c r="C5" s="45">
        <v>1493025</v>
      </c>
      <c r="D5" s="45">
        <f t="shared" ref="D5:D15" si="0">SUM(B5:C5)</f>
        <v>1896862</v>
      </c>
      <c r="E5"/>
      <c r="J5"/>
      <c r="K5"/>
      <c r="L5"/>
      <c r="M5"/>
      <c r="N5"/>
    </row>
    <row r="6" spans="1:14" ht="15.75" thickBot="1">
      <c r="A6" s="36" t="s">
        <v>4</v>
      </c>
      <c r="B6" s="45">
        <v>330389</v>
      </c>
      <c r="C6" s="45">
        <v>1569128</v>
      </c>
      <c r="D6" s="45">
        <f t="shared" si="0"/>
        <v>1899517</v>
      </c>
      <c r="E6"/>
      <c r="J6"/>
      <c r="K6"/>
      <c r="L6"/>
      <c r="M6"/>
      <c r="N6"/>
    </row>
    <row r="7" spans="1:14" ht="15.75" thickBot="1">
      <c r="A7" s="36" t="s">
        <v>5</v>
      </c>
      <c r="B7" s="45">
        <v>399085</v>
      </c>
      <c r="C7" s="45">
        <v>1427743</v>
      </c>
      <c r="D7" s="45">
        <f t="shared" si="0"/>
        <v>1826828</v>
      </c>
      <c r="E7"/>
      <c r="J7"/>
      <c r="K7"/>
      <c r="L7"/>
      <c r="M7"/>
      <c r="N7"/>
    </row>
    <row r="8" spans="1:14" ht="15.75" thickBot="1">
      <c r="A8" s="36" t="s">
        <v>6</v>
      </c>
      <c r="B8" s="45">
        <v>399465</v>
      </c>
      <c r="C8" s="45">
        <v>1625961</v>
      </c>
      <c r="D8" s="45">
        <f t="shared" si="0"/>
        <v>2025426</v>
      </c>
      <c r="E8"/>
      <c r="J8"/>
      <c r="K8"/>
      <c r="L8"/>
      <c r="M8"/>
      <c r="N8"/>
    </row>
    <row r="9" spans="1:14" ht="15.75" thickBot="1">
      <c r="A9" s="36" t="s">
        <v>7</v>
      </c>
      <c r="B9" s="45">
        <v>380644</v>
      </c>
      <c r="C9" s="45">
        <v>1548123</v>
      </c>
      <c r="D9" s="45">
        <f t="shared" si="0"/>
        <v>1928767</v>
      </c>
      <c r="E9"/>
      <c r="J9"/>
      <c r="K9"/>
      <c r="L9"/>
      <c r="M9"/>
      <c r="N9"/>
    </row>
    <row r="10" spans="1:14" ht="15.75" thickBot="1">
      <c r="A10" s="36" t="s">
        <v>8</v>
      </c>
      <c r="B10" s="45">
        <v>350060</v>
      </c>
      <c r="C10" s="45">
        <v>1596374</v>
      </c>
      <c r="D10" s="45">
        <f t="shared" si="0"/>
        <v>1946434</v>
      </c>
      <c r="E10"/>
      <c r="J10"/>
      <c r="K10"/>
      <c r="L10"/>
      <c r="M10"/>
      <c r="N10"/>
    </row>
    <row r="11" spans="1:14" ht="18.95" customHeight="1" thickBot="1">
      <c r="A11" s="36" t="s">
        <v>9</v>
      </c>
      <c r="B11" s="45">
        <v>358209</v>
      </c>
      <c r="C11" s="45">
        <v>1511236</v>
      </c>
      <c r="D11" s="45">
        <f t="shared" si="0"/>
        <v>1869445</v>
      </c>
      <c r="E11"/>
      <c r="J11"/>
      <c r="K11"/>
      <c r="L11"/>
      <c r="M11"/>
      <c r="N11"/>
    </row>
    <row r="12" spans="1:14" ht="18.95" customHeight="1" thickBot="1">
      <c r="A12" s="36" t="s">
        <v>10</v>
      </c>
      <c r="B12" s="45">
        <v>366788</v>
      </c>
      <c r="C12" s="45">
        <v>1476336</v>
      </c>
      <c r="D12" s="45">
        <f t="shared" si="0"/>
        <v>1843124</v>
      </c>
      <c r="E12"/>
      <c r="J12"/>
      <c r="K12"/>
      <c r="L12"/>
      <c r="M12"/>
      <c r="N12"/>
    </row>
    <row r="13" spans="1:14" ht="18.95" customHeight="1" thickBot="1">
      <c r="A13" s="36" t="s">
        <v>11</v>
      </c>
      <c r="B13" s="45">
        <v>339815</v>
      </c>
      <c r="C13" s="45">
        <v>1569370</v>
      </c>
      <c r="D13" s="45">
        <f t="shared" si="0"/>
        <v>1909185</v>
      </c>
      <c r="E13"/>
      <c r="J13"/>
      <c r="K13"/>
      <c r="L13"/>
      <c r="M13"/>
      <c r="N13"/>
    </row>
    <row r="14" spans="1:14" ht="18.95" customHeight="1" thickBot="1">
      <c r="A14" s="36" t="s">
        <v>12</v>
      </c>
      <c r="B14" s="45">
        <v>356265</v>
      </c>
      <c r="C14" s="45">
        <v>1429046</v>
      </c>
      <c r="D14" s="45">
        <f t="shared" si="0"/>
        <v>1785311</v>
      </c>
    </row>
    <row r="15" spans="1:14" ht="18.95" customHeight="1" thickBot="1">
      <c r="A15" s="36" t="s">
        <v>13</v>
      </c>
      <c r="B15" s="45">
        <v>373226</v>
      </c>
      <c r="C15" s="45">
        <v>1575384</v>
      </c>
      <c r="D15" s="45">
        <f t="shared" si="0"/>
        <v>1948610</v>
      </c>
    </row>
    <row r="16" spans="1:14" ht="18.95" customHeight="1"/>
    <row r="17" spans="1:16" ht="18.95" customHeight="1">
      <c r="A17" s="51"/>
    </row>
    <row r="18" spans="1:16" ht="18.95" customHeight="1">
      <c r="A18" s="51"/>
    </row>
    <row r="19" spans="1:16" ht="18.95" customHeight="1">
      <c r="A19" s="52"/>
    </row>
    <row r="20" spans="1:16" ht="18.95" customHeight="1"/>
    <row r="21" spans="1:16" ht="18.95" customHeight="1">
      <c r="K21" s="50"/>
      <c r="L21" s="50"/>
      <c r="M21" s="50"/>
      <c r="N21" s="50"/>
      <c r="O21" s="23"/>
      <c r="P21" s="23"/>
    </row>
    <row r="22" spans="1:16" ht="18.95" customHeight="1"/>
    <row r="23" spans="1:16" ht="18.95" customHeight="1"/>
    <row r="24" spans="1:16" ht="18.95" customHeight="1"/>
    <row r="26" spans="1:16">
      <c r="F26" s="50"/>
    </row>
  </sheetData>
  <mergeCells count="1">
    <mergeCell ref="A1:F1"/>
  </mergeCells>
  <pageMargins left="0.7" right="0.7" top="0.75" bottom="0.75" header="0.3" footer="0.3"/>
  <pageSetup orientation="portrait" r:id="rId1"/>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T21"/>
  <sheetViews>
    <sheetView showGridLines="0" zoomScaleNormal="100" workbookViewId="0">
      <selection activeCell="A17" sqref="A17:D20"/>
    </sheetView>
  </sheetViews>
  <sheetFormatPr baseColWidth="10" defaultRowHeight="15"/>
  <cols>
    <col min="1" max="1" width="13.85546875" customWidth="1"/>
    <col min="2" max="2" width="11.28515625" customWidth="1"/>
    <col min="3" max="3" width="14" customWidth="1"/>
    <col min="14" max="16" width="11.42578125" style="47"/>
    <col min="17" max="18" width="14.7109375" style="47" customWidth="1"/>
  </cols>
  <sheetData>
    <row r="1" spans="1:20">
      <c r="A1" s="49" t="s">
        <v>31</v>
      </c>
      <c r="O1" s="48"/>
      <c r="T1" s="44"/>
    </row>
    <row r="2" spans="1:20" ht="15.75" thickBot="1">
      <c r="O2" s="46"/>
      <c r="T2" s="44"/>
    </row>
    <row r="3" spans="1:20" ht="23.25" thickBot="1">
      <c r="A3" s="42">
        <v>2024</v>
      </c>
      <c r="B3" s="42" t="s">
        <v>24</v>
      </c>
      <c r="C3" s="42" t="s">
        <v>25</v>
      </c>
      <c r="D3" s="42" t="s">
        <v>18</v>
      </c>
      <c r="O3" s="46"/>
      <c r="T3" s="44"/>
    </row>
    <row r="4" spans="1:20" ht="15.75" thickBot="1">
      <c r="A4" s="36" t="s">
        <v>2</v>
      </c>
      <c r="B4" s="45">
        <v>18621.688514662157</v>
      </c>
      <c r="C4" s="45">
        <v>19095.19025862241</v>
      </c>
      <c r="D4" s="45">
        <v>37716.878773284567</v>
      </c>
      <c r="O4" s="46"/>
      <c r="T4" s="44"/>
    </row>
    <row r="5" spans="1:20" ht="26.25" customHeight="1" thickBot="1">
      <c r="A5" s="36" t="s">
        <v>3</v>
      </c>
      <c r="B5" s="45">
        <v>18308.778795926137</v>
      </c>
      <c r="C5" s="45">
        <v>17481.704709717033</v>
      </c>
      <c r="D5" s="45">
        <v>35790.483505643169</v>
      </c>
      <c r="O5" s="46"/>
      <c r="T5" s="44"/>
    </row>
    <row r="6" spans="1:20" ht="23.1" customHeight="1" thickBot="1">
      <c r="A6" s="36" t="s">
        <v>4</v>
      </c>
      <c r="B6" s="45">
        <v>19253.462204670959</v>
      </c>
      <c r="C6" s="45">
        <v>19413.677128548221</v>
      </c>
      <c r="D6" s="45">
        <v>38667.13933321918</v>
      </c>
      <c r="O6" s="46"/>
      <c r="T6" s="44"/>
    </row>
    <row r="7" spans="1:20" ht="15.75" thickBot="1">
      <c r="A7" s="36" t="s">
        <v>5</v>
      </c>
      <c r="B7" s="45">
        <v>17226.768019588333</v>
      </c>
      <c r="C7" s="45">
        <v>18423.200580376197</v>
      </c>
      <c r="D7" s="45">
        <v>35649.96859996453</v>
      </c>
      <c r="P7" s="46"/>
      <c r="Q7" s="46"/>
      <c r="R7" s="46"/>
      <c r="T7" s="44"/>
    </row>
    <row r="8" spans="1:20" ht="15.75" thickBot="1">
      <c r="A8" s="36" t="s">
        <v>6</v>
      </c>
      <c r="B8" s="45">
        <v>20902.606617119509</v>
      </c>
      <c r="C8" s="45">
        <v>19067.996550135609</v>
      </c>
      <c r="D8" s="45">
        <v>39970.603167255118</v>
      </c>
      <c r="O8" s="46"/>
      <c r="P8" s="46"/>
      <c r="Q8" s="46"/>
      <c r="R8" s="46"/>
      <c r="T8" s="44"/>
    </row>
    <row r="9" spans="1:20" ht="15.75" thickBot="1">
      <c r="A9" s="36" t="s">
        <v>7</v>
      </c>
      <c r="B9" s="45">
        <v>23018.179033239285</v>
      </c>
      <c r="C9" s="45">
        <v>16972.539405362499</v>
      </c>
      <c r="D9" s="45">
        <v>39990.718438601783</v>
      </c>
      <c r="T9" s="44"/>
    </row>
    <row r="10" spans="1:20" ht="18.95" customHeight="1" thickBot="1">
      <c r="A10" s="36" t="s">
        <v>8</v>
      </c>
      <c r="B10" s="45">
        <v>25402.457912900798</v>
      </c>
      <c r="C10" s="45">
        <v>15436.736790614888</v>
      </c>
      <c r="D10" s="45">
        <v>40839.194703515685</v>
      </c>
      <c r="T10" s="44"/>
    </row>
    <row r="11" spans="1:20" ht="18.95" customHeight="1" thickBot="1">
      <c r="A11" s="36" t="s">
        <v>9</v>
      </c>
      <c r="B11" s="45">
        <v>24790.486994723848</v>
      </c>
      <c r="C11" s="45">
        <v>14775.69038218173</v>
      </c>
      <c r="D11" s="45">
        <v>39566.17737690558</v>
      </c>
      <c r="T11" s="44"/>
    </row>
    <row r="12" spans="1:20" ht="18.95" customHeight="1" thickBot="1">
      <c r="A12" s="36" t="s">
        <v>10</v>
      </c>
      <c r="B12" s="45">
        <v>24161.734933824253</v>
      </c>
      <c r="C12" s="45">
        <v>20034.7182312533</v>
      </c>
      <c r="D12" s="45">
        <v>44196.453165077553</v>
      </c>
      <c r="T12" s="44"/>
    </row>
    <row r="13" spans="1:20" ht="18.95" customHeight="1" thickBot="1">
      <c r="A13" s="36" t="s">
        <v>11</v>
      </c>
      <c r="B13" s="45">
        <v>24937.518422570065</v>
      </c>
      <c r="C13" s="45">
        <v>14433.82452973719</v>
      </c>
      <c r="D13" s="45">
        <v>39371.342952307255</v>
      </c>
      <c r="T13" s="44"/>
    </row>
    <row r="14" spans="1:20" ht="18.95" customHeight="1" thickBot="1">
      <c r="A14" s="36" t="s">
        <v>12</v>
      </c>
      <c r="B14" s="45">
        <v>22477.70046393196</v>
      </c>
      <c r="C14" s="45">
        <v>19306.350266700359</v>
      </c>
      <c r="D14" s="45">
        <v>41784.05073063232</v>
      </c>
      <c r="T14" s="44"/>
    </row>
    <row r="15" spans="1:20" ht="18.95" customHeight="1" thickBot="1">
      <c r="A15" s="36" t="s">
        <v>13</v>
      </c>
      <c r="B15" s="45">
        <v>18397.131780575706</v>
      </c>
      <c r="C15" s="45">
        <v>20932.537565678002</v>
      </c>
      <c r="D15" s="45">
        <v>39329.669346253708</v>
      </c>
      <c r="T15" s="44"/>
    </row>
    <row r="16" spans="1:20" ht="18.95" customHeight="1">
      <c r="S16" s="44"/>
      <c r="T16" s="44"/>
    </row>
    <row r="17" ht="18.95" customHeight="1"/>
    <row r="18" ht="18.95" customHeight="1"/>
    <row r="19" ht="18.95" customHeight="1"/>
    <row r="20" ht="18.95" customHeight="1"/>
    <row r="21" ht="18.95" customHeight="1"/>
  </sheetData>
  <pageMargins left="0.7" right="0.7" top="0.75" bottom="0.75" header="0.3" footer="0.3"/>
  <pageSetup orientation="portrait" r:id="rId1"/>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106"/>
  <sheetViews>
    <sheetView showGridLines="0" zoomScale="57" zoomScaleNormal="57" workbookViewId="0">
      <selection activeCell="Q55" sqref="Q55"/>
    </sheetView>
  </sheetViews>
  <sheetFormatPr baseColWidth="10" defaultRowHeight="15"/>
  <cols>
    <col min="1" max="1" width="29.7109375" style="27" customWidth="1"/>
    <col min="2" max="2" width="14.85546875" style="27" bestFit="1" customWidth="1"/>
    <col min="3" max="4" width="11.42578125" style="27"/>
    <col min="5" max="5" width="12.140625" style="27" bestFit="1" customWidth="1"/>
    <col min="6" max="6" width="11.42578125" style="27"/>
    <col min="7" max="7" width="12.5703125" style="27" bestFit="1" customWidth="1"/>
    <col min="8" max="13" width="11.42578125" style="27"/>
    <col min="14" max="14" width="15" style="27" bestFit="1" customWidth="1"/>
    <col min="15" max="15" width="11.42578125" style="27"/>
    <col min="16" max="16" width="17.7109375" style="27" customWidth="1"/>
    <col min="17" max="17" width="12.42578125" style="27" customWidth="1"/>
  </cols>
  <sheetData>
    <row r="1" spans="1:17" ht="20.25">
      <c r="A1" s="617" t="s">
        <v>28</v>
      </c>
      <c r="B1" s="617"/>
      <c r="C1" s="617"/>
      <c r="D1" s="617"/>
      <c r="E1" s="617"/>
      <c r="F1" s="617"/>
      <c r="G1" s="617"/>
      <c r="H1" s="617"/>
      <c r="I1" s="617"/>
      <c r="J1" s="617"/>
      <c r="K1" s="617"/>
      <c r="L1" s="617"/>
      <c r="M1" s="617"/>
    </row>
    <row r="3" spans="1:17" ht="18.95" customHeight="1" thickBot="1">
      <c r="A3" s="616" t="s">
        <v>32</v>
      </c>
      <c r="B3" s="616"/>
      <c r="C3" s="616"/>
      <c r="D3" s="616"/>
      <c r="E3" s="616"/>
      <c r="F3" s="616"/>
      <c r="G3" s="616"/>
      <c r="H3" s="616"/>
      <c r="I3" s="616"/>
      <c r="J3" s="616"/>
      <c r="K3" s="616"/>
      <c r="L3" s="616"/>
      <c r="M3" s="616"/>
    </row>
    <row r="4" spans="1:17" ht="18.95" customHeight="1" thickBot="1">
      <c r="A4" s="29" t="s">
        <v>1</v>
      </c>
      <c r="B4" s="30">
        <v>2019</v>
      </c>
      <c r="C4" s="30">
        <v>2020</v>
      </c>
      <c r="D4" s="30">
        <v>2021</v>
      </c>
      <c r="E4" s="30">
        <v>2022</v>
      </c>
      <c r="F4" s="30">
        <v>2023</v>
      </c>
      <c r="G4" s="30">
        <v>2024</v>
      </c>
      <c r="H4" s="31"/>
      <c r="I4" s="31"/>
      <c r="J4" s="31"/>
      <c r="K4" s="31"/>
      <c r="L4" s="31"/>
      <c r="M4" s="31"/>
    </row>
    <row r="5" spans="1:17" ht="18.95" customHeight="1" thickBot="1">
      <c r="A5" s="32" t="s">
        <v>14</v>
      </c>
      <c r="B5" s="37">
        <v>5078.9022051763322</v>
      </c>
      <c r="C5" s="37">
        <v>6261.0831266461046</v>
      </c>
      <c r="D5" s="37">
        <v>6686.7988259883541</v>
      </c>
      <c r="E5" s="37">
        <v>7674.8733867727269</v>
      </c>
      <c r="F5" s="37">
        <v>8907.3090383340113</v>
      </c>
      <c r="G5" s="37">
        <v>9791.8918148142875</v>
      </c>
      <c r="H5" s="38"/>
      <c r="I5" s="38"/>
      <c r="J5" s="38"/>
      <c r="K5" s="38"/>
      <c r="L5" s="38"/>
      <c r="M5" s="38"/>
    </row>
    <row r="6" spans="1:17" ht="18.95" customHeight="1" thickBot="1">
      <c r="A6" s="32" t="s">
        <v>15</v>
      </c>
      <c r="B6" s="37">
        <v>1101.8251620547421</v>
      </c>
      <c r="C6" s="37">
        <v>864.67872127231692</v>
      </c>
      <c r="D6" s="37">
        <v>1035.3283624040196</v>
      </c>
      <c r="E6" s="37">
        <v>1251.9980630584712</v>
      </c>
      <c r="F6" s="37">
        <v>1400.0479551438293</v>
      </c>
      <c r="G6" s="37">
        <v>1859.6675338722996</v>
      </c>
      <c r="H6" s="38"/>
      <c r="I6" s="38"/>
      <c r="J6" s="38"/>
      <c r="K6" s="38"/>
      <c r="L6" s="38"/>
      <c r="M6" s="38"/>
    </row>
    <row r="7" spans="1:17" ht="18.95" customHeight="1" thickBot="1">
      <c r="A7" s="32" t="s">
        <v>16</v>
      </c>
      <c r="B7" s="37">
        <v>23296.238828282534</v>
      </c>
      <c r="C7" s="37">
        <v>15858.961686198896</v>
      </c>
      <c r="D7" s="37">
        <v>18668.456655447775</v>
      </c>
      <c r="E7" s="37">
        <v>23479.231583574303</v>
      </c>
      <c r="F7" s="37">
        <v>26492.026822034706</v>
      </c>
      <c r="G7" s="37">
        <v>28423.375713766196</v>
      </c>
      <c r="H7" s="38"/>
      <c r="I7" s="38"/>
      <c r="J7" s="38"/>
      <c r="K7" s="38"/>
      <c r="L7" s="38"/>
      <c r="M7" s="38"/>
    </row>
    <row r="8" spans="1:17" ht="18.95" customHeight="1" thickBot="1">
      <c r="A8" s="32" t="s">
        <v>17</v>
      </c>
      <c r="B8" s="37">
        <v>46933.617078993724</v>
      </c>
      <c r="C8" s="37">
        <v>36988.211356945088</v>
      </c>
      <c r="D8" s="37">
        <v>51185.947676763404</v>
      </c>
      <c r="E8" s="37">
        <v>52016.26157572856</v>
      </c>
      <c r="F8" s="37">
        <v>49105.512929911267</v>
      </c>
      <c r="G8" s="37">
        <v>49641.121984954858</v>
      </c>
      <c r="H8" s="38"/>
      <c r="I8" s="38"/>
      <c r="J8" s="38"/>
      <c r="K8" s="38"/>
      <c r="L8" s="38"/>
      <c r="M8" s="38"/>
    </row>
    <row r="9" spans="1:17" ht="15.75" thickBot="1">
      <c r="A9" s="32" t="s">
        <v>22</v>
      </c>
      <c r="B9" s="37">
        <v>139304.85309498219</v>
      </c>
      <c r="C9" s="37">
        <v>112804.81107097879</v>
      </c>
      <c r="D9" s="37">
        <v>136975.28083791994</v>
      </c>
      <c r="E9" s="37">
        <v>160173.9165343146</v>
      </c>
      <c r="F9" s="37">
        <v>170413.70602221499</v>
      </c>
      <c r="G9" s="37">
        <v>155360.04855192889</v>
      </c>
      <c r="H9"/>
      <c r="I9" s="38"/>
      <c r="J9" s="38"/>
      <c r="K9" s="38"/>
      <c r="L9" s="38"/>
      <c r="M9" s="38"/>
    </row>
    <row r="10" spans="1:17" ht="15.75" thickBot="1">
      <c r="A10" s="32" t="s">
        <v>23</v>
      </c>
      <c r="B10" s="37">
        <v>138.03206722766316</v>
      </c>
      <c r="C10" s="37">
        <v>128.76224217447478</v>
      </c>
      <c r="D10" s="37">
        <v>150.71661586998479</v>
      </c>
      <c r="E10" s="37">
        <v>147.90042705279998</v>
      </c>
      <c r="F10" s="37">
        <v>162.52499882300003</v>
      </c>
      <c r="G10" s="37">
        <v>173.3542105928</v>
      </c>
      <c r="H10"/>
      <c r="I10" s="38"/>
      <c r="J10" s="38"/>
      <c r="K10" s="38"/>
      <c r="L10" s="38"/>
      <c r="M10" s="38"/>
    </row>
    <row r="11" spans="1:17" ht="15.75" thickBot="1">
      <c r="A11" s="56" t="s">
        <v>18</v>
      </c>
      <c r="B11" s="39">
        <f t="shared" ref="B11:G11" si="0">SUM(B5:B10)</f>
        <v>215853.4684367172</v>
      </c>
      <c r="C11" s="39">
        <f t="shared" si="0"/>
        <v>172906.50820421567</v>
      </c>
      <c r="D11" s="39">
        <f t="shared" si="0"/>
        <v>214702.52897439347</v>
      </c>
      <c r="E11" s="39">
        <f t="shared" si="0"/>
        <v>244744.18157050147</v>
      </c>
      <c r="F11" s="39">
        <f t="shared" si="0"/>
        <v>256481.12776646181</v>
      </c>
      <c r="G11" s="39">
        <f t="shared" si="0"/>
        <v>245249.45980992934</v>
      </c>
      <c r="H11"/>
      <c r="I11" s="40"/>
      <c r="J11" s="40"/>
      <c r="K11" s="40"/>
      <c r="L11" s="40"/>
      <c r="M11" s="40"/>
    </row>
    <row r="12" spans="1:17">
      <c r="A12"/>
      <c r="B12"/>
      <c r="C12"/>
      <c r="D12" s="41"/>
      <c r="E12" s="41"/>
      <c r="F12" s="41"/>
      <c r="G12" s="41"/>
      <c r="H12"/>
    </row>
    <row r="13" spans="1:17">
      <c r="A13"/>
      <c r="B13"/>
      <c r="C13"/>
      <c r="H13"/>
    </row>
    <row r="14" spans="1:17">
      <c r="A14" s="616" t="s">
        <v>33</v>
      </c>
      <c r="B14" s="616"/>
      <c r="C14" s="616"/>
      <c r="D14" s="616"/>
      <c r="E14" s="616"/>
      <c r="F14" s="616"/>
      <c r="G14" s="616"/>
      <c r="H14" s="616"/>
      <c r="I14" s="616"/>
      <c r="J14" s="616"/>
      <c r="K14" s="616"/>
      <c r="L14" s="616"/>
      <c r="M14" s="616"/>
    </row>
    <row r="15" spans="1:17">
      <c r="A15"/>
      <c r="B15"/>
      <c r="C15"/>
      <c r="D15"/>
      <c r="E15"/>
      <c r="F15"/>
      <c r="G15"/>
      <c r="H15"/>
      <c r="I15"/>
      <c r="J15"/>
      <c r="K15"/>
      <c r="L15"/>
      <c r="M15"/>
      <c r="N15"/>
      <c r="O15"/>
      <c r="P15"/>
      <c r="Q15"/>
    </row>
    <row r="16" spans="1:17" ht="15.75" thickBot="1">
      <c r="A16" s="614">
        <v>2024</v>
      </c>
      <c r="B16" s="614"/>
      <c r="C16" s="614"/>
      <c r="D16" s="614"/>
      <c r="E16" s="614"/>
      <c r="F16" s="614"/>
      <c r="G16" s="614"/>
      <c r="H16" s="614"/>
      <c r="I16" s="614"/>
      <c r="J16" s="614"/>
      <c r="K16" s="614"/>
      <c r="L16" s="614"/>
      <c r="M16" s="615"/>
    </row>
    <row r="17" spans="1:13" ht="15.75" thickBot="1">
      <c r="A17" s="55" t="s">
        <v>1</v>
      </c>
      <c r="B17" s="36" t="s">
        <v>2</v>
      </c>
      <c r="C17" s="36" t="s">
        <v>3</v>
      </c>
      <c r="D17" s="36" t="s">
        <v>4</v>
      </c>
      <c r="E17" s="36" t="s">
        <v>5</v>
      </c>
      <c r="F17" s="36" t="s">
        <v>6</v>
      </c>
      <c r="G17" s="36" t="s">
        <v>7</v>
      </c>
      <c r="H17" s="36" t="s">
        <v>8</v>
      </c>
      <c r="I17" s="36" t="s">
        <v>9</v>
      </c>
      <c r="J17" s="36" t="s">
        <v>10</v>
      </c>
      <c r="K17" s="36" t="s">
        <v>11</v>
      </c>
      <c r="L17" s="36" t="s">
        <v>12</v>
      </c>
      <c r="M17" s="36" t="s">
        <v>13</v>
      </c>
    </row>
    <row r="18" spans="1:13" ht="15.75" thickBot="1">
      <c r="A18" s="32" t="s">
        <v>14</v>
      </c>
      <c r="B18" s="37">
        <v>768.63775842659993</v>
      </c>
      <c r="C18" s="37">
        <v>724.23818710769956</v>
      </c>
      <c r="D18" s="37">
        <v>729.85923415189995</v>
      </c>
      <c r="E18" s="37">
        <v>825.71032073209994</v>
      </c>
      <c r="F18" s="37">
        <v>872.11302706999686</v>
      </c>
      <c r="G18" s="37">
        <v>813.03064712230002</v>
      </c>
      <c r="H18" s="37">
        <v>883.5441499957999</v>
      </c>
      <c r="I18" s="37">
        <v>845.84555101849776</v>
      </c>
      <c r="J18" s="37">
        <v>856.17660576369803</v>
      </c>
      <c r="K18" s="37">
        <v>831.12485787609876</v>
      </c>
      <c r="L18" s="37">
        <v>814.08273271509836</v>
      </c>
      <c r="M18" s="37">
        <v>827.52874283449785</v>
      </c>
    </row>
    <row r="19" spans="1:13" ht="15.75" thickBot="1">
      <c r="A19" s="32" t="s">
        <v>15</v>
      </c>
      <c r="B19" s="37">
        <v>126.94662509060002</v>
      </c>
      <c r="C19" s="37">
        <v>118.24582737040022</v>
      </c>
      <c r="D19" s="37">
        <v>120.59919547540024</v>
      </c>
      <c r="E19" s="37">
        <v>142.88000452209991</v>
      </c>
      <c r="F19" s="37">
        <v>152.83718686960003</v>
      </c>
      <c r="G19" s="37">
        <v>147.63542008629955</v>
      </c>
      <c r="H19" s="37">
        <v>174.30886045860021</v>
      </c>
      <c r="I19" s="37">
        <v>172.9115209963002</v>
      </c>
      <c r="J19" s="37">
        <v>175.14438270459988</v>
      </c>
      <c r="K19" s="37">
        <v>176.94314023089953</v>
      </c>
      <c r="L19" s="37">
        <v>172.92223018069987</v>
      </c>
      <c r="M19" s="37">
        <v>178.29313988680011</v>
      </c>
    </row>
    <row r="20" spans="1:13" ht="15.75" thickBot="1">
      <c r="A20" s="32" t="s">
        <v>16</v>
      </c>
      <c r="B20" s="37">
        <v>2241.4044156264004</v>
      </c>
      <c r="C20" s="37">
        <v>2181.1973632944992</v>
      </c>
      <c r="D20" s="37">
        <v>2302.2566581689998</v>
      </c>
      <c r="E20" s="37">
        <v>2342.060745205998</v>
      </c>
      <c r="F20" s="37">
        <v>2385.4496863734989</v>
      </c>
      <c r="G20" s="37">
        <v>2304.5088702607</v>
      </c>
      <c r="H20" s="37">
        <v>2375.6761627954997</v>
      </c>
      <c r="I20" s="37">
        <v>2420.2147318132002</v>
      </c>
      <c r="J20" s="37">
        <v>2379.1637921004003</v>
      </c>
      <c r="K20" s="37">
        <v>2487.7882965230992</v>
      </c>
      <c r="L20" s="37">
        <v>2435.9830834185004</v>
      </c>
      <c r="M20" s="37">
        <v>2567.6719081854008</v>
      </c>
    </row>
    <row r="21" spans="1:13" ht="15.75" thickBot="1">
      <c r="A21" s="32" t="s">
        <v>17</v>
      </c>
      <c r="B21" s="37">
        <v>4295.9939665695001</v>
      </c>
      <c r="C21" s="37">
        <v>3668.1932518317994</v>
      </c>
      <c r="D21" s="37">
        <v>4229.4191394753989</v>
      </c>
      <c r="E21" s="37">
        <v>4572.3686716309594</v>
      </c>
      <c r="F21" s="37">
        <v>4622.2001184922992</v>
      </c>
      <c r="G21" s="37">
        <v>3832.0559838390009</v>
      </c>
      <c r="H21" s="37">
        <v>4474.4645486730988</v>
      </c>
      <c r="I21" s="37">
        <v>4317.8454447879003</v>
      </c>
      <c r="J21" s="37">
        <v>3802.9639078565997</v>
      </c>
      <c r="K21" s="37">
        <v>3719.7717434121005</v>
      </c>
      <c r="L21" s="37">
        <v>4179.3966672673996</v>
      </c>
      <c r="M21" s="37">
        <v>3926.4485411187989</v>
      </c>
    </row>
    <row r="22" spans="1:13" ht="15.75" thickBot="1">
      <c r="A22" s="32" t="s">
        <v>22</v>
      </c>
      <c r="B22" s="37">
        <v>9775.3035185146982</v>
      </c>
      <c r="C22" s="37">
        <v>10631.483752430297</v>
      </c>
      <c r="D22" s="37">
        <v>10878.028828938001</v>
      </c>
      <c r="E22" s="37">
        <v>8853.3784768800015</v>
      </c>
      <c r="F22" s="37">
        <v>11948.726869417102</v>
      </c>
      <c r="G22" s="37">
        <v>14943.011913906706</v>
      </c>
      <c r="H22" s="37">
        <v>16356.538441950201</v>
      </c>
      <c r="I22" s="37">
        <v>16233.720120350003</v>
      </c>
      <c r="J22" s="37">
        <v>16108.668564185098</v>
      </c>
      <c r="K22" s="37">
        <v>16643.331569497299</v>
      </c>
      <c r="L22" s="37">
        <v>13942.2063886456</v>
      </c>
      <c r="M22" s="37">
        <v>9045.6501072138999</v>
      </c>
    </row>
    <row r="23" spans="1:13" ht="15.75" thickBot="1">
      <c r="A23" s="32" t="s">
        <v>23</v>
      </c>
      <c r="B23" s="37">
        <v>13.8540280296</v>
      </c>
      <c r="C23" s="37">
        <v>12.440322114800001</v>
      </c>
      <c r="D23" s="37">
        <v>13.162153030500001</v>
      </c>
      <c r="E23" s="37">
        <v>12.689737493500003</v>
      </c>
      <c r="F23" s="37">
        <v>14.147916251299998</v>
      </c>
      <c r="G23" s="37">
        <v>15.530332100200003</v>
      </c>
      <c r="H23" s="37">
        <v>15.209415028600006</v>
      </c>
      <c r="I23" s="37">
        <v>15.5427943575</v>
      </c>
      <c r="J23" s="37">
        <v>16.343189643700001</v>
      </c>
      <c r="K23" s="37">
        <v>14.267815496699999</v>
      </c>
      <c r="L23" s="37">
        <v>14.271250382299998</v>
      </c>
      <c r="M23" s="37">
        <v>15.895256664100003</v>
      </c>
    </row>
    <row r="24" spans="1:13" ht="15.75" thickBot="1">
      <c r="A24" s="56" t="s">
        <v>18</v>
      </c>
      <c r="B24" s="39">
        <f>SUM(B18:B23)</f>
        <v>17222.140312257397</v>
      </c>
      <c r="C24" s="39">
        <f t="shared" ref="C24:M24" si="1">SUM(C18:C23)</f>
        <v>17335.798704149493</v>
      </c>
      <c r="D24" s="39">
        <f t="shared" si="1"/>
        <v>18273.325209240196</v>
      </c>
      <c r="E24" s="39">
        <f t="shared" si="1"/>
        <v>16749.08795646466</v>
      </c>
      <c r="F24" s="39">
        <f t="shared" si="1"/>
        <v>19995.474804473793</v>
      </c>
      <c r="G24" s="39">
        <f t="shared" si="1"/>
        <v>22055.773167315208</v>
      </c>
      <c r="H24" s="39">
        <f t="shared" si="1"/>
        <v>24279.741578901798</v>
      </c>
      <c r="I24" s="39">
        <f t="shared" si="1"/>
        <v>24006.080163323404</v>
      </c>
      <c r="J24" s="39">
        <f t="shared" si="1"/>
        <v>23338.460442254098</v>
      </c>
      <c r="K24" s="39">
        <f t="shared" si="1"/>
        <v>23873.227423036195</v>
      </c>
      <c r="L24" s="39">
        <f t="shared" si="1"/>
        <v>21558.862352609598</v>
      </c>
      <c r="M24" s="39">
        <f t="shared" si="1"/>
        <v>16561.487695903495</v>
      </c>
    </row>
    <row r="27" spans="1:13">
      <c r="A27" s="616" t="s">
        <v>34</v>
      </c>
      <c r="B27" s="616"/>
      <c r="C27" s="616"/>
      <c r="D27" s="616"/>
      <c r="E27" s="616"/>
      <c r="F27" s="616"/>
      <c r="G27" s="616"/>
      <c r="H27" s="616"/>
      <c r="I27" s="616"/>
      <c r="J27" s="616"/>
      <c r="K27" s="616"/>
      <c r="L27" s="616"/>
      <c r="M27" s="616"/>
    </row>
    <row r="28" spans="1:13">
      <c r="A28"/>
      <c r="B28"/>
      <c r="C28"/>
      <c r="D28"/>
      <c r="E28"/>
      <c r="F28"/>
      <c r="G28"/>
      <c r="H28"/>
      <c r="I28"/>
      <c r="J28"/>
      <c r="K28"/>
      <c r="L28"/>
      <c r="M28"/>
    </row>
    <row r="29" spans="1:13" ht="15.75" thickBot="1">
      <c r="A29" s="614">
        <v>2024</v>
      </c>
      <c r="B29" s="614"/>
      <c r="C29" s="614"/>
      <c r="D29" s="614"/>
      <c r="E29" s="614"/>
      <c r="F29" s="614"/>
      <c r="G29" s="614"/>
      <c r="H29" s="614"/>
      <c r="I29" s="614"/>
      <c r="J29" s="614"/>
      <c r="K29" s="614"/>
      <c r="L29" s="614"/>
      <c r="M29" s="615"/>
    </row>
    <row r="30" spans="1:13" ht="15.75" thickBot="1">
      <c r="A30" s="55" t="s">
        <v>1</v>
      </c>
      <c r="B30" s="36" t="s">
        <v>2</v>
      </c>
      <c r="C30" s="36" t="s">
        <v>3</v>
      </c>
      <c r="D30" s="36" t="s">
        <v>4</v>
      </c>
      <c r="E30" s="36" t="s">
        <v>5</v>
      </c>
      <c r="F30" s="36" t="s">
        <v>6</v>
      </c>
      <c r="G30" s="36" t="s">
        <v>7</v>
      </c>
      <c r="H30" s="36" t="s">
        <v>8</v>
      </c>
      <c r="I30" s="36" t="s">
        <v>9</v>
      </c>
      <c r="J30" s="36" t="s">
        <v>10</v>
      </c>
      <c r="K30" s="36" t="s">
        <v>11</v>
      </c>
      <c r="L30" s="36" t="s">
        <v>12</v>
      </c>
      <c r="M30" s="36" t="s">
        <v>13</v>
      </c>
    </row>
    <row r="31" spans="1:13" ht="15.75" thickBot="1">
      <c r="A31" s="32" t="s">
        <v>14</v>
      </c>
      <c r="B31" s="33">
        <v>1787206</v>
      </c>
      <c r="C31" s="33">
        <v>1804978</v>
      </c>
      <c r="D31" s="33">
        <v>1818387</v>
      </c>
      <c r="E31" s="33">
        <v>1834786</v>
      </c>
      <c r="F31" s="33">
        <v>1849612</v>
      </c>
      <c r="G31" s="33">
        <v>1868517</v>
      </c>
      <c r="H31" s="33">
        <v>1885537</v>
      </c>
      <c r="I31" s="33">
        <v>1900897</v>
      </c>
      <c r="J31" s="33">
        <v>1913630</v>
      </c>
      <c r="K31" s="33">
        <v>1925631</v>
      </c>
      <c r="L31" s="33">
        <v>1938911</v>
      </c>
      <c r="M31" s="33">
        <v>1950517</v>
      </c>
    </row>
    <row r="32" spans="1:13" ht="15.75" thickBot="1">
      <c r="A32" s="32" t="s">
        <v>15</v>
      </c>
      <c r="B32" s="33">
        <v>4686</v>
      </c>
      <c r="C32" s="33">
        <v>4747</v>
      </c>
      <c r="D32" s="33">
        <v>4803</v>
      </c>
      <c r="E32" s="33">
        <v>4965</v>
      </c>
      <c r="F32" s="33">
        <v>5221</v>
      </c>
      <c r="G32" s="33">
        <v>5464</v>
      </c>
      <c r="H32" s="33">
        <v>5915</v>
      </c>
      <c r="I32" s="33">
        <v>6399</v>
      </c>
      <c r="J32" s="33">
        <v>6530</v>
      </c>
      <c r="K32" s="33">
        <v>6610</v>
      </c>
      <c r="L32" s="33">
        <v>6659</v>
      </c>
      <c r="M32" s="33">
        <v>6744</v>
      </c>
    </row>
    <row r="33" spans="1:17" ht="15.75" thickBot="1">
      <c r="A33" s="32" t="s">
        <v>16</v>
      </c>
      <c r="B33" s="34">
        <v>281</v>
      </c>
      <c r="C33" s="34">
        <v>281</v>
      </c>
      <c r="D33" s="34">
        <v>282</v>
      </c>
      <c r="E33" s="34">
        <v>281</v>
      </c>
      <c r="F33" s="34">
        <v>282</v>
      </c>
      <c r="G33" s="34">
        <v>282</v>
      </c>
      <c r="H33" s="34">
        <v>282</v>
      </c>
      <c r="I33" s="34">
        <v>282</v>
      </c>
      <c r="J33" s="34">
        <v>284</v>
      </c>
      <c r="K33" s="34">
        <v>286</v>
      </c>
      <c r="L33" s="34">
        <v>288</v>
      </c>
      <c r="M33" s="34">
        <v>289</v>
      </c>
    </row>
    <row r="34" spans="1:17" ht="15.75" thickBot="1">
      <c r="A34" s="32" t="s">
        <v>17</v>
      </c>
      <c r="B34" s="34">
        <v>744</v>
      </c>
      <c r="C34" s="34">
        <v>747</v>
      </c>
      <c r="D34" s="34">
        <v>748</v>
      </c>
      <c r="E34" s="34">
        <v>755</v>
      </c>
      <c r="F34" s="34">
        <v>752</v>
      </c>
      <c r="G34" s="34">
        <v>751</v>
      </c>
      <c r="H34" s="34">
        <v>759</v>
      </c>
      <c r="I34" s="34">
        <v>761</v>
      </c>
      <c r="J34" s="34">
        <v>768</v>
      </c>
      <c r="K34" s="34">
        <v>769</v>
      </c>
      <c r="L34" s="34">
        <v>770</v>
      </c>
      <c r="M34" s="34">
        <v>778</v>
      </c>
    </row>
    <row r="35" spans="1:17" ht="15.75" thickBot="1">
      <c r="A35" s="32" t="s">
        <v>22</v>
      </c>
      <c r="B35" s="34">
        <v>30</v>
      </c>
      <c r="C35" s="34">
        <v>31</v>
      </c>
      <c r="D35" s="34">
        <v>31</v>
      </c>
      <c r="E35" s="34">
        <v>33</v>
      </c>
      <c r="F35" s="34">
        <v>33</v>
      </c>
      <c r="G35" s="34">
        <v>33</v>
      </c>
      <c r="H35" s="34">
        <v>34</v>
      </c>
      <c r="I35" s="34">
        <v>34</v>
      </c>
      <c r="J35" s="34">
        <v>35</v>
      </c>
      <c r="K35" s="34">
        <v>36</v>
      </c>
      <c r="L35" s="34">
        <v>36</v>
      </c>
      <c r="M35" s="34">
        <v>36</v>
      </c>
    </row>
    <row r="36" spans="1:17" ht="15.75" thickBot="1">
      <c r="A36" s="32" t="s">
        <v>23</v>
      </c>
      <c r="B36" s="34">
        <v>20</v>
      </c>
      <c r="C36" s="34">
        <v>20</v>
      </c>
      <c r="D36" s="34">
        <v>20</v>
      </c>
      <c r="E36" s="34">
        <v>20</v>
      </c>
      <c r="F36" s="34">
        <v>20</v>
      </c>
      <c r="G36" s="34">
        <v>21</v>
      </c>
      <c r="H36" s="34">
        <v>21</v>
      </c>
      <c r="I36" s="34">
        <v>21</v>
      </c>
      <c r="J36" s="34">
        <v>21</v>
      </c>
      <c r="K36" s="34">
        <v>21</v>
      </c>
      <c r="L36" s="34">
        <v>21</v>
      </c>
      <c r="M36" s="34">
        <v>21</v>
      </c>
    </row>
    <row r="37" spans="1:17" ht="15.75" thickBot="1">
      <c r="A37" s="56" t="s">
        <v>18</v>
      </c>
      <c r="B37" s="35">
        <f>SUM(B31:B36)</f>
        <v>1792967</v>
      </c>
      <c r="C37" s="35">
        <f t="shared" ref="C37:M37" si="2">SUM(C31:C36)</f>
        <v>1810804</v>
      </c>
      <c r="D37" s="35">
        <f t="shared" si="2"/>
        <v>1824271</v>
      </c>
      <c r="E37" s="35">
        <f t="shared" si="2"/>
        <v>1840840</v>
      </c>
      <c r="F37" s="35">
        <f t="shared" si="2"/>
        <v>1855920</v>
      </c>
      <c r="G37" s="35">
        <f t="shared" si="2"/>
        <v>1875068</v>
      </c>
      <c r="H37" s="35">
        <f t="shared" si="2"/>
        <v>1892548</v>
      </c>
      <c r="I37" s="35">
        <f t="shared" si="2"/>
        <v>1908394</v>
      </c>
      <c r="J37" s="35">
        <f t="shared" si="2"/>
        <v>1921268</v>
      </c>
      <c r="K37" s="35">
        <f t="shared" si="2"/>
        <v>1933353</v>
      </c>
      <c r="L37" s="35">
        <f t="shared" si="2"/>
        <v>1946685</v>
      </c>
      <c r="M37" s="35">
        <f t="shared" si="2"/>
        <v>1958385</v>
      </c>
      <c r="N37"/>
      <c r="O37"/>
      <c r="P37"/>
      <c r="Q37"/>
    </row>
    <row r="38" spans="1:17">
      <c r="A38"/>
      <c r="B38"/>
      <c r="C38"/>
      <c r="D38"/>
      <c r="E38"/>
      <c r="F38"/>
      <c r="G38"/>
      <c r="H38"/>
      <c r="I38"/>
      <c r="J38"/>
      <c r="K38"/>
      <c r="L38"/>
      <c r="M38"/>
      <c r="N38"/>
      <c r="O38"/>
      <c r="P38"/>
      <c r="Q38"/>
    </row>
    <row r="39" spans="1:17">
      <c r="A39"/>
      <c r="B39"/>
      <c r="C39"/>
      <c r="D39"/>
      <c r="E39"/>
      <c r="F39"/>
      <c r="G39"/>
      <c r="H39"/>
      <c r="I39"/>
      <c r="J39"/>
      <c r="K39"/>
      <c r="L39"/>
      <c r="M39"/>
      <c r="N39"/>
      <c r="O39"/>
      <c r="P39"/>
      <c r="Q39"/>
    </row>
    <row r="40" spans="1:17" ht="15.75" thickBot="1">
      <c r="A40" s="28" t="s">
        <v>35</v>
      </c>
      <c r="B40"/>
      <c r="C40"/>
      <c r="D40"/>
      <c r="E40"/>
      <c r="F40"/>
      <c r="G40"/>
      <c r="H40"/>
      <c r="I40"/>
      <c r="J40"/>
      <c r="K40"/>
      <c r="L40"/>
      <c r="M40"/>
      <c r="N40"/>
      <c r="O40"/>
      <c r="P40"/>
      <c r="Q40"/>
    </row>
    <row r="41" spans="1:17" ht="15.75" thickBot="1">
      <c r="A41" s="29" t="s">
        <v>1</v>
      </c>
      <c r="B41" s="30">
        <v>2019</v>
      </c>
      <c r="C41" s="30">
        <v>2020</v>
      </c>
      <c r="D41" s="30">
        <v>2021</v>
      </c>
      <c r="E41" s="30">
        <v>2022</v>
      </c>
      <c r="F41" s="30">
        <v>2023</v>
      </c>
      <c r="G41" s="30">
        <v>2024</v>
      </c>
      <c r="H41"/>
      <c r="I41"/>
      <c r="J41"/>
      <c r="K41"/>
      <c r="L41"/>
      <c r="M41"/>
      <c r="N41"/>
      <c r="O41"/>
      <c r="P41"/>
      <c r="Q41"/>
    </row>
    <row r="42" spans="1:17" ht="15.75" thickBot="1">
      <c r="A42" s="32" t="s">
        <v>14</v>
      </c>
      <c r="B42" s="33">
        <v>945986</v>
      </c>
      <c r="C42" s="33">
        <v>1037421</v>
      </c>
      <c r="D42" s="33">
        <v>1291935</v>
      </c>
      <c r="E42" s="33">
        <v>1536035</v>
      </c>
      <c r="F42" s="33">
        <v>1767564</v>
      </c>
      <c r="G42" s="33">
        <v>1950517</v>
      </c>
      <c r="H42"/>
      <c r="I42"/>
      <c r="J42"/>
      <c r="K42"/>
      <c r="L42"/>
      <c r="M42"/>
      <c r="N42"/>
      <c r="O42"/>
      <c r="P42"/>
      <c r="Q42"/>
    </row>
    <row r="43" spans="1:17" ht="15.75" thickBot="1">
      <c r="A43" s="32" t="s">
        <v>15</v>
      </c>
      <c r="B43" s="33">
        <v>3209</v>
      </c>
      <c r="C43" s="33">
        <v>2570</v>
      </c>
      <c r="D43" s="33">
        <v>3446</v>
      </c>
      <c r="E43" s="33">
        <v>3763</v>
      </c>
      <c r="F43" s="33">
        <v>4627</v>
      </c>
      <c r="G43" s="33">
        <v>6744</v>
      </c>
      <c r="H43"/>
      <c r="I43"/>
      <c r="J43"/>
      <c r="K43"/>
      <c r="L43"/>
      <c r="M43"/>
      <c r="N43"/>
      <c r="O43"/>
      <c r="P43"/>
      <c r="Q43"/>
    </row>
    <row r="44" spans="1:17" ht="15.75" thickBot="1">
      <c r="A44" s="32" t="s">
        <v>16</v>
      </c>
      <c r="B44" s="34">
        <v>276</v>
      </c>
      <c r="C44" s="34">
        <v>281</v>
      </c>
      <c r="D44" s="34">
        <v>280</v>
      </c>
      <c r="E44" s="34">
        <v>280</v>
      </c>
      <c r="F44" s="34">
        <v>281</v>
      </c>
      <c r="G44" s="34">
        <v>289</v>
      </c>
      <c r="H44"/>
      <c r="I44"/>
      <c r="J44"/>
      <c r="K44"/>
      <c r="L44"/>
      <c r="M44"/>
      <c r="N44"/>
      <c r="O44"/>
      <c r="P44"/>
      <c r="Q44"/>
    </row>
    <row r="45" spans="1:17" ht="15.75" thickBot="1">
      <c r="A45" s="32" t="s">
        <v>17</v>
      </c>
      <c r="B45" s="34">
        <v>599</v>
      </c>
      <c r="C45" s="34">
        <v>612</v>
      </c>
      <c r="D45" s="34">
        <v>654</v>
      </c>
      <c r="E45" s="34">
        <v>684</v>
      </c>
      <c r="F45" s="34">
        <v>746</v>
      </c>
      <c r="G45" s="34">
        <v>778</v>
      </c>
      <c r="H45"/>
      <c r="I45"/>
      <c r="J45"/>
      <c r="K45"/>
      <c r="L45"/>
      <c r="M45"/>
      <c r="N45"/>
      <c r="O45"/>
      <c r="P45"/>
      <c r="Q45"/>
    </row>
    <row r="46" spans="1:17" ht="15.75" thickBot="1">
      <c r="A46" s="32" t="s">
        <v>22</v>
      </c>
      <c r="B46" s="34">
        <v>24</v>
      </c>
      <c r="C46" s="34">
        <v>26</v>
      </c>
      <c r="D46" s="34">
        <v>28</v>
      </c>
      <c r="E46" s="34">
        <v>30</v>
      </c>
      <c r="F46" s="34">
        <v>30</v>
      </c>
      <c r="G46" s="34">
        <v>36</v>
      </c>
      <c r="H46"/>
      <c r="I46"/>
      <c r="J46"/>
      <c r="K46"/>
      <c r="L46"/>
      <c r="M46"/>
      <c r="N46"/>
      <c r="O46"/>
      <c r="P46"/>
      <c r="Q46"/>
    </row>
    <row r="47" spans="1:17" ht="15.75" thickBot="1">
      <c r="A47" s="32" t="s">
        <v>23</v>
      </c>
      <c r="B47" s="34">
        <v>16</v>
      </c>
      <c r="C47" s="34">
        <v>15</v>
      </c>
      <c r="D47" s="34">
        <v>19</v>
      </c>
      <c r="E47" s="34">
        <v>19</v>
      </c>
      <c r="F47" s="34">
        <v>20</v>
      </c>
      <c r="G47" s="34">
        <v>21</v>
      </c>
      <c r="H47"/>
      <c r="I47"/>
      <c r="J47"/>
      <c r="K47"/>
      <c r="L47"/>
      <c r="M47"/>
      <c r="N47"/>
      <c r="O47"/>
      <c r="P47"/>
      <c r="Q47"/>
    </row>
    <row r="48" spans="1:17" ht="15.75" thickBot="1">
      <c r="A48" s="56" t="s">
        <v>18</v>
      </c>
      <c r="B48" s="35">
        <f t="shared" ref="B48:G48" si="3">SUM(B42:B47)</f>
        <v>950110</v>
      </c>
      <c r="C48" s="35">
        <f t="shared" si="3"/>
        <v>1040925</v>
      </c>
      <c r="D48" s="35">
        <f t="shared" si="3"/>
        <v>1296362</v>
      </c>
      <c r="E48" s="35">
        <f t="shared" si="3"/>
        <v>1540811</v>
      </c>
      <c r="F48" s="35">
        <f t="shared" si="3"/>
        <v>1773268</v>
      </c>
      <c r="G48" s="35">
        <f t="shared" si="3"/>
        <v>1958385</v>
      </c>
      <c r="H48"/>
      <c r="I48"/>
      <c r="J48"/>
      <c r="K48"/>
      <c r="L48"/>
      <c r="M48"/>
      <c r="N48"/>
      <c r="O48"/>
      <c r="P48"/>
      <c r="Q48"/>
    </row>
    <row r="49" customFormat="1"/>
    <row r="50" customFormat="1"/>
    <row r="51" customFormat="1"/>
    <row r="52" customFormat="1"/>
    <row r="53" customFormat="1"/>
    <row r="54" customFormat="1"/>
    <row r="55" customFormat="1"/>
    <row r="56" customFormat="1"/>
    <row r="57" customFormat="1"/>
    <row r="58" customFormat="1"/>
    <row r="59" customFormat="1"/>
    <row r="60" customFormat="1"/>
    <row r="61" customFormat="1"/>
    <row r="62" customFormat="1"/>
    <row r="63" customFormat="1"/>
    <row r="64" customFormat="1"/>
    <row r="65" spans="1:17">
      <c r="A65"/>
      <c r="B65"/>
      <c r="C65"/>
      <c r="D65"/>
      <c r="E65"/>
      <c r="F65"/>
      <c r="G65"/>
      <c r="H65"/>
      <c r="I65"/>
      <c r="J65"/>
      <c r="K65"/>
      <c r="L65"/>
      <c r="M65"/>
      <c r="N65"/>
      <c r="O65"/>
      <c r="P65"/>
      <c r="Q65"/>
    </row>
    <row r="66" spans="1:17">
      <c r="A66"/>
      <c r="B66"/>
      <c r="C66"/>
      <c r="D66"/>
      <c r="E66"/>
      <c r="F66"/>
      <c r="G66"/>
      <c r="H66"/>
      <c r="I66"/>
      <c r="J66"/>
      <c r="K66"/>
      <c r="L66"/>
      <c r="M66"/>
      <c r="N66"/>
      <c r="O66"/>
      <c r="P66"/>
      <c r="Q66"/>
    </row>
    <row r="67" spans="1:17">
      <c r="A67"/>
      <c r="B67"/>
      <c r="C67"/>
      <c r="D67"/>
      <c r="E67"/>
      <c r="F67"/>
      <c r="G67"/>
      <c r="H67"/>
      <c r="I67"/>
      <c r="J67"/>
      <c r="K67"/>
      <c r="L67"/>
      <c r="M67"/>
      <c r="N67"/>
      <c r="O67"/>
      <c r="P67"/>
      <c r="Q67"/>
    </row>
    <row r="73" spans="1:17">
      <c r="N73"/>
      <c r="O73"/>
    </row>
    <row r="74" spans="1:17">
      <c r="N74"/>
      <c r="O74"/>
    </row>
    <row r="75" spans="1:17">
      <c r="N75"/>
      <c r="O75"/>
    </row>
    <row r="76" spans="1:17">
      <c r="N76"/>
      <c r="O76"/>
    </row>
    <row r="77" spans="1:17">
      <c r="N77"/>
      <c r="O77"/>
    </row>
    <row r="78" spans="1:17">
      <c r="N78"/>
      <c r="O78"/>
    </row>
    <row r="79" spans="1:17">
      <c r="N79"/>
      <c r="O79"/>
    </row>
    <row r="80" spans="1:17">
      <c r="N80"/>
      <c r="O80"/>
    </row>
    <row r="81" spans="1:17">
      <c r="N81"/>
      <c r="O81"/>
    </row>
    <row r="82" spans="1:17">
      <c r="N82"/>
      <c r="O82"/>
    </row>
    <row r="83" spans="1:17">
      <c r="A83"/>
      <c r="B83"/>
      <c r="C83"/>
      <c r="D83"/>
      <c r="E83"/>
      <c r="F83"/>
      <c r="G83"/>
      <c r="H83"/>
      <c r="I83"/>
      <c r="J83"/>
      <c r="K83"/>
      <c r="L83"/>
      <c r="M83"/>
      <c r="N83"/>
      <c r="O83"/>
      <c r="P83"/>
      <c r="Q83"/>
    </row>
    <row r="84" spans="1:17">
      <c r="A84"/>
      <c r="B84"/>
      <c r="C84"/>
      <c r="D84"/>
      <c r="E84"/>
      <c r="F84"/>
      <c r="G84"/>
      <c r="H84"/>
      <c r="I84"/>
      <c r="J84"/>
      <c r="K84"/>
      <c r="L84"/>
      <c r="M84"/>
      <c r="N84"/>
      <c r="O84"/>
      <c r="P84"/>
      <c r="Q84"/>
    </row>
    <row r="85" spans="1:17">
      <c r="A85"/>
      <c r="B85"/>
      <c r="C85"/>
      <c r="D85"/>
      <c r="E85"/>
      <c r="F85"/>
      <c r="G85"/>
      <c r="H85"/>
      <c r="I85"/>
      <c r="J85"/>
      <c r="K85"/>
      <c r="L85"/>
      <c r="M85"/>
      <c r="N85"/>
      <c r="O85"/>
      <c r="P85"/>
      <c r="Q85"/>
    </row>
    <row r="86" spans="1:17">
      <c r="A86"/>
      <c r="B86"/>
      <c r="C86"/>
      <c r="D86"/>
      <c r="E86"/>
      <c r="F86"/>
      <c r="G86"/>
      <c r="H86"/>
      <c r="I86"/>
      <c r="J86"/>
      <c r="K86"/>
      <c r="L86"/>
      <c r="M86"/>
      <c r="N86"/>
      <c r="O86"/>
      <c r="P86"/>
      <c r="Q86"/>
    </row>
    <row r="87" spans="1:17">
      <c r="A87"/>
      <c r="B87"/>
      <c r="C87"/>
      <c r="D87"/>
      <c r="E87"/>
      <c r="F87"/>
      <c r="G87"/>
      <c r="H87"/>
      <c r="I87"/>
      <c r="J87"/>
      <c r="K87"/>
      <c r="L87"/>
      <c r="M87"/>
      <c r="N87"/>
      <c r="O87"/>
      <c r="P87"/>
      <c r="Q87"/>
    </row>
    <row r="88" spans="1:17">
      <c r="A88"/>
      <c r="B88"/>
      <c r="C88"/>
      <c r="D88"/>
      <c r="E88"/>
      <c r="F88"/>
      <c r="G88"/>
      <c r="H88"/>
      <c r="I88"/>
      <c r="J88"/>
      <c r="K88"/>
      <c r="L88"/>
      <c r="M88"/>
      <c r="N88"/>
      <c r="O88"/>
      <c r="P88"/>
      <c r="Q88"/>
    </row>
    <row r="89" spans="1:17">
      <c r="A89"/>
      <c r="B89"/>
      <c r="C89"/>
      <c r="D89"/>
      <c r="E89"/>
      <c r="F89"/>
      <c r="G89"/>
      <c r="H89"/>
      <c r="I89"/>
      <c r="J89"/>
      <c r="K89"/>
      <c r="L89"/>
      <c r="M89"/>
      <c r="N89"/>
      <c r="O89"/>
      <c r="P89"/>
      <c r="Q89"/>
    </row>
    <row r="90" spans="1:17">
      <c r="A90"/>
      <c r="B90"/>
      <c r="C90"/>
      <c r="D90"/>
      <c r="E90"/>
      <c r="F90"/>
      <c r="G90"/>
      <c r="H90"/>
      <c r="I90"/>
      <c r="J90"/>
      <c r="K90"/>
      <c r="L90"/>
      <c r="M90"/>
      <c r="N90"/>
      <c r="O90"/>
      <c r="P90"/>
      <c r="Q90"/>
    </row>
    <row r="91" spans="1:17">
      <c r="A91"/>
      <c r="B91"/>
      <c r="C91"/>
      <c r="D91"/>
      <c r="E91"/>
      <c r="F91"/>
      <c r="G91"/>
      <c r="H91"/>
      <c r="I91"/>
      <c r="J91"/>
      <c r="K91"/>
      <c r="L91"/>
      <c r="M91"/>
      <c r="N91"/>
      <c r="O91"/>
      <c r="P91"/>
      <c r="Q91"/>
    </row>
    <row r="92" spans="1:17">
      <c r="A92"/>
      <c r="B92"/>
      <c r="C92"/>
      <c r="D92"/>
      <c r="E92"/>
      <c r="F92"/>
      <c r="G92"/>
      <c r="H92"/>
      <c r="I92"/>
      <c r="J92"/>
      <c r="K92"/>
      <c r="L92"/>
      <c r="M92"/>
      <c r="N92"/>
      <c r="O92"/>
      <c r="P92"/>
      <c r="Q92"/>
    </row>
    <row r="93" spans="1:17">
      <c r="A93"/>
      <c r="B93"/>
      <c r="C93"/>
      <c r="D93"/>
      <c r="E93"/>
      <c r="F93"/>
      <c r="G93"/>
      <c r="H93"/>
      <c r="I93"/>
      <c r="J93"/>
      <c r="K93"/>
      <c r="L93"/>
      <c r="M93"/>
      <c r="N93"/>
      <c r="O93"/>
      <c r="P93"/>
      <c r="Q93"/>
    </row>
    <row r="94" spans="1:17">
      <c r="A94"/>
      <c r="B94"/>
      <c r="C94"/>
      <c r="D94"/>
      <c r="E94"/>
      <c r="F94"/>
      <c r="G94"/>
      <c r="H94"/>
      <c r="I94"/>
      <c r="J94"/>
      <c r="K94"/>
      <c r="L94"/>
      <c r="M94"/>
      <c r="N94"/>
      <c r="O94"/>
      <c r="P94"/>
      <c r="Q94"/>
    </row>
    <row r="95" spans="1:17">
      <c r="A95"/>
      <c r="B95"/>
      <c r="C95"/>
      <c r="D95"/>
      <c r="E95"/>
      <c r="F95"/>
      <c r="G95"/>
      <c r="H95"/>
      <c r="I95"/>
      <c r="J95"/>
      <c r="K95"/>
      <c r="L95"/>
      <c r="M95"/>
      <c r="N95"/>
      <c r="O95"/>
      <c r="P95"/>
      <c r="Q95"/>
    </row>
    <row r="96" spans="1:17">
      <c r="A96"/>
      <c r="B96"/>
      <c r="C96"/>
      <c r="D96"/>
      <c r="E96"/>
      <c r="F96"/>
      <c r="G96"/>
      <c r="H96"/>
      <c r="I96"/>
      <c r="J96"/>
      <c r="K96"/>
      <c r="L96"/>
      <c r="M96"/>
      <c r="N96"/>
      <c r="O96"/>
      <c r="P96"/>
      <c r="Q96"/>
    </row>
    <row r="97" customFormat="1"/>
    <row r="98" customFormat="1"/>
    <row r="99" customFormat="1"/>
    <row r="100" customFormat="1"/>
    <row r="101" customFormat="1"/>
    <row r="102" customFormat="1"/>
    <row r="103" customFormat="1"/>
    <row r="104" customFormat="1"/>
    <row r="105" customFormat="1"/>
    <row r="106" customFormat="1"/>
  </sheetData>
  <mergeCells count="6">
    <mergeCell ref="A29:M29"/>
    <mergeCell ref="A14:M14"/>
    <mergeCell ref="A16:M16"/>
    <mergeCell ref="A1:M1"/>
    <mergeCell ref="A3:M3"/>
    <mergeCell ref="A27:M27"/>
  </mergeCells>
  <pageMargins left="0.7" right="0.7" top="0.75" bottom="0.75" header="0.3" footer="0.3"/>
  <pageSetup orientation="portrait" r:id="rId1"/>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50"/>
  <sheetViews>
    <sheetView showGridLines="0" zoomScale="71" zoomScaleNormal="71" workbookViewId="0">
      <selection activeCell="I47" sqref="I47"/>
    </sheetView>
  </sheetViews>
  <sheetFormatPr baseColWidth="10" defaultRowHeight="15"/>
  <cols>
    <col min="1" max="1" width="29.7109375" customWidth="1"/>
    <col min="16" max="16" width="27.42578125" bestFit="1" customWidth="1"/>
  </cols>
  <sheetData>
    <row r="1" spans="1:13" ht="20.25">
      <c r="A1" s="617" t="s">
        <v>21</v>
      </c>
      <c r="B1" s="617"/>
      <c r="C1" s="617"/>
      <c r="D1" s="617"/>
      <c r="E1" s="617"/>
      <c r="F1" s="617"/>
      <c r="G1" s="617"/>
      <c r="H1" s="617"/>
      <c r="I1" s="617"/>
      <c r="J1" s="617"/>
      <c r="K1" s="617"/>
      <c r="L1" s="617"/>
      <c r="M1" s="617"/>
    </row>
    <row r="2" spans="1:13">
      <c r="A2" s="15"/>
      <c r="B2" s="15"/>
      <c r="C2" s="15"/>
      <c r="D2" s="15"/>
      <c r="E2" s="15"/>
      <c r="F2" s="15"/>
      <c r="G2" s="15"/>
      <c r="H2" s="15"/>
      <c r="I2" s="15"/>
      <c r="J2" s="15"/>
      <c r="K2" s="15"/>
      <c r="L2" s="15"/>
      <c r="M2" s="15"/>
    </row>
    <row r="3" spans="1:13">
      <c r="A3" s="621" t="s">
        <v>37</v>
      </c>
      <c r="B3" s="621"/>
      <c r="C3" s="621"/>
      <c r="D3" s="621"/>
      <c r="E3" s="621"/>
      <c r="F3" s="621"/>
      <c r="G3" s="621"/>
      <c r="H3" s="621"/>
      <c r="I3" s="621"/>
      <c r="J3" s="621"/>
      <c r="K3" s="621"/>
    </row>
    <row r="4" spans="1:13" ht="15.75" thickBot="1"/>
    <row r="5" spans="1:13" ht="15.75" thickBot="1">
      <c r="A5" s="29" t="s">
        <v>1</v>
      </c>
      <c r="B5" s="30">
        <v>2019</v>
      </c>
      <c r="C5" s="30">
        <v>2020</v>
      </c>
      <c r="D5" s="30">
        <v>2021</v>
      </c>
      <c r="E5" s="30">
        <v>2022</v>
      </c>
      <c r="F5" s="30">
        <v>2023</v>
      </c>
      <c r="G5" s="30">
        <v>2024</v>
      </c>
      <c r="H5" s="18"/>
      <c r="I5" s="18"/>
      <c r="J5" s="18"/>
      <c r="K5" s="18"/>
    </row>
    <row r="6" spans="1:13" ht="15.75" thickBot="1">
      <c r="A6" s="25" t="s">
        <v>14</v>
      </c>
      <c r="B6" s="13">
        <v>314.06773664038218</v>
      </c>
      <c r="C6" s="13">
        <v>359.88113653832448</v>
      </c>
      <c r="D6" s="13">
        <v>346.50073422977061</v>
      </c>
      <c r="E6" s="13">
        <v>359.44720499944998</v>
      </c>
      <c r="F6" s="13">
        <v>394.60736530323732</v>
      </c>
      <c r="G6" s="13">
        <v>462.28892293600001</v>
      </c>
      <c r="H6" s="20"/>
      <c r="I6" s="20"/>
      <c r="J6" s="20"/>
      <c r="K6" s="20"/>
    </row>
    <row r="7" spans="1:13" ht="15.75" thickBot="1">
      <c r="A7" s="25" t="s">
        <v>15</v>
      </c>
      <c r="B7" s="13">
        <v>55.486559591347508</v>
      </c>
      <c r="C7" s="13">
        <v>58.790960679328201</v>
      </c>
      <c r="D7" s="13">
        <v>60.91080161492556</v>
      </c>
      <c r="E7" s="13">
        <v>74.08334444792834</v>
      </c>
      <c r="F7" s="13">
        <v>82.859135115963994</v>
      </c>
      <c r="G7" s="13">
        <v>101.58780631570021</v>
      </c>
      <c r="H7" s="20"/>
      <c r="I7" s="20"/>
      <c r="J7" s="20"/>
      <c r="K7" s="20"/>
    </row>
    <row r="8" spans="1:13" ht="15.75" thickBot="1">
      <c r="A8" s="25" t="s">
        <v>16</v>
      </c>
      <c r="B8" s="13">
        <v>0</v>
      </c>
      <c r="C8" s="13">
        <v>0</v>
      </c>
      <c r="D8" s="13">
        <v>0</v>
      </c>
      <c r="E8" s="13">
        <v>461.20803635451995</v>
      </c>
      <c r="F8" s="13">
        <v>880.62727020195007</v>
      </c>
      <c r="G8" s="13">
        <v>962.36695853065021</v>
      </c>
      <c r="H8" s="20"/>
      <c r="I8" s="20"/>
      <c r="J8" s="20"/>
      <c r="K8" s="20"/>
    </row>
    <row r="9" spans="1:13" ht="15.75" thickBot="1">
      <c r="A9" s="25" t="s">
        <v>17</v>
      </c>
      <c r="B9" s="13">
        <v>17792.78824489523</v>
      </c>
      <c r="C9" s="13">
        <v>17464.518802082392</v>
      </c>
      <c r="D9" s="13">
        <v>17494.571430514698</v>
      </c>
      <c r="E9" s="13">
        <v>10026.554804960493</v>
      </c>
      <c r="F9" s="13">
        <v>4553.3287476460118</v>
      </c>
      <c r="G9" s="13">
        <v>4503.4480853858295</v>
      </c>
      <c r="H9" s="20"/>
      <c r="I9" s="20"/>
      <c r="J9" s="20"/>
      <c r="K9" s="20"/>
    </row>
    <row r="10" spans="1:13" ht="15.75" thickBot="1">
      <c r="A10" s="25" t="s">
        <v>22</v>
      </c>
      <c r="B10" s="13">
        <v>0</v>
      </c>
      <c r="C10" s="13">
        <v>0</v>
      </c>
      <c r="D10" s="13">
        <v>0</v>
      </c>
      <c r="E10" s="13">
        <v>1920.0811464286874</v>
      </c>
      <c r="F10" s="13">
        <v>3270.1074357197399</v>
      </c>
      <c r="G10" s="13">
        <v>2784.2662163414398</v>
      </c>
      <c r="H10" s="20"/>
      <c r="I10" s="20"/>
      <c r="J10" s="20"/>
      <c r="K10" s="20"/>
    </row>
    <row r="11" spans="1:13" ht="15.75" thickBot="1">
      <c r="A11" s="25" t="s">
        <v>23</v>
      </c>
      <c r="B11" s="13">
        <v>0</v>
      </c>
      <c r="C11" s="13">
        <v>0</v>
      </c>
      <c r="D11" s="13">
        <v>0</v>
      </c>
      <c r="E11" s="13">
        <v>0.82873112662350001</v>
      </c>
      <c r="F11" s="13">
        <v>1.2427882162927999</v>
      </c>
      <c r="G11" s="13">
        <v>1.4419601299192</v>
      </c>
      <c r="H11" s="20"/>
      <c r="I11" s="20"/>
      <c r="J11" s="20"/>
      <c r="K11" s="20"/>
    </row>
    <row r="12" spans="1:13" ht="15.75" thickBot="1">
      <c r="A12" s="59" t="s">
        <v>18</v>
      </c>
      <c r="B12" s="26">
        <f t="shared" ref="B12:G12" si="0">SUM(B6:B11)</f>
        <v>18162.34254112696</v>
      </c>
      <c r="C12" s="26">
        <f t="shared" si="0"/>
        <v>17883.190899300043</v>
      </c>
      <c r="D12" s="26">
        <f t="shared" si="0"/>
        <v>17901.982966359396</v>
      </c>
      <c r="E12" s="26">
        <f t="shared" si="0"/>
        <v>12842.203268317702</v>
      </c>
      <c r="F12" s="26">
        <f t="shared" si="0"/>
        <v>9182.7727422031949</v>
      </c>
      <c r="G12" s="26">
        <f t="shared" si="0"/>
        <v>8815.399949639539</v>
      </c>
      <c r="H12" s="21"/>
      <c r="I12" s="21"/>
      <c r="J12" s="21"/>
      <c r="K12" s="21"/>
    </row>
    <row r="13" spans="1:13">
      <c r="A13" s="15"/>
      <c r="B13" s="15"/>
      <c r="C13" s="15"/>
      <c r="D13" s="22"/>
      <c r="E13" s="22"/>
      <c r="F13" s="15"/>
      <c r="G13" s="15"/>
      <c r="H13" s="15"/>
      <c r="I13" s="15"/>
      <c r="J13" s="15"/>
      <c r="K13" s="15"/>
    </row>
    <row r="14" spans="1:13">
      <c r="A14" s="22"/>
      <c r="B14" s="22"/>
      <c r="C14" s="22"/>
      <c r="F14" s="22"/>
      <c r="G14" s="22"/>
      <c r="H14" s="22"/>
      <c r="I14" s="22"/>
      <c r="J14" s="22"/>
      <c r="K14" s="22"/>
    </row>
    <row r="15" spans="1:13">
      <c r="A15" s="618" t="s">
        <v>36</v>
      </c>
      <c r="B15" s="618"/>
      <c r="C15" s="618"/>
      <c r="D15" s="618"/>
      <c r="E15" s="618"/>
      <c r="F15" s="618"/>
      <c r="G15" s="618"/>
      <c r="H15" s="618"/>
      <c r="I15" s="618"/>
      <c r="J15" s="618"/>
      <c r="K15" s="618"/>
      <c r="L15" s="618"/>
      <c r="M15" s="618"/>
    </row>
    <row r="16" spans="1:13">
      <c r="B16" s="16"/>
      <c r="C16" s="17"/>
      <c r="D16" s="17"/>
      <c r="E16" s="17"/>
      <c r="F16" s="17"/>
      <c r="G16" s="17"/>
      <c r="H16" s="17"/>
      <c r="I16" s="17"/>
      <c r="J16" s="17"/>
      <c r="K16" s="17"/>
      <c r="L16" s="17"/>
      <c r="M16" s="17"/>
    </row>
    <row r="17" spans="1:13" ht="15.75" thickBot="1">
      <c r="A17" s="614">
        <v>2024</v>
      </c>
      <c r="B17" s="614"/>
      <c r="C17" s="614"/>
      <c r="D17" s="614"/>
      <c r="E17" s="614"/>
      <c r="F17" s="614"/>
      <c r="G17" s="614"/>
      <c r="H17" s="614"/>
      <c r="I17" s="614"/>
      <c r="J17" s="614"/>
      <c r="K17" s="614"/>
      <c r="L17" s="614"/>
      <c r="M17" s="615"/>
    </row>
    <row r="18" spans="1:13" ht="15.75" thickBot="1">
      <c r="A18" s="57" t="s">
        <v>1</v>
      </c>
      <c r="B18" s="36" t="s">
        <v>2</v>
      </c>
      <c r="C18" s="36" t="s">
        <v>3</v>
      </c>
      <c r="D18" s="36" t="s">
        <v>4</v>
      </c>
      <c r="E18" s="36" t="s">
        <v>5</v>
      </c>
      <c r="F18" s="36" t="s">
        <v>6</v>
      </c>
      <c r="G18" s="36" t="s">
        <v>7</v>
      </c>
      <c r="H18" s="36" t="s">
        <v>8</v>
      </c>
      <c r="I18" s="36" t="s">
        <v>9</v>
      </c>
      <c r="J18" s="36" t="s">
        <v>10</v>
      </c>
      <c r="K18" s="36" t="s">
        <v>11</v>
      </c>
      <c r="L18" s="36" t="s">
        <v>12</v>
      </c>
      <c r="M18" s="36" t="s">
        <v>13</v>
      </c>
    </row>
    <row r="19" spans="1:13" ht="15.75" thickBot="1">
      <c r="A19" s="36" t="s">
        <v>14</v>
      </c>
      <c r="B19" s="37">
        <v>37.011255412827744</v>
      </c>
      <c r="C19" s="37">
        <v>33.1321025013727</v>
      </c>
      <c r="D19" s="37">
        <v>32.670643719770936</v>
      </c>
      <c r="E19" s="37">
        <v>37.081596694465148</v>
      </c>
      <c r="F19" s="37">
        <v>38.98354268682985</v>
      </c>
      <c r="G19" s="37">
        <v>40.150422624413878</v>
      </c>
      <c r="H19" s="37">
        <v>39.404804845437866</v>
      </c>
      <c r="I19" s="37">
        <v>42.057347496365537</v>
      </c>
      <c r="J19" s="37">
        <v>41.471677365944259</v>
      </c>
      <c r="K19" s="37">
        <v>41.750946548981524</v>
      </c>
      <c r="L19" s="37">
        <v>40.789427177517922</v>
      </c>
      <c r="M19" s="37">
        <v>37.785155862072727</v>
      </c>
    </row>
    <row r="20" spans="1:13" ht="15.75" thickBot="1">
      <c r="A20" s="36" t="s">
        <v>15</v>
      </c>
      <c r="B20" s="37">
        <v>7.013752671677798</v>
      </c>
      <c r="C20" s="37">
        <v>6.4225600224621022</v>
      </c>
      <c r="D20" s="37">
        <v>6.9852749217898022</v>
      </c>
      <c r="E20" s="37">
        <v>8.6334370566923013</v>
      </c>
      <c r="F20" s="37">
        <v>10.853039286439403</v>
      </c>
      <c r="G20" s="37">
        <v>12.073461309634398</v>
      </c>
      <c r="H20" s="37">
        <v>11.393770097398699</v>
      </c>
      <c r="I20" s="37">
        <v>8.3818504035584986</v>
      </c>
      <c r="J20" s="37">
        <v>7.2676976384741989</v>
      </c>
      <c r="K20" s="37">
        <v>7.7157140211088961</v>
      </c>
      <c r="L20" s="37">
        <v>7.2837633412972984</v>
      </c>
      <c r="M20" s="37">
        <v>7.5634855451668024</v>
      </c>
    </row>
    <row r="21" spans="1:13" ht="15.75" thickBot="1">
      <c r="A21" s="36" t="s">
        <v>16</v>
      </c>
      <c r="B21" s="37">
        <v>86.330030393979996</v>
      </c>
      <c r="C21" s="37">
        <v>79.90738667574999</v>
      </c>
      <c r="D21" s="37">
        <v>72.499004573809998</v>
      </c>
      <c r="E21" s="37">
        <v>77.870966230199997</v>
      </c>
      <c r="F21" s="37">
        <v>75.941655178759987</v>
      </c>
      <c r="G21" s="37">
        <v>80.017674390159996</v>
      </c>
      <c r="H21" s="37">
        <v>77.896887197980007</v>
      </c>
      <c r="I21" s="37">
        <v>83.931987727630002</v>
      </c>
      <c r="J21" s="37">
        <v>83.251332778049999</v>
      </c>
      <c r="K21" s="37">
        <v>81.56127861585999</v>
      </c>
      <c r="L21" s="37">
        <v>82.765544177530003</v>
      </c>
      <c r="M21" s="37">
        <v>80.393210590940001</v>
      </c>
    </row>
    <row r="22" spans="1:13" ht="15.75" thickBot="1">
      <c r="A22" s="36" t="s">
        <v>17</v>
      </c>
      <c r="B22" s="37">
        <v>425.27592466423999</v>
      </c>
      <c r="C22" s="37">
        <v>397.96641937451</v>
      </c>
      <c r="D22" s="37">
        <v>323.95541720465002</v>
      </c>
      <c r="E22" s="37">
        <v>335.2487018805906</v>
      </c>
      <c r="F22" s="37">
        <v>402.06285046517002</v>
      </c>
      <c r="G22" s="37">
        <v>352.57915264122948</v>
      </c>
      <c r="H22" s="37">
        <v>343.9994479143823</v>
      </c>
      <c r="I22" s="37">
        <v>374.12433793073501</v>
      </c>
      <c r="J22" s="37">
        <v>376.10534471500119</v>
      </c>
      <c r="K22" s="37">
        <v>389.25721893109306</v>
      </c>
      <c r="L22" s="37">
        <v>394.65609601637033</v>
      </c>
      <c r="M22" s="37">
        <v>388.21717364785718</v>
      </c>
    </row>
    <row r="23" spans="1:13" ht="15.75" thickBot="1">
      <c r="A23" s="36" t="s">
        <v>22</v>
      </c>
      <c r="B23" s="37">
        <v>212.83791399366004</v>
      </c>
      <c r="C23" s="37">
        <v>232.73790711201002</v>
      </c>
      <c r="D23" s="37">
        <v>232.56493585835</v>
      </c>
      <c r="E23" s="37">
        <v>220.71418015843</v>
      </c>
      <c r="F23" s="37">
        <v>204.14188839418</v>
      </c>
      <c r="G23" s="37">
        <v>202.11864032054001</v>
      </c>
      <c r="H23" s="37">
        <v>239.01583131257996</v>
      </c>
      <c r="I23" s="37">
        <v>262.75594164672998</v>
      </c>
      <c r="J23" s="37">
        <v>220.95933459757001</v>
      </c>
      <c r="K23" s="37">
        <v>246.41026411986999</v>
      </c>
      <c r="L23" s="37">
        <v>275.20909498751001</v>
      </c>
      <c r="M23" s="37">
        <v>234.80028384001002</v>
      </c>
    </row>
    <row r="24" spans="1:13" ht="15.75" thickBot="1">
      <c r="A24" s="36" t="s">
        <v>23</v>
      </c>
      <c r="B24" s="37">
        <v>8.1977356057800016E-2</v>
      </c>
      <c r="C24" s="37">
        <v>7.40075413322E-2</v>
      </c>
      <c r="D24" s="37">
        <v>6.9788144560600021E-2</v>
      </c>
      <c r="E24" s="37">
        <v>9.6584563009899996E-2</v>
      </c>
      <c r="F24" s="37">
        <v>0.11541787652090002</v>
      </c>
      <c r="G24" s="37">
        <v>0.15908729114950002</v>
      </c>
      <c r="H24" s="37">
        <v>0.1401176630123</v>
      </c>
      <c r="I24" s="37">
        <v>0.12287739426500001</v>
      </c>
      <c r="J24" s="37">
        <v>0.15779124276049997</v>
      </c>
      <c r="K24" s="37">
        <v>0.15185060897309999</v>
      </c>
      <c r="L24" s="37">
        <v>0.15012584049030001</v>
      </c>
      <c r="M24" s="37">
        <v>0.12233460778710001</v>
      </c>
    </row>
    <row r="25" spans="1:13" ht="15.75" thickBot="1">
      <c r="A25" s="59" t="s">
        <v>18</v>
      </c>
      <c r="B25" s="26">
        <f>SUM(B19:B24)</f>
        <v>768.55085449244336</v>
      </c>
      <c r="C25" s="26">
        <f t="shared" ref="C25:M25" si="1">SUM(C19:C24)</f>
        <v>750.24038322743695</v>
      </c>
      <c r="D25" s="26">
        <f t="shared" si="1"/>
        <v>668.74506442293136</v>
      </c>
      <c r="E25" s="26">
        <f t="shared" si="1"/>
        <v>679.64546658338782</v>
      </c>
      <c r="F25" s="26">
        <f t="shared" si="1"/>
        <v>732.09839388790022</v>
      </c>
      <c r="G25" s="26">
        <f t="shared" si="1"/>
        <v>687.09843857712724</v>
      </c>
      <c r="H25" s="26">
        <f t="shared" si="1"/>
        <v>711.85085903079118</v>
      </c>
      <c r="I25" s="26">
        <f t="shared" si="1"/>
        <v>771.37434259928398</v>
      </c>
      <c r="J25" s="26">
        <f t="shared" si="1"/>
        <v>729.21317833780017</v>
      </c>
      <c r="K25" s="26">
        <f t="shared" si="1"/>
        <v>766.84727284588655</v>
      </c>
      <c r="L25" s="26">
        <f t="shared" si="1"/>
        <v>800.854051540716</v>
      </c>
      <c r="M25" s="26">
        <f t="shared" si="1"/>
        <v>748.88164409383387</v>
      </c>
    </row>
    <row r="28" spans="1:13">
      <c r="A28" s="621" t="s">
        <v>38</v>
      </c>
      <c r="B28" s="621"/>
      <c r="C28" s="621"/>
      <c r="D28" s="621"/>
      <c r="E28" s="621"/>
      <c r="F28" s="621"/>
      <c r="G28" s="621"/>
      <c r="H28" s="621"/>
      <c r="I28" s="621"/>
      <c r="J28" s="621"/>
      <c r="K28" s="621"/>
      <c r="L28" s="621"/>
      <c r="M28" s="621"/>
    </row>
    <row r="29" spans="1:13">
      <c r="B29" s="15"/>
      <c r="C29" s="15"/>
      <c r="D29" s="15"/>
      <c r="E29" s="15"/>
      <c r="F29" s="15"/>
      <c r="G29" s="15"/>
      <c r="H29" s="15"/>
      <c r="I29" s="15"/>
      <c r="J29" s="15"/>
      <c r="K29" s="15"/>
      <c r="L29" s="15"/>
      <c r="M29" s="15"/>
    </row>
    <row r="30" spans="1:13" ht="15.75" thickBot="1">
      <c r="A30" s="614">
        <v>2024</v>
      </c>
      <c r="B30" s="614"/>
      <c r="C30" s="614"/>
      <c r="D30" s="614"/>
      <c r="E30" s="614"/>
      <c r="F30" s="614"/>
      <c r="G30" s="614"/>
      <c r="H30" s="614"/>
      <c r="I30" s="614"/>
      <c r="J30" s="614"/>
      <c r="K30" s="614"/>
      <c r="L30" s="614"/>
      <c r="M30" s="615"/>
    </row>
    <row r="31" spans="1:13" ht="15.75" thickBot="1">
      <c r="A31" s="57" t="s">
        <v>1</v>
      </c>
      <c r="B31" s="36" t="s">
        <v>2</v>
      </c>
      <c r="C31" s="36" t="s">
        <v>3</v>
      </c>
      <c r="D31" s="36" t="s">
        <v>4</v>
      </c>
      <c r="E31" s="36" t="s">
        <v>5</v>
      </c>
      <c r="F31" s="36" t="s">
        <v>6</v>
      </c>
      <c r="G31" s="36" t="s">
        <v>7</v>
      </c>
      <c r="H31" s="36" t="s">
        <v>8</v>
      </c>
      <c r="I31" s="36" t="s">
        <v>9</v>
      </c>
      <c r="J31" s="36" t="s">
        <v>10</v>
      </c>
      <c r="K31" s="36" t="s">
        <v>11</v>
      </c>
      <c r="L31" s="36" t="s">
        <v>12</v>
      </c>
      <c r="M31" s="36" t="s">
        <v>13</v>
      </c>
    </row>
    <row r="32" spans="1:13" ht="15.75" thickBot="1">
      <c r="A32" s="43" t="s">
        <v>14</v>
      </c>
      <c r="B32" s="7">
        <v>91602</v>
      </c>
      <c r="C32" s="7">
        <v>93341</v>
      </c>
      <c r="D32" s="7">
        <v>94967</v>
      </c>
      <c r="E32" s="7">
        <v>96414</v>
      </c>
      <c r="F32" s="7">
        <v>97842</v>
      </c>
      <c r="G32" s="7">
        <v>98997</v>
      </c>
      <c r="H32" s="7">
        <v>100239</v>
      </c>
      <c r="I32" s="7">
        <v>101289</v>
      </c>
      <c r="J32" s="7">
        <v>101937</v>
      </c>
      <c r="K32" s="7">
        <v>102525</v>
      </c>
      <c r="L32" s="7">
        <v>103088</v>
      </c>
      <c r="M32" s="7">
        <v>103587</v>
      </c>
    </row>
    <row r="33" spans="1:13" ht="15.75" thickBot="1">
      <c r="A33" s="43" t="s">
        <v>15</v>
      </c>
      <c r="B33" s="8">
        <v>202</v>
      </c>
      <c r="C33" s="8">
        <v>204</v>
      </c>
      <c r="D33" s="8">
        <v>204</v>
      </c>
      <c r="E33" s="8">
        <v>206</v>
      </c>
      <c r="F33" s="8">
        <v>207</v>
      </c>
      <c r="G33" s="8">
        <v>210</v>
      </c>
      <c r="H33" s="8">
        <v>211</v>
      </c>
      <c r="I33" s="8">
        <v>211</v>
      </c>
      <c r="J33" s="8">
        <v>213</v>
      </c>
      <c r="K33" s="8">
        <v>213</v>
      </c>
      <c r="L33" s="8">
        <v>213</v>
      </c>
      <c r="M33" s="8">
        <v>213</v>
      </c>
    </row>
    <row r="34" spans="1:13" ht="15.75" thickBot="1">
      <c r="A34" s="43" t="s">
        <v>16</v>
      </c>
      <c r="B34" s="8">
        <v>14</v>
      </c>
      <c r="C34" s="8">
        <v>14</v>
      </c>
      <c r="D34" s="8">
        <v>14</v>
      </c>
      <c r="E34" s="8">
        <v>14</v>
      </c>
      <c r="F34" s="8">
        <v>14</v>
      </c>
      <c r="G34" s="8">
        <v>14</v>
      </c>
      <c r="H34" s="8">
        <v>14</v>
      </c>
      <c r="I34" s="8">
        <v>14</v>
      </c>
      <c r="J34" s="8">
        <v>14</v>
      </c>
      <c r="K34" s="8">
        <v>14</v>
      </c>
      <c r="L34" s="8">
        <v>14</v>
      </c>
      <c r="M34" s="8">
        <v>14</v>
      </c>
    </row>
    <row r="35" spans="1:13" ht="15.75" thickBot="1">
      <c r="A35" s="43" t="s">
        <v>17</v>
      </c>
      <c r="B35" s="8">
        <v>39</v>
      </c>
      <c r="C35" s="8">
        <v>41</v>
      </c>
      <c r="D35" s="8">
        <v>41</v>
      </c>
      <c r="E35" s="8">
        <v>41</v>
      </c>
      <c r="F35" s="8">
        <v>41</v>
      </c>
      <c r="G35" s="8">
        <v>41</v>
      </c>
      <c r="H35" s="8">
        <v>41</v>
      </c>
      <c r="I35" s="8">
        <v>41</v>
      </c>
      <c r="J35" s="8">
        <v>41</v>
      </c>
      <c r="K35" s="8">
        <v>41</v>
      </c>
      <c r="L35" s="8">
        <v>41</v>
      </c>
      <c r="M35" s="8">
        <v>41</v>
      </c>
    </row>
    <row r="36" spans="1:13" ht="15.75" thickBot="1">
      <c r="A36" s="43" t="s">
        <v>22</v>
      </c>
      <c r="B36" s="8">
        <v>9</v>
      </c>
      <c r="C36" s="8">
        <v>9</v>
      </c>
      <c r="D36" s="8">
        <v>9</v>
      </c>
      <c r="E36" s="8">
        <v>9</v>
      </c>
      <c r="F36" s="8">
        <v>9</v>
      </c>
      <c r="G36" s="8">
        <v>9</v>
      </c>
      <c r="H36" s="8">
        <v>9</v>
      </c>
      <c r="I36" s="8">
        <v>9</v>
      </c>
      <c r="J36" s="8">
        <v>9</v>
      </c>
      <c r="K36" s="8">
        <v>9</v>
      </c>
      <c r="L36" s="8">
        <v>9</v>
      </c>
      <c r="M36" s="8">
        <v>9</v>
      </c>
    </row>
    <row r="37" spans="1:13" ht="15.75" thickBot="1">
      <c r="A37" s="43" t="s">
        <v>23</v>
      </c>
      <c r="B37" s="8">
        <v>28</v>
      </c>
      <c r="C37" s="8">
        <v>32</v>
      </c>
      <c r="D37" s="8">
        <v>32</v>
      </c>
      <c r="E37" s="8">
        <v>35</v>
      </c>
      <c r="F37" s="8">
        <v>36</v>
      </c>
      <c r="G37" s="8">
        <v>41</v>
      </c>
      <c r="H37" s="8">
        <v>42</v>
      </c>
      <c r="I37" s="8">
        <v>46</v>
      </c>
      <c r="J37" s="8">
        <v>54</v>
      </c>
      <c r="K37" s="8">
        <v>57</v>
      </c>
      <c r="L37" s="8">
        <v>57</v>
      </c>
      <c r="M37" s="8">
        <v>60</v>
      </c>
    </row>
    <row r="38" spans="1:13" ht="15.75" thickBot="1">
      <c r="A38" s="59" t="s">
        <v>18</v>
      </c>
      <c r="B38" s="24">
        <f>SUM(B32:B37)</f>
        <v>91894</v>
      </c>
      <c r="C38" s="24">
        <f t="shared" ref="C38:M38" si="2">SUM(C32:C37)</f>
        <v>93641</v>
      </c>
      <c r="D38" s="24">
        <f t="shared" si="2"/>
        <v>95267</v>
      </c>
      <c r="E38" s="24">
        <f t="shared" si="2"/>
        <v>96719</v>
      </c>
      <c r="F38" s="24">
        <f t="shared" si="2"/>
        <v>98149</v>
      </c>
      <c r="G38" s="24">
        <f t="shared" si="2"/>
        <v>99312</v>
      </c>
      <c r="H38" s="24">
        <f t="shared" si="2"/>
        <v>100556</v>
      </c>
      <c r="I38" s="24">
        <f t="shared" si="2"/>
        <v>101610</v>
      </c>
      <c r="J38" s="24">
        <f t="shared" si="2"/>
        <v>102268</v>
      </c>
      <c r="K38" s="24">
        <f t="shared" si="2"/>
        <v>102859</v>
      </c>
      <c r="L38" s="24">
        <f t="shared" si="2"/>
        <v>103422</v>
      </c>
      <c r="M38" s="24">
        <f t="shared" si="2"/>
        <v>103924</v>
      </c>
    </row>
    <row r="41" spans="1:13">
      <c r="A41" s="619" t="s">
        <v>39</v>
      </c>
      <c r="B41" s="620"/>
      <c r="C41" s="620"/>
      <c r="D41" s="620"/>
      <c r="E41" s="620"/>
      <c r="F41" s="620"/>
      <c r="G41" s="620"/>
      <c r="H41" s="620"/>
      <c r="I41" s="620"/>
      <c r="J41" s="620"/>
      <c r="K41" s="620"/>
    </row>
    <row r="42" spans="1:13" ht="15.75" thickBot="1">
      <c r="B42" s="16"/>
      <c r="C42" s="16"/>
      <c r="D42" s="17"/>
      <c r="E42" s="17"/>
      <c r="F42" s="17"/>
      <c r="G42" s="17"/>
    </row>
    <row r="43" spans="1:13" ht="15.75" thickBot="1">
      <c r="A43" s="29" t="s">
        <v>1</v>
      </c>
      <c r="B43" s="30">
        <v>2019</v>
      </c>
      <c r="C43" s="30">
        <v>2020</v>
      </c>
      <c r="D43" s="30">
        <v>2021</v>
      </c>
      <c r="E43" s="30">
        <v>2022</v>
      </c>
      <c r="F43" s="30">
        <v>2023</v>
      </c>
      <c r="G43" s="30">
        <v>2024</v>
      </c>
    </row>
    <row r="44" spans="1:13" ht="15.75" thickBot="1">
      <c r="A44" s="25" t="s">
        <v>14</v>
      </c>
      <c r="B44" s="7">
        <v>61259</v>
      </c>
      <c r="C44" s="7">
        <v>62530</v>
      </c>
      <c r="D44" s="7">
        <v>68890</v>
      </c>
      <c r="E44" s="7">
        <v>74163</v>
      </c>
      <c r="F44" s="7">
        <v>89609</v>
      </c>
      <c r="G44" s="7">
        <v>103587</v>
      </c>
    </row>
    <row r="45" spans="1:13" ht="15.75" thickBot="1">
      <c r="A45" s="25" t="s">
        <v>15</v>
      </c>
      <c r="B45" s="7">
        <v>157</v>
      </c>
      <c r="C45" s="7">
        <v>163</v>
      </c>
      <c r="D45" s="7">
        <v>170</v>
      </c>
      <c r="E45" s="7">
        <v>187</v>
      </c>
      <c r="F45" s="7">
        <v>199</v>
      </c>
      <c r="G45" s="7">
        <v>213</v>
      </c>
    </row>
    <row r="46" spans="1:13" ht="15.75" thickBot="1">
      <c r="A46" s="25" t="s">
        <v>16</v>
      </c>
      <c r="B46" s="7">
        <v>14</v>
      </c>
      <c r="C46" s="7">
        <v>14</v>
      </c>
      <c r="D46" s="7">
        <v>14</v>
      </c>
      <c r="E46" s="7">
        <v>14</v>
      </c>
      <c r="F46" s="7">
        <v>14</v>
      </c>
      <c r="G46" s="7">
        <v>14</v>
      </c>
    </row>
    <row r="47" spans="1:13" ht="15.75" thickBot="1">
      <c r="A47" s="25" t="s">
        <v>17</v>
      </c>
      <c r="B47" s="7">
        <v>31</v>
      </c>
      <c r="C47" s="7">
        <v>32</v>
      </c>
      <c r="D47" s="7">
        <v>36</v>
      </c>
      <c r="E47" s="7">
        <v>38</v>
      </c>
      <c r="F47" s="7">
        <v>39</v>
      </c>
      <c r="G47" s="7">
        <v>41</v>
      </c>
    </row>
    <row r="48" spans="1:13" ht="15.75" thickBot="1">
      <c r="A48" s="25" t="s">
        <v>22</v>
      </c>
      <c r="B48" s="7">
        <v>7</v>
      </c>
      <c r="C48" s="7">
        <v>7</v>
      </c>
      <c r="D48" s="7">
        <v>8</v>
      </c>
      <c r="E48" s="7">
        <v>9</v>
      </c>
      <c r="F48" s="7">
        <v>9</v>
      </c>
      <c r="G48" s="7">
        <v>9</v>
      </c>
    </row>
    <row r="49" spans="1:11" ht="15.75" thickBot="1">
      <c r="A49" s="25" t="s">
        <v>23</v>
      </c>
      <c r="B49" s="7">
        <v>0</v>
      </c>
      <c r="C49" s="7">
        <v>0</v>
      </c>
      <c r="D49" s="7">
        <v>0</v>
      </c>
      <c r="E49" s="7">
        <v>0</v>
      </c>
      <c r="F49" s="7">
        <v>28</v>
      </c>
      <c r="G49" s="7">
        <v>60</v>
      </c>
    </row>
    <row r="50" spans="1:11" ht="15.75" thickBot="1">
      <c r="A50" s="59" t="s">
        <v>18</v>
      </c>
      <c r="B50" s="24">
        <f t="shared" ref="B50:G50" si="3">SUM(B44:B49)</f>
        <v>61468</v>
      </c>
      <c r="C50" s="24">
        <f t="shared" si="3"/>
        <v>62746</v>
      </c>
      <c r="D50" s="24">
        <f t="shared" si="3"/>
        <v>69118</v>
      </c>
      <c r="E50" s="24">
        <f t="shared" si="3"/>
        <v>74411</v>
      </c>
      <c r="F50" s="24">
        <f t="shared" si="3"/>
        <v>89898</v>
      </c>
      <c r="G50" s="24">
        <f t="shared" si="3"/>
        <v>103924</v>
      </c>
      <c r="H50" s="19"/>
      <c r="I50" s="19"/>
      <c r="J50" s="19"/>
      <c r="K50" s="19"/>
    </row>
  </sheetData>
  <mergeCells count="7">
    <mergeCell ref="A1:M1"/>
    <mergeCell ref="A15:M15"/>
    <mergeCell ref="A41:K41"/>
    <mergeCell ref="A3:K3"/>
    <mergeCell ref="A28:M28"/>
    <mergeCell ref="A17:M17"/>
    <mergeCell ref="A30:M30"/>
  </mergeCells>
  <pageMargins left="0.7" right="0.7" top="0.75" bottom="0.75" header="0.3" footer="0.3"/>
  <pageSetup orientation="portrait" r:id="rId1"/>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42"/>
  <sheetViews>
    <sheetView showGridLines="0" zoomScale="70" zoomScaleNormal="70" workbookViewId="0">
      <selection activeCell="A49" sqref="A48:A49"/>
    </sheetView>
  </sheetViews>
  <sheetFormatPr baseColWidth="10" defaultRowHeight="15"/>
  <cols>
    <col min="1" max="1" width="29.7109375" customWidth="1"/>
    <col min="16" max="16" width="15.42578125" bestFit="1" customWidth="1"/>
  </cols>
  <sheetData>
    <row r="1" spans="1:13" ht="20.25">
      <c r="A1" s="617" t="s">
        <v>20</v>
      </c>
      <c r="B1" s="617"/>
      <c r="C1" s="617"/>
      <c r="D1" s="617"/>
      <c r="E1" s="617"/>
      <c r="F1" s="617"/>
      <c r="G1" s="617"/>
      <c r="H1" s="617"/>
      <c r="I1" s="617"/>
      <c r="J1" s="617"/>
      <c r="K1" s="617"/>
      <c r="L1" s="617"/>
      <c r="M1" s="617"/>
    </row>
    <row r="2" spans="1:13">
      <c r="A2" s="2"/>
      <c r="B2" s="2"/>
      <c r="C2" s="2"/>
      <c r="D2" s="2"/>
      <c r="E2" s="2"/>
      <c r="F2" s="2"/>
      <c r="G2" s="2"/>
      <c r="H2" s="2"/>
      <c r="I2" s="2"/>
      <c r="J2" s="2"/>
      <c r="K2" s="2"/>
      <c r="L2" s="2"/>
      <c r="M2" s="2"/>
    </row>
    <row r="3" spans="1:13">
      <c r="A3" s="14" t="s">
        <v>41</v>
      </c>
    </row>
    <row r="4" spans="1:13" ht="15.75" thickBot="1"/>
    <row r="5" spans="1:13" ht="15.75" thickBot="1">
      <c r="A5" s="29" t="s">
        <v>1</v>
      </c>
      <c r="B5" s="30">
        <v>2019</v>
      </c>
      <c r="C5" s="30">
        <v>2020</v>
      </c>
      <c r="D5" s="30">
        <v>2021</v>
      </c>
      <c r="E5" s="30">
        <v>2022</v>
      </c>
      <c r="F5" s="30">
        <v>2023</v>
      </c>
      <c r="G5" s="30">
        <v>2024</v>
      </c>
    </row>
    <row r="6" spans="1:13" ht="15.75" thickBot="1">
      <c r="A6" s="32" t="s">
        <v>14</v>
      </c>
      <c r="B6" s="37">
        <v>251.65719595285884</v>
      </c>
      <c r="C6" s="37">
        <v>570.27802254435176</v>
      </c>
      <c r="D6" s="37">
        <v>712.78483669538991</v>
      </c>
      <c r="E6" s="37">
        <v>893.41632397048227</v>
      </c>
      <c r="F6" s="37">
        <v>964.97683765757699</v>
      </c>
      <c r="G6" s="37">
        <v>1151.2031906672275</v>
      </c>
    </row>
    <row r="7" spans="1:13" ht="15.75" thickBot="1">
      <c r="A7" s="32" t="s">
        <v>15</v>
      </c>
      <c r="B7" s="37">
        <v>12.195902214578201</v>
      </c>
      <c r="C7" s="37">
        <v>10.7975913699257</v>
      </c>
      <c r="D7" s="37">
        <v>15.617277143439999</v>
      </c>
      <c r="E7" s="37">
        <v>25.699583292090296</v>
      </c>
      <c r="F7" s="37">
        <v>44.208856100957597</v>
      </c>
      <c r="G7" s="37">
        <v>50.815774804309221</v>
      </c>
      <c r="H7" s="5"/>
      <c r="I7" s="2"/>
      <c r="J7" s="2"/>
      <c r="K7" s="2"/>
      <c r="L7" s="2"/>
      <c r="M7" s="2"/>
    </row>
    <row r="8" spans="1:13" ht="15.75" thickBot="1">
      <c r="A8" s="32" t="s">
        <v>16</v>
      </c>
      <c r="B8" s="37">
        <v>38.211324729840392</v>
      </c>
      <c r="C8" s="37">
        <v>23.979145800419101</v>
      </c>
      <c r="D8" s="37">
        <v>70.744042048159997</v>
      </c>
      <c r="E8" s="37">
        <v>186.76108103300135</v>
      </c>
      <c r="F8" s="37">
        <v>255.16674243089608</v>
      </c>
      <c r="G8" s="37">
        <v>284.64603404392045</v>
      </c>
      <c r="K8" s="5"/>
      <c r="L8" s="5"/>
      <c r="M8" s="5"/>
    </row>
    <row r="9" spans="1:13" ht="15.75" thickBot="1">
      <c r="A9" s="32" t="s">
        <v>17</v>
      </c>
      <c r="B9" s="37">
        <v>1145.1800194331065</v>
      </c>
      <c r="C9" s="37">
        <v>1948.1518172287667</v>
      </c>
      <c r="D9" s="37">
        <v>2237.2271811947103</v>
      </c>
      <c r="E9" s="37">
        <v>2270.4087105778171</v>
      </c>
      <c r="F9" s="37">
        <v>1586.3091878622326</v>
      </c>
      <c r="G9" s="37">
        <v>1719.792961871703</v>
      </c>
      <c r="K9" s="2"/>
      <c r="L9" s="2"/>
      <c r="M9" s="2"/>
    </row>
    <row r="10" spans="1:13" ht="15.75" thickBot="1">
      <c r="A10" s="56" t="s">
        <v>18</v>
      </c>
      <c r="B10" s="39">
        <f t="shared" ref="B10:G10" si="0">SUM(B6:B9)</f>
        <v>1447.2444423303839</v>
      </c>
      <c r="C10" s="39">
        <f t="shared" si="0"/>
        <v>2553.2065769434635</v>
      </c>
      <c r="D10" s="39">
        <f t="shared" si="0"/>
        <v>3036.3733370816999</v>
      </c>
      <c r="E10" s="39">
        <f t="shared" si="0"/>
        <v>3376.2856988733911</v>
      </c>
      <c r="F10" s="39">
        <f t="shared" si="0"/>
        <v>2850.6616240516632</v>
      </c>
      <c r="G10" s="39">
        <f t="shared" si="0"/>
        <v>3206.4579613871601</v>
      </c>
      <c r="K10" s="2"/>
      <c r="L10" s="2"/>
      <c r="M10" s="2"/>
    </row>
    <row r="11" spans="1:13">
      <c r="A11" s="2"/>
      <c r="B11" s="2"/>
      <c r="C11" s="2"/>
      <c r="D11" s="2"/>
      <c r="E11" s="2"/>
      <c r="F11" s="2"/>
      <c r="G11" s="2"/>
      <c r="K11" s="2"/>
      <c r="L11" s="2"/>
      <c r="M11" s="2"/>
    </row>
    <row r="13" spans="1:13">
      <c r="A13" s="623" t="s">
        <v>40</v>
      </c>
      <c r="B13" s="623"/>
      <c r="C13" s="623"/>
      <c r="D13" s="623"/>
      <c r="E13" s="623"/>
      <c r="F13" s="623"/>
      <c r="G13" s="623"/>
      <c r="H13" s="623"/>
      <c r="I13" s="623"/>
      <c r="J13" s="623"/>
      <c r="K13" s="623"/>
      <c r="L13" s="623"/>
      <c r="M13" s="623"/>
    </row>
    <row r="15" spans="1:13" ht="15.75" thickBot="1">
      <c r="A15" s="614">
        <v>2024</v>
      </c>
      <c r="B15" s="614"/>
      <c r="C15" s="614"/>
      <c r="D15" s="614"/>
      <c r="E15" s="614"/>
      <c r="F15" s="614"/>
      <c r="G15" s="614"/>
      <c r="H15" s="614"/>
      <c r="I15" s="614"/>
      <c r="J15" s="614"/>
      <c r="K15" s="614"/>
      <c r="L15" s="614"/>
      <c r="M15" s="615"/>
    </row>
    <row r="16" spans="1:13" ht="15.75" thickBot="1">
      <c r="A16" s="55"/>
      <c r="B16" s="36" t="s">
        <v>2</v>
      </c>
      <c r="C16" s="36" t="s">
        <v>3</v>
      </c>
      <c r="D16" s="36" t="s">
        <v>4</v>
      </c>
      <c r="E16" s="36" t="s">
        <v>5</v>
      </c>
      <c r="F16" s="36" t="s">
        <v>6</v>
      </c>
      <c r="G16" s="36" t="s">
        <v>7</v>
      </c>
      <c r="H16" s="36" t="s">
        <v>8</v>
      </c>
      <c r="I16" s="36" t="s">
        <v>9</v>
      </c>
      <c r="J16" s="36" t="s">
        <v>10</v>
      </c>
      <c r="K16" s="36" t="s">
        <v>11</v>
      </c>
      <c r="L16" s="36" t="s">
        <v>12</v>
      </c>
      <c r="M16" s="36" t="s">
        <v>13</v>
      </c>
    </row>
    <row r="17" spans="1:13" ht="15.75" thickBot="1">
      <c r="A17" s="32" t="s">
        <v>14</v>
      </c>
      <c r="B17" s="37">
        <v>88.934186778637851</v>
      </c>
      <c r="C17" s="37">
        <v>85.493754288110893</v>
      </c>
      <c r="D17" s="37">
        <v>84.085916251785861</v>
      </c>
      <c r="E17" s="37">
        <v>92.089882735302737</v>
      </c>
      <c r="F17" s="37">
        <v>97.240181624182554</v>
      </c>
      <c r="G17" s="37">
        <v>98.833399429765663</v>
      </c>
      <c r="H17" s="37">
        <v>98.259049406113249</v>
      </c>
      <c r="I17" s="37">
        <v>98.138265465485716</v>
      </c>
      <c r="J17" s="37">
        <v>102.22202176793657</v>
      </c>
      <c r="K17" s="37">
        <v>100.10472931550001</v>
      </c>
      <c r="L17" s="37">
        <v>104.23295985390898</v>
      </c>
      <c r="M17" s="37">
        <v>101.56884375049759</v>
      </c>
    </row>
    <row r="18" spans="1:13" ht="15.75" thickBot="1">
      <c r="A18" s="32" t="s">
        <v>15</v>
      </c>
      <c r="B18" s="37">
        <v>3.6882669599735993</v>
      </c>
      <c r="C18" s="37">
        <v>3.3957989854076995</v>
      </c>
      <c r="D18" s="37">
        <v>3.5662805548326997</v>
      </c>
      <c r="E18" s="37">
        <v>3.5929456027096003</v>
      </c>
      <c r="F18" s="37">
        <v>4.0899893417052997</v>
      </c>
      <c r="G18" s="37">
        <v>4.4914129613287992</v>
      </c>
      <c r="H18" s="37">
        <v>4.5663498435167202</v>
      </c>
      <c r="I18" s="37">
        <v>4.9557627319851996</v>
      </c>
      <c r="J18" s="37">
        <v>4.7046016206248993</v>
      </c>
      <c r="K18" s="37">
        <v>4.5404777512400001</v>
      </c>
      <c r="L18" s="37">
        <v>4.6874122050024001</v>
      </c>
      <c r="M18" s="37">
        <v>4.5364762459822998</v>
      </c>
    </row>
    <row r="19" spans="1:13" ht="15.75" thickBot="1">
      <c r="A19" s="32" t="s">
        <v>16</v>
      </c>
      <c r="B19" s="37">
        <v>21.551565944081101</v>
      </c>
      <c r="C19" s="37">
        <v>21.503108566493896</v>
      </c>
      <c r="D19" s="37">
        <v>20.592772300434397</v>
      </c>
      <c r="E19" s="37">
        <v>19.276430336318899</v>
      </c>
      <c r="F19" s="37">
        <v>19.5318104913041</v>
      </c>
      <c r="G19" s="37">
        <v>20.756787047488999</v>
      </c>
      <c r="H19" s="37">
        <v>20.665304421343407</v>
      </c>
      <c r="I19" s="37">
        <v>23.424426495526099</v>
      </c>
      <c r="J19" s="37">
        <v>25.8110346248768</v>
      </c>
      <c r="K19" s="37">
        <v>26.229935827829998</v>
      </c>
      <c r="L19" s="37">
        <v>31.973178267264991</v>
      </c>
      <c r="M19" s="37">
        <v>33.329679720957806</v>
      </c>
    </row>
    <row r="20" spans="1:13" ht="15.75" thickBot="1">
      <c r="A20" s="32" t="s">
        <v>17</v>
      </c>
      <c r="B20" s="37">
        <v>129.6671452785744</v>
      </c>
      <c r="C20" s="37">
        <v>121.89585408925957</v>
      </c>
      <c r="D20" s="37">
        <v>60.952660976143292</v>
      </c>
      <c r="E20" s="37">
        <v>63.885834606230688</v>
      </c>
      <c r="F20" s="37">
        <v>223.3195556054967</v>
      </c>
      <c r="G20" s="37">
        <v>342.45180757504795</v>
      </c>
      <c r="H20" s="37">
        <v>144.64020798252068</v>
      </c>
      <c r="I20" s="37">
        <v>76.20261469845849</v>
      </c>
      <c r="J20" s="37">
        <v>67.547639930826605</v>
      </c>
      <c r="K20" s="37">
        <v>47.998993170600002</v>
      </c>
      <c r="L20" s="37">
        <v>72.352307787776709</v>
      </c>
      <c r="M20" s="37">
        <v>368.87834017076796</v>
      </c>
    </row>
    <row r="21" spans="1:13" ht="15.75" thickBot="1">
      <c r="A21" s="56" t="s">
        <v>18</v>
      </c>
      <c r="B21" s="39">
        <f t="shared" ref="B21:M21" si="1">SUM(B17:B20)</f>
        <v>243.84116496126694</v>
      </c>
      <c r="C21" s="39">
        <f t="shared" si="1"/>
        <v>232.28851592927205</v>
      </c>
      <c r="D21" s="39">
        <f t="shared" si="1"/>
        <v>169.19763008319626</v>
      </c>
      <c r="E21" s="39">
        <f t="shared" si="1"/>
        <v>178.84509328056191</v>
      </c>
      <c r="F21" s="39">
        <f t="shared" si="1"/>
        <v>344.18153706268868</v>
      </c>
      <c r="G21" s="39">
        <f t="shared" si="1"/>
        <v>466.5334070136314</v>
      </c>
      <c r="H21" s="39">
        <f t="shared" si="1"/>
        <v>268.13091165349408</v>
      </c>
      <c r="I21" s="39">
        <f t="shared" si="1"/>
        <v>202.7210693914555</v>
      </c>
      <c r="J21" s="39">
        <f t="shared" si="1"/>
        <v>200.28529794426487</v>
      </c>
      <c r="K21" s="39">
        <f t="shared" si="1"/>
        <v>178.87413606517003</v>
      </c>
      <c r="L21" s="39">
        <f t="shared" si="1"/>
        <v>213.24585811395309</v>
      </c>
      <c r="M21" s="39">
        <f t="shared" si="1"/>
        <v>508.31333988820563</v>
      </c>
    </row>
    <row r="24" spans="1:13">
      <c r="A24" s="622" t="s">
        <v>42</v>
      </c>
      <c r="B24" s="622"/>
      <c r="C24" s="622"/>
      <c r="D24" s="622"/>
      <c r="E24" s="622"/>
      <c r="F24" s="622"/>
      <c r="G24" s="622"/>
      <c r="H24" s="622"/>
      <c r="I24" s="622"/>
      <c r="J24" s="622"/>
      <c r="K24" s="622"/>
      <c r="L24" s="622"/>
      <c r="M24" s="622"/>
    </row>
    <row r="25" spans="1:13">
      <c r="B25" s="2"/>
      <c r="C25" s="2"/>
      <c r="D25" s="2"/>
      <c r="E25" s="2"/>
      <c r="F25" s="2"/>
      <c r="G25" s="2"/>
      <c r="H25" s="2"/>
      <c r="I25" s="2"/>
      <c r="J25" s="2"/>
      <c r="K25" s="2"/>
      <c r="L25" s="2"/>
      <c r="M25" s="2"/>
    </row>
    <row r="26" spans="1:13" ht="15.75" thickBot="1">
      <c r="A26" s="614">
        <v>2024</v>
      </c>
      <c r="B26" s="614"/>
      <c r="C26" s="614"/>
      <c r="D26" s="614"/>
      <c r="E26" s="614"/>
      <c r="F26" s="614"/>
      <c r="G26" s="614"/>
      <c r="H26" s="614"/>
      <c r="I26" s="614"/>
      <c r="J26" s="614"/>
      <c r="K26" s="614"/>
      <c r="L26" s="614"/>
      <c r="M26" s="615"/>
    </row>
    <row r="27" spans="1:13" ht="15.75" thickBot="1">
      <c r="A27" s="55" t="s">
        <v>1</v>
      </c>
      <c r="B27" s="36" t="s">
        <v>2</v>
      </c>
      <c r="C27" s="36" t="s">
        <v>3</v>
      </c>
      <c r="D27" s="36" t="s">
        <v>4</v>
      </c>
      <c r="E27" s="36" t="s">
        <v>5</v>
      </c>
      <c r="F27" s="36" t="s">
        <v>6</v>
      </c>
      <c r="G27" s="36" t="s">
        <v>7</v>
      </c>
      <c r="H27" s="36" t="s">
        <v>8</v>
      </c>
      <c r="I27" s="36" t="s">
        <v>9</v>
      </c>
      <c r="J27" s="36" t="s">
        <v>10</v>
      </c>
      <c r="K27" s="36" t="s">
        <v>11</v>
      </c>
      <c r="L27" s="36" t="s">
        <v>12</v>
      </c>
      <c r="M27" s="36" t="s">
        <v>13</v>
      </c>
    </row>
    <row r="28" spans="1:13" ht="15.75" thickBot="1">
      <c r="A28" s="32" t="s">
        <v>14</v>
      </c>
      <c r="B28" s="33">
        <v>226253</v>
      </c>
      <c r="C28" s="33">
        <v>231083</v>
      </c>
      <c r="D28" s="33">
        <v>239629</v>
      </c>
      <c r="E28" s="33">
        <v>245781</v>
      </c>
      <c r="F28" s="33">
        <v>252995</v>
      </c>
      <c r="G28" s="33">
        <v>254201</v>
      </c>
      <c r="H28" s="33">
        <v>258283</v>
      </c>
      <c r="I28" s="33">
        <v>260721</v>
      </c>
      <c r="J28" s="33">
        <v>267187</v>
      </c>
      <c r="K28" s="33">
        <v>271680</v>
      </c>
      <c r="L28" s="33">
        <v>274039</v>
      </c>
      <c r="M28" s="33">
        <v>275976</v>
      </c>
    </row>
    <row r="29" spans="1:13" ht="15.75" thickBot="1">
      <c r="A29" s="32" t="s">
        <v>15</v>
      </c>
      <c r="B29" s="33">
        <v>424</v>
      </c>
      <c r="C29" s="33">
        <v>428</v>
      </c>
      <c r="D29" s="33">
        <v>433</v>
      </c>
      <c r="E29" s="33">
        <v>450</v>
      </c>
      <c r="F29" s="33">
        <v>456</v>
      </c>
      <c r="G29" s="33">
        <v>472</v>
      </c>
      <c r="H29" s="33">
        <v>480</v>
      </c>
      <c r="I29" s="33">
        <v>498</v>
      </c>
      <c r="J29" s="33">
        <v>508</v>
      </c>
      <c r="K29" s="33">
        <v>531</v>
      </c>
      <c r="L29" s="33">
        <v>537</v>
      </c>
      <c r="M29" s="33">
        <v>542</v>
      </c>
    </row>
    <row r="30" spans="1:13" ht="15.75" thickBot="1">
      <c r="A30" s="32" t="s">
        <v>16</v>
      </c>
      <c r="B30" s="33">
        <v>2</v>
      </c>
      <c r="C30" s="33">
        <v>2</v>
      </c>
      <c r="D30" s="33">
        <v>2</v>
      </c>
      <c r="E30" s="33">
        <v>2</v>
      </c>
      <c r="F30" s="33">
        <v>2</v>
      </c>
      <c r="G30" s="33">
        <v>2</v>
      </c>
      <c r="H30" s="33">
        <v>3</v>
      </c>
      <c r="I30" s="33">
        <v>3</v>
      </c>
      <c r="J30" s="33">
        <v>3</v>
      </c>
      <c r="K30" s="33">
        <v>3</v>
      </c>
      <c r="L30" s="33">
        <v>3</v>
      </c>
      <c r="M30" s="33">
        <v>3</v>
      </c>
    </row>
    <row r="31" spans="1:13" ht="15.75" thickBot="1">
      <c r="A31" s="32" t="s">
        <v>17</v>
      </c>
      <c r="B31" s="33">
        <v>58</v>
      </c>
      <c r="C31" s="33">
        <v>58</v>
      </c>
      <c r="D31" s="33">
        <v>58</v>
      </c>
      <c r="E31" s="33">
        <v>58</v>
      </c>
      <c r="F31" s="33">
        <v>59</v>
      </c>
      <c r="G31" s="33">
        <v>58</v>
      </c>
      <c r="H31" s="33">
        <v>58</v>
      </c>
      <c r="I31" s="33">
        <v>59</v>
      </c>
      <c r="J31" s="33">
        <v>60</v>
      </c>
      <c r="K31" s="33">
        <v>60</v>
      </c>
      <c r="L31" s="33">
        <v>63</v>
      </c>
      <c r="M31" s="33">
        <v>63</v>
      </c>
    </row>
    <row r="32" spans="1:13" ht="15.75" thickBot="1">
      <c r="A32" s="56" t="s">
        <v>18</v>
      </c>
      <c r="B32" s="35">
        <f t="shared" ref="B32:M32" si="2">SUM(B28:B31)</f>
        <v>226737</v>
      </c>
      <c r="C32" s="35">
        <f t="shared" si="2"/>
        <v>231571</v>
      </c>
      <c r="D32" s="35">
        <f t="shared" si="2"/>
        <v>240122</v>
      </c>
      <c r="E32" s="35">
        <f t="shared" si="2"/>
        <v>246291</v>
      </c>
      <c r="F32" s="35">
        <f t="shared" si="2"/>
        <v>253512</v>
      </c>
      <c r="G32" s="35">
        <f t="shared" si="2"/>
        <v>254733</v>
      </c>
      <c r="H32" s="35">
        <f t="shared" si="2"/>
        <v>258824</v>
      </c>
      <c r="I32" s="35">
        <f t="shared" si="2"/>
        <v>261281</v>
      </c>
      <c r="J32" s="35">
        <f t="shared" si="2"/>
        <v>267758</v>
      </c>
      <c r="K32" s="35">
        <f t="shared" si="2"/>
        <v>272274</v>
      </c>
      <c r="L32" s="35">
        <f t="shared" si="2"/>
        <v>274642</v>
      </c>
      <c r="M32" s="35">
        <f t="shared" si="2"/>
        <v>276584</v>
      </c>
    </row>
    <row r="35" spans="1:7">
      <c r="A35" s="9" t="s">
        <v>43</v>
      </c>
    </row>
    <row r="36" spans="1:7" ht="15.75" thickBot="1"/>
    <row r="37" spans="1:7" ht="15.75" thickBot="1">
      <c r="A37" s="29" t="s">
        <v>1</v>
      </c>
      <c r="B37" s="30">
        <v>2019</v>
      </c>
      <c r="C37" s="30">
        <v>2020</v>
      </c>
      <c r="D37" s="30">
        <v>2021</v>
      </c>
      <c r="E37" s="30">
        <v>2022</v>
      </c>
      <c r="F37" s="30">
        <v>2023</v>
      </c>
      <c r="G37" s="30">
        <v>2024</v>
      </c>
    </row>
    <row r="38" spans="1:7" ht="15.75" thickBot="1">
      <c r="A38" s="32" t="s">
        <v>14</v>
      </c>
      <c r="B38" s="33">
        <v>87345</v>
      </c>
      <c r="C38" s="33">
        <v>115753</v>
      </c>
      <c r="D38" s="33">
        <v>158665</v>
      </c>
      <c r="E38" s="33">
        <v>196977</v>
      </c>
      <c r="F38" s="33">
        <v>224212</v>
      </c>
      <c r="G38" s="33">
        <v>275976</v>
      </c>
    </row>
    <row r="39" spans="1:7" ht="15.75" thickBot="1">
      <c r="A39" s="32" t="s">
        <v>15</v>
      </c>
      <c r="B39" s="33">
        <v>118</v>
      </c>
      <c r="C39" s="33">
        <v>135</v>
      </c>
      <c r="D39" s="33">
        <v>185</v>
      </c>
      <c r="E39" s="33">
        <v>330</v>
      </c>
      <c r="F39" s="33">
        <v>401</v>
      </c>
      <c r="G39" s="33">
        <v>542</v>
      </c>
    </row>
    <row r="40" spans="1:7" ht="15.75" thickBot="1">
      <c r="A40" s="32" t="s">
        <v>16</v>
      </c>
      <c r="B40" s="34">
        <v>1</v>
      </c>
      <c r="C40" s="34">
        <v>1</v>
      </c>
      <c r="D40" s="34">
        <v>2</v>
      </c>
      <c r="E40" s="34">
        <v>2</v>
      </c>
      <c r="F40" s="34">
        <v>2</v>
      </c>
      <c r="G40" s="34">
        <v>3</v>
      </c>
    </row>
    <row r="41" spans="1:7" ht="15.75" thickBot="1">
      <c r="A41" s="32" t="s">
        <v>17</v>
      </c>
      <c r="B41" s="34">
        <v>26</v>
      </c>
      <c r="C41" s="34">
        <v>32</v>
      </c>
      <c r="D41" s="34">
        <v>45</v>
      </c>
      <c r="E41" s="34">
        <v>50</v>
      </c>
      <c r="F41" s="34">
        <v>58</v>
      </c>
      <c r="G41" s="34">
        <v>63</v>
      </c>
    </row>
    <row r="42" spans="1:7" ht="15.75" thickBot="1">
      <c r="A42" s="56" t="s">
        <v>18</v>
      </c>
      <c r="B42" s="35">
        <f t="shared" ref="B42:G42" si="3">SUM(B38:B41)</f>
        <v>87490</v>
      </c>
      <c r="C42" s="35">
        <f t="shared" si="3"/>
        <v>115921</v>
      </c>
      <c r="D42" s="35">
        <f t="shared" si="3"/>
        <v>158897</v>
      </c>
      <c r="E42" s="35">
        <f t="shared" si="3"/>
        <v>197359</v>
      </c>
      <c r="F42" s="35">
        <f t="shared" si="3"/>
        <v>224673</v>
      </c>
      <c r="G42" s="35">
        <f t="shared" si="3"/>
        <v>276584</v>
      </c>
    </row>
  </sheetData>
  <mergeCells count="5">
    <mergeCell ref="A1:M1"/>
    <mergeCell ref="A24:M24"/>
    <mergeCell ref="A13:M13"/>
    <mergeCell ref="A15:M15"/>
    <mergeCell ref="A26:M26"/>
  </mergeCells>
  <pageMargins left="0.7" right="0.7" top="0.75" bottom="0.75" header="0.3" footer="0.3"/>
  <pageSetup orientation="portrait" r:id="rId1"/>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42"/>
  <sheetViews>
    <sheetView showGridLines="0" zoomScale="60" zoomScaleNormal="60" workbookViewId="0">
      <selection activeCell="Q45" sqref="Q45"/>
    </sheetView>
  </sheetViews>
  <sheetFormatPr baseColWidth="10" defaultRowHeight="15"/>
  <cols>
    <col min="1" max="1" width="17.5703125" customWidth="1"/>
    <col min="16" max="16" width="16.140625" bestFit="1" customWidth="1"/>
  </cols>
  <sheetData>
    <row r="1" spans="1:13" ht="20.25">
      <c r="A1" s="617" t="s">
        <v>19</v>
      </c>
      <c r="B1" s="617"/>
      <c r="C1" s="617"/>
      <c r="D1" s="617"/>
      <c r="E1" s="617"/>
      <c r="F1" s="617"/>
      <c r="G1" s="617"/>
      <c r="H1" s="617"/>
      <c r="I1" s="617"/>
      <c r="J1" s="617"/>
      <c r="K1" s="617"/>
      <c r="L1" s="617"/>
      <c r="M1" s="617"/>
    </row>
    <row r="3" spans="1:13">
      <c r="A3" s="60" t="s">
        <v>45</v>
      </c>
      <c r="B3" s="60"/>
      <c r="C3" s="60"/>
      <c r="D3" s="60"/>
      <c r="E3" s="60"/>
      <c r="F3" s="60"/>
      <c r="G3" s="60"/>
      <c r="H3" s="60"/>
    </row>
    <row r="4" spans="1:13" ht="15.75" thickBot="1"/>
    <row r="5" spans="1:13" ht="15.75" thickBot="1">
      <c r="A5" s="55" t="s">
        <v>1</v>
      </c>
      <c r="B5" s="30">
        <v>2019</v>
      </c>
      <c r="C5" s="30">
        <v>2020</v>
      </c>
      <c r="D5" s="30">
        <v>2021</v>
      </c>
      <c r="E5" s="30">
        <v>2022</v>
      </c>
      <c r="F5" s="30">
        <v>2023</v>
      </c>
      <c r="G5" s="30">
        <v>2024</v>
      </c>
    </row>
    <row r="6" spans="1:13" ht="15.75" thickBot="1">
      <c r="A6" s="32" t="s">
        <v>14</v>
      </c>
      <c r="B6" s="37">
        <v>52.016036883099993</v>
      </c>
      <c r="C6" s="37">
        <v>62.040565053309997</v>
      </c>
      <c r="D6" s="37">
        <v>55.934270148940001</v>
      </c>
      <c r="E6" s="37">
        <v>53.518993923629999</v>
      </c>
      <c r="F6" s="37">
        <v>53.637262753460007</v>
      </c>
      <c r="G6" s="37">
        <v>53.746985433149995</v>
      </c>
    </row>
    <row r="7" spans="1:13" ht="15.75" thickBot="1">
      <c r="A7" s="32" t="s">
        <v>15</v>
      </c>
      <c r="B7" s="37">
        <v>3.9784094635199998</v>
      </c>
      <c r="C7" s="37">
        <v>19.298584288250002</v>
      </c>
      <c r="D7" s="37">
        <v>33.31367016846</v>
      </c>
      <c r="E7" s="37">
        <v>38.018502393879999</v>
      </c>
      <c r="F7" s="37">
        <v>40.447410081809998</v>
      </c>
      <c r="G7" s="37">
        <v>41.811086063860003</v>
      </c>
    </row>
    <row r="8" spans="1:13" ht="15.75" thickBot="1">
      <c r="A8" s="32" t="s">
        <v>16</v>
      </c>
      <c r="B8" s="37">
        <v>0</v>
      </c>
      <c r="C8" s="37">
        <v>0</v>
      </c>
      <c r="D8" s="37">
        <v>0</v>
      </c>
      <c r="E8" s="37">
        <v>0</v>
      </c>
      <c r="F8" s="37">
        <v>0</v>
      </c>
      <c r="G8" s="37">
        <v>0</v>
      </c>
    </row>
    <row r="9" spans="1:13" ht="15.75" thickBot="1">
      <c r="A9" s="32" t="s">
        <v>17</v>
      </c>
      <c r="B9" s="37">
        <v>935.76512391305005</v>
      </c>
      <c r="C9" s="37">
        <v>1052.48526420487</v>
      </c>
      <c r="D9" s="37">
        <v>1162.0006114673001</v>
      </c>
      <c r="E9" s="37">
        <v>1269.8688472062597</v>
      </c>
      <c r="F9" s="37">
        <v>1177.59472218722</v>
      </c>
      <c r="G9" s="37">
        <v>1124.4636952282099</v>
      </c>
    </row>
    <row r="10" spans="1:13" ht="17.25" customHeight="1" thickBot="1">
      <c r="A10" s="56" t="s">
        <v>18</v>
      </c>
      <c r="B10" s="39">
        <f>SUM(B6:B9)</f>
        <v>991.75957025967</v>
      </c>
      <c r="C10" s="39">
        <f t="shared" ref="C10:G10" si="0">SUM(C6:C9)</f>
        <v>1133.8244135464299</v>
      </c>
      <c r="D10" s="39">
        <f t="shared" si="0"/>
        <v>1251.2485517847001</v>
      </c>
      <c r="E10" s="39">
        <f t="shared" si="0"/>
        <v>1361.4063435237697</v>
      </c>
      <c r="F10" s="39">
        <f t="shared" si="0"/>
        <v>1271.6793950224901</v>
      </c>
      <c r="G10" s="39">
        <f t="shared" si="0"/>
        <v>1220.0217667252198</v>
      </c>
      <c r="I10" s="12"/>
      <c r="J10" s="12"/>
      <c r="K10" s="12"/>
      <c r="L10" s="12"/>
      <c r="M10" s="12"/>
    </row>
    <row r="13" spans="1:13">
      <c r="A13" s="624" t="s">
        <v>44</v>
      </c>
      <c r="B13" s="624"/>
      <c r="C13" s="624"/>
      <c r="D13" s="624"/>
      <c r="E13" s="624"/>
      <c r="F13" s="624"/>
      <c r="G13" s="624"/>
      <c r="H13" s="624"/>
      <c r="I13" s="624"/>
      <c r="J13" s="624"/>
      <c r="K13" s="624"/>
      <c r="L13" s="624"/>
      <c r="M13" s="624"/>
    </row>
    <row r="15" spans="1:13" ht="17.25" customHeight="1" thickBot="1">
      <c r="A15" s="614">
        <v>2024</v>
      </c>
      <c r="B15" s="614"/>
      <c r="C15" s="614"/>
      <c r="D15" s="614"/>
      <c r="E15" s="614"/>
      <c r="F15" s="614"/>
      <c r="G15" s="614"/>
      <c r="H15" s="614"/>
      <c r="I15" s="614"/>
      <c r="J15" s="614"/>
      <c r="K15" s="614"/>
      <c r="L15" s="614"/>
      <c r="M15" s="615"/>
    </row>
    <row r="16" spans="1:13" ht="17.25" customHeight="1" thickBot="1">
      <c r="A16" s="55" t="s">
        <v>1</v>
      </c>
      <c r="B16" s="36" t="s">
        <v>2</v>
      </c>
      <c r="C16" s="36" t="s">
        <v>3</v>
      </c>
      <c r="D16" s="36" t="s">
        <v>4</v>
      </c>
      <c r="E16" s="36" t="s">
        <v>5</v>
      </c>
      <c r="F16" s="36" t="s">
        <v>6</v>
      </c>
      <c r="G16" s="36" t="s">
        <v>7</v>
      </c>
      <c r="H16" s="36" t="s">
        <v>8</v>
      </c>
      <c r="I16" s="36" t="s">
        <v>9</v>
      </c>
      <c r="J16" s="36" t="s">
        <v>10</v>
      </c>
      <c r="K16" s="36" t="s">
        <v>11</v>
      </c>
      <c r="L16" s="36" t="s">
        <v>12</v>
      </c>
      <c r="M16" s="36" t="s">
        <v>13</v>
      </c>
    </row>
    <row r="17" spans="1:13" ht="15.75" thickBot="1">
      <c r="A17" s="32" t="s">
        <v>14</v>
      </c>
      <c r="B17" s="37">
        <v>0.14150246514129033</v>
      </c>
      <c r="C17" s="37">
        <v>0.13931759089724138</v>
      </c>
      <c r="D17" s="37">
        <v>0.12201218484999998</v>
      </c>
      <c r="E17" s="37">
        <v>0.15082542410300001</v>
      </c>
      <c r="F17" s="37">
        <v>0.14610818161903225</v>
      </c>
      <c r="G17" s="37">
        <v>0.15582715853066667</v>
      </c>
      <c r="H17" s="37">
        <v>0.1421723046883871</v>
      </c>
      <c r="I17" s="37">
        <v>0.14836376376741936</v>
      </c>
      <c r="J17" s="37">
        <v>0.16281593172366665</v>
      </c>
      <c r="K17" s="37">
        <v>0.14505329825064517</v>
      </c>
      <c r="L17" s="37">
        <v>0.16127621211166665</v>
      </c>
      <c r="M17" s="37">
        <v>0.14783404371741934</v>
      </c>
    </row>
    <row r="18" spans="1:13" ht="15.75" thickBot="1">
      <c r="A18" s="32" t="s">
        <v>15</v>
      </c>
      <c r="B18" s="37">
        <v>0.10019341470451612</v>
      </c>
      <c r="C18" s="37">
        <v>0.11561535859103447</v>
      </c>
      <c r="D18" s="37">
        <v>9.8778549538709681E-2</v>
      </c>
      <c r="E18" s="37">
        <v>0.11078329694566666</v>
      </c>
      <c r="F18" s="37">
        <v>0.10925219715096773</v>
      </c>
      <c r="G18" s="37">
        <v>0.11754134762799999</v>
      </c>
      <c r="H18" s="37">
        <v>0.11239748114677418</v>
      </c>
      <c r="I18" s="37">
        <v>0.11256835858225807</v>
      </c>
      <c r="J18" s="37">
        <v>0.12298333827500001</v>
      </c>
      <c r="K18" s="37">
        <v>0.11608045947290321</v>
      </c>
      <c r="L18" s="37">
        <v>0.12433706729166666</v>
      </c>
      <c r="M18" s="37">
        <v>0.13101628651709676</v>
      </c>
    </row>
    <row r="19" spans="1:13" ht="15.75" thickBot="1">
      <c r="A19" s="32" t="s">
        <v>16</v>
      </c>
      <c r="B19" s="37">
        <v>0</v>
      </c>
      <c r="C19" s="37">
        <v>0</v>
      </c>
      <c r="D19" s="37">
        <v>0</v>
      </c>
      <c r="E19" s="37">
        <v>0</v>
      </c>
      <c r="F19" s="37">
        <v>0</v>
      </c>
      <c r="G19" s="37">
        <v>0</v>
      </c>
      <c r="H19" s="37">
        <v>0</v>
      </c>
      <c r="I19" s="37">
        <v>0</v>
      </c>
      <c r="J19" s="37">
        <v>0</v>
      </c>
      <c r="K19" s="37">
        <v>0</v>
      </c>
      <c r="L19" s="37">
        <v>0</v>
      </c>
      <c r="M19" s="37">
        <v>0</v>
      </c>
    </row>
    <row r="20" spans="1:13" ht="15.75" thickBot="1">
      <c r="A20" s="32" t="s">
        <v>17</v>
      </c>
      <c r="B20" s="37">
        <v>3.0966112670832255</v>
      </c>
      <c r="C20" s="37">
        <v>3.2425430717631034</v>
      </c>
      <c r="D20" s="37">
        <v>2.0199296338429034</v>
      </c>
      <c r="E20" s="37">
        <v>2.6823175197603337</v>
      </c>
      <c r="F20" s="37">
        <v>3.2839943236519349</v>
      </c>
      <c r="G20" s="37">
        <v>3.5756915612410003</v>
      </c>
      <c r="H20" s="37">
        <v>3.2238192651548392</v>
      </c>
      <c r="I20" s="37">
        <v>3.2536692747680647</v>
      </c>
      <c r="J20" s="37">
        <v>3.3580637302103327</v>
      </c>
      <c r="K20" s="37">
        <v>3.0735485092074191</v>
      </c>
      <c r="L20" s="37">
        <v>3.251997296021</v>
      </c>
      <c r="M20" s="37">
        <v>2.8351323369399997</v>
      </c>
    </row>
    <row r="21" spans="1:13" ht="15.75" thickBot="1">
      <c r="A21" s="56" t="s">
        <v>18</v>
      </c>
      <c r="B21" s="39">
        <f>SUM(B17:B20)</f>
        <v>3.338307146929032</v>
      </c>
      <c r="C21" s="39">
        <f t="shared" ref="C21:M21" si="1">SUM(C17:C20)</f>
        <v>3.4974760212513791</v>
      </c>
      <c r="D21" s="39">
        <f t="shared" si="1"/>
        <v>2.2407203682316128</v>
      </c>
      <c r="E21" s="39">
        <f t="shared" si="1"/>
        <v>2.9439262408090006</v>
      </c>
      <c r="F21" s="39">
        <f t="shared" si="1"/>
        <v>3.5393547024219347</v>
      </c>
      <c r="G21" s="39">
        <f t="shared" si="1"/>
        <v>3.8490600673996669</v>
      </c>
      <c r="H21" s="39">
        <f t="shared" si="1"/>
        <v>3.4783890509900006</v>
      </c>
      <c r="I21" s="39">
        <f t="shared" si="1"/>
        <v>3.5146013971177421</v>
      </c>
      <c r="J21" s="39">
        <f t="shared" si="1"/>
        <v>3.6438630002089996</v>
      </c>
      <c r="K21" s="39">
        <f t="shared" si="1"/>
        <v>3.3346822669309675</v>
      </c>
      <c r="L21" s="39">
        <f t="shared" si="1"/>
        <v>3.5376105754243334</v>
      </c>
      <c r="M21" s="39">
        <f t="shared" si="1"/>
        <v>3.1139826671745157</v>
      </c>
    </row>
    <row r="24" spans="1:13">
      <c r="A24" s="624" t="s">
        <v>46</v>
      </c>
      <c r="B24" s="624"/>
      <c r="C24" s="624"/>
      <c r="D24" s="624"/>
      <c r="E24" s="624"/>
      <c r="F24" s="624"/>
      <c r="G24" s="624"/>
      <c r="H24" s="624"/>
      <c r="I24" s="624"/>
      <c r="J24" s="624"/>
      <c r="K24" s="624"/>
      <c r="L24" s="624"/>
      <c r="M24" s="624"/>
    </row>
    <row r="25" spans="1:13">
      <c r="A25" s="10"/>
    </row>
    <row r="26" spans="1:13" ht="15.75" thickBot="1">
      <c r="A26" s="614">
        <v>2024</v>
      </c>
      <c r="B26" s="614"/>
      <c r="C26" s="614"/>
      <c r="D26" s="614"/>
      <c r="E26" s="614"/>
      <c r="F26" s="614"/>
      <c r="G26" s="614"/>
      <c r="H26" s="614"/>
      <c r="I26" s="614"/>
      <c r="J26" s="614"/>
      <c r="K26" s="614"/>
      <c r="L26" s="614"/>
      <c r="M26" s="615"/>
    </row>
    <row r="27" spans="1:13" ht="15.75" thickBot="1">
      <c r="A27" s="55" t="s">
        <v>1</v>
      </c>
      <c r="B27" s="36" t="s">
        <v>2</v>
      </c>
      <c r="C27" s="36" t="s">
        <v>3</v>
      </c>
      <c r="D27" s="36" t="s">
        <v>4</v>
      </c>
      <c r="E27" s="36" t="s">
        <v>5</v>
      </c>
      <c r="F27" s="36" t="s">
        <v>6</v>
      </c>
      <c r="G27" s="36" t="s">
        <v>7</v>
      </c>
      <c r="H27" s="36" t="s">
        <v>8</v>
      </c>
      <c r="I27" s="36" t="s">
        <v>9</v>
      </c>
      <c r="J27" s="36" t="s">
        <v>10</v>
      </c>
      <c r="K27" s="36" t="s">
        <v>11</v>
      </c>
      <c r="L27" s="36" t="s">
        <v>12</v>
      </c>
      <c r="M27" s="36" t="s">
        <v>13</v>
      </c>
    </row>
    <row r="28" spans="1:13" ht="15.75" thickBot="1">
      <c r="A28" s="32" t="s">
        <v>14</v>
      </c>
      <c r="B28" s="33">
        <v>11267</v>
      </c>
      <c r="C28" s="33">
        <v>11364</v>
      </c>
      <c r="D28" s="33">
        <v>10992</v>
      </c>
      <c r="E28" s="33">
        <v>11949</v>
      </c>
      <c r="F28" s="33">
        <v>11484</v>
      </c>
      <c r="G28" s="33">
        <v>11477</v>
      </c>
      <c r="H28" s="33">
        <v>11472</v>
      </c>
      <c r="I28" s="33">
        <v>11492</v>
      </c>
      <c r="J28" s="33">
        <v>11632</v>
      </c>
      <c r="K28" s="33">
        <v>11811</v>
      </c>
      <c r="L28" s="33">
        <v>11913</v>
      </c>
      <c r="M28" s="33">
        <v>12041</v>
      </c>
    </row>
    <row r="29" spans="1:13" ht="15.75" thickBot="1">
      <c r="A29" s="32" t="s">
        <v>15</v>
      </c>
      <c r="B29" s="33">
        <v>27</v>
      </c>
      <c r="C29" s="33">
        <v>27</v>
      </c>
      <c r="D29" s="33">
        <v>27</v>
      </c>
      <c r="E29" s="33">
        <v>27</v>
      </c>
      <c r="F29" s="33">
        <v>27</v>
      </c>
      <c r="G29" s="33">
        <v>27</v>
      </c>
      <c r="H29" s="33">
        <v>27</v>
      </c>
      <c r="I29" s="33">
        <v>27</v>
      </c>
      <c r="J29" s="33">
        <v>27</v>
      </c>
      <c r="K29" s="33">
        <v>27</v>
      </c>
      <c r="L29" s="33">
        <v>27</v>
      </c>
      <c r="M29" s="33">
        <v>27</v>
      </c>
    </row>
    <row r="30" spans="1:13" ht="15.75" thickBot="1">
      <c r="A30" s="32" t="s">
        <v>16</v>
      </c>
      <c r="B30" s="33">
        <v>0</v>
      </c>
      <c r="C30" s="33">
        <v>0</v>
      </c>
      <c r="D30" s="33">
        <v>0</v>
      </c>
      <c r="E30" s="33">
        <v>0</v>
      </c>
      <c r="F30" s="33">
        <v>0</v>
      </c>
      <c r="G30" s="33">
        <v>0</v>
      </c>
      <c r="H30" s="33">
        <v>0</v>
      </c>
      <c r="I30" s="33">
        <v>0</v>
      </c>
      <c r="J30" s="33">
        <v>0</v>
      </c>
      <c r="K30" s="33">
        <v>0</v>
      </c>
      <c r="L30" s="33">
        <v>0</v>
      </c>
      <c r="M30" s="33">
        <v>0</v>
      </c>
    </row>
    <row r="31" spans="1:13" ht="15.75" thickBot="1">
      <c r="A31" s="32" t="s">
        <v>17</v>
      </c>
      <c r="B31" s="33">
        <v>18</v>
      </c>
      <c r="C31" s="33">
        <v>18</v>
      </c>
      <c r="D31" s="33">
        <v>18</v>
      </c>
      <c r="E31" s="33">
        <v>18</v>
      </c>
      <c r="F31" s="33">
        <v>18</v>
      </c>
      <c r="G31" s="33">
        <v>18</v>
      </c>
      <c r="H31" s="33">
        <v>18</v>
      </c>
      <c r="I31" s="33">
        <v>18</v>
      </c>
      <c r="J31" s="33">
        <v>18</v>
      </c>
      <c r="K31" s="33">
        <v>18</v>
      </c>
      <c r="L31" s="33">
        <v>18</v>
      </c>
      <c r="M31" s="33">
        <v>18</v>
      </c>
    </row>
    <row r="32" spans="1:13" ht="15.75" thickBot="1">
      <c r="A32" s="56" t="s">
        <v>18</v>
      </c>
      <c r="B32" s="35">
        <f>SUM(B28:B31)</f>
        <v>11312</v>
      </c>
      <c r="C32" s="35">
        <f t="shared" ref="C32:M32" si="2">SUM(C28:C31)</f>
        <v>11409</v>
      </c>
      <c r="D32" s="35">
        <f t="shared" si="2"/>
        <v>11037</v>
      </c>
      <c r="E32" s="35">
        <f t="shared" si="2"/>
        <v>11994</v>
      </c>
      <c r="F32" s="35">
        <f t="shared" si="2"/>
        <v>11529</v>
      </c>
      <c r="G32" s="35">
        <f t="shared" si="2"/>
        <v>11522</v>
      </c>
      <c r="H32" s="35">
        <f t="shared" si="2"/>
        <v>11517</v>
      </c>
      <c r="I32" s="35">
        <f t="shared" si="2"/>
        <v>11537</v>
      </c>
      <c r="J32" s="35">
        <f t="shared" si="2"/>
        <v>11677</v>
      </c>
      <c r="K32" s="35">
        <f t="shared" si="2"/>
        <v>11856</v>
      </c>
      <c r="L32" s="35">
        <f t="shared" si="2"/>
        <v>11958</v>
      </c>
      <c r="M32" s="35">
        <f t="shared" si="2"/>
        <v>12086</v>
      </c>
    </row>
    <row r="35" spans="1:7">
      <c r="A35" s="60" t="s">
        <v>47</v>
      </c>
    </row>
    <row r="36" spans="1:7" ht="15.75" thickBot="1">
      <c r="B36" s="60"/>
      <c r="C36" s="60"/>
      <c r="D36" s="60"/>
      <c r="E36" s="60"/>
      <c r="F36" s="60"/>
      <c r="G36" s="11"/>
    </row>
    <row r="37" spans="1:7" ht="15.75" thickBot="1">
      <c r="A37" s="55" t="s">
        <v>1</v>
      </c>
      <c r="B37" s="30">
        <v>2019</v>
      </c>
      <c r="C37" s="30">
        <v>2020</v>
      </c>
      <c r="D37" s="30">
        <v>2021</v>
      </c>
      <c r="E37" s="30">
        <v>2022</v>
      </c>
      <c r="F37" s="30">
        <v>2023</v>
      </c>
      <c r="G37" s="30">
        <v>2024</v>
      </c>
    </row>
    <row r="38" spans="1:7" ht="15.75" thickBot="1">
      <c r="A38" s="32" t="s">
        <v>14</v>
      </c>
      <c r="B38" s="33">
        <v>12815</v>
      </c>
      <c r="C38" s="33">
        <v>12286</v>
      </c>
      <c r="D38" s="33">
        <v>11742</v>
      </c>
      <c r="E38" s="33">
        <v>11560</v>
      </c>
      <c r="F38" s="33">
        <v>11254</v>
      </c>
      <c r="G38" s="33">
        <v>12041</v>
      </c>
    </row>
    <row r="39" spans="1:7" ht="15.75" thickBot="1">
      <c r="A39" s="32" t="s">
        <v>15</v>
      </c>
      <c r="B39" s="33">
        <v>19</v>
      </c>
      <c r="C39" s="33">
        <v>28</v>
      </c>
      <c r="D39" s="33">
        <v>27</v>
      </c>
      <c r="E39" s="33">
        <v>27</v>
      </c>
      <c r="F39" s="33">
        <v>27</v>
      </c>
      <c r="G39" s="33">
        <v>27</v>
      </c>
    </row>
    <row r="40" spans="1:7" ht="15.75" thickBot="1">
      <c r="A40" s="32" t="s">
        <v>16</v>
      </c>
      <c r="B40" s="33">
        <v>0</v>
      </c>
      <c r="C40" s="33">
        <v>0</v>
      </c>
      <c r="D40" s="33">
        <v>0</v>
      </c>
      <c r="E40" s="33">
        <v>0</v>
      </c>
      <c r="F40" s="33">
        <v>0</v>
      </c>
      <c r="G40" s="33">
        <v>0</v>
      </c>
    </row>
    <row r="41" spans="1:7" ht="15.75" thickBot="1">
      <c r="A41" s="32" t="s">
        <v>17</v>
      </c>
      <c r="B41" s="33">
        <v>19</v>
      </c>
      <c r="C41" s="33">
        <v>19</v>
      </c>
      <c r="D41" s="33">
        <v>19</v>
      </c>
      <c r="E41" s="33">
        <v>19</v>
      </c>
      <c r="F41" s="33">
        <v>18</v>
      </c>
      <c r="G41" s="33">
        <v>18</v>
      </c>
    </row>
    <row r="42" spans="1:7" ht="15.75" thickBot="1">
      <c r="A42" s="56" t="s">
        <v>18</v>
      </c>
      <c r="B42" s="35">
        <f t="shared" ref="B42:G42" si="3">SUM(B38:B41)</f>
        <v>12853</v>
      </c>
      <c r="C42" s="35">
        <f t="shared" si="3"/>
        <v>12333</v>
      </c>
      <c r="D42" s="35">
        <f t="shared" si="3"/>
        <v>11788</v>
      </c>
      <c r="E42" s="35">
        <f t="shared" si="3"/>
        <v>11606</v>
      </c>
      <c r="F42" s="35">
        <f t="shared" si="3"/>
        <v>11299</v>
      </c>
      <c r="G42" s="35">
        <f t="shared" si="3"/>
        <v>12086</v>
      </c>
    </row>
  </sheetData>
  <mergeCells count="5">
    <mergeCell ref="A1:M1"/>
    <mergeCell ref="A24:M24"/>
    <mergeCell ref="A13:M13"/>
    <mergeCell ref="A26:M26"/>
    <mergeCell ref="A15:M15"/>
  </mergeCells>
  <pageMargins left="0.7" right="0.7" top="0.75" bottom="0.75" header="0.3" footer="0.3"/>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42"/>
  <sheetViews>
    <sheetView showGridLines="0" zoomScale="59" zoomScaleNormal="59" workbookViewId="0">
      <selection activeCell="T40" sqref="T40"/>
    </sheetView>
  </sheetViews>
  <sheetFormatPr baseColWidth="10" defaultRowHeight="15"/>
  <cols>
    <col min="1" max="1" width="20.5703125" customWidth="1"/>
  </cols>
  <sheetData>
    <row r="1" spans="1:13" ht="20.25">
      <c r="A1" s="617" t="s">
        <v>0</v>
      </c>
      <c r="B1" s="617"/>
      <c r="C1" s="617"/>
      <c r="D1" s="617"/>
      <c r="E1" s="617"/>
      <c r="F1" s="617"/>
      <c r="G1" s="617"/>
      <c r="H1" s="617"/>
      <c r="I1" s="617"/>
      <c r="J1" s="617"/>
      <c r="K1" s="617"/>
      <c r="L1" s="617"/>
      <c r="M1" s="617"/>
    </row>
    <row r="2" spans="1:13">
      <c r="A2" s="1"/>
      <c r="B2" s="2"/>
      <c r="C2" s="2"/>
      <c r="D2" s="2"/>
      <c r="E2" s="2"/>
      <c r="F2" s="2"/>
      <c r="G2" s="2"/>
      <c r="H2" s="2"/>
      <c r="I2" s="2"/>
      <c r="J2" s="2"/>
      <c r="K2" s="2"/>
      <c r="L2" s="2"/>
      <c r="M2" s="2"/>
    </row>
    <row r="3" spans="1:13">
      <c r="A3" s="9" t="s">
        <v>48</v>
      </c>
    </row>
    <row r="4" spans="1:13" ht="15.75" thickBot="1">
      <c r="B4" s="9"/>
      <c r="C4" s="9"/>
      <c r="D4" s="9"/>
      <c r="E4" s="9"/>
      <c r="F4" s="2"/>
      <c r="G4" s="2"/>
      <c r="H4" s="2"/>
      <c r="I4" s="2"/>
      <c r="J4" s="2"/>
      <c r="K4" s="2"/>
      <c r="L4" s="2"/>
      <c r="M4" s="2"/>
    </row>
    <row r="5" spans="1:13" ht="15.75" thickBot="1">
      <c r="A5" s="29" t="s">
        <v>1</v>
      </c>
      <c r="B5" s="30">
        <v>2021</v>
      </c>
      <c r="C5" s="30">
        <v>2022</v>
      </c>
      <c r="D5" s="30">
        <v>2023</v>
      </c>
      <c r="E5" s="30">
        <v>2024</v>
      </c>
    </row>
    <row r="6" spans="1:13" ht="15.75" thickBot="1">
      <c r="A6" s="32" t="s">
        <v>14</v>
      </c>
      <c r="B6" s="6">
        <v>3.4573061930000004</v>
      </c>
      <c r="C6" s="6">
        <v>39.742211436580007</v>
      </c>
      <c r="D6" s="6">
        <v>81.600548528899992</v>
      </c>
      <c r="E6" s="6">
        <v>183.27038552580967</v>
      </c>
    </row>
    <row r="7" spans="1:13" ht="15.75" thickBot="1">
      <c r="A7" s="32" t="s">
        <v>15</v>
      </c>
      <c r="B7" s="6">
        <v>0</v>
      </c>
      <c r="C7" s="6">
        <v>0</v>
      </c>
      <c r="D7" s="6">
        <v>0</v>
      </c>
      <c r="E7" s="6">
        <v>1.4003326095099999</v>
      </c>
    </row>
    <row r="8" spans="1:13" ht="15.75" thickBot="1">
      <c r="A8" s="32" t="s">
        <v>16</v>
      </c>
      <c r="B8" s="6">
        <v>0</v>
      </c>
      <c r="C8" s="6">
        <v>0</v>
      </c>
      <c r="D8" s="6">
        <v>0</v>
      </c>
      <c r="E8" s="6">
        <v>0</v>
      </c>
    </row>
    <row r="9" spans="1:13" ht="15.75" thickBot="1">
      <c r="A9" s="32" t="s">
        <v>17</v>
      </c>
      <c r="B9" s="6">
        <v>313.93445581611002</v>
      </c>
      <c r="C9" s="6">
        <v>2334.8430385126198</v>
      </c>
      <c r="D9" s="6">
        <v>7390.7654494398403</v>
      </c>
      <c r="E9" s="6">
        <v>9959.4921993088356</v>
      </c>
    </row>
    <row r="10" spans="1:13" ht="15.75" thickBot="1">
      <c r="A10" s="56" t="s">
        <v>18</v>
      </c>
      <c r="B10" s="39">
        <f t="shared" ref="B10:D10" si="0">SUM(B6:B9)</f>
        <v>317.39176200911004</v>
      </c>
      <c r="C10" s="39">
        <f t="shared" si="0"/>
        <v>2374.5852499491998</v>
      </c>
      <c r="D10" s="39">
        <f t="shared" si="0"/>
        <v>7472.36599796874</v>
      </c>
      <c r="E10" s="39">
        <f>SUM(E6:E9)</f>
        <v>10144.162917444155</v>
      </c>
    </row>
    <row r="12" spans="1:13">
      <c r="F12" s="2"/>
      <c r="G12" s="2"/>
      <c r="H12" s="2"/>
      <c r="I12" s="2"/>
      <c r="J12" s="2"/>
      <c r="K12" s="2"/>
      <c r="L12" s="2"/>
      <c r="M12" s="2"/>
    </row>
    <row r="13" spans="1:13">
      <c r="A13" s="625" t="s">
        <v>49</v>
      </c>
      <c r="B13" s="625"/>
      <c r="C13" s="625"/>
      <c r="D13" s="625"/>
      <c r="E13" s="625"/>
      <c r="F13" s="625"/>
      <c r="G13" s="625"/>
      <c r="H13" s="625"/>
      <c r="I13" s="625"/>
      <c r="J13" s="625"/>
      <c r="K13" s="625"/>
      <c r="L13" s="625"/>
      <c r="M13" s="625"/>
    </row>
    <row r="15" spans="1:13" ht="15.75" thickBot="1">
      <c r="A15" s="614">
        <v>2024</v>
      </c>
      <c r="B15" s="614"/>
      <c r="C15" s="614"/>
      <c r="D15" s="614"/>
      <c r="E15" s="614"/>
      <c r="F15" s="614"/>
      <c r="G15" s="614"/>
      <c r="H15" s="614"/>
      <c r="I15" s="614"/>
      <c r="J15" s="614"/>
      <c r="K15" s="614"/>
      <c r="L15" s="614"/>
      <c r="M15" s="615"/>
    </row>
    <row r="16" spans="1:13" ht="15.75" thickBot="1">
      <c r="A16" s="55" t="s">
        <v>1</v>
      </c>
      <c r="B16" s="36" t="s">
        <v>2</v>
      </c>
      <c r="C16" s="36" t="s">
        <v>3</v>
      </c>
      <c r="D16" s="36" t="s">
        <v>4</v>
      </c>
      <c r="E16" s="36" t="s">
        <v>5</v>
      </c>
      <c r="F16" s="36" t="s">
        <v>6</v>
      </c>
      <c r="G16" s="36" t="s">
        <v>7</v>
      </c>
      <c r="H16" s="36" t="s">
        <v>8</v>
      </c>
      <c r="I16" s="36" t="s">
        <v>9</v>
      </c>
      <c r="J16" s="36" t="s">
        <v>10</v>
      </c>
      <c r="K16" s="36" t="s">
        <v>11</v>
      </c>
      <c r="L16" s="36" t="s">
        <v>12</v>
      </c>
      <c r="M16" s="36" t="s">
        <v>13</v>
      </c>
    </row>
    <row r="17" spans="1:13" ht="15.75" thickBot="1">
      <c r="A17" s="32" t="s">
        <v>14</v>
      </c>
      <c r="B17" s="37">
        <v>0.29545392104903223</v>
      </c>
      <c r="C17" s="37">
        <v>0.32311583528034477</v>
      </c>
      <c r="D17" s="37">
        <v>0.25513823810387098</v>
      </c>
      <c r="E17" s="37">
        <v>0.33876538922033334</v>
      </c>
      <c r="F17" s="37">
        <v>0.48708385148096778</v>
      </c>
      <c r="G17" s="37">
        <v>0.49212876094066671</v>
      </c>
      <c r="H17" s="37">
        <v>0.47976801887645154</v>
      </c>
      <c r="I17" s="37">
        <v>0.55824518989677407</v>
      </c>
      <c r="J17" s="37">
        <v>0.6590188284266667</v>
      </c>
      <c r="K17" s="37">
        <v>0.64468069267903216</v>
      </c>
      <c r="L17" s="37">
        <v>0.69750167164481991</v>
      </c>
      <c r="M17" s="37">
        <v>0.77245546842048707</v>
      </c>
    </row>
    <row r="18" spans="1:13" ht="15.75" thickBot="1">
      <c r="A18" s="32" t="s">
        <v>15</v>
      </c>
      <c r="B18" s="37">
        <v>0</v>
      </c>
      <c r="C18" s="37">
        <v>0</v>
      </c>
      <c r="D18" s="37">
        <v>0</v>
      </c>
      <c r="E18" s="37">
        <v>0</v>
      </c>
      <c r="F18" s="37">
        <v>0</v>
      </c>
      <c r="G18" s="37">
        <v>1.4663828139666666E-2</v>
      </c>
      <c r="H18" s="37">
        <v>3.595261242580645E-3</v>
      </c>
      <c r="I18" s="37">
        <v>3.7524684832258063E-3</v>
      </c>
      <c r="J18" s="37">
        <v>3.5879704719999996E-3</v>
      </c>
      <c r="K18" s="37">
        <v>3.195408043548387E-3</v>
      </c>
      <c r="L18" s="37">
        <v>3.4890893960000001E-3</v>
      </c>
      <c r="M18" s="37">
        <v>1.3589312852580644E-2</v>
      </c>
    </row>
    <row r="19" spans="1:13" ht="15.75" thickBot="1">
      <c r="A19" s="32" t="s">
        <v>16</v>
      </c>
      <c r="B19" s="37">
        <v>0</v>
      </c>
      <c r="C19" s="37">
        <v>0</v>
      </c>
      <c r="D19" s="37">
        <v>0</v>
      </c>
      <c r="E19" s="37">
        <v>0</v>
      </c>
      <c r="F19" s="37">
        <v>0</v>
      </c>
      <c r="G19" s="37">
        <v>0</v>
      </c>
      <c r="H19" s="37">
        <v>0</v>
      </c>
      <c r="I19" s="37">
        <v>0</v>
      </c>
      <c r="J19" s="37">
        <v>0</v>
      </c>
      <c r="K19" s="37">
        <v>0</v>
      </c>
      <c r="L19" s="37">
        <v>0</v>
      </c>
      <c r="M19" s="37">
        <v>0</v>
      </c>
    </row>
    <row r="20" spans="1:13" ht="15.75" thickBot="1">
      <c r="A20" s="32" t="s">
        <v>17</v>
      </c>
      <c r="B20" s="37">
        <v>27.805961198955806</v>
      </c>
      <c r="C20" s="37">
        <v>27.342083681678623</v>
      </c>
      <c r="D20" s="37">
        <v>25.331249244852902</v>
      </c>
      <c r="E20" s="37">
        <v>25.851824010451331</v>
      </c>
      <c r="F20" s="37">
        <v>27.782011017598389</v>
      </c>
      <c r="G20" s="37">
        <v>28.963450201844999</v>
      </c>
      <c r="H20" s="37">
        <v>24.765568608146776</v>
      </c>
      <c r="I20" s="37">
        <v>27.112636257126123</v>
      </c>
      <c r="J20" s="37">
        <v>28.307835707606333</v>
      </c>
      <c r="K20" s="37">
        <v>26.965751152767098</v>
      </c>
      <c r="L20" s="37">
        <v>28.898764026517082</v>
      </c>
      <c r="M20" s="37">
        <v>27.524421041442022</v>
      </c>
    </row>
    <row r="21" spans="1:13" ht="15.75" thickBot="1">
      <c r="A21" s="56" t="s">
        <v>18</v>
      </c>
      <c r="B21" s="39">
        <f>SUM(B17:B20)</f>
        <v>28.101415120004837</v>
      </c>
      <c r="C21" s="39">
        <f t="shared" ref="C21:M21" si="1">SUM(C17:C20)</f>
        <v>27.665199516958968</v>
      </c>
      <c r="D21" s="39">
        <f t="shared" si="1"/>
        <v>25.586387482956773</v>
      </c>
      <c r="E21" s="39">
        <f t="shared" si="1"/>
        <v>26.190589399671666</v>
      </c>
      <c r="F21" s="39">
        <f t="shared" si="1"/>
        <v>28.269094869079357</v>
      </c>
      <c r="G21" s="39">
        <f t="shared" si="1"/>
        <v>29.470242790925333</v>
      </c>
      <c r="H21" s="39">
        <f t="shared" si="1"/>
        <v>25.248931888265808</v>
      </c>
      <c r="I21" s="39">
        <f t="shared" si="1"/>
        <v>27.674633915506124</v>
      </c>
      <c r="J21" s="39">
        <f t="shared" si="1"/>
        <v>28.970442506505002</v>
      </c>
      <c r="K21" s="39">
        <f t="shared" si="1"/>
        <v>27.613627253489678</v>
      </c>
      <c r="L21" s="39">
        <f t="shared" si="1"/>
        <v>29.599754787557902</v>
      </c>
      <c r="M21" s="39">
        <f t="shared" si="1"/>
        <v>28.310465822715088</v>
      </c>
    </row>
    <row r="22" spans="1:13">
      <c r="A22" s="1"/>
      <c r="B22" s="2"/>
      <c r="C22" s="2"/>
      <c r="D22" s="2"/>
      <c r="E22" s="2"/>
      <c r="F22" s="2"/>
      <c r="G22" s="2"/>
      <c r="H22" s="2"/>
      <c r="I22" s="2"/>
      <c r="J22" s="2"/>
      <c r="K22" s="2"/>
      <c r="L22" s="2"/>
      <c r="M22" s="2"/>
    </row>
    <row r="24" spans="1:13">
      <c r="A24" s="622" t="s">
        <v>50</v>
      </c>
      <c r="B24" s="622"/>
      <c r="C24" s="622"/>
      <c r="D24" s="622"/>
      <c r="E24" s="622"/>
      <c r="F24" s="622"/>
      <c r="G24" s="622"/>
      <c r="H24" s="622"/>
      <c r="I24" s="622"/>
      <c r="J24" s="622"/>
      <c r="K24" s="622"/>
      <c r="L24" s="622"/>
      <c r="M24" s="622"/>
    </row>
    <row r="25" spans="1:13">
      <c r="B25" s="2"/>
      <c r="C25" s="2"/>
      <c r="D25" s="2"/>
      <c r="E25" s="2"/>
      <c r="F25" s="2"/>
      <c r="G25" s="2"/>
      <c r="H25" s="2"/>
      <c r="I25" s="2"/>
      <c r="J25" s="2"/>
      <c r="K25" s="2"/>
      <c r="L25" s="2"/>
      <c r="M25" s="2"/>
    </row>
    <row r="26" spans="1:13" ht="15.75" thickBot="1">
      <c r="A26" s="614">
        <v>2024</v>
      </c>
      <c r="B26" s="614"/>
      <c r="C26" s="614"/>
      <c r="D26" s="614"/>
      <c r="E26" s="614"/>
      <c r="F26" s="614"/>
      <c r="G26" s="614"/>
      <c r="H26" s="614"/>
      <c r="I26" s="614"/>
      <c r="J26" s="614"/>
      <c r="K26" s="614"/>
      <c r="L26" s="614"/>
      <c r="M26" s="615"/>
    </row>
    <row r="27" spans="1:13" ht="15.75" thickBot="1">
      <c r="A27" s="29" t="s">
        <v>1</v>
      </c>
      <c r="B27" s="36" t="s">
        <v>2</v>
      </c>
      <c r="C27" s="36" t="s">
        <v>3</v>
      </c>
      <c r="D27" s="36" t="s">
        <v>4</v>
      </c>
      <c r="E27" s="36" t="s">
        <v>5</v>
      </c>
      <c r="F27" s="36" t="s">
        <v>6</v>
      </c>
      <c r="G27" s="36" t="s">
        <v>7</v>
      </c>
      <c r="H27" s="36" t="s">
        <v>8</v>
      </c>
      <c r="I27" s="36" t="s">
        <v>9</v>
      </c>
      <c r="J27" s="36" t="s">
        <v>10</v>
      </c>
      <c r="K27" s="36" t="s">
        <v>11</v>
      </c>
      <c r="L27" s="36" t="s">
        <v>12</v>
      </c>
      <c r="M27" s="36" t="s">
        <v>13</v>
      </c>
    </row>
    <row r="28" spans="1:13" ht="15.75" thickBot="1">
      <c r="A28" s="32" t="s">
        <v>14</v>
      </c>
      <c r="B28" s="3">
        <v>18393</v>
      </c>
      <c r="C28" s="3">
        <v>18737</v>
      </c>
      <c r="D28" s="3">
        <v>18753</v>
      </c>
      <c r="E28" s="3">
        <v>20055</v>
      </c>
      <c r="F28" s="3">
        <v>25206</v>
      </c>
      <c r="G28" s="3">
        <v>27395</v>
      </c>
      <c r="H28" s="3">
        <v>27890</v>
      </c>
      <c r="I28" s="3">
        <v>30897</v>
      </c>
      <c r="J28" s="3">
        <v>35824</v>
      </c>
      <c r="K28" s="3">
        <v>41283</v>
      </c>
      <c r="L28" s="3">
        <v>44686</v>
      </c>
      <c r="M28" s="3">
        <v>47395</v>
      </c>
    </row>
    <row r="29" spans="1:13" ht="15.75" thickBot="1">
      <c r="A29" s="32" t="s">
        <v>15</v>
      </c>
      <c r="B29" s="4">
        <v>0</v>
      </c>
      <c r="C29" s="4">
        <v>0</v>
      </c>
      <c r="D29" s="4">
        <v>0</v>
      </c>
      <c r="E29" s="4">
        <v>0</v>
      </c>
      <c r="F29" s="4">
        <v>0</v>
      </c>
      <c r="G29" s="4">
        <v>4</v>
      </c>
      <c r="H29" s="4">
        <v>4</v>
      </c>
      <c r="I29" s="4">
        <v>4</v>
      </c>
      <c r="J29" s="4">
        <v>4</v>
      </c>
      <c r="K29" s="4">
        <v>5</v>
      </c>
      <c r="L29" s="4">
        <v>7</v>
      </c>
      <c r="M29" s="4">
        <v>8</v>
      </c>
    </row>
    <row r="30" spans="1:13" ht="15.75" thickBot="1">
      <c r="A30" s="32" t="s">
        <v>16</v>
      </c>
      <c r="B30" s="4">
        <v>0</v>
      </c>
      <c r="C30" s="4">
        <v>0</v>
      </c>
      <c r="D30" s="4">
        <v>0</v>
      </c>
      <c r="E30" s="4">
        <v>0</v>
      </c>
      <c r="F30" s="4">
        <v>0</v>
      </c>
      <c r="G30" s="4">
        <v>0</v>
      </c>
      <c r="H30" s="4">
        <v>0</v>
      </c>
      <c r="I30" s="4">
        <v>0</v>
      </c>
      <c r="J30" s="4">
        <v>0</v>
      </c>
      <c r="K30" s="4">
        <v>0</v>
      </c>
      <c r="L30" s="4">
        <v>0</v>
      </c>
      <c r="M30" s="4">
        <v>0</v>
      </c>
    </row>
    <row r="31" spans="1:13" ht="15.75" thickBot="1">
      <c r="A31" s="32" t="s">
        <v>17</v>
      </c>
      <c r="B31" s="4">
        <v>29</v>
      </c>
      <c r="C31" s="4">
        <v>29</v>
      </c>
      <c r="D31" s="4">
        <v>30</v>
      </c>
      <c r="E31" s="4">
        <v>30</v>
      </c>
      <c r="F31" s="4">
        <v>30</v>
      </c>
      <c r="G31" s="4">
        <v>30</v>
      </c>
      <c r="H31" s="4">
        <v>30</v>
      </c>
      <c r="I31" s="4">
        <v>30</v>
      </c>
      <c r="J31" s="4">
        <v>30</v>
      </c>
      <c r="K31" s="4">
        <v>30</v>
      </c>
      <c r="L31" s="4">
        <v>34</v>
      </c>
      <c r="M31" s="4">
        <v>38</v>
      </c>
    </row>
    <row r="32" spans="1:13" ht="15.75" thickBot="1">
      <c r="A32" s="56" t="s">
        <v>18</v>
      </c>
      <c r="B32" s="35">
        <f>SUM(B28:B31)</f>
        <v>18422</v>
      </c>
      <c r="C32" s="35">
        <f t="shared" ref="C32:M32" si="2">SUM(C28:C31)</f>
        <v>18766</v>
      </c>
      <c r="D32" s="35">
        <f t="shared" si="2"/>
        <v>18783</v>
      </c>
      <c r="E32" s="35">
        <f t="shared" si="2"/>
        <v>20085</v>
      </c>
      <c r="F32" s="35">
        <f t="shared" si="2"/>
        <v>25236</v>
      </c>
      <c r="G32" s="35">
        <f t="shared" si="2"/>
        <v>27429</v>
      </c>
      <c r="H32" s="35">
        <f t="shared" si="2"/>
        <v>27924</v>
      </c>
      <c r="I32" s="35">
        <f t="shared" si="2"/>
        <v>30931</v>
      </c>
      <c r="J32" s="35">
        <f t="shared" si="2"/>
        <v>35858</v>
      </c>
      <c r="K32" s="35">
        <f t="shared" si="2"/>
        <v>41318</v>
      </c>
      <c r="L32" s="35">
        <f t="shared" si="2"/>
        <v>44727</v>
      </c>
      <c r="M32" s="35">
        <f t="shared" si="2"/>
        <v>47441</v>
      </c>
    </row>
    <row r="34" spans="1:5" ht="15.75" thickBot="1"/>
    <row r="35" spans="1:5">
      <c r="A35" s="58" t="s">
        <v>51</v>
      </c>
    </row>
    <row r="36" spans="1:5" ht="15.75" thickBot="1"/>
    <row r="37" spans="1:5" ht="15.75" thickBot="1">
      <c r="A37" s="29" t="s">
        <v>1</v>
      </c>
      <c r="B37" s="30">
        <v>2021</v>
      </c>
      <c r="C37" s="30">
        <v>2022</v>
      </c>
      <c r="D37" s="30">
        <v>2023</v>
      </c>
      <c r="E37" s="30">
        <v>2024</v>
      </c>
    </row>
    <row r="38" spans="1:5" ht="15.75" thickBot="1">
      <c r="A38" s="32" t="s">
        <v>14</v>
      </c>
      <c r="B38" s="33">
        <v>2335</v>
      </c>
      <c r="C38" s="33">
        <v>10252</v>
      </c>
      <c r="D38" s="33">
        <v>17763</v>
      </c>
      <c r="E38" s="33">
        <v>47395</v>
      </c>
    </row>
    <row r="39" spans="1:5" ht="15.75" thickBot="1">
      <c r="A39" s="32" t="s">
        <v>15</v>
      </c>
      <c r="B39" s="33">
        <v>0</v>
      </c>
      <c r="C39" s="33">
        <v>0</v>
      </c>
      <c r="D39" s="33">
        <v>0</v>
      </c>
      <c r="E39" s="33">
        <v>8</v>
      </c>
    </row>
    <row r="40" spans="1:5" ht="15.75" thickBot="1">
      <c r="A40" s="32" t="s">
        <v>16</v>
      </c>
      <c r="B40" s="34">
        <v>0</v>
      </c>
      <c r="C40" s="34">
        <v>0</v>
      </c>
      <c r="D40" s="34">
        <v>0</v>
      </c>
      <c r="E40" s="34">
        <v>0</v>
      </c>
    </row>
    <row r="41" spans="1:5" ht="15.75" thickBot="1">
      <c r="A41" s="32" t="s">
        <v>17</v>
      </c>
      <c r="B41" s="34">
        <v>1</v>
      </c>
      <c r="C41" s="34">
        <v>9</v>
      </c>
      <c r="D41" s="34">
        <v>24</v>
      </c>
      <c r="E41" s="34">
        <v>38</v>
      </c>
    </row>
    <row r="42" spans="1:5" ht="15.75" thickBot="1">
      <c r="A42" s="56" t="s">
        <v>18</v>
      </c>
      <c r="B42" s="35">
        <f>SUM(B38:B41)</f>
        <v>2336</v>
      </c>
      <c r="C42" s="35">
        <f t="shared" ref="C42:E42" si="3">SUM(C38:C41)</f>
        <v>10261</v>
      </c>
      <c r="D42" s="35">
        <f t="shared" si="3"/>
        <v>17787</v>
      </c>
      <c r="E42" s="35">
        <f t="shared" si="3"/>
        <v>47441</v>
      </c>
    </row>
  </sheetData>
  <mergeCells count="5">
    <mergeCell ref="A1:M1"/>
    <mergeCell ref="A24:M24"/>
    <mergeCell ref="A13:M13"/>
    <mergeCell ref="A15:M15"/>
    <mergeCell ref="A26:M26"/>
  </mergeCells>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53</vt:i4>
      </vt:variant>
    </vt:vector>
  </HeadingPairs>
  <TitlesOfParts>
    <vt:vector size="53" baseType="lpstr">
      <vt:lpstr>Reservas LARH 2023</vt:lpstr>
      <vt:lpstr>DEEH01</vt:lpstr>
      <vt:lpstr>DEEH02</vt:lpstr>
      <vt:lpstr>DEEH03</vt:lpstr>
      <vt:lpstr>DEEH04</vt:lpstr>
      <vt:lpstr>DEEH05</vt:lpstr>
      <vt:lpstr>DEEH06</vt:lpstr>
      <vt:lpstr>DEEH07-08-09</vt:lpstr>
      <vt:lpstr>DEEH10</vt:lpstr>
      <vt:lpstr>DEEH11</vt:lpstr>
      <vt:lpstr>DEEH12</vt:lpstr>
      <vt:lpstr>DEEH13</vt:lpstr>
      <vt:lpstr>DEEH14</vt:lpstr>
      <vt:lpstr>DEEH15</vt:lpstr>
      <vt:lpstr>DEEH16</vt:lpstr>
      <vt:lpstr>DEEH18</vt:lpstr>
      <vt:lpstr>DEEH19</vt:lpstr>
      <vt:lpstr>DEEH20</vt:lpstr>
      <vt:lpstr>DEEH21</vt:lpstr>
      <vt:lpstr>DEEH22</vt:lpstr>
      <vt:lpstr>DEEH23</vt:lpstr>
      <vt:lpstr>DPTC 24</vt:lpstr>
      <vt:lpstr>DPTC 25</vt:lpstr>
      <vt:lpstr>DPTC 26</vt:lpstr>
      <vt:lpstr>DPTC27</vt:lpstr>
      <vt:lpstr>DPTC 28</vt:lpstr>
      <vt:lpstr>DPTC 29</vt:lpstr>
      <vt:lpstr>DPTC 30</vt:lpstr>
      <vt:lpstr>DPTC 31</vt:lpstr>
      <vt:lpstr>DPTC 32</vt:lpstr>
      <vt:lpstr>DPTC 33</vt:lpstr>
      <vt:lpstr>DPTC 34</vt:lpstr>
      <vt:lpstr>DPTC 35</vt:lpstr>
      <vt:lpstr>DPTC 36</vt:lpstr>
      <vt:lpstr>DPTC 37</vt:lpstr>
      <vt:lpstr>DPTC 38</vt:lpstr>
      <vt:lpstr>DPTC 39</vt:lpstr>
      <vt:lpstr>DPTC 40</vt:lpstr>
      <vt:lpstr>DPTC 41</vt:lpstr>
      <vt:lpstr>DPTC 42</vt:lpstr>
      <vt:lpstr>DPTC 43</vt:lpstr>
      <vt:lpstr>DPTC 44</vt:lpstr>
      <vt:lpstr>DPTC 45</vt:lpstr>
      <vt:lpstr>DPTC 46</vt:lpstr>
      <vt:lpstr>DPTC 47</vt:lpstr>
      <vt:lpstr>DGGN 49</vt:lpstr>
      <vt:lpstr>DGGN 50</vt:lpstr>
      <vt:lpstr>DGGN 51</vt:lpstr>
      <vt:lpstr>DGGN 52-53-54-55</vt:lpstr>
      <vt:lpstr>DGGN 56-57-58-59</vt:lpstr>
      <vt:lpstr>DGGN 60-61-62-63</vt:lpstr>
      <vt:lpstr>DGGN 64-65-66-67</vt:lpstr>
      <vt:lpstr>DGGN 68-69-70-71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Dianira Muñoz Muñoz</dc:creator>
  <cp:lastModifiedBy>Dianira Muñoz Muñoz </cp:lastModifiedBy>
  <dcterms:created xsi:type="dcterms:W3CDTF">2025-10-21T15:01:53Z</dcterms:created>
  <dcterms:modified xsi:type="dcterms:W3CDTF">2026-01-27T17:18:22Z</dcterms:modified>
</cp:coreProperties>
</file>