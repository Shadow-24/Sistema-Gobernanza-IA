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MINEM\04. Comunicaciones\05. Publicaciones\10. Anuario Estadístico\ANUARIO 2022\"/>
    </mc:Choice>
  </mc:AlternateContent>
  <xr:revisionPtr revIDLastSave="0" documentId="13_ncr:1_{D325B4CB-CEB0-4DF0-AA47-2BC08D40A46B}" xr6:coauthVersionLast="47" xr6:coauthVersionMax="47" xr10:uidLastSave="{00000000-0000-0000-0000-000000000000}"/>
  <bookViews>
    <workbookView xWindow="0" yWindow="0" windowWidth="14400" windowHeight="15600" tabRatio="1000" xr2:uid="{00000000-000D-0000-FFFF-FFFF00000000}"/>
  </bookViews>
  <sheets>
    <sheet name="DEEH 01" sheetId="1" r:id="rId1"/>
    <sheet name="DEEH 02" sheetId="2" r:id="rId2"/>
    <sheet name="DEEH 03" sheetId="3" r:id="rId3"/>
    <sheet name="DEEH 04" sheetId="4" r:id="rId4"/>
    <sheet name="DEEH 05" sheetId="5" r:id="rId5"/>
    <sheet name="DEEH 06" sheetId="6" r:id="rId6"/>
    <sheet name="DEEH 07-08-09" sheetId="54" r:id="rId7"/>
    <sheet name="DEEH 10" sheetId="9" r:id="rId8"/>
    <sheet name="DEEH 11" sheetId="10" r:id="rId9"/>
    <sheet name="DEEH 12" sheetId="11" r:id="rId10"/>
    <sheet name="DEEH 13" sheetId="12" r:id="rId11"/>
    <sheet name="DEEH 14" sheetId="14" r:id="rId12"/>
    <sheet name="DEEH 15" sheetId="13" r:id="rId13"/>
    <sheet name="DEEH 16" sheetId="15" r:id="rId14"/>
    <sheet name="DGGN 17" sheetId="87" r:id="rId15"/>
    <sheet name="DEEH 18" sheetId="16" r:id="rId16"/>
    <sheet name="DEEH 19" sheetId="55" r:id="rId17"/>
    <sheet name="DEEH 20" sheetId="17" r:id="rId18"/>
    <sheet name="DEEH 21" sheetId="18" r:id="rId19"/>
    <sheet name="DEEH 22" sheetId="19" r:id="rId20"/>
    <sheet name="DEEH 23" sheetId="56" r:id="rId21"/>
    <sheet name="DPTC 24" sheetId="57" r:id="rId22"/>
    <sheet name="DPTC 25" sheetId="92" r:id="rId23"/>
    <sheet name="DPTC 26" sheetId="59" r:id="rId24"/>
    <sheet name="DPTC 27" sheetId="60" r:id="rId25"/>
    <sheet name="DPTC 28" sheetId="93" r:id="rId26"/>
    <sheet name="DPTC 29" sheetId="94" r:id="rId27"/>
    <sheet name="DPTC 30" sheetId="63" r:id="rId28"/>
    <sheet name="DPTC 31" sheetId="64" r:id="rId29"/>
    <sheet name="DPTC 32" sheetId="65" r:id="rId30"/>
    <sheet name="DPTC 33" sheetId="66" r:id="rId31"/>
    <sheet name="DPTC 34" sheetId="67" r:id="rId32"/>
    <sheet name="DPTC 35" sheetId="68" r:id="rId33"/>
    <sheet name="DPTC 36" sheetId="69" r:id="rId34"/>
    <sheet name="DPTC 37" sheetId="70" r:id="rId35"/>
    <sheet name="DPTC 38" sheetId="71" r:id="rId36"/>
    <sheet name="DPTC 39" sheetId="72" r:id="rId37"/>
    <sheet name="DPTC 40" sheetId="73" r:id="rId38"/>
    <sheet name="DPTC 41" sheetId="74" r:id="rId39"/>
    <sheet name="DPTC 42" sheetId="75" r:id="rId40"/>
    <sheet name="DPTC 43" sheetId="76" r:id="rId41"/>
    <sheet name="DPTC 44" sheetId="77" r:id="rId42"/>
    <sheet name="DPTC 45" sheetId="78" r:id="rId43"/>
    <sheet name="DPTC 46" sheetId="79" r:id="rId44"/>
    <sheet name="DPTC 47" sheetId="88" r:id="rId45"/>
    <sheet name="DGGN 48" sheetId="80" r:id="rId46"/>
    <sheet name="DGGN49" sheetId="81" r:id="rId47"/>
    <sheet name="DGGN50" sheetId="82" r:id="rId48"/>
    <sheet name="DGGN 51-52-53-54" sheetId="83" r:id="rId49"/>
    <sheet name="DGGN 55-56-57-58" sheetId="84" r:id="rId50"/>
    <sheet name="DGGN 59-60-61-62" sheetId="85" r:id="rId51"/>
    <sheet name="DGGN 63-64-65-66" sheetId="86" r:id="rId52"/>
  </sheets>
  <externalReferences>
    <externalReference r:id="rId53"/>
  </externalReferences>
  <definedNames>
    <definedName name="_Hlk119493623" localSheetId="13">'DEEH 16'!$A$5</definedName>
    <definedName name="_Hlk121234094" localSheetId="6">'DEEH 07-08-09'!$B$4</definedName>
    <definedName name="_Hlk121234108" localSheetId="6">'DEEH 07-08-09'!$B$58</definedName>
    <definedName name="_Toc121298167" localSheetId="14">'DGGN 17'!$A$2</definedName>
    <definedName name="_Toc121298186" localSheetId="22">'DPTC 25'!$C$2</definedName>
    <definedName name="_Toc121298194" localSheetId="26">'DPTC 29'!$A$2</definedName>
    <definedName name="_Toc140243533" localSheetId="25">'DPTC 28'!$B$1</definedName>
    <definedName name="_xlnm.Print_Area" localSheetId="22">'DPTC 25'!$A$5:$G$61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8" i="94" l="1"/>
  <c r="G77" i="94"/>
  <c r="G76" i="94"/>
  <c r="G75" i="94"/>
  <c r="G74" i="94"/>
  <c r="G73" i="94"/>
  <c r="G72" i="94"/>
  <c r="G71" i="94"/>
  <c r="G70" i="94"/>
  <c r="G69" i="94"/>
  <c r="G68" i="94"/>
  <c r="G67" i="94"/>
  <c r="G66" i="94"/>
  <c r="G65" i="94"/>
  <c r="G64" i="94"/>
  <c r="G63" i="94"/>
  <c r="G62" i="94"/>
  <c r="G61" i="94"/>
  <c r="G60" i="94"/>
  <c r="G59" i="94"/>
  <c r="G58" i="94"/>
  <c r="G57" i="94"/>
  <c r="G56" i="94"/>
  <c r="G55" i="94"/>
  <c r="G54" i="94"/>
  <c r="G53" i="94"/>
  <c r="G52" i="94"/>
  <c r="G51" i="94"/>
  <c r="G50" i="94"/>
  <c r="G49" i="94"/>
  <c r="G48" i="94"/>
  <c r="G47" i="94"/>
  <c r="G46" i="94"/>
  <c r="G45" i="94"/>
  <c r="G44" i="94"/>
  <c r="G43" i="94"/>
  <c r="F42" i="94"/>
  <c r="E42" i="94"/>
  <c r="D42" i="94"/>
  <c r="C42" i="94"/>
  <c r="B42" i="94"/>
  <c r="G41" i="94"/>
  <c r="G40" i="94"/>
  <c r="G39" i="94"/>
  <c r="G38" i="94"/>
  <c r="G37" i="94"/>
  <c r="G36" i="94"/>
  <c r="G35" i="94"/>
  <c r="G34" i="94"/>
  <c r="G33" i="94"/>
  <c r="G32" i="94"/>
  <c r="G31" i="94"/>
  <c r="G30" i="94"/>
  <c r="G29" i="94"/>
  <c r="G28" i="94"/>
  <c r="G27" i="94"/>
  <c r="G26" i="94"/>
  <c r="G25" i="94"/>
  <c r="G24" i="94"/>
  <c r="G23" i="94"/>
  <c r="G22" i="94"/>
  <c r="G21" i="94"/>
  <c r="G20" i="94"/>
  <c r="G19" i="94"/>
  <c r="G18" i="94"/>
  <c r="G17" i="94"/>
  <c r="G16" i="94"/>
  <c r="G15" i="94"/>
  <c r="G14" i="94"/>
  <c r="G13" i="94"/>
  <c r="G12" i="94"/>
  <c r="G11" i="94"/>
  <c r="G10" i="94"/>
  <c r="F9" i="94"/>
  <c r="E9" i="94"/>
  <c r="D9" i="94"/>
  <c r="C9" i="94"/>
  <c r="C79" i="94" s="1"/>
  <c r="B9" i="94"/>
  <c r="B79" i="94" s="1"/>
  <c r="J29" i="93"/>
  <c r="I29" i="93"/>
  <c r="H29" i="93"/>
  <c r="G29" i="93"/>
  <c r="F29" i="93"/>
  <c r="E29" i="93"/>
  <c r="J26" i="93"/>
  <c r="J32" i="93" s="1"/>
  <c r="I26" i="93"/>
  <c r="I32" i="93" s="1"/>
  <c r="H26" i="93"/>
  <c r="H32" i="93" s="1"/>
  <c r="G26" i="93"/>
  <c r="G32" i="93" s="1"/>
  <c r="F26" i="93"/>
  <c r="F32" i="93" s="1"/>
  <c r="E26" i="93"/>
  <c r="K24" i="93"/>
  <c r="K23" i="93"/>
  <c r="K22" i="93"/>
  <c r="K21" i="93"/>
  <c r="K20" i="93"/>
  <c r="J20" i="93"/>
  <c r="I20" i="93"/>
  <c r="H20" i="93"/>
  <c r="G20" i="93"/>
  <c r="F20" i="93"/>
  <c r="E20" i="93"/>
  <c r="D20" i="93"/>
  <c r="C20" i="93"/>
  <c r="B20" i="93"/>
  <c r="K19" i="93"/>
  <c r="K18" i="93"/>
  <c r="K17" i="93"/>
  <c r="K16" i="93"/>
  <c r="K15" i="93"/>
  <c r="K14" i="93"/>
  <c r="K13" i="93"/>
  <c r="J13" i="93"/>
  <c r="J25" i="93" s="1"/>
  <c r="I13" i="93"/>
  <c r="H13" i="93"/>
  <c r="G13" i="93"/>
  <c r="F13" i="93"/>
  <c r="E13" i="93"/>
  <c r="D13" i="93"/>
  <c r="C13" i="93"/>
  <c r="B13" i="93"/>
  <c r="K12" i="93"/>
  <c r="K11" i="93"/>
  <c r="K10" i="93"/>
  <c r="J10" i="93"/>
  <c r="I10" i="93"/>
  <c r="H10" i="93"/>
  <c r="H25" i="93" s="1"/>
  <c r="G10" i="93"/>
  <c r="F10" i="93"/>
  <c r="E10" i="93"/>
  <c r="D10" i="93"/>
  <c r="C10" i="93"/>
  <c r="B10" i="93"/>
  <c r="K9" i="93"/>
  <c r="K8" i="93"/>
  <c r="K7" i="93"/>
  <c r="K6" i="93"/>
  <c r="K5" i="93"/>
  <c r="J5" i="93"/>
  <c r="I5" i="93"/>
  <c r="H5" i="93"/>
  <c r="G5" i="93"/>
  <c r="F5" i="93"/>
  <c r="E5" i="93"/>
  <c r="D5" i="93"/>
  <c r="C5" i="93"/>
  <c r="B5" i="93"/>
  <c r="B60" i="92"/>
  <c r="B59" i="92"/>
  <c r="B58" i="92"/>
  <c r="G57" i="92"/>
  <c r="F57" i="92"/>
  <c r="E57" i="92"/>
  <c r="D57" i="92"/>
  <c r="C57" i="92"/>
  <c r="B56" i="92"/>
  <c r="B55" i="92"/>
  <c r="B54" i="92"/>
  <c r="B53" i="92"/>
  <c r="B52" i="92"/>
  <c r="B51" i="92"/>
  <c r="B50" i="92"/>
  <c r="B49" i="92"/>
  <c r="B48" i="92"/>
  <c r="B47" i="92"/>
  <c r="B46" i="92"/>
  <c r="B45" i="92"/>
  <c r="B44" i="92"/>
  <c r="B43" i="92"/>
  <c r="B42" i="92"/>
  <c r="B41" i="92"/>
  <c r="B40" i="92"/>
  <c r="B39" i="92"/>
  <c r="G37" i="92"/>
  <c r="F37" i="92"/>
  <c r="E37" i="92"/>
  <c r="D37" i="92"/>
  <c r="C37" i="92"/>
  <c r="B36" i="92"/>
  <c r="B35" i="92"/>
  <c r="B34" i="92"/>
  <c r="B33" i="92"/>
  <c r="B32" i="92"/>
  <c r="B31" i="92"/>
  <c r="B30" i="92"/>
  <c r="B29" i="92"/>
  <c r="B28" i="92"/>
  <c r="B27" i="92"/>
  <c r="B26" i="92"/>
  <c r="B25" i="92"/>
  <c r="B24" i="92"/>
  <c r="B23" i="92"/>
  <c r="J11" i="92" s="1"/>
  <c r="K11" i="92" s="1"/>
  <c r="B22" i="92"/>
  <c r="B21" i="92"/>
  <c r="B20" i="92"/>
  <c r="B19" i="92"/>
  <c r="B18" i="92"/>
  <c r="B17" i="92"/>
  <c r="B16" i="92"/>
  <c r="B15" i="92"/>
  <c r="B14" i="92"/>
  <c r="B13" i="92"/>
  <c r="B12" i="92"/>
  <c r="B11" i="92"/>
  <c r="B10" i="92"/>
  <c r="B9" i="92"/>
  <c r="J8" i="92"/>
  <c r="K8" i="92" s="1"/>
  <c r="B8" i="92"/>
  <c r="B7" i="92"/>
  <c r="J6" i="92" s="1"/>
  <c r="K6" i="92" s="1"/>
  <c r="F79" i="94" l="1"/>
  <c r="D79" i="94"/>
  <c r="E79" i="94"/>
  <c r="G9" i="94"/>
  <c r="G42" i="94"/>
  <c r="K25" i="93"/>
  <c r="E30" i="93"/>
  <c r="E31" i="93" s="1"/>
  <c r="E25" i="93"/>
  <c r="D25" i="93"/>
  <c r="F25" i="93"/>
  <c r="G25" i="93"/>
  <c r="B25" i="93"/>
  <c r="C25" i="93"/>
  <c r="I25" i="93"/>
  <c r="I30" i="93"/>
  <c r="I31" i="93" s="1"/>
  <c r="F30" i="93"/>
  <c r="F31" i="93" s="1"/>
  <c r="J30" i="93"/>
  <c r="J31" i="93" s="1"/>
  <c r="G30" i="93"/>
  <c r="G31" i="93" s="1"/>
  <c r="H30" i="93"/>
  <c r="H31" i="93" s="1"/>
  <c r="J10" i="92"/>
  <c r="K10" i="92" s="1"/>
  <c r="G61" i="92"/>
  <c r="F61" i="92"/>
  <c r="B37" i="92"/>
  <c r="B57" i="92"/>
  <c r="C61" i="92"/>
  <c r="J12" i="92"/>
  <c r="K12" i="92" s="1"/>
  <c r="D61" i="92"/>
  <c r="H10" i="92"/>
  <c r="E61" i="92"/>
  <c r="J9" i="92"/>
  <c r="K9" i="92" s="1"/>
  <c r="H11" i="92"/>
  <c r="B61" i="92"/>
  <c r="J7" i="92"/>
  <c r="K7" i="92" s="1"/>
  <c r="G79" i="94" l="1"/>
  <c r="J13" i="92"/>
  <c r="K13" i="92" s="1"/>
  <c r="L8" i="92" l="1"/>
  <c r="L11" i="92"/>
  <c r="L10" i="92"/>
  <c r="L12" i="92"/>
  <c r="L9" i="92"/>
  <c r="L6" i="92"/>
  <c r="L7" i="92"/>
  <c r="L13" i="92" l="1"/>
  <c r="K13" i="17" l="1"/>
  <c r="J13" i="17"/>
  <c r="I13" i="17"/>
  <c r="H13" i="17"/>
  <c r="G13" i="17"/>
  <c r="F13" i="17"/>
  <c r="E13" i="17"/>
  <c r="H12" i="17"/>
  <c r="G12" i="17"/>
  <c r="F12" i="17"/>
  <c r="E12" i="17"/>
  <c r="D12" i="17"/>
  <c r="D13" i="17" s="1"/>
  <c r="C12" i="17"/>
  <c r="C13" i="17" s="1"/>
  <c r="K11" i="17"/>
  <c r="J11" i="17"/>
  <c r="I11" i="17"/>
  <c r="H11" i="17"/>
  <c r="G11" i="17"/>
  <c r="F11" i="17"/>
  <c r="E11" i="17"/>
  <c r="D11" i="17"/>
  <c r="C11" i="17"/>
  <c r="K9" i="17"/>
  <c r="J9" i="17"/>
  <c r="I9" i="17"/>
  <c r="H6" i="17"/>
  <c r="H9" i="17" s="1"/>
  <c r="G6" i="17"/>
  <c r="G9" i="17" s="1"/>
  <c r="F6" i="17"/>
  <c r="F9" i="17" s="1"/>
  <c r="E6" i="17"/>
  <c r="E9" i="17" s="1"/>
  <c r="E14" i="17" s="1"/>
  <c r="D6" i="17"/>
  <c r="D9" i="17" s="1"/>
  <c r="D14" i="17" s="1"/>
  <c r="C6" i="17"/>
  <c r="C9" i="17" s="1"/>
  <c r="C14" i="17" s="1"/>
  <c r="N31" i="9"/>
  <c r="M31" i="9"/>
  <c r="L31" i="9"/>
  <c r="K31" i="9"/>
  <c r="J31" i="9"/>
  <c r="I31" i="9"/>
  <c r="H31" i="9"/>
  <c r="G31" i="9"/>
  <c r="F31" i="9"/>
  <c r="E31" i="9"/>
  <c r="D31" i="9"/>
  <c r="C31" i="9"/>
  <c r="O30" i="9"/>
  <c r="O29" i="9"/>
  <c r="O28" i="9"/>
  <c r="O27" i="9"/>
  <c r="O26" i="9"/>
  <c r="F14" i="17" l="1"/>
  <c r="G14" i="17"/>
  <c r="H14" i="17"/>
  <c r="I14" i="17"/>
  <c r="K14" i="17"/>
  <c r="J14" i="17"/>
  <c r="O31" i="9"/>
  <c r="N8" i="80" l="1"/>
  <c r="M8" i="80"/>
  <c r="L8" i="80"/>
  <c r="K8" i="80"/>
  <c r="J8" i="80"/>
  <c r="I8" i="80"/>
  <c r="H8" i="80"/>
  <c r="G8" i="80"/>
  <c r="F8" i="80"/>
  <c r="E8" i="80"/>
  <c r="D8" i="80"/>
  <c r="C8" i="80"/>
  <c r="N8" i="82" l="1"/>
  <c r="O8" i="82"/>
  <c r="P8" i="82"/>
  <c r="Q8" i="82"/>
  <c r="R8" i="82"/>
  <c r="S8" i="82"/>
  <c r="T8" i="82"/>
  <c r="U8" i="82"/>
  <c r="V8" i="82"/>
  <c r="W8" i="82"/>
  <c r="X8" i="82"/>
  <c r="Y8" i="82"/>
  <c r="E25" i="82" l="1"/>
  <c r="E24" i="82"/>
  <c r="E23" i="82"/>
  <c r="E22" i="82"/>
  <c r="E21" i="82"/>
  <c r="E20" i="82"/>
  <c r="E19" i="82"/>
  <c r="E18" i="82"/>
  <c r="E17" i="82"/>
  <c r="E16" i="82"/>
  <c r="E15" i="82"/>
  <c r="E14" i="82"/>
  <c r="M8" i="82"/>
  <c r="L8" i="82"/>
  <c r="K8" i="82"/>
  <c r="J8" i="82"/>
  <c r="I8" i="82"/>
  <c r="H8" i="82"/>
  <c r="G8" i="82"/>
  <c r="F8" i="82"/>
  <c r="E8" i="82"/>
  <c r="D8" i="82"/>
  <c r="C8" i="82"/>
  <c r="B8" i="82"/>
  <c r="M8" i="81"/>
  <c r="L8" i="81"/>
  <c r="K8" i="81"/>
  <c r="J8" i="81"/>
  <c r="I8" i="81"/>
  <c r="H8" i="81"/>
  <c r="G8" i="81"/>
  <c r="F8" i="81"/>
  <c r="E8" i="81"/>
  <c r="D8" i="81"/>
  <c r="C8" i="81"/>
  <c r="B8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TEMP_DGH129</author>
  </authors>
  <commentList>
    <comment ref="E2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TEMP_DGH129:</t>
        </r>
        <r>
          <rPr>
            <sz val="9"/>
            <color indexed="81"/>
            <rFont val="Tahoma"/>
            <family val="2"/>
          </rPr>
          <t xml:space="preserve">
Fecha DS: 27.11.1996</t>
        </r>
      </text>
    </comment>
    <comment ref="F10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TEMP_DGH129:</t>
        </r>
        <r>
          <rPr>
            <sz val="9"/>
            <color indexed="81"/>
            <rFont val="Tahoma"/>
            <family val="2"/>
          </rPr>
          <t xml:space="preserve">
Error en pàgina de PERUPETRO.
Clàusula 3.1</t>
        </r>
      </text>
    </comment>
  </commentList>
</comments>
</file>

<file path=xl/sharedStrings.xml><?xml version="1.0" encoding="utf-8"?>
<sst xmlns="http://schemas.openxmlformats.org/spreadsheetml/2006/main" count="2752" uniqueCount="841">
  <si>
    <t>GOLD OIL</t>
  </si>
  <si>
    <t>XXI</t>
  </si>
  <si>
    <t>-</t>
  </si>
  <si>
    <t>VETRA</t>
  </si>
  <si>
    <t>XXV</t>
  </si>
  <si>
    <t>OLIMPYC</t>
  </si>
  <si>
    <t>XIII</t>
  </si>
  <si>
    <t xml:space="preserve">SAVIA </t>
  </si>
  <si>
    <t>Z-33</t>
  </si>
  <si>
    <t>ANADARKO</t>
  </si>
  <si>
    <t>Z-61</t>
  </si>
  <si>
    <t>Z-62</t>
  </si>
  <si>
    <t>Z-63</t>
  </si>
  <si>
    <t>CONVENIO GX-T</t>
  </si>
  <si>
    <t>Otros (*)</t>
  </si>
  <si>
    <t>PETROLÍFERA</t>
  </si>
  <si>
    <t>SUBANDEAN</t>
  </si>
  <si>
    <t>BURLINGTON</t>
  </si>
  <si>
    <t>GRAN TIERRA</t>
  </si>
  <si>
    <t>CNPC</t>
  </si>
  <si>
    <t>CEPSA</t>
  </si>
  <si>
    <t>PACIFIC STRATUS</t>
  </si>
  <si>
    <t>PLUSPETROL</t>
  </si>
  <si>
    <t>REPSOL</t>
  </si>
  <si>
    <t xml:space="preserve">Fuente: Perupetro S.A. </t>
  </si>
  <si>
    <t>EXPLORACIÓN</t>
  </si>
  <si>
    <t>Z-38</t>
  </si>
  <si>
    <t>XXIII</t>
  </si>
  <si>
    <t>XXVII</t>
  </si>
  <si>
    <t>TOTAL</t>
  </si>
  <si>
    <t>BPZ</t>
  </si>
  <si>
    <t>Z-1</t>
  </si>
  <si>
    <t>Z-46</t>
  </si>
  <si>
    <t>Z-48</t>
  </si>
  <si>
    <t>GMP</t>
  </si>
  <si>
    <t>IV</t>
  </si>
  <si>
    <t>III</t>
  </si>
  <si>
    <t>X</t>
  </si>
  <si>
    <t>OLYMPIC</t>
  </si>
  <si>
    <t>UPLAND</t>
  </si>
  <si>
    <t>XXIV</t>
  </si>
  <si>
    <t>FAULKNER</t>
  </si>
  <si>
    <t>IX</t>
  </si>
  <si>
    <t>SAVIA</t>
  </si>
  <si>
    <t>Z-2B</t>
  </si>
  <si>
    <t>BPZ EXPLORACIÓN Y EXPLOTACIÓN S.R.L.</t>
  </si>
  <si>
    <t>KEI</t>
  </si>
  <si>
    <t xml:space="preserve">TALISMAN </t>
  </si>
  <si>
    <t>HUNT OIL</t>
  </si>
  <si>
    <t>PETROTAL</t>
  </si>
  <si>
    <t>PETROMINERALES</t>
  </si>
  <si>
    <t>029-2005-EM</t>
  </si>
  <si>
    <t>LICENCIA</t>
  </si>
  <si>
    <t>A/D 109-2007</t>
  </si>
  <si>
    <t xml:space="preserve">050-2010-EM </t>
  </si>
  <si>
    <t xml:space="preserve"> 009-2015-EM</t>
  </si>
  <si>
    <t>002-2017- EM</t>
  </si>
  <si>
    <t>034-2018-EM</t>
  </si>
  <si>
    <t>UPLAND OIL &amp; GAS LLC (100%)</t>
  </si>
  <si>
    <t>062-2007-EM</t>
  </si>
  <si>
    <t>016-2016-EM</t>
  </si>
  <si>
    <t>PETRO BAYOVAR INC. S.A., SUCURSAL DEL PERU (100%)</t>
  </si>
  <si>
    <t>023-2009-EM</t>
  </si>
  <si>
    <t>034-2016-EM</t>
  </si>
  <si>
    <t>ANADARKO PERÚ B.V., SUCURSAL DEL PERÚ (100%)</t>
  </si>
  <si>
    <t>029-2017-EM</t>
  </si>
  <si>
    <t>030-2017-EM</t>
  </si>
  <si>
    <t>031-2017-EM</t>
  </si>
  <si>
    <t xml:space="preserve">LICENCIA </t>
  </si>
  <si>
    <t>ZONA</t>
  </si>
  <si>
    <t>LOTE</t>
  </si>
  <si>
    <t>OPERADOR</t>
  </si>
  <si>
    <t>FASE</t>
  </si>
  <si>
    <t>ÚLTIMO DÍA DE VIGENCIA</t>
  </si>
  <si>
    <t>SELVA</t>
  </si>
  <si>
    <t>I</t>
  </si>
  <si>
    <t>PETROMONT</t>
  </si>
  <si>
    <t>II</t>
  </si>
  <si>
    <t>V</t>
  </si>
  <si>
    <t>SAPET</t>
  </si>
  <si>
    <t>VII/VI</t>
  </si>
  <si>
    <t>XV</t>
  </si>
  <si>
    <t>XX</t>
  </si>
  <si>
    <t>AGUAYTIA</t>
  </si>
  <si>
    <t>31-C</t>
  </si>
  <si>
    <t>Z-6</t>
  </si>
  <si>
    <t>PERENCO</t>
  </si>
  <si>
    <t>SERVICIOS</t>
  </si>
  <si>
    <t>PETROLERA MONTERRICO S.A. (100%)</t>
  </si>
  <si>
    <t>030-2005-EM</t>
  </si>
  <si>
    <t xml:space="preserve"> 024-2015-EM</t>
  </si>
  <si>
    <t>004-2015-EM</t>
  </si>
  <si>
    <t>005-2015-EM</t>
  </si>
  <si>
    <t>031-2002-EM</t>
  </si>
  <si>
    <t>VI / VII</t>
  </si>
  <si>
    <t>040-93-EM</t>
  </si>
  <si>
    <t>001-96-EM</t>
  </si>
  <si>
    <t>005-2000-EM</t>
  </si>
  <si>
    <t>016-2003-EM</t>
  </si>
  <si>
    <t>003-2006-EM</t>
  </si>
  <si>
    <t>048-2014-EM</t>
  </si>
  <si>
    <t>EMPRESA PETROLERA UNIPETRO ABC S.A.C. (100%)</t>
  </si>
  <si>
    <t>014-2015-EM</t>
  </si>
  <si>
    <t>035-2004-EM</t>
  </si>
  <si>
    <t xml:space="preserve"> 017-2014-EM</t>
  </si>
  <si>
    <t>011-2019-EM</t>
  </si>
  <si>
    <t>OLYMPIC PERU, INC., SUC.DEL PERU (100%)</t>
  </si>
  <si>
    <t>015-96-EM</t>
  </si>
  <si>
    <t>019-2008-EM</t>
  </si>
  <si>
    <t xml:space="preserve">051-2011-EM </t>
  </si>
  <si>
    <t>013-98-EM</t>
  </si>
  <si>
    <t>001-2000-EM</t>
  </si>
  <si>
    <t>049-2008-EM</t>
  </si>
  <si>
    <t>SAVIA PERUANA S.A. (100%)</t>
  </si>
  <si>
    <t>OPERACIONES</t>
  </si>
  <si>
    <t xml:space="preserve"> 002-2005-EM</t>
  </si>
  <si>
    <t>060-2008-EM</t>
  </si>
  <si>
    <t xml:space="preserve"> 049-2012-EM</t>
  </si>
  <si>
    <t>SAVIA PERU S.A. (100%)</t>
  </si>
  <si>
    <t>005-2002-EM</t>
  </si>
  <si>
    <t>037-2005-EM</t>
  </si>
  <si>
    <t>16-94-EM</t>
  </si>
  <si>
    <t>030-96-EM</t>
  </si>
  <si>
    <t>028-2002-EM</t>
  </si>
  <si>
    <t xml:space="preserve"> 009-2003-EM</t>
  </si>
  <si>
    <t>028-99-EM</t>
  </si>
  <si>
    <t>008-2001-EM</t>
  </si>
  <si>
    <t>039-2002-EM</t>
  </si>
  <si>
    <t>014-2003-EM</t>
  </si>
  <si>
    <t>038-2003-EM</t>
  </si>
  <si>
    <t>018-2005-EM</t>
  </si>
  <si>
    <t>029-2006-EM</t>
  </si>
  <si>
    <t>GEOPARK PERÚ S.A.C.(75%)/PETROLEOS DEL PERU - PETROPERU S.A.(25%)</t>
  </si>
  <si>
    <t>33-95-EM</t>
  </si>
  <si>
    <t>049-99-EM</t>
  </si>
  <si>
    <t>005-2001-EM</t>
  </si>
  <si>
    <t>006-2004-EM</t>
  </si>
  <si>
    <t>027-2004-EM</t>
  </si>
  <si>
    <t>077-2007-EM</t>
  </si>
  <si>
    <t>009-2010-EM</t>
  </si>
  <si>
    <t>021-2010-EM</t>
  </si>
  <si>
    <t>011-2013-EM</t>
  </si>
  <si>
    <t>38-95-EM</t>
  </si>
  <si>
    <t>048-99-EM</t>
  </si>
  <si>
    <t>007-2001-EM</t>
  </si>
  <si>
    <t>008-2003-EM</t>
  </si>
  <si>
    <t>044-2005-EM</t>
  </si>
  <si>
    <t>056-2007-EM</t>
  </si>
  <si>
    <t>043-2010-EM</t>
  </si>
  <si>
    <t>PETROTAL PERU S.R.L. (100%)</t>
  </si>
  <si>
    <t>010-2005-EM</t>
  </si>
  <si>
    <t>AGUAYTIA ENERGY DEL PERU S.R.L.(100%)</t>
  </si>
  <si>
    <t>21-94-EM</t>
  </si>
  <si>
    <t>021-99-EM</t>
  </si>
  <si>
    <t>036-2001-EM</t>
  </si>
  <si>
    <t>033-2004-EM</t>
  </si>
  <si>
    <t>060-2005-EM</t>
  </si>
  <si>
    <t>039-2006-EM</t>
  </si>
  <si>
    <t>066-2009-EM</t>
  </si>
  <si>
    <t>021-2000-EM</t>
  </si>
  <si>
    <t>032-2003-EM</t>
  </si>
  <si>
    <t>023-2004-EM</t>
  </si>
  <si>
    <t>061-2005-EM</t>
  </si>
  <si>
    <t>006-2006-EM</t>
  </si>
  <si>
    <t>064-2006-EM</t>
  </si>
  <si>
    <t>063-2009-EM</t>
  </si>
  <si>
    <t>023-2014-EM</t>
  </si>
  <si>
    <t>043-2003-EM</t>
  </si>
  <si>
    <t>048-2006-EM</t>
  </si>
  <si>
    <t>055-2007-EM</t>
  </si>
  <si>
    <t>018-2014-EM</t>
  </si>
  <si>
    <t>017-2005-EM</t>
  </si>
  <si>
    <t>009-2013-EM</t>
  </si>
  <si>
    <t>019-2014-EM</t>
  </si>
  <si>
    <t>042-2013-EM</t>
  </si>
  <si>
    <t>075-2007-EM</t>
  </si>
  <si>
    <t>042-2008-EM</t>
  </si>
  <si>
    <t>013-2017-EM</t>
  </si>
  <si>
    <t>045-2017-EM</t>
  </si>
  <si>
    <t>PET. MONTERRICO</t>
  </si>
  <si>
    <t>VI/VII</t>
  </si>
  <si>
    <t>UNIPETRO</t>
  </si>
  <si>
    <t>FRONTERA OFF SHORE</t>
  </si>
  <si>
    <t>FRONTERA</t>
  </si>
  <si>
    <t>PLUSPETROL NORTE</t>
  </si>
  <si>
    <t>MAPLE</t>
  </si>
  <si>
    <t>LÍQUIDOS DEL GAS NATURAL</t>
  </si>
  <si>
    <t xml:space="preserve">AGUAYTIA  </t>
  </si>
  <si>
    <t>ZÓCALO</t>
  </si>
  <si>
    <t xml:space="preserve">II </t>
  </si>
  <si>
    <t>VII-VI</t>
  </si>
  <si>
    <t xml:space="preserve">Z-2B  </t>
  </si>
  <si>
    <t>1-AB</t>
  </si>
  <si>
    <t>PLUSPETROL E&amp;P</t>
  </si>
  <si>
    <t>31 B / D</t>
  </si>
  <si>
    <t xml:space="preserve">31-E  </t>
  </si>
  <si>
    <t>LÍQUIDOS DE GAS NATURAL</t>
  </si>
  <si>
    <t>31 C</t>
  </si>
  <si>
    <t>Total</t>
  </si>
  <si>
    <t>OLIMPIC</t>
  </si>
  <si>
    <t>AGUAYTIA ENERGY DEL PERÚ S.R.L.</t>
  </si>
  <si>
    <t>PACIFIC OFF SHORE PERU S.R.L</t>
  </si>
  <si>
    <t>CNPC PERU S.A.</t>
  </si>
  <si>
    <t xml:space="preserve">-   </t>
  </si>
  <si>
    <t>GEOPARK PERÚ S.A.C.</t>
  </si>
  <si>
    <t>GOLD OIL PERÚ S.A.C.</t>
  </si>
  <si>
    <t>PERENCO PERU PETROLEUM LIMITED, SUCURSAL DEL PERÚ</t>
  </si>
  <si>
    <t>OLYMPIC PERU INC., SUCURSAL DEL PERÚ S.A.</t>
  </si>
  <si>
    <t>PETROLÍFERA PETROLEUM DEL PERÚ S.R.L.</t>
  </si>
  <si>
    <t>PLUSPETROL NORTE S.A.</t>
  </si>
  <si>
    <t>PLUSPETROL PERU CORPORATION S.A.</t>
  </si>
  <si>
    <t>REPSOL EXPLORACION PERU, SUCURSAL DEL PERU</t>
  </si>
  <si>
    <t>SAPET DEVELOPMENT PERU INC., SUCURSAL DEL PERU</t>
  </si>
  <si>
    <t>VII_VI</t>
  </si>
  <si>
    <t>SAVIA PERU S.A.</t>
  </si>
  <si>
    <t>ANADARKO PERU B.V. SUCURSAL PERUANA</t>
  </si>
  <si>
    <t>UPLAND OIL AND GAS L.L.C., SUCURSAL DEL PERU</t>
  </si>
  <si>
    <t>EXPLOTACIÓN</t>
  </si>
  <si>
    <t>HIDROCARBUROS LÍQUIDOS</t>
  </si>
  <si>
    <t>VI-VII</t>
  </si>
  <si>
    <t xml:space="preserve">AGUAYTIA </t>
  </si>
  <si>
    <t>56 Mercado ext.</t>
  </si>
  <si>
    <t>NORTE</t>
  </si>
  <si>
    <t>ZOCALO</t>
  </si>
  <si>
    <t xml:space="preserve">TOTAL </t>
  </si>
  <si>
    <t>LORETO</t>
  </si>
  <si>
    <t>SERVICIO DE DEUDA</t>
  </si>
  <si>
    <t>(D. LEY Nº 21678/D.U. 027-98)</t>
  </si>
  <si>
    <t>GOBIERNO REGIONAL (vía PCM)</t>
  </si>
  <si>
    <t>UNIVERSIDAD NACIONAL AMAZONIA</t>
  </si>
  <si>
    <t>INSTITUTO PERUANO AMAZONÍA</t>
  </si>
  <si>
    <t>MUNICIPALIDADES (vía PCM)</t>
  </si>
  <si>
    <t>UCAYALI</t>
  </si>
  <si>
    <t>GOBIERNO REGIONAL (Vía PCM)</t>
  </si>
  <si>
    <t>52-20</t>
  </si>
  <si>
    <t>(D. LEY Nº 23350/D.U. 027-98)</t>
  </si>
  <si>
    <t>GOBIERNO REGIONAL-INSTITUTOS</t>
  </si>
  <si>
    <t>0-3</t>
  </si>
  <si>
    <t>UNIVERSIDAD NACIONAL DE UCAYALI</t>
  </si>
  <si>
    <t>U. N. INTERCULTURAL DE LA AMAZONÍA</t>
  </si>
  <si>
    <t>40-70</t>
  </si>
  <si>
    <t>PIURA</t>
  </si>
  <si>
    <t>(D. LEY Nº 23630)</t>
  </si>
  <si>
    <t>INSTITUTOS TECNOLÓGICOS</t>
  </si>
  <si>
    <t>TUMBES</t>
  </si>
  <si>
    <t>(D. LEY Nº 23871)</t>
  </si>
  <si>
    <t>UNIVERSIDAD NACIONAL</t>
  </si>
  <si>
    <t>PUERTO INCA - HUANUCO (Provincia)</t>
  </si>
  <si>
    <t>CUSCO</t>
  </si>
  <si>
    <t>(D. LEY Nº 27506)</t>
  </si>
  <si>
    <t>Fuente: Perupetro S.A. Elaboración: DGH - MINEM</t>
  </si>
  <si>
    <t>CEPSA PERUANA S.A.C. (100%)</t>
  </si>
  <si>
    <t>UNNA ENERGIA</t>
  </si>
  <si>
    <t>PETROLEOS DEL PERU S.A. - PETROPERU S.A. (100%)</t>
  </si>
  <si>
    <t>030-2021-EM</t>
  </si>
  <si>
    <t>UNNA ENERGIA   S.A. (100%)</t>
  </si>
  <si>
    <t>042-96-EM</t>
  </si>
  <si>
    <t>024-2017-EM</t>
  </si>
  <si>
    <t>020-2017-EM</t>
  </si>
  <si>
    <t>007-2019-EM</t>
  </si>
  <si>
    <t>012-2020-EM</t>
  </si>
  <si>
    <t>001-2006-EM</t>
  </si>
  <si>
    <t>017-2016-EM</t>
  </si>
  <si>
    <t>014-2017-EM</t>
  </si>
  <si>
    <t>UNNA</t>
  </si>
  <si>
    <t>PETROPERU</t>
  </si>
  <si>
    <t>I(T)</t>
  </si>
  <si>
    <t>UNNA ENERGIA S.A.</t>
  </si>
  <si>
    <t>88 P. Melchorita</t>
  </si>
  <si>
    <t>88 P. Pisco</t>
  </si>
  <si>
    <t>38-96-EM</t>
  </si>
  <si>
    <t>044-1993-EM</t>
  </si>
  <si>
    <t>015-2010-EM</t>
  </si>
  <si>
    <t>041-2009-EM</t>
  </si>
  <si>
    <t>025-2012-EM</t>
  </si>
  <si>
    <t>001-2019-EM</t>
  </si>
  <si>
    <t>026-2014-EM</t>
  </si>
  <si>
    <t>024-2021-EM</t>
  </si>
  <si>
    <t>050-2011-EM</t>
  </si>
  <si>
    <t>001-2013-EM</t>
  </si>
  <si>
    <t>033-2018-EM</t>
  </si>
  <si>
    <t>014-2020-EM</t>
  </si>
  <si>
    <t>032-2001-EM</t>
  </si>
  <si>
    <t>024-2014-EM</t>
  </si>
  <si>
    <t>031-99-EM</t>
  </si>
  <si>
    <t>018-97-EM</t>
  </si>
  <si>
    <t>039-95-EM</t>
  </si>
  <si>
    <t xml:space="preserve"> 013-2004-EM</t>
  </si>
  <si>
    <t>001-2005-EM</t>
  </si>
  <si>
    <t>038-93-EM</t>
  </si>
  <si>
    <t>17-95-EM</t>
  </si>
  <si>
    <t>15-94-EM</t>
  </si>
  <si>
    <t>006-2000-EM</t>
  </si>
  <si>
    <t>027-2001-EM</t>
  </si>
  <si>
    <t>020-2004-EM</t>
  </si>
  <si>
    <t xml:space="preserve"> 047-2014-EM</t>
  </si>
  <si>
    <t>052-2001-EM</t>
  </si>
  <si>
    <t>045-2002-EM</t>
  </si>
  <si>
    <t>003-2004-EM</t>
  </si>
  <si>
    <t>031-2016-MEM</t>
  </si>
  <si>
    <t>032-97-EM</t>
  </si>
  <si>
    <t>026-96-EM</t>
  </si>
  <si>
    <t>RS 079-2006-EM</t>
  </si>
  <si>
    <t>LOTES/ AÑO</t>
  </si>
  <si>
    <t xml:space="preserve"> II </t>
  </si>
  <si>
    <t xml:space="preserve"> III </t>
  </si>
  <si>
    <t xml:space="preserve"> IV </t>
  </si>
  <si>
    <t xml:space="preserve"> VII_VI </t>
  </si>
  <si>
    <t xml:space="preserve"> X </t>
  </si>
  <si>
    <t xml:space="preserve"> XIII </t>
  </si>
  <si>
    <t xml:space="preserve"> XIV </t>
  </si>
  <si>
    <t xml:space="preserve">                    -   </t>
  </si>
  <si>
    <t xml:space="preserve"> XV </t>
  </si>
  <si>
    <t xml:space="preserve"> XX </t>
  </si>
  <si>
    <t xml:space="preserve"> 31B Y 31D </t>
  </si>
  <si>
    <t xml:space="preserve"> 31-C </t>
  </si>
  <si>
    <t xml:space="preserve"> 31-E </t>
  </si>
  <si>
    <t xml:space="preserve"> 1-AB </t>
  </si>
  <si>
    <t xml:space="preserve"> Z-1 </t>
  </si>
  <si>
    <t xml:space="preserve"> Z-6 </t>
  </si>
  <si>
    <t xml:space="preserve"> TOTAL (MMUS$) </t>
  </si>
  <si>
    <t>REGIONES / AÑO</t>
  </si>
  <si>
    <t>Piura</t>
  </si>
  <si>
    <t>Cusco</t>
  </si>
  <si>
    <t xml:space="preserve"> TOTAL</t>
  </si>
  <si>
    <t xml:space="preserve"> TALARA</t>
  </si>
  <si>
    <t xml:space="preserve"> IQUITOS</t>
  </si>
  <si>
    <t xml:space="preserve"> Crudo Nacional</t>
  </si>
  <si>
    <t>Crudo Importado</t>
  </si>
  <si>
    <t xml:space="preserve"> OTRAS CARGAS</t>
  </si>
  <si>
    <t>Destilados Medio para Mezcla (MDBS)</t>
  </si>
  <si>
    <t>Diesel Ultra Bajo en Azufre (ULSD)</t>
  </si>
  <si>
    <t>Etanol</t>
  </si>
  <si>
    <t>Nafta Craqueada</t>
  </si>
  <si>
    <t>Nafta Primaria</t>
  </si>
  <si>
    <t>Residual de Primaria</t>
  </si>
  <si>
    <t>Residuo de Vacío</t>
  </si>
  <si>
    <t>Slop</t>
  </si>
  <si>
    <t>Diesel 2</t>
  </si>
  <si>
    <t>Nafta Pesada</t>
  </si>
  <si>
    <t>Diesel 2 Bajo Azufre</t>
  </si>
  <si>
    <t>Fuel Oil Bajo Azufre</t>
  </si>
  <si>
    <t>Biodiesel B100</t>
  </si>
  <si>
    <t>Diesel 2 S 50</t>
  </si>
  <si>
    <t>Fuel Oil Alto Azufre</t>
  </si>
  <si>
    <t>Sub Total</t>
  </si>
  <si>
    <t>Petroleo Industrial 6</t>
  </si>
  <si>
    <t>Turbo A-1</t>
  </si>
  <si>
    <t>Petroleo Industrial 500</t>
  </si>
  <si>
    <t>Gasolina 95</t>
  </si>
  <si>
    <t>Solvente 3</t>
  </si>
  <si>
    <t>Combustible Residual Intermedio - 380 (IFO - 380)</t>
  </si>
  <si>
    <t>Asfalto Sólido 10/20 PEN</t>
  </si>
  <si>
    <t>Gasolina 90</t>
  </si>
  <si>
    <t>Diesel B5 Bajo Azufre</t>
  </si>
  <si>
    <t xml:space="preserve"> CARGA TOTAL PROCESADA</t>
  </si>
  <si>
    <t xml:space="preserve">PRODUCCIÓN EN REFINERÍA </t>
  </si>
  <si>
    <t>TALARA</t>
  </si>
  <si>
    <t>IQUITOS</t>
  </si>
  <si>
    <t>CONCHAN</t>
  </si>
  <si>
    <t>PAMPILLA</t>
  </si>
  <si>
    <t>PUCALLPA</t>
  </si>
  <si>
    <t>PRODUCTO</t>
  </si>
  <si>
    <t>TOTAL (MBLS)</t>
  </si>
  <si>
    <t>TOTAL (MBPD)</t>
  </si>
  <si>
    <t>%</t>
  </si>
  <si>
    <t xml:space="preserve">PRODUCTOS TERMINADOS </t>
  </si>
  <si>
    <t>GLP</t>
  </si>
  <si>
    <t xml:space="preserve">Gas Licuado de Petróleo </t>
  </si>
  <si>
    <t>Gasolinas/Gasoholes</t>
  </si>
  <si>
    <t xml:space="preserve">Gasohol 84 </t>
  </si>
  <si>
    <t>Turbo</t>
  </si>
  <si>
    <t xml:space="preserve">Gasohol 90 </t>
  </si>
  <si>
    <t>Diesel</t>
  </si>
  <si>
    <t xml:space="preserve">Gasohol 95 </t>
  </si>
  <si>
    <t>Residuales</t>
  </si>
  <si>
    <t xml:space="preserve">Gasohol 97 </t>
  </si>
  <si>
    <t>IFO/Diesel Marino</t>
  </si>
  <si>
    <t xml:space="preserve">Gasohol 98 </t>
  </si>
  <si>
    <t>Otros</t>
  </si>
  <si>
    <t xml:space="preserve">Gasolina 84 </t>
  </si>
  <si>
    <t xml:space="preserve">Gasolina 90 </t>
  </si>
  <si>
    <t xml:space="preserve">Gasolina 95 </t>
  </si>
  <si>
    <t xml:space="preserve">Gasolina 97 </t>
  </si>
  <si>
    <t>Diesel B5 - S50</t>
  </si>
  <si>
    <t>Diesel B5</t>
  </si>
  <si>
    <t xml:space="preserve">Diesel Marino 2 </t>
  </si>
  <si>
    <t>Solvente 1</t>
  </si>
  <si>
    <t>Asfalto Líquido</t>
  </si>
  <si>
    <t>Asfalto Líquido MC-30</t>
  </si>
  <si>
    <t>Asfalto Líquido RC-250</t>
  </si>
  <si>
    <t>Asfalto Sólido</t>
  </si>
  <si>
    <t>Asfalto Sólido 120/150 PEN</t>
  </si>
  <si>
    <t>Asfalto Sólido 60/70 PEN</t>
  </si>
  <si>
    <t>Asfalto Sólido 85/100 PEN</t>
  </si>
  <si>
    <t xml:space="preserve">PRODUCTOS EN PROCESO </t>
  </si>
  <si>
    <t>Nafta Liviana</t>
  </si>
  <si>
    <t>Destilados medio para mezcla</t>
  </si>
  <si>
    <t>Fuel Oil</t>
  </si>
  <si>
    <t>Gas Unidad de Destilación Primaria</t>
  </si>
  <si>
    <t>Combustibles Uso Propio</t>
  </si>
  <si>
    <t>Gas Combustible</t>
  </si>
  <si>
    <t>Azufre</t>
  </si>
  <si>
    <t>Recuperaciòn de Productos</t>
  </si>
  <si>
    <t>Mermas</t>
  </si>
  <si>
    <t>Pèrdidas y Ganancias</t>
  </si>
  <si>
    <t>TOTAL DE PRODUCTOS EN REFINERíA</t>
  </si>
  <si>
    <t>EL MILAGRO</t>
  </si>
  <si>
    <t>TOTAL NACIONAL</t>
  </si>
  <si>
    <t>Nafta Virgen</t>
  </si>
  <si>
    <t>Alcohol Carburante</t>
  </si>
  <si>
    <t>Gasolina 97</t>
  </si>
  <si>
    <t>Gasolina 84</t>
  </si>
  <si>
    <t xml:space="preserve">TOTAL (MBPD) </t>
  </si>
  <si>
    <t>GNV</t>
  </si>
  <si>
    <t>Lima</t>
  </si>
  <si>
    <t>Arequipa</t>
  </si>
  <si>
    <t>Chiclayo</t>
  </si>
  <si>
    <t>Chimbote</t>
  </si>
  <si>
    <t>Huancayo</t>
  </si>
  <si>
    <t>Ica</t>
  </si>
  <si>
    <t>Moquegua</t>
  </si>
  <si>
    <t>Puno</t>
  </si>
  <si>
    <t>Tacna</t>
  </si>
  <si>
    <t>Trujillo</t>
  </si>
  <si>
    <t>MMPC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</si>
  <si>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</si>
  <si>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</si>
  <si>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</si>
  <si>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</si>
  <si>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</si>
  <si>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</si>
  <si>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</si>
  <si>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</si>
  <si>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</si>
  <si>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</si>
  <si>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</si>
  <si>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</si>
  <si>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Lote 56</t>
  </si>
  <si>
    <t>Lote 88</t>
  </si>
  <si>
    <t>*No considera información del Lote 57</t>
  </si>
  <si>
    <t>ene</t>
  </si>
  <si>
    <t>feb</t>
  </si>
  <si>
    <t>SET</t>
  </si>
  <si>
    <t>BBL</t>
  </si>
  <si>
    <t>Mercado Interno</t>
  </si>
  <si>
    <t>Exportación</t>
  </si>
  <si>
    <t>Conexiones</t>
  </si>
  <si>
    <t>Cálidda - Volumen</t>
  </si>
  <si>
    <t>Cálidda - Consumidores (Anual)</t>
  </si>
  <si>
    <t>* Incluye Instituciones Públicas 2014-2020</t>
  </si>
  <si>
    <t>** Incluye clientes Iniciales e Independientes 2004-2009</t>
  </si>
  <si>
    <t>Cálidda - Volumen (Anual)</t>
  </si>
  <si>
    <t>Contugas - Volumen</t>
  </si>
  <si>
    <t>Quavii - Volumen</t>
  </si>
  <si>
    <t>Quavii - Consumidores (Anual)</t>
  </si>
  <si>
    <t>Quavii - Volumen (Anual)</t>
  </si>
  <si>
    <t>Petroperu - Volumen</t>
  </si>
  <si>
    <t>Petroperu - Consumidores (Anual)</t>
  </si>
  <si>
    <t>Naturgy - Volumen (Anual)</t>
  </si>
  <si>
    <t xml:space="preserve">                   -   </t>
  </si>
  <si>
    <t>2021, US$ MM</t>
  </si>
  <si>
    <t>CARGAS</t>
  </si>
  <si>
    <t xml:space="preserve"> PRODUCTOS TERMINADOS</t>
  </si>
  <si>
    <t>PAÍS DE PROCEDENCIA</t>
  </si>
  <si>
    <t>ARGENTINA</t>
  </si>
  <si>
    <t>ALEMANIA</t>
  </si>
  <si>
    <t>ECUADOR</t>
  </si>
  <si>
    <t>INDONESIA</t>
  </si>
  <si>
    <t>ESPAÑA</t>
  </si>
  <si>
    <t>MALASIA</t>
  </si>
  <si>
    <t>CANADÁ</t>
  </si>
  <si>
    <t>ESTADOS UNIDOS</t>
  </si>
  <si>
    <t>CHINA</t>
  </si>
  <si>
    <t>JAPÓN</t>
  </si>
  <si>
    <t>BÉLGICA</t>
  </si>
  <si>
    <t>PAÍSES BAJOS</t>
  </si>
  <si>
    <t>2022, US$ MM</t>
  </si>
  <si>
    <t>Tabla Nº 48: Procesamiento de Gas Natural (MMPC), 2022</t>
  </si>
  <si>
    <t>Tabla Nº 49: Procesamiento de Líquidos de Gas Natural (BBL), 2022</t>
  </si>
  <si>
    <t xml:space="preserve">Tabla Nº 50: Transporte de Gas Natural (MMPC), 2022 </t>
  </si>
  <si>
    <t>Tabla Nº 17: Inversiones en Gas Natural, 2022</t>
  </si>
  <si>
    <t>Tabla Nº 47: Importaciones de Biodiesel (MBPD), 2015 - 2022</t>
  </si>
  <si>
    <t>IMPORTACIONES DE BIODIESEL (MILES DE BARRILES), 2015 - 2022</t>
  </si>
  <si>
    <t>CRUDO</t>
  </si>
  <si>
    <t>BUTANO</t>
  </si>
  <si>
    <t>GASOLINAS</t>
  </si>
  <si>
    <t>DESTILADOS MEDIOS</t>
  </si>
  <si>
    <t>OTROS</t>
  </si>
  <si>
    <t>RESIDUALES/IFO/</t>
  </si>
  <si>
    <t>FUEL OIL</t>
  </si>
  <si>
    <t xml:space="preserve"> -   </t>
  </si>
  <si>
    <t>Tabla Nº 46: Importaciones de Hidrocarburos (Miles de Dólares), 2015-2022</t>
  </si>
  <si>
    <t>IMPORTACIONES (MILES DE BARRILES), 2015-2022</t>
  </si>
  <si>
    <t>GLP/PROPANO/BUTANO</t>
  </si>
  <si>
    <t>Tabla Nº 45: Importaciones de Hidrocarburos (MBPD), 2015-2022</t>
  </si>
  <si>
    <t>GAS NATURAL</t>
  </si>
  <si>
    <t>Tabla Nº 44: Exportaciones de Hidrocarburos (Miles de Dólares), 2015-2022</t>
  </si>
  <si>
    <t>EXPORTACIONES (MILES DE BARRILES), 2015-2022</t>
  </si>
  <si>
    <t>RESIDUALES/IFO/FUEL OIL</t>
  </si>
  <si>
    <t>Tabla Nº 43: Exportaciones de Hidrocarburos (MBPD), 2015-2022</t>
  </si>
  <si>
    <t>VENTAS DE COMBUSTIBLES, 2013-2022 (MILES DE BARRILES)</t>
  </si>
  <si>
    <t xml:space="preserve">PRODUCTO </t>
  </si>
  <si>
    <t>GAS LICUADO DE PETRÓLEO</t>
  </si>
  <si>
    <t>GASOLINA 98</t>
  </si>
  <si>
    <t>GASOLINA 97</t>
  </si>
  <si>
    <t>GASOLINA 95</t>
  </si>
  <si>
    <t>GASOLINA 90</t>
  </si>
  <si>
    <t>GASOLINA 84</t>
  </si>
  <si>
    <t>GASOHOL 98</t>
  </si>
  <si>
    <t>GASOHOL 97</t>
  </si>
  <si>
    <t>GASOHOL 95</t>
  </si>
  <si>
    <t>GASOHOL 90</t>
  </si>
  <si>
    <t xml:space="preserve">GASOHOL 84 </t>
  </si>
  <si>
    <t>TURBO A-1/ JP-5/ GASOLINA AVIACIÓN</t>
  </si>
  <si>
    <t>DIESEL B-5</t>
  </si>
  <si>
    <t xml:space="preserve">DIESEL B-5 </t>
  </si>
  <si>
    <t>S-50</t>
  </si>
  <si>
    <t>PETROLEO INDUSTRIAL Nº 6</t>
  </si>
  <si>
    <t xml:space="preserve">PETROLEO INDUSTRIAL 500 </t>
  </si>
  <si>
    <t>DIESEL MARINO/ I.F.O. / M.G.O.</t>
  </si>
  <si>
    <t>ASFALTO LÍQUIDO</t>
  </si>
  <si>
    <t>ASFALTO SÓLIDO</t>
  </si>
  <si>
    <t>Tabla Nº 30: Ventas de combustibles al Mercado Interno (MBPD), 2013 - 2022</t>
  </si>
  <si>
    <t>PRODUCCIÓN DE LÍQUIDOS DE GAS NATURAL (MILES DE BARRILES), 2022</t>
  </si>
  <si>
    <t>EMPRESA</t>
  </si>
  <si>
    <t>CONDENSADOS DE GAS NATURAL</t>
  </si>
  <si>
    <t>GASOLINA NATURAL</t>
  </si>
  <si>
    <t>PROPANO/</t>
  </si>
  <si>
    <t>DIESEL B5 S50</t>
  </si>
  <si>
    <t>DIESEL 2</t>
  </si>
  <si>
    <t>UNNA ENERGÍA</t>
  </si>
  <si>
    <t>AGUAYTÍA</t>
  </si>
  <si>
    <t>Tabla Nº 27: Producción en Plantas de Procesamiento (MBPD), 2022</t>
  </si>
  <si>
    <t>PRODUCCIÓN EN REFINERÍA (MILES DE BARRILES POR DÍA), 2013-2022</t>
  </si>
  <si>
    <t>GASOHOLES/ GASOLINAS</t>
  </si>
  <si>
    <t>TURBO</t>
  </si>
  <si>
    <t>DIESEL</t>
  </si>
  <si>
    <t>RESIDUAL</t>
  </si>
  <si>
    <t>IFO/DIESEL MARINO</t>
  </si>
  <si>
    <t>Tabla Nº 26: Producción de combustibles en Refinería, 2013-2022</t>
  </si>
  <si>
    <t>CARGAS EN REFINERÍAS (MBPD), 2022</t>
  </si>
  <si>
    <t>CARGAS A PROCESO</t>
  </si>
  <si>
    <t>TOTAL, CRUDO PROCESADO</t>
  </si>
  <si>
    <t xml:space="preserve"> PRODUCTOS EN PROCESO </t>
  </si>
  <si>
    <t>Gasolina obtenida por blending (HOGBS)</t>
  </si>
  <si>
    <t>Gasolina Alto Octanaje</t>
  </si>
  <si>
    <t>Gasolina Importada Alto Octanaje</t>
  </si>
  <si>
    <t>SUB TOTAL </t>
  </si>
  <si>
    <t>Diesel B5 Bajo Azufre UV</t>
  </si>
  <si>
    <t>Diesel B5 S-50 UV</t>
  </si>
  <si>
    <t xml:space="preserve">Diesel B5 Bajo Azufre </t>
  </si>
  <si>
    <t xml:space="preserve">Diesel B5 S-50 UV </t>
  </si>
  <si>
    <t xml:space="preserve">Diesel B5 S-50 </t>
  </si>
  <si>
    <t>Asfalto Líquido RC 250</t>
  </si>
  <si>
    <t>Petróleo Industrial 6</t>
  </si>
  <si>
    <t>Petróleo Industrial 500</t>
  </si>
  <si>
    <t>SUB TOTAL</t>
  </si>
  <si>
    <t>TOTAL, OTRAS CARGAS PROCESADAS</t>
  </si>
  <si>
    <t>Tabla Nº 24: Cargas en Refinerías (MBPD), 2022</t>
  </si>
  <si>
    <t>MERCADO INTERNO</t>
  </si>
  <si>
    <t>EXPORTACIÓN</t>
  </si>
  <si>
    <t>RESIDENCIAL</t>
  </si>
  <si>
    <t>COMERCIAL*</t>
  </si>
  <si>
    <t>INDUSTRIAL</t>
  </si>
  <si>
    <t>GENERACIÓN ELÉCTRICA</t>
  </si>
  <si>
    <t xml:space="preserve">Tabla Nº 51: Volumen de distribución de Gas Natural en la Concesión de Lima y Callao (MMPC), 2017-2021 </t>
  </si>
  <si>
    <t>COMERCIAL</t>
  </si>
  <si>
    <t>Tabla Nº 52: Volumen de distribución de Gas Natural por sector económico en la Concesión de Lima y Callao (MMPC), 2022</t>
  </si>
  <si>
    <t>Tabla Nº 53: Número de Consumidores de Gas Natural, por sector económico, en la Concesión de Lima y Callao, 2022</t>
  </si>
  <si>
    <t>Tabla Nº 54: Número de Consumidores de Gas Natural, por sector económico, en la Concesión de Lima y Callao, 2017-2022</t>
  </si>
  <si>
    <t xml:space="preserve">Tabla Nº 55: Volumen de distribución de Gas Natural en la Concesión de Ica (MMPC), 2017-2022 </t>
  </si>
  <si>
    <t xml:space="preserve">Tabla Nº 56: Volumen de distribución de Gas Natural por sector económico en la Concesión de Ica (MMPC), 2022 </t>
  </si>
  <si>
    <t>Tabla Nº 57: Número de Consumidores de Gas Natural, por sector económico, en la Concesión de Ica, 2022</t>
  </si>
  <si>
    <t>Tabla Nº 58: Número de Consumidores de Gas Natural por sector económico en la Concesión de Ica, 2017-2022</t>
  </si>
  <si>
    <t>Tabla Nº 59: Número de Consumidores de Gas Natural por sector económico en la Concesión Norte, 2018-2022</t>
  </si>
  <si>
    <t xml:space="preserve">Tabla Nº 60: Volumen de distribución de Gas Natural por sector económico en la Concesión Norte (MMPC), 2022 </t>
  </si>
  <si>
    <t>Tabla Nº 61: Número de Consumidores de Gas Natural por sector económico en la Concesión Norte, 2022</t>
  </si>
  <si>
    <t xml:space="preserve">- </t>
  </si>
  <si>
    <t>Tabla Nº 62: Número de Consumidores de Gas Natural por sector económico en la Concesión Norte, 2017-2022</t>
  </si>
  <si>
    <t>Tabla Nº 64: Volumen de distribución de Gas Natural por sector económico en la Concesión Sur Oeste (MMPC), 2018-2022</t>
  </si>
  <si>
    <t>Tabla Nº 65: Número de Consumidores de Gas Natural por sector económico en la Concesión Sur Oeste, 2017-2022</t>
  </si>
  <si>
    <t>Tabla Nº 66: Número de Consumidores de Gas Natural por sector económico en la Concesión Sur Oeste, 2022</t>
  </si>
  <si>
    <t>Tabla Nº 63: Volumen de Distribución de Gas Natural por sector económico en la Concesión Sur Oeste (MMPC), 2022</t>
  </si>
  <si>
    <t>Tabla N°01: Sísmica 2D registrada en áreas de exploración (KM) 2014 -2022</t>
  </si>
  <si>
    <t>SÍSMICA 2D REGISTRADA EN ÁREAS EN EXPLORACIÓN (KM), 2014 - 2022</t>
  </si>
  <si>
    <t>COMPAÑÍA</t>
  </si>
  <si>
    <t xml:space="preserve">TOTAL, COSTA </t>
  </si>
  <si>
    <t xml:space="preserve">TOTAL, ZÓCALO </t>
  </si>
  <si>
    <t>TOTAL, SELVA</t>
  </si>
  <si>
    <t>TOTAL, PAÍS</t>
  </si>
  <si>
    <r>
      <t>SÍSMICA 3D REGISTRADA EN ÁREAS EN EXPLORACIÓN (KM</t>
    </r>
    <r>
      <rPr>
        <b/>
        <vertAlign val="superscript"/>
        <sz val="8.5"/>
        <color rgb="FFFFFFFF"/>
        <rFont val="Avenir Next LT Pro"/>
        <family val="2"/>
      </rPr>
      <t>2</t>
    </r>
    <r>
      <rPr>
        <b/>
        <sz val="8.5"/>
        <color rgb="FFFFFFFF"/>
        <rFont val="Avenir Next LT Pro"/>
        <family val="2"/>
      </rPr>
      <t>), 2014 - 2022</t>
    </r>
  </si>
  <si>
    <t>NÚMERO DE POZOS EXPLORATORIOS PERFORADOS, 2014 - 2022</t>
  </si>
  <si>
    <t>Tabla N°03: Número de Pozos Exploratorios Perforados, 2014 -2022</t>
  </si>
  <si>
    <t>Tabla N°04: Contratos en Exploración Vigentes, 2022</t>
  </si>
  <si>
    <t>CONTRATOS EN EXPLORACIÓN VIGENTES AL 31/12/2022</t>
  </si>
  <si>
    <t>COMPAÑÍAS/ CONSORCIOS</t>
  </si>
  <si>
    <t>SELVA CENTRAL</t>
  </si>
  <si>
    <t>PETROLÍFERA PETROLEUM DEL PERU S.A.C. (100%)</t>
  </si>
  <si>
    <t>LICENCIA </t>
  </si>
  <si>
    <t>TOTAL, CONTRATOS EXPLORACIÓN</t>
  </si>
  <si>
    <t>CONTRATOS TERMINADOS AL 31.12.2022</t>
  </si>
  <si>
    <t>Tabla N°05: Contratos Terminados, 2022</t>
  </si>
  <si>
    <t>Tabla N°06: Pozos de Desarrollo Perforados, 2014 - 2022</t>
  </si>
  <si>
    <t>TOTAL, ZÓCALO</t>
  </si>
  <si>
    <t>POZOS DE DESARROLLO PERFORADOS (NÚMERO), 2014 – 2022</t>
  </si>
  <si>
    <t>Tabla N°07-08-09: Contrato en Explotación Vigentes, 2022</t>
  </si>
  <si>
    <t>CONTRATOS EN EXPLOTACIÓN VIGENTES AL 31/12/2022</t>
  </si>
  <si>
    <t>DECRETO</t>
  </si>
  <si>
    <t>SUPREMO</t>
  </si>
  <si>
    <t>FECHA DE PUBLICACIÓN</t>
  </si>
  <si>
    <t>FECHA DE SUSCRIPCIÓN</t>
  </si>
  <si>
    <t>TIPO DE CONTRATO</t>
  </si>
  <si>
    <t>I (T)</t>
  </si>
  <si>
    <t>UNNA ENERGIA S.A. (100%)</t>
  </si>
  <si>
    <t>SAPET DEVELOPMENT PERU INC., SUC.PERU (100%)</t>
  </si>
  <si>
    <t>CNPC PERU S.A. (100%)</t>
  </si>
  <si>
    <t>034-2012-EM /006-2013-EM</t>
  </si>
  <si>
    <t>BPZ EXPLORACION &amp; PRODUCCION S.R.L. (51%)</t>
  </si>
  <si>
    <t>FRONTERA ENERGY OFF SHORE PERU S.R.L. (49%)</t>
  </si>
  <si>
    <t>PLUSPETROL NORTE S.A. (60%)</t>
  </si>
  <si>
    <t>KOREA NATIONAL OIL CORP.,SUC. PERUANA (20%)</t>
  </si>
  <si>
    <t>DAEWOO INTERNATIONAL CORP., SUC.PERUANA (11,67%)</t>
  </si>
  <si>
    <t>SK CORPORATION, SUC. PERUANA  (8.33 %)</t>
  </si>
  <si>
    <t>PERENCO PERÚ PETROLEUM LIMITED, SUCURSAL DEL PERÚ (20%)</t>
  </si>
  <si>
    <t>PERENCO PERÚ BLOCK 39 LIMITED, SUCURSAL DEL PERÚ (9.5%)</t>
  </si>
  <si>
    <t>PERENCO PERÚ PETROIL LIMITED, SUCURSAL DEL PERÚ (25.5%)</t>
  </si>
  <si>
    <t>PVEP PERÚ, SUCURSAL PERUANA (35%)</t>
  </si>
  <si>
    <t>RELIANCE EXPLORATION &amp; PRODUCTION DMCC, SUCURSAL DEL PERÚ (10%)</t>
  </si>
  <si>
    <t>PERENCO PERU PETROLEUM LIMITED, SUCURSAL DEL PERÚ (5%)/PVEP - PERENCO PERU LIMITED, SUCURSAL DEL PERU (95%)</t>
  </si>
  <si>
    <t xml:space="preserve">040-2006-EM / </t>
  </si>
  <si>
    <t>063-2006-EM</t>
  </si>
  <si>
    <t>REPSOL EXPLORACION PERU, SUCURSAL DEL PERU (53,84%) / CNPC PERU S.A. (46,16%)</t>
  </si>
  <si>
    <t>Tabla N°10: Producción Fiscalizada Mensual de Hidrocarburos Líquidos (BLS), 2022</t>
  </si>
  <si>
    <t>PRODUCCIÓN FISCALIZADA MENSUAL DE HIDROCARBUROS LÍQUIDOS (BLS), 2022</t>
  </si>
  <si>
    <t>PETRÓLEO</t>
  </si>
  <si>
    <t>TOTAL, COSTA  </t>
  </si>
  <si>
    <t>TOTAL, ZÓCALO </t>
  </si>
  <si>
    <t>TOTAL, SELVA </t>
  </si>
  <si>
    <t>TOTAL, PAÍS PETROLEO </t>
  </si>
  <si>
    <t>TOTAL, SELVA  </t>
  </si>
  <si>
    <t>TOTAL, PAIS LÍQUIDOS DEL GAS NATURAL</t>
  </si>
  <si>
    <t>TOTAL, PAIS HIDROCARBUROS LIQUIDOS (BLS)</t>
  </si>
  <si>
    <t>Tabla N°11: Producción Fiscalizada Anual de Hidrocarburos Líquidos (BLS), 2014 - 2022</t>
  </si>
  <si>
    <t>PRODUCCIÓN FISCALIZADA ANUAL DE HIDROCARBUROS LÍQUIDOS (MBLS), 2014-2022</t>
  </si>
  <si>
    <t xml:space="preserve"> - </t>
  </si>
  <si>
    <t>TOTAL, ZÓCALO  </t>
  </si>
  <si>
    <t>TOTAL, PETRÓLEO (MBLS)</t>
  </si>
  <si>
    <t>TOTAL, PETRÓLEO (MBPD)</t>
  </si>
  <si>
    <t>TOTAL, LÍQUIDOS DE GAS NATURAL (MBLS)</t>
  </si>
  <si>
    <t>TOTAL, LÍQUIDOS DE GAS NATURAL (MBPD)</t>
  </si>
  <si>
    <t>TOTAL, HIDROCARBUROS LÍQUIDOS (MBLS)</t>
  </si>
  <si>
    <t>TOTAL, HIDROCARBUROS LÍQUIDOS (MBPD)</t>
  </si>
  <si>
    <t>Tabla N°12: Producción Fiscalizada de Gas Natural (MPC), 2022</t>
  </si>
  <si>
    <t>PRODUCCIÓN FISCALIZADA MENSUAL DE GAS NATURAL (MPC), 2022</t>
  </si>
  <si>
    <t>TOTAL, COSTA</t>
  </si>
  <si>
    <t>Tabla N°13: Producción Fiscalizada Anual de Gas Natural (MMPC), 2015  - 2022</t>
  </si>
  <si>
    <t>PRODUCCIÓN FISCALIZADA ANUAL DE GAS NATURAL (MMPC), 2015-2022</t>
  </si>
  <si>
    <t>TOTAL, PAÍS </t>
  </si>
  <si>
    <t>TOTAL, PAÍS (MMPCD) </t>
  </si>
  <si>
    <t>Tabla N°14: Inversiones en Exploración y Explotación por contratista, 2015 - 2022</t>
  </si>
  <si>
    <t>Tabla N°16: Inversiones en Exploración y Explotación, 2023 - 2027</t>
  </si>
  <si>
    <t>INVERSIONES EN EXPLORACIÓN Y EXPLOTACIÓN (US$ MILLONES), 2023-2027</t>
  </si>
  <si>
    <t>Tabla N°18: Regalías cobradas por el Estado, 2022</t>
  </si>
  <si>
    <t>REGALÍAS COBRADAS POR EL ESTADO (US$ MILLONES), 2022</t>
  </si>
  <si>
    <t>TOTAL, NORTE</t>
  </si>
  <si>
    <t>TOTAL, HIDROCARBUROS LÍQUIDOS</t>
  </si>
  <si>
    <t>TOTAL, GAS NATURAL</t>
  </si>
  <si>
    <t>TOTAL, REGALÍAS</t>
  </si>
  <si>
    <t>Tabla N°19: Regalías (MMUS$), 2014 - 2022</t>
  </si>
  <si>
    <t>REGALÍAS (MMUS$), 2014 - 2022</t>
  </si>
  <si>
    <t xml:space="preserve"> IX</t>
  </si>
  <si>
    <t>Tabla N°20: Retribuciones, 2014 - 2022</t>
  </si>
  <si>
    <t>RETRIBUCIONES (US$ Millones), 2014-2022</t>
  </si>
  <si>
    <t>INGRESOS AL ESTADO POR TIPO DE HIDROCARBURO (US$ Millones), 2014 - 2022</t>
  </si>
  <si>
    <t xml:space="preserve">GAS NATURAL </t>
  </si>
  <si>
    <t>CONDENSADOS</t>
  </si>
  <si>
    <t>TOTAL, INGRESOS</t>
  </si>
  <si>
    <t>Tabla N°22: Distribución de canon y sobrecanon de hidrocarburos, 2022</t>
  </si>
  <si>
    <t>DISTRIBUCIÓN DEL CANON DE HIDROCARBUROS (NUEVOS SOLES) - 2022</t>
  </si>
  <si>
    <t>REGIÓN</t>
  </si>
  <si>
    <t>ENTIDAD</t>
  </si>
  <si>
    <t>%        PARTICIPACIÓN</t>
  </si>
  <si>
    <t>TRANSFERENCIAS DE CANON Y SOBRECANON</t>
  </si>
  <si>
    <t>UNIVERSIDAD NACIONAL AUTONOMA ALTO AMAZONAS</t>
  </si>
  <si>
    <t>TOTAL, LORETO</t>
  </si>
  <si>
    <t>TOTAL, UCAYALI</t>
  </si>
  <si>
    <t>UNIVERSIDAD NACIONAL DE PIURA</t>
  </si>
  <si>
    <t>UNIVERSIDAD NACIONAL DE FRONTERA</t>
  </si>
  <si>
    <t>TOTAL, PIURA</t>
  </si>
  <si>
    <t>20-40</t>
  </si>
  <si>
    <t>70-50</t>
  </si>
  <si>
    <t>TOTAL, TUMBES</t>
  </si>
  <si>
    <t>TOTAL, PUERTO INCA HUÁNUCO</t>
  </si>
  <si>
    <t>TOTAL, CUSCO</t>
  </si>
  <si>
    <t>PROV. PUERTO INCA - HUÁNUCO</t>
  </si>
  <si>
    <t>TOTAL, GENERAL EN MM S/</t>
  </si>
  <si>
    <t>INVERSIONES EN EXPLORACIÓN Y EXPLOTACIÓN POR CONTRATISTA (US$ MILLONES), 2022</t>
  </si>
  <si>
    <t xml:space="preserve">CNPC S.A. </t>
  </si>
  <si>
    <t>EMPRESA PETROLERA UNIPETRO ABC S.A.</t>
  </si>
  <si>
    <t>PETROLEOS DEL PERU S.A.</t>
  </si>
  <si>
    <t>PETROTAL PERÚ S.R.L.</t>
  </si>
  <si>
    <r>
      <t>Tabla N°02: Sísmica 3D registrada en áreas de exploración (KM</t>
    </r>
    <r>
      <rPr>
        <b/>
        <vertAlign val="superscript"/>
        <sz val="10"/>
        <color theme="1"/>
        <rFont val="Avenir Next LT Pro"/>
        <family val="2"/>
      </rPr>
      <t>2</t>
    </r>
    <r>
      <rPr>
        <b/>
        <sz val="10"/>
        <color theme="1"/>
        <rFont val="Avenir Next LT Pro"/>
        <family val="2"/>
      </rPr>
      <t>) 2014 -2021</t>
    </r>
  </si>
  <si>
    <t>DECRETO  SUPREMO (D.S.)</t>
  </si>
  <si>
    <t>FECHA D.S.</t>
  </si>
  <si>
    <t>FECHA
SUSCRIPCIÓN</t>
  </si>
  <si>
    <t>TIPO
CONTRATO</t>
  </si>
  <si>
    <t>NOROESTE</t>
  </si>
  <si>
    <t>GOLD OIL PERU S.A.C.</t>
  </si>
  <si>
    <t>PLUSPETROL PERU CORPORATION S.A. (2,2%) /SONATRACH PERU CORPORATION S.A.C. (10%) /PLUSPETROL LOTE 56 S.A. (25%) /TECPETROL BLOQUE 56 S.A.C. (10%) /HUNT OIL COMPANY OF PERU L.L.C., SUCURSAL DEL PERU (25,2%) /REPSOL EXPLORACIÓN PERÚ, SUCURSAL DEL PERÚ (10%) / SK INNOVATION SUCURSAL PERUANA (17.6%)</t>
  </si>
  <si>
    <t>PLUSPETROL PERU CORPORATION S.A. (2,2%) / PLUSPETROL CAMISEA S.A. (25%) /HUNT OIL COMPANY OF PERU L.L.C., SUCURSAL DEL PERU (25,2%) / TECPETROL DEL PERU S.A.C. (10%) / SONATRACH PERU CORPORATION S.A.C. (10%) / REPSOL EXPLORACIÓN PERÚ, SUCURSAL DEL PERÚ (10%) / SK INNOVATION SUCURSAL PERUANA (17.6%)</t>
  </si>
  <si>
    <t>LICENCIA TEMPORAL</t>
  </si>
  <si>
    <r>
      <t>INVERSIONES EN EXPLORACIÓN Y EXPLOTACIÓN ANUALIZADAS (US$ MILLONES),</t>
    </r>
    <r>
      <rPr>
        <sz val="8.5"/>
        <color rgb="FFFFFFFF"/>
        <rFont val="Avenir Next LT Pro"/>
        <family val="2"/>
      </rPr>
      <t xml:space="preserve"> </t>
    </r>
    <r>
      <rPr>
        <b/>
        <sz val="8.5"/>
        <color rgb="FFFFFFFF"/>
        <rFont val="Avenir Next LT Pro"/>
        <family val="2"/>
      </rPr>
      <t>2015 - 2022</t>
    </r>
  </si>
  <si>
    <t>Tabla N°14: Inversiones en Exploración y Explotación por contratista, 2022</t>
  </si>
  <si>
    <t>TRANSPORTADORA DE GAS DEL PERÚ S.A.</t>
  </si>
  <si>
    <t>GAS NATURAL DE LIMA Y CALLAO S.A.</t>
  </si>
  <si>
    <t>CONTUGAS S.A.C.</t>
  </si>
  <si>
    <t>GASES DEL PACÍFICO S.A.</t>
  </si>
  <si>
    <t>CONCESIÓN SUR OESTE</t>
  </si>
  <si>
    <t>GASES DEL NORTE</t>
  </si>
  <si>
    <t>PERÚ LNG</t>
  </si>
  <si>
    <t>Tabla N°21: Ingresos al Estado por Tipo de Hidrocarburos, 2014 - 2022</t>
  </si>
  <si>
    <t>Tabla N°23: Canon y Sobrecanon de Hidrocarburos (en millones de soles), 2014 - 2022</t>
  </si>
  <si>
    <t xml:space="preserve"> </t>
  </si>
  <si>
    <t xml:space="preserve">-  </t>
  </si>
  <si>
    <t xml:space="preserve">Diesel 2 </t>
  </si>
  <si>
    <t>Diesel 2 UV</t>
  </si>
  <si>
    <t>Diesel 2 - S50</t>
  </si>
  <si>
    <t xml:space="preserve">Gas Unidad de Destilación al Vacío </t>
  </si>
  <si>
    <t>PRODUCCIÓN DE COMBUSTIBLES EN REFINERÍA (MBPD), 2022</t>
  </si>
  <si>
    <t>Tabla Nº 25: Producción de Combustibles en Refinería (MBPD), 2022</t>
  </si>
  <si>
    <t>PRODUCCIÓN DE LÍQUIDOS DE GAS NATURAL (MILES DE BARRILES)</t>
  </si>
  <si>
    <t>PROPANO / BUTANO</t>
  </si>
  <si>
    <t xml:space="preserve"> AGUAYTÍA </t>
  </si>
  <si>
    <t xml:space="preserve">PLUSPETROL PERÚ CORPORATION </t>
  </si>
  <si>
    <t>SLOP</t>
  </si>
  <si>
    <t xml:space="preserve">PROCESADORA DE GAS PARIÑAS </t>
  </si>
  <si>
    <t>INVENTARIO DE COMBUSTIBLES AL 31.12.2022 (MILES DE BARRILES)</t>
  </si>
  <si>
    <t>Tabla Nº 28: Producción en Plantas de Procesamiento (MBPD), 2013-2022</t>
  </si>
  <si>
    <t>Tabla Nº 29: Inventario de Combustibles (MBPD), 2022</t>
  </si>
  <si>
    <t>PROCESO</t>
  </si>
  <si>
    <t>MATERIAL DE CORTE</t>
  </si>
  <si>
    <t>NAFTA VIRGEN</t>
  </si>
  <si>
    <t>NAFTA PRIMARIA</t>
  </si>
  <si>
    <t>NAFTA PESADA</t>
  </si>
  <si>
    <t>NAFTA CRAQUEADA</t>
  </si>
  <si>
    <t>DESTILADOS MEDIO PARA MEZCLA</t>
  </si>
  <si>
    <t>DIESEL 2 - S50</t>
  </si>
  <si>
    <t>DIESEL ULTRA BAJO EN AZUFRE (ULSD)</t>
  </si>
  <si>
    <t>DIESEL 2 - S50 UV</t>
  </si>
  <si>
    <t>DIESEL 2 UV</t>
  </si>
  <si>
    <t>DIESEL 2 BAJO AZUFRE</t>
  </si>
  <si>
    <t>FUEL OIL BAJO AZUFRE</t>
  </si>
  <si>
    <t>FUEL OIL ALTO AZUFRE</t>
  </si>
  <si>
    <t>GASÓLEO DE VACÍO</t>
  </si>
  <si>
    <t>GASÓLEO LIVIANO</t>
  </si>
  <si>
    <t>GASÓLEO PESADO</t>
  </si>
  <si>
    <t>GASOLINA OBTENIDO POR BLENDING (HOGBS)</t>
  </si>
  <si>
    <t>RESIDUAL DE PRIMARIA</t>
  </si>
  <si>
    <t>RESIDUO DE VACÍO</t>
  </si>
  <si>
    <t>SLOP WAX</t>
  </si>
  <si>
    <t>AZUFRE</t>
  </si>
  <si>
    <t>ALCOHOL CARBURANTE</t>
  </si>
  <si>
    <t>BIODIESEL B100</t>
  </si>
  <si>
    <t>AC. CICLICO LIGERO</t>
  </si>
  <si>
    <t xml:space="preserve">AC. CICLICO PESADO </t>
  </si>
  <si>
    <t>ACEITE CLARIFICADO</t>
  </si>
  <si>
    <t>ACIDO NAFTÉNICO 250</t>
  </si>
  <si>
    <t>ETANOL</t>
  </si>
  <si>
    <t>RESIDUALES</t>
  </si>
  <si>
    <t xml:space="preserve"> TERMINADOS</t>
  </si>
  <si>
    <t xml:space="preserve">GAS LICUADO DE PETRÓLEO </t>
  </si>
  <si>
    <t xml:space="preserve">GASOLINA 84 </t>
  </si>
  <si>
    <t>DIESEL B5</t>
  </si>
  <si>
    <t>DIESEL B5 - UV</t>
  </si>
  <si>
    <t>DIESEL B5 - S50</t>
  </si>
  <si>
    <t>DIESEL B5 - S50 UV</t>
  </si>
  <si>
    <t xml:space="preserve">DIESEL MARINO 2 </t>
  </si>
  <si>
    <t>TURBO A-1</t>
  </si>
  <si>
    <t>PETROLEO INDUSTRIAL 5</t>
  </si>
  <si>
    <t>PETROLEO INDUSTRIAL 500</t>
  </si>
  <si>
    <t>PETROLEO INDUSTRIAL 6</t>
  </si>
  <si>
    <t>COMBUSTIBLE RESIDUAL INTERMEDIO - 380 (IFO - 380)</t>
  </si>
  <si>
    <t>COMBUSTIBLE RESIDUAL INTERMEDIO - 80 (IFO - 80)</t>
  </si>
  <si>
    <t>SOLVENTE 1</t>
  </si>
  <si>
    <t>SOLVENTE 3</t>
  </si>
  <si>
    <t>ASFALTO LÍQUIDO MC-30</t>
  </si>
  <si>
    <t>ASFALTO LÍQUIDO RC-250</t>
  </si>
  <si>
    <t>ASFALTO SÓLIDO 10/20 PEN</t>
  </si>
  <si>
    <t>ASFALTO SÓLIDO 120/150 PEN</t>
  </si>
  <si>
    <t>ASFALTO SÓLIDO 60/70 PEN</t>
  </si>
  <si>
    <t>ASFALTO SÓLIDO 85/100 PEN</t>
  </si>
  <si>
    <t>Tabla Nº 31: Precios Finales de combustibles en Lima Metropolitana, 2022</t>
  </si>
  <si>
    <t>GASOHOL</t>
  </si>
  <si>
    <t>DIESEL B5-S50</t>
  </si>
  <si>
    <t>GLP (VEHICULAR)</t>
  </si>
  <si>
    <t>90 OCT.</t>
  </si>
  <si>
    <t>95 OCT.</t>
  </si>
  <si>
    <t>97 OCT.</t>
  </si>
  <si>
    <t>(BALÓN DE 10 KG)</t>
  </si>
  <si>
    <t>(LITROS)</t>
  </si>
  <si>
    <t>(M3)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</si>
  <si>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</si>
  <si>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</si>
  <si>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</si>
  <si>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</si>
  <si>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</si>
  <si>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</si>
  <si>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</si>
  <si>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</si>
  <si>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</si>
  <si>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</si>
  <si>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</si>
  <si>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</si>
  <si>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Tabla Nº 32: Precios Finales de combustibles en Arequipa, 2022</t>
  </si>
  <si>
    <t>84 OCT.</t>
  </si>
  <si>
    <t>Tabla Nº 33: Precios Finales de combustibles en Chiclayo, 2022</t>
  </si>
  <si>
    <t>Tabla Nº 34: Precios Finales de combustibles en Chimbote, 2022</t>
  </si>
  <si>
    <t>Tabla Nº 35: Precios Finales de combustibles en Cusco, 2022</t>
  </si>
  <si>
    <t>Tabla Nº 36: Precios Finales de combustibles en Huancayo, 2022</t>
  </si>
  <si>
    <t>Tabla Nº 37: Precios Finales de combustibles en Ica, 2022</t>
  </si>
  <si>
    <t>Tabla Nº 38: Precios Finales de combustibles en Moquegua, 2022</t>
  </si>
  <si>
    <t>Tabla Nº 39: Precios Finales de combustibles en Piura, 2022</t>
  </si>
  <si>
    <t>Tabla Nº 40: Precios Finales de combustibles en Puno, 2022</t>
  </si>
  <si>
    <t>Tabla Nº 41: Precios Finales de combustibles en Tacna, 2022</t>
  </si>
  <si>
    <t>Tabla Nº 42: Precios Finales de combustibles en Trujillo, 2022</t>
  </si>
  <si>
    <t>GLP/PROPANO/ BUTANO</t>
  </si>
  <si>
    <t>EXPORTACIONES (MILES DE DÓLARES), 2015-2022</t>
  </si>
  <si>
    <t>GAS  NATURAL</t>
  </si>
  <si>
    <t>GLP/PROPANO /BUTANO</t>
  </si>
  <si>
    <t>RESIDUALES/ IFO/ FUEL OIL</t>
  </si>
  <si>
    <t>IMPORTACIONES (MILES DE DÓLARES), 2015-2022</t>
  </si>
  <si>
    <t>Nota: No considera información del Lote 57</t>
  </si>
  <si>
    <t>Fuente: Pluspetrol</t>
  </si>
  <si>
    <t>Elaboración: DGH-MINEM.</t>
  </si>
  <si>
    <r>
      <t xml:space="preserve">Contugas </t>
    </r>
    <r>
      <rPr>
        <b/>
        <sz val="8"/>
        <color rgb="FF000000"/>
        <rFont val="Avenir Next LT Pro"/>
        <family val="2"/>
      </rPr>
      <t>- Consumidores (Anual)</t>
    </r>
  </si>
  <si>
    <r>
      <t xml:space="preserve">Contugas - </t>
    </r>
    <r>
      <rPr>
        <b/>
        <sz val="8"/>
        <color rgb="FF00A79D"/>
        <rFont val="Avenir Next LT Pro"/>
        <family val="2"/>
      </rPr>
      <t xml:space="preserve">Volumen </t>
    </r>
    <r>
      <rPr>
        <b/>
        <sz val="8"/>
        <color rgb="FF000000"/>
        <rFont val="Avenir Next LT Pro"/>
        <family val="2"/>
      </rPr>
      <t>(Anual) - MMPC</t>
    </r>
  </si>
  <si>
    <t>RESIDENCIAL*</t>
  </si>
  <si>
    <t>COMERCIAL**</t>
  </si>
  <si>
    <t>GNV***</t>
  </si>
  <si>
    <t>INDUSTRIAL****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</si>
</sst>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_ * #,##0.0_ ;_ * \-#,##0.0_ ;_ * &quot;-&quot;??_ ;_ @_ "/>
    <numFmt numFmtId="166" formatCode="_-* #,##0.00\ [$€-1]_-;\-* #,##0.00\ [$€-1]_-;_-* &quot;-&quot;??\ [$€-1]_-"/>
    <numFmt numFmtId="167" formatCode="_ * #,##0.00_ ;_ * \-#,##0.00_ ;_ * &quot;-&quot;??_ ;_ @_ "/>
    <numFmt numFmtId="173" formatCode="0.0%"/>
  </numFmts>
  <fonts count="7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Arial"/>
      <family val="2"/>
    </font>
    <font>
      <i/>
      <sz val="8"/>
      <color theme="1"/>
      <name val="Arial"/>
      <family val="2"/>
    </font>
    <font>
      <b/>
      <sz val="8"/>
      <color theme="0"/>
      <name val="Arial"/>
      <family val="2"/>
    </font>
    <font>
      <i/>
      <sz val="7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8.5"/>
      <color rgb="FFFFFFFF"/>
      <name val="Avenir Next LT Pro"/>
      <family val="2"/>
    </font>
    <font>
      <sz val="8.5"/>
      <color rgb="FF404040"/>
      <name val="Avenir Next LT Pro"/>
      <family val="2"/>
    </font>
    <font>
      <b/>
      <sz val="8.5"/>
      <color rgb="FF404040"/>
      <name val="Avenir Next LT Pro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.5"/>
      <color rgb="FF000000"/>
      <name val="Avenir Next LT Pro"/>
      <family val="2"/>
    </font>
    <font>
      <b/>
      <sz val="7.5"/>
      <color rgb="FFFFFFFF"/>
      <name val="Avenir Next LT Pro"/>
      <family val="2"/>
    </font>
    <font>
      <b/>
      <sz val="5"/>
      <color rgb="FFFFFFFF"/>
      <name val="Avenir Next LT Pro"/>
      <family val="2"/>
    </font>
    <font>
      <sz val="5"/>
      <color rgb="FFFFFFFF"/>
      <name val="Avenir Next LT Pro"/>
      <family val="2"/>
    </font>
    <font>
      <b/>
      <sz val="10.5"/>
      <color rgb="FFFFFFFF"/>
      <name val="Avenir Next LT Pro"/>
      <family val="2"/>
    </font>
    <font>
      <sz val="8"/>
      <color rgb="FF404040"/>
      <name val="Avenir Next LT Pro"/>
      <family val="2"/>
    </font>
    <font>
      <b/>
      <sz val="8"/>
      <color rgb="FFFFFFFF"/>
      <name val="Avenir Next LT Pro"/>
      <family val="2"/>
    </font>
    <font>
      <b/>
      <vertAlign val="superscript"/>
      <sz val="8.5"/>
      <color rgb="FFFFFFFF"/>
      <name val="Avenir Next LT Pro"/>
      <family val="2"/>
    </font>
    <font>
      <i/>
      <sz val="8"/>
      <color rgb="FF404040"/>
      <name val="Avenir Next LT Pro"/>
      <family val="2"/>
    </font>
    <font>
      <b/>
      <sz val="8.5"/>
      <color rgb="FFFFFFFF"/>
      <name val="Avenir Next LT Pro Light"/>
      <family val="2"/>
    </font>
    <font>
      <b/>
      <sz val="8"/>
      <color rgb="FF000000"/>
      <name val="Avenir Next LT Pro"/>
      <family val="2"/>
    </font>
    <font>
      <sz val="8.5"/>
      <color rgb="FFFFFFFF"/>
      <name val="Avenir Next LT Pro"/>
      <family val="2"/>
    </font>
    <font>
      <sz val="8.5"/>
      <color rgb="FFF2F2F2"/>
      <name val="Avenir Next LT Pro"/>
      <family val="2"/>
    </font>
    <font>
      <b/>
      <sz val="10"/>
      <color theme="1"/>
      <name val="Avenir Next LT Pro"/>
      <family val="2"/>
    </font>
    <font>
      <sz val="8"/>
      <color theme="1"/>
      <name val="Avenir Next LT Pro"/>
      <family val="2"/>
    </font>
    <font>
      <b/>
      <vertAlign val="superscript"/>
      <sz val="10"/>
      <color theme="1"/>
      <name val="Avenir Next LT Pro"/>
      <family val="2"/>
    </font>
    <font>
      <sz val="11"/>
      <color theme="1"/>
      <name val="Avenir Next LT Pro"/>
      <family val="2"/>
    </font>
    <font>
      <b/>
      <sz val="9"/>
      <color theme="1"/>
      <name val="Avenir Next LT Pro"/>
      <family val="2"/>
    </font>
    <font>
      <sz val="12"/>
      <color theme="1"/>
      <name val="Avenir Next LT Pro"/>
      <family val="2"/>
    </font>
    <font>
      <b/>
      <sz val="6"/>
      <color rgb="FF000000"/>
      <name val="Avenir Next LT Pro"/>
      <family val="2"/>
    </font>
    <font>
      <b/>
      <sz val="7"/>
      <color rgb="FFFFFFFF"/>
      <name val="Avenir Next LT Pro"/>
      <family val="2"/>
    </font>
    <font>
      <b/>
      <sz val="8"/>
      <name val="Avenir Next LT Pro"/>
      <family val="2"/>
    </font>
    <font>
      <sz val="8"/>
      <name val="Avenir Next LT Pro"/>
      <family val="2"/>
    </font>
    <font>
      <b/>
      <sz val="11"/>
      <color theme="1"/>
      <name val="Avenir Next LT Pro"/>
      <family val="2"/>
    </font>
    <font>
      <sz val="9"/>
      <color theme="1"/>
      <name val="Avenir Next LT Pro"/>
      <family val="2"/>
    </font>
    <font>
      <sz val="10"/>
      <color theme="1"/>
      <name val="Avenir Next LT Pro"/>
      <family val="2"/>
    </font>
    <font>
      <sz val="8"/>
      <color rgb="FF000000"/>
      <name val="Avenir Next LT Pro"/>
      <family val="2"/>
    </font>
    <font>
      <b/>
      <sz val="10"/>
      <name val="Avenir Next LT Pro"/>
      <family val="2"/>
    </font>
    <font>
      <sz val="9"/>
      <name val="Avenir Next LT Pro"/>
      <family val="2"/>
    </font>
    <font>
      <b/>
      <sz val="9"/>
      <name val="Avenir Next LT Pro"/>
      <family val="2"/>
    </font>
    <font>
      <sz val="7.5"/>
      <color rgb="FF404040"/>
      <name val="Avenir Next LT Pro"/>
      <family val="2"/>
    </font>
    <font>
      <b/>
      <sz val="14"/>
      <color theme="1"/>
      <name val="Avenir Next LT Pro"/>
      <family val="2"/>
    </font>
    <font>
      <i/>
      <sz val="8"/>
      <color theme="1"/>
      <name val="Avenir Next LT Pro"/>
      <family val="2"/>
    </font>
    <font>
      <i/>
      <sz val="7"/>
      <color theme="1"/>
      <name val="Avenir Next LT Pro"/>
      <family val="2"/>
    </font>
    <font>
      <b/>
      <sz val="8"/>
      <color rgb="FF161616"/>
      <name val="Avenir Next LT Pro"/>
      <family val="2"/>
    </font>
    <font>
      <b/>
      <sz val="8"/>
      <color rgb="FF00A79D"/>
      <name val="Avenir Next LT Pro"/>
      <family val="2"/>
    </font>
  </fonts>
  <fills count="1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10DA"/>
        <bgColor indexed="64"/>
      </patternFill>
    </fill>
    <fill>
      <patternFill patternType="solid">
        <fgColor rgb="FF15416D"/>
        <bgColor indexed="64"/>
      </patternFill>
    </fill>
    <fill>
      <patternFill patternType="solid">
        <fgColor rgb="FF448ED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F543B"/>
        <bgColor indexed="64"/>
      </patternFill>
    </fill>
    <fill>
      <patternFill patternType="solid">
        <fgColor rgb="FF699691"/>
        <bgColor indexed="64"/>
      </patternFill>
    </fill>
    <fill>
      <patternFill patternType="solid">
        <fgColor rgb="FFD2E0DE"/>
        <bgColor indexed="64"/>
      </patternFill>
    </fill>
    <fill>
      <patternFill patternType="solid">
        <fgColor rgb="FF5F878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medium">
        <color rgb="FFF2F2F2"/>
      </left>
      <right/>
      <top style="medium">
        <color rgb="FFF2F2F2"/>
      </top>
      <bottom style="medium">
        <color rgb="FFF2F2F2"/>
      </bottom>
      <diagonal/>
    </border>
    <border>
      <left/>
      <right/>
      <top style="medium">
        <color rgb="FFF2F2F2"/>
      </top>
      <bottom style="medium">
        <color rgb="FFF2F2F2"/>
      </bottom>
      <diagonal/>
    </border>
    <border>
      <left/>
      <right style="medium">
        <color rgb="FFF2F2F2"/>
      </right>
      <top style="medium">
        <color rgb="FFF2F2F2"/>
      </top>
      <bottom style="medium">
        <color rgb="FFF2F2F2"/>
      </bottom>
      <diagonal/>
    </border>
    <border>
      <left style="medium">
        <color rgb="FFF2F2F2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F2F2F2"/>
      </right>
      <top/>
      <bottom style="medium">
        <color rgb="FFF2F2F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F2F2F2"/>
      </left>
      <right style="medium">
        <color rgb="FFF2F2F2"/>
      </right>
      <top style="medium">
        <color rgb="FFF2F2F2"/>
      </top>
      <bottom style="medium">
        <color rgb="FFF2F2F2"/>
      </bottom>
      <diagonal/>
    </border>
    <border>
      <left style="medium">
        <color rgb="FFF2F2F2"/>
      </left>
      <right style="medium">
        <color rgb="FFF2F2F2"/>
      </right>
      <top/>
      <bottom/>
      <diagonal/>
    </border>
    <border>
      <left/>
      <right style="medium">
        <color rgb="FFF2F2F2"/>
      </right>
      <top/>
      <bottom/>
      <diagonal/>
    </border>
    <border>
      <left style="medium">
        <color rgb="FFF2F2F2"/>
      </left>
      <right style="medium">
        <color rgb="FFF2F2F2"/>
      </right>
      <top style="medium">
        <color rgb="FFF2F2F2"/>
      </top>
      <bottom/>
      <diagonal/>
    </border>
    <border>
      <left/>
      <right/>
      <top/>
      <bottom style="medium">
        <color rgb="FFF2F2F2"/>
      </bottom>
      <diagonal/>
    </border>
    <border>
      <left style="medium">
        <color rgb="FFF2F2F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medium">
        <color rgb="FFF2F2F2"/>
      </left>
      <right/>
      <top/>
      <bottom style="medium">
        <color rgb="FFF2F2F2"/>
      </bottom>
      <diagonal/>
    </border>
    <border>
      <left/>
      <right/>
      <top style="medium">
        <color rgb="FFF2F2F2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0" fontId="15" fillId="0" borderId="0"/>
    <xf numFmtId="166" fontId="10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0" fontId="16" fillId="0" borderId="0"/>
    <xf numFmtId="0" fontId="10" fillId="0" borderId="0"/>
    <xf numFmtId="0" fontId="10" fillId="0" borderId="0"/>
    <xf numFmtId="167" fontId="1" fillId="0" borderId="0" applyFont="0" applyFill="0" applyBorder="0" applyAlignment="0" applyProtection="0"/>
  </cellStyleXfs>
  <cellXfs count="513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3" fontId="2" fillId="0" borderId="0" xfId="1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11" fillId="0" borderId="0" xfId="0" applyFont="1"/>
    <xf numFmtId="43" fontId="11" fillId="0" borderId="0" xfId="0" applyNumberFormat="1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9" fontId="2" fillId="0" borderId="0" xfId="2" applyFont="1" applyAlignment="1">
      <alignment horizontal="center" vertical="center"/>
    </xf>
    <xf numFmtId="164" fontId="2" fillId="0" borderId="0" xfId="1" applyNumberFormat="1" applyFont="1" applyAlignment="1">
      <alignment horizontal="right" vertical="center"/>
    </xf>
    <xf numFmtId="0" fontId="2" fillId="0" borderId="0" xfId="0" applyFont="1" applyAlignment="1">
      <alignment horizontal="left"/>
    </xf>
    <xf numFmtId="0" fontId="20" fillId="0" borderId="0" xfId="0" applyFont="1" applyAlignment="1">
      <alignment horizontal="right" vertical="center"/>
    </xf>
    <xf numFmtId="43" fontId="5" fillId="0" borderId="0" xfId="1" applyFont="1" applyAlignment="1">
      <alignment horizontal="right" vertical="center" wrapText="1"/>
    </xf>
    <xf numFmtId="0" fontId="22" fillId="0" borderId="0" xfId="0" applyFont="1"/>
    <xf numFmtId="167" fontId="23" fillId="6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1" xfId="1" applyNumberFormat="1" applyFont="1" applyBorder="1"/>
    <xf numFmtId="9" fontId="0" fillId="0" borderId="1" xfId="2" applyFont="1" applyBorder="1"/>
    <xf numFmtId="0" fontId="9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167" fontId="13" fillId="0" borderId="1" xfId="0" applyNumberFormat="1" applyFont="1" applyBorder="1" applyAlignment="1">
      <alignment horizontal="center"/>
    </xf>
    <xf numFmtId="167" fontId="13" fillId="0" borderId="1" xfId="1" applyNumberFormat="1" applyFont="1" applyBorder="1"/>
    <xf numFmtId="9" fontId="13" fillId="0" borderId="1" xfId="2" applyFont="1" applyBorder="1" applyAlignment="1">
      <alignment horizontal="right"/>
    </xf>
    <xf numFmtId="0" fontId="12" fillId="0" borderId="0" xfId="0" applyFont="1"/>
    <xf numFmtId="0" fontId="21" fillId="0" borderId="0" xfId="0" applyFont="1"/>
    <xf numFmtId="0" fontId="0" fillId="7" borderId="0" xfId="0" applyFill="1"/>
    <xf numFmtId="0" fontId="4" fillId="7" borderId="0" xfId="0" applyFont="1" applyFill="1" applyAlignment="1">
      <alignment vertical="center" wrapText="1"/>
    </xf>
    <xf numFmtId="0" fontId="4" fillId="7" borderId="0" xfId="0" applyFont="1" applyFill="1" applyAlignment="1">
      <alignment horizontal="right" vertical="center" wrapText="1"/>
    </xf>
    <xf numFmtId="0" fontId="4" fillId="8" borderId="0" xfId="0" applyFont="1" applyFill="1" applyAlignment="1">
      <alignment vertical="center" wrapText="1"/>
    </xf>
    <xf numFmtId="43" fontId="5" fillId="9" borderId="0" xfId="1" applyFont="1" applyFill="1" applyAlignment="1">
      <alignment horizontal="right" vertical="center" wrapText="1"/>
    </xf>
    <xf numFmtId="43" fontId="5" fillId="0" borderId="0" xfId="1" applyFont="1" applyFill="1" applyAlignment="1">
      <alignment horizontal="right" vertical="center" wrapText="1"/>
    </xf>
    <xf numFmtId="4" fontId="4" fillId="7" borderId="0" xfId="0" applyNumberFormat="1" applyFont="1" applyFill="1" applyAlignment="1">
      <alignment horizontal="right" vertical="center" wrapText="1"/>
    </xf>
    <xf numFmtId="0" fontId="24" fillId="0" borderId="0" xfId="0" applyFont="1" applyAlignment="1">
      <alignment horizontal="left" vertical="center" wrapText="1"/>
    </xf>
    <xf numFmtId="4" fontId="5" fillId="0" borderId="0" xfId="0" applyNumberFormat="1" applyFont="1" applyAlignment="1">
      <alignment horizontal="right" vertical="center" wrapText="1"/>
    </xf>
    <xf numFmtId="4" fontId="5" fillId="9" borderId="0" xfId="0" applyNumberFormat="1" applyFont="1" applyFill="1" applyAlignment="1">
      <alignment horizontal="right" vertical="center" wrapText="1"/>
    </xf>
    <xf numFmtId="0" fontId="4" fillId="7" borderId="0" xfId="0" applyFont="1" applyFill="1" applyAlignment="1">
      <alignment horizontal="left" vertical="center" wrapText="1"/>
    </xf>
    <xf numFmtId="4" fontId="4" fillId="0" borderId="0" xfId="0" applyNumberFormat="1" applyFont="1" applyAlignment="1">
      <alignment horizontal="right" vertical="center" wrapText="1"/>
    </xf>
    <xf numFmtId="4" fontId="0" fillId="0" borderId="0" xfId="0" applyNumberFormat="1"/>
    <xf numFmtId="167" fontId="0" fillId="3" borderId="0" xfId="13" applyFont="1" applyFill="1"/>
    <xf numFmtId="2" fontId="0" fillId="3" borderId="0" xfId="0" applyNumberFormat="1" applyFill="1"/>
    <xf numFmtId="0" fontId="0" fillId="3" borderId="0" xfId="0" applyFill="1"/>
    <xf numFmtId="43" fontId="0" fillId="3" borderId="0" xfId="0" applyNumberFormat="1" applyFill="1"/>
    <xf numFmtId="167" fontId="28" fillId="3" borderId="0" xfId="13" applyFont="1" applyFill="1"/>
    <xf numFmtId="0" fontId="4" fillId="0" borderId="0" xfId="0" applyFont="1" applyAlignment="1">
      <alignment horizontal="right" wrapText="1" readingOrder="1"/>
    </xf>
    <xf numFmtId="2" fontId="0" fillId="0" borderId="0" xfId="0" applyNumberFormat="1"/>
    <xf numFmtId="0" fontId="4" fillId="11" borderId="2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vertical="center"/>
    </xf>
    <xf numFmtId="4" fontId="30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horizontal="right" vertical="center"/>
    </xf>
    <xf numFmtId="0" fontId="30" fillId="0" borderId="12" xfId="0" applyFont="1" applyBorder="1" applyAlignment="1">
      <alignment horizontal="right" vertical="center" wrapText="1"/>
    </xf>
    <xf numFmtId="4" fontId="31" fillId="2" borderId="12" xfId="0" applyNumberFormat="1" applyFont="1" applyFill="1" applyBorder="1" applyAlignment="1">
      <alignment horizontal="right" vertical="center" wrapText="1"/>
    </xf>
    <xf numFmtId="0" fontId="31" fillId="2" borderId="12" xfId="0" applyFont="1" applyFill="1" applyBorder="1" applyAlignment="1">
      <alignment horizontal="right" vertical="center" wrapText="1"/>
    </xf>
    <xf numFmtId="4" fontId="9" fillId="0" borderId="2" xfId="0" applyNumberFormat="1" applyFont="1" applyBorder="1" applyAlignment="1">
      <alignment horizontal="right" vertical="center" wrapText="1"/>
    </xf>
    <xf numFmtId="4" fontId="5" fillId="0" borderId="2" xfId="0" applyNumberFormat="1" applyFont="1" applyBorder="1" applyAlignment="1">
      <alignment horizontal="right" vertical="center" wrapText="1"/>
    </xf>
    <xf numFmtId="4" fontId="4" fillId="11" borderId="2" xfId="0" applyNumberFormat="1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right" vertical="center" wrapText="1"/>
    </xf>
    <xf numFmtId="0" fontId="4" fillId="10" borderId="7" xfId="0" applyFont="1" applyFill="1" applyBorder="1" applyAlignment="1">
      <alignment horizontal="right" vertical="center" wrapText="1"/>
    </xf>
    <xf numFmtId="0" fontId="4" fillId="10" borderId="13" xfId="0" applyFont="1" applyFill="1" applyBorder="1" applyAlignment="1">
      <alignment horizontal="right" vertical="center" wrapText="1"/>
    </xf>
    <xf numFmtId="0" fontId="4" fillId="10" borderId="14" xfId="0" applyFont="1" applyFill="1" applyBorder="1" applyAlignment="1">
      <alignment horizontal="right" vertical="center" wrapText="1"/>
    </xf>
    <xf numFmtId="0" fontId="4" fillId="7" borderId="2" xfId="0" applyFont="1" applyFill="1" applyBorder="1" applyAlignment="1">
      <alignment vertical="center" wrapText="1"/>
    </xf>
    <xf numFmtId="0" fontId="25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49" fontId="4" fillId="7" borderId="2" xfId="0" applyNumberFormat="1" applyFont="1" applyFill="1" applyBorder="1" applyAlignment="1">
      <alignment horizontal="right" vertical="center" wrapText="1"/>
    </xf>
    <xf numFmtId="4" fontId="9" fillId="0" borderId="2" xfId="0" applyNumberFormat="1" applyFont="1" applyBorder="1" applyAlignment="1">
      <alignment horizontal="center" vertical="center" wrapText="1"/>
    </xf>
    <xf numFmtId="17" fontId="4" fillId="7" borderId="2" xfId="0" applyNumberFormat="1" applyFont="1" applyFill="1" applyBorder="1" applyAlignment="1">
      <alignment horizontal="right" vertical="center" wrapText="1"/>
    </xf>
    <xf numFmtId="0" fontId="4" fillId="7" borderId="2" xfId="0" applyFont="1" applyFill="1" applyBorder="1" applyAlignment="1">
      <alignment horizontal="right" vertical="center" wrapText="1"/>
    </xf>
    <xf numFmtId="2" fontId="4" fillId="0" borderId="0" xfId="0" applyNumberFormat="1" applyFont="1" applyAlignment="1">
      <alignment horizontal="right" wrapText="1" readingOrder="1"/>
    </xf>
    <xf numFmtId="164" fontId="0" fillId="0" borderId="15" xfId="1" applyNumberFormat="1" applyFont="1" applyFill="1" applyBorder="1" applyAlignment="1">
      <alignment vertical="center" wrapText="1"/>
    </xf>
    <xf numFmtId="164" fontId="0" fillId="0" borderId="16" xfId="1" applyNumberFormat="1" applyFont="1" applyFill="1" applyBorder="1" applyAlignment="1">
      <alignment vertical="center" wrapText="1"/>
    </xf>
    <xf numFmtId="0" fontId="6" fillId="0" borderId="0" xfId="0" applyFont="1" applyAlignment="1">
      <alignment wrapText="1" readingOrder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9" fillId="13" borderId="11" xfId="0" applyFont="1" applyFill="1" applyBorder="1" applyAlignment="1">
      <alignment vertical="center" wrapText="1"/>
    </xf>
    <xf numFmtId="0" fontId="29" fillId="13" borderId="12" xfId="0" applyFont="1" applyFill="1" applyBorder="1" applyAlignment="1">
      <alignment horizontal="center" vertical="center" wrapText="1"/>
    </xf>
    <xf numFmtId="0" fontId="29" fillId="12" borderId="11" xfId="0" applyFont="1" applyFill="1" applyBorder="1" applyAlignment="1">
      <alignment horizontal="center" vertical="center" wrapText="1"/>
    </xf>
    <xf numFmtId="0" fontId="29" fillId="12" borderId="12" xfId="0" applyFont="1" applyFill="1" applyBorder="1" applyAlignment="1">
      <alignment horizontal="right" vertical="center" wrapText="1"/>
    </xf>
    <xf numFmtId="0" fontId="29" fillId="12" borderId="10" xfId="0" applyFont="1" applyFill="1" applyBorder="1" applyAlignment="1">
      <alignment horizontal="center" vertical="center" wrapText="1"/>
    </xf>
    <xf numFmtId="0" fontId="29" fillId="13" borderId="11" xfId="0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vertical="center" wrapText="1"/>
    </xf>
    <xf numFmtId="0" fontId="34" fillId="0" borderId="18" xfId="0" applyFont="1" applyBorder="1" applyAlignment="1">
      <alignment vertical="center" wrapText="1"/>
    </xf>
    <xf numFmtId="0" fontId="30" fillId="0" borderId="11" xfId="0" applyFont="1" applyBorder="1" applyAlignment="1">
      <alignment vertical="center" wrapText="1"/>
    </xf>
    <xf numFmtId="3" fontId="30" fillId="0" borderId="12" xfId="0" applyNumberFormat="1" applyFont="1" applyBorder="1" applyAlignment="1">
      <alignment horizontal="right" vertical="center" wrapText="1"/>
    </xf>
    <xf numFmtId="0" fontId="30" fillId="0" borderId="18" xfId="0" applyFont="1" applyBorder="1" applyAlignment="1">
      <alignment vertical="center" wrapText="1"/>
    </xf>
    <xf numFmtId="0" fontId="30" fillId="0" borderId="19" xfId="0" applyFont="1" applyBorder="1" applyAlignment="1">
      <alignment horizontal="right" vertical="center" wrapText="1"/>
    </xf>
    <xf numFmtId="0" fontId="30" fillId="0" borderId="20" xfId="0" applyFont="1" applyBorder="1" applyAlignment="1">
      <alignment horizontal="right" vertical="center" wrapText="1"/>
    </xf>
    <xf numFmtId="0" fontId="30" fillId="0" borderId="11" xfId="0" applyFont="1" applyBorder="1" applyAlignment="1">
      <alignment horizontal="right" vertical="center" wrapText="1"/>
    </xf>
    <xf numFmtId="3" fontId="30" fillId="0" borderId="20" xfId="0" applyNumberFormat="1" applyFont="1" applyBorder="1" applyAlignment="1">
      <alignment horizontal="right" vertical="center" wrapText="1"/>
    </xf>
    <xf numFmtId="0" fontId="30" fillId="0" borderId="11" xfId="0" applyFont="1" applyBorder="1" applyAlignment="1">
      <alignment horizontal="center" vertical="center" wrapText="1"/>
    </xf>
    <xf numFmtId="4" fontId="30" fillId="0" borderId="12" xfId="0" applyNumberFormat="1" applyFont="1" applyBorder="1" applyAlignment="1">
      <alignment horizontal="right" vertical="center" wrapText="1"/>
    </xf>
    <xf numFmtId="4" fontId="35" fillId="13" borderId="12" xfId="0" applyNumberFormat="1" applyFont="1" applyFill="1" applyBorder="1" applyAlignment="1">
      <alignment horizontal="right" vertical="center" wrapText="1"/>
    </xf>
    <xf numFmtId="4" fontId="30" fillId="0" borderId="11" xfId="0" applyNumberFormat="1" applyFont="1" applyBorder="1" applyAlignment="1">
      <alignment horizontal="right" vertical="center" wrapText="1"/>
    </xf>
    <xf numFmtId="0" fontId="35" fillId="13" borderId="19" xfId="0" applyFont="1" applyFill="1" applyBorder="1" applyAlignment="1">
      <alignment horizontal="center" vertical="center" wrapText="1"/>
    </xf>
    <xf numFmtId="0" fontId="35" fillId="13" borderId="12" xfId="0" applyFont="1" applyFill="1" applyBorder="1" applyAlignment="1">
      <alignment horizontal="center" vertical="center" wrapText="1"/>
    </xf>
    <xf numFmtId="0" fontId="29" fillId="13" borderId="19" xfId="0" applyFont="1" applyFill="1" applyBorder="1" applyAlignment="1">
      <alignment horizontal="center" vertical="center" wrapText="1"/>
    </xf>
    <xf numFmtId="4" fontId="29" fillId="12" borderId="12" xfId="0" applyNumberFormat="1" applyFont="1" applyFill="1" applyBorder="1" applyAlignment="1">
      <alignment horizontal="right" vertical="center" wrapText="1"/>
    </xf>
    <xf numFmtId="0" fontId="29" fillId="13" borderId="20" xfId="0" applyFont="1" applyFill="1" applyBorder="1" applyAlignment="1">
      <alignment horizontal="center" vertical="center" wrapText="1"/>
    </xf>
    <xf numFmtId="0" fontId="35" fillId="13" borderId="20" xfId="0" applyFont="1" applyFill="1" applyBorder="1" applyAlignment="1">
      <alignment horizontal="center" vertical="center" wrapText="1"/>
    </xf>
    <xf numFmtId="4" fontId="30" fillId="2" borderId="12" xfId="0" applyNumberFormat="1" applyFont="1" applyFill="1" applyBorder="1" applyAlignment="1">
      <alignment horizontal="right" vertical="center" wrapText="1"/>
    </xf>
    <xf numFmtId="0" fontId="36" fillId="5" borderId="11" xfId="0" applyFont="1" applyFill="1" applyBorder="1" applyAlignment="1">
      <alignment horizontal="center" vertical="center" wrapText="1"/>
    </xf>
    <xf numFmtId="0" fontId="36" fillId="5" borderId="12" xfId="0" applyFont="1" applyFill="1" applyBorder="1" applyAlignment="1">
      <alignment horizontal="center" vertical="center" wrapText="1"/>
    </xf>
    <xf numFmtId="0" fontId="31" fillId="14" borderId="12" xfId="0" applyFont="1" applyFill="1" applyBorder="1" applyAlignment="1">
      <alignment horizontal="right" vertical="center" wrapText="1"/>
    </xf>
    <xf numFmtId="0" fontId="30" fillId="2" borderId="12" xfId="0" applyFont="1" applyFill="1" applyBorder="1" applyAlignment="1">
      <alignment horizontal="right" vertical="center" wrapText="1"/>
    </xf>
    <xf numFmtId="0" fontId="29" fillId="13" borderId="8" xfId="0" applyFont="1" applyFill="1" applyBorder="1" applyAlignment="1">
      <alignment horizontal="center" vertical="center" wrapText="1"/>
    </xf>
    <xf numFmtId="0" fontId="29" fillId="13" borderId="10" xfId="0" applyFont="1" applyFill="1" applyBorder="1" applyAlignment="1">
      <alignment horizontal="center" vertical="center" wrapText="1"/>
    </xf>
    <xf numFmtId="0" fontId="31" fillId="14" borderId="9" xfId="0" applyFont="1" applyFill="1" applyBorder="1" applyAlignment="1">
      <alignment vertical="center" wrapText="1"/>
    </xf>
    <xf numFmtId="0" fontId="31" fillId="14" borderId="10" xfId="0" applyFont="1" applyFill="1" applyBorder="1" applyAlignment="1">
      <alignment vertical="center" wrapText="1"/>
    </xf>
    <xf numFmtId="4" fontId="30" fillId="0" borderId="8" xfId="0" applyNumberFormat="1" applyFont="1" applyBorder="1" applyAlignment="1">
      <alignment horizontal="right" vertical="center" wrapText="1"/>
    </xf>
    <xf numFmtId="4" fontId="30" fillId="0" borderId="10" xfId="0" applyNumberFormat="1" applyFont="1" applyBorder="1" applyAlignment="1">
      <alignment horizontal="right" vertical="center" wrapText="1"/>
    </xf>
    <xf numFmtId="0" fontId="30" fillId="0" borderId="8" xfId="0" applyFont="1" applyBorder="1" applyAlignment="1">
      <alignment horizontal="right" vertical="center" wrapText="1"/>
    </xf>
    <xf numFmtId="0" fontId="30" fillId="0" borderId="10" xfId="0" applyFont="1" applyBorder="1" applyAlignment="1">
      <alignment horizontal="right" vertical="center" wrapText="1"/>
    </xf>
    <xf numFmtId="4" fontId="30" fillId="2" borderId="8" xfId="0" applyNumberFormat="1" applyFont="1" applyFill="1" applyBorder="1" applyAlignment="1">
      <alignment horizontal="right" vertical="center" wrapText="1"/>
    </xf>
    <xf numFmtId="0" fontId="31" fillId="14" borderId="8" xfId="0" applyFont="1" applyFill="1" applyBorder="1" applyAlignment="1">
      <alignment horizontal="right" vertical="center" wrapText="1"/>
    </xf>
    <xf numFmtId="0" fontId="30" fillId="0" borderId="8" xfId="0" applyFont="1" applyBorder="1" applyAlignment="1">
      <alignment horizontal="right" vertical="center"/>
    </xf>
    <xf numFmtId="0" fontId="30" fillId="0" borderId="10" xfId="0" applyFont="1" applyBorder="1" applyAlignment="1">
      <alignment horizontal="right" vertical="center"/>
    </xf>
    <xf numFmtId="0" fontId="30" fillId="2" borderId="8" xfId="0" applyFont="1" applyFill="1" applyBorder="1" applyAlignment="1">
      <alignment horizontal="right" vertical="center" wrapText="1"/>
    </xf>
    <xf numFmtId="0" fontId="29" fillId="12" borderId="8" xfId="0" applyFont="1" applyFill="1" applyBorder="1" applyAlignment="1">
      <alignment horizontal="right" vertical="center" wrapText="1"/>
    </xf>
    <xf numFmtId="4" fontId="29" fillId="12" borderId="8" xfId="0" applyNumberFormat="1" applyFont="1" applyFill="1" applyBorder="1" applyAlignment="1">
      <alignment horizontal="right" vertical="center" wrapText="1"/>
    </xf>
    <xf numFmtId="0" fontId="29" fillId="12" borderId="17" xfId="0" applyFont="1" applyFill="1" applyBorder="1" applyAlignment="1">
      <alignment horizontal="right" vertical="center" wrapText="1"/>
    </xf>
    <xf numFmtId="0" fontId="29" fillId="13" borderId="11" xfId="0" applyFont="1" applyFill="1" applyBorder="1" applyAlignment="1">
      <alignment horizontal="right" vertical="center" wrapText="1"/>
    </xf>
    <xf numFmtId="4" fontId="30" fillId="0" borderId="12" xfId="0" applyNumberFormat="1" applyFont="1" applyBorder="1" applyAlignment="1">
      <alignment horizontal="center" vertical="center" wrapText="1"/>
    </xf>
    <xf numFmtId="0" fontId="29" fillId="12" borderId="17" xfId="0" applyFont="1" applyFill="1" applyBorder="1" applyAlignment="1">
      <alignment horizontal="center" vertical="center" wrapText="1"/>
    </xf>
    <xf numFmtId="0" fontId="29" fillId="12" borderId="11" xfId="0" applyFont="1" applyFill="1" applyBorder="1" applyAlignment="1">
      <alignment horizontal="right" vertical="center" wrapText="1"/>
    </xf>
    <xf numFmtId="43" fontId="5" fillId="0" borderId="0" xfId="8" applyFont="1" applyFill="1" applyAlignment="1">
      <alignment horizontal="left" wrapText="1" readingOrder="1"/>
    </xf>
    <xf numFmtId="167" fontId="4" fillId="0" borderId="0" xfId="13" applyFont="1" applyFill="1" applyAlignment="1">
      <alignment horizontal="right" wrapText="1" readingOrder="1"/>
    </xf>
    <xf numFmtId="17" fontId="4" fillId="0" borderId="0" xfId="0" applyNumberFormat="1" applyFont="1" applyAlignment="1">
      <alignment horizontal="right" wrapText="1" readingOrder="1"/>
    </xf>
    <xf numFmtId="4" fontId="5" fillId="0" borderId="0" xfId="0" applyNumberFormat="1" applyFont="1" applyAlignment="1">
      <alignment horizontal="right" wrapText="1" readingOrder="1"/>
    </xf>
    <xf numFmtId="4" fontId="4" fillId="0" borderId="0" xfId="0" applyNumberFormat="1" applyFont="1" applyAlignment="1">
      <alignment horizontal="right" wrapText="1" readingOrder="1"/>
    </xf>
    <xf numFmtId="3" fontId="29" fillId="12" borderId="12" xfId="0" applyNumberFormat="1" applyFont="1" applyFill="1" applyBorder="1" applyAlignment="1">
      <alignment horizontal="right" vertical="center" wrapText="1"/>
    </xf>
    <xf numFmtId="164" fontId="5" fillId="0" borderId="0" xfId="13" applyNumberFormat="1" applyFont="1" applyFill="1" applyAlignment="1">
      <alignment horizontal="right" wrapText="1" readingOrder="1"/>
    </xf>
    <xf numFmtId="164" fontId="4" fillId="0" borderId="0" xfId="13" applyNumberFormat="1" applyFont="1" applyFill="1" applyAlignment="1">
      <alignment horizontal="right" wrapText="1" readingOrder="1"/>
    </xf>
    <xf numFmtId="3" fontId="5" fillId="0" borderId="0" xfId="0" applyNumberFormat="1" applyFont="1" applyAlignment="1">
      <alignment horizontal="right" wrapText="1" readingOrder="1"/>
    </xf>
    <xf numFmtId="0" fontId="5" fillId="0" borderId="0" xfId="0" applyFont="1" applyAlignment="1">
      <alignment horizontal="right" wrapText="1" readingOrder="1"/>
    </xf>
    <xf numFmtId="3" fontId="4" fillId="0" borderId="0" xfId="0" applyNumberFormat="1" applyFont="1" applyAlignment="1">
      <alignment horizontal="right" wrapText="1" readingOrder="1"/>
    </xf>
    <xf numFmtId="0" fontId="29" fillId="12" borderId="11" xfId="0" applyFont="1" applyFill="1" applyBorder="1" applyAlignment="1">
      <alignment vertical="center" wrapText="1"/>
    </xf>
    <xf numFmtId="3" fontId="38" fillId="12" borderId="12" xfId="0" applyNumberFormat="1" applyFont="1" applyFill="1" applyBorder="1" applyAlignment="1">
      <alignment horizontal="right" vertical="center" wrapText="1"/>
    </xf>
    <xf numFmtId="0" fontId="39" fillId="0" borderId="12" xfId="0" applyFont="1" applyBorder="1" applyAlignment="1">
      <alignment horizontal="right" vertical="center" wrapText="1"/>
    </xf>
    <xf numFmtId="0" fontId="40" fillId="12" borderId="12" xfId="0" applyFont="1" applyFill="1" applyBorder="1" applyAlignment="1">
      <alignment horizontal="right" vertical="center" wrapText="1"/>
    </xf>
    <xf numFmtId="2" fontId="5" fillId="0" borderId="0" xfId="0" applyNumberFormat="1" applyFont="1" applyAlignment="1">
      <alignment horizontal="right" wrapText="1" readingOrder="1"/>
    </xf>
    <xf numFmtId="0" fontId="40" fillId="13" borderId="18" xfId="0" applyFont="1" applyFill="1" applyBorder="1" applyAlignment="1">
      <alignment vertical="center" wrapText="1"/>
    </xf>
    <xf numFmtId="0" fontId="40" fillId="12" borderId="11" xfId="0" applyFont="1" applyFill="1" applyBorder="1" applyAlignment="1">
      <alignment horizontal="right" vertical="center" wrapText="1"/>
    </xf>
    <xf numFmtId="3" fontId="40" fillId="12" borderId="12" xfId="0" applyNumberFormat="1" applyFont="1" applyFill="1" applyBorder="1" applyAlignment="1">
      <alignment horizontal="right" vertical="center" wrapText="1"/>
    </xf>
    <xf numFmtId="0" fontId="39" fillId="0" borderId="20" xfId="0" applyFont="1" applyBorder="1" applyAlignment="1">
      <alignment horizontal="right" vertical="center" wrapText="1"/>
    </xf>
    <xf numFmtId="164" fontId="5" fillId="0" borderId="0" xfId="1" applyNumberFormat="1" applyFont="1" applyFill="1" applyAlignment="1">
      <alignment horizontal="right" wrapText="1" readingOrder="1"/>
    </xf>
    <xf numFmtId="0" fontId="4" fillId="0" borderId="7" xfId="0" applyFont="1" applyBorder="1" applyAlignment="1">
      <alignment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3" fontId="5" fillId="0" borderId="2" xfId="0" applyNumberFormat="1" applyFont="1" applyBorder="1" applyAlignment="1">
      <alignment horizontal="right" vertical="center" wrapText="1" readingOrder="1"/>
    </xf>
    <xf numFmtId="3" fontId="6" fillId="0" borderId="2" xfId="0" applyNumberFormat="1" applyFont="1" applyBorder="1" applyAlignment="1">
      <alignment horizontal="right" vertical="center" wrapText="1" readingOrder="1"/>
    </xf>
    <xf numFmtId="0" fontId="4" fillId="0" borderId="2" xfId="0" applyFont="1" applyBorder="1" applyAlignment="1">
      <alignment vertical="center" wrapText="1" readingOrder="1"/>
    </xf>
    <xf numFmtId="3" fontId="4" fillId="0" borderId="2" xfId="0" applyNumberFormat="1" applyFont="1" applyBorder="1" applyAlignment="1">
      <alignment horizontal="right" vertical="center" wrapText="1" readingOrder="1"/>
    </xf>
    <xf numFmtId="0" fontId="30" fillId="0" borderId="12" xfId="0" applyFont="1" applyBorder="1" applyAlignment="1">
      <alignment horizontal="center" vertical="center" wrapText="1"/>
    </xf>
    <xf numFmtId="3" fontId="30" fillId="2" borderId="12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vertical="center" wrapText="1" readingOrder="1"/>
    </xf>
    <xf numFmtId="0" fontId="4" fillId="0" borderId="23" xfId="0" applyFont="1" applyBorder="1" applyAlignment="1">
      <alignment vertical="center" wrapText="1" readingOrder="1"/>
    </xf>
    <xf numFmtId="0" fontId="8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3" fontId="8" fillId="3" borderId="0" xfId="0" applyNumberFormat="1" applyFont="1" applyFill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29" fillId="15" borderId="19" xfId="0" applyFont="1" applyFill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14" fontId="30" fillId="0" borderId="12" xfId="0" applyNumberFormat="1" applyFont="1" applyBorder="1" applyAlignment="1">
      <alignment horizontal="right" vertical="center" wrapText="1"/>
    </xf>
    <xf numFmtId="0" fontId="30" fillId="0" borderId="19" xfId="0" applyFont="1" applyBorder="1" applyAlignment="1">
      <alignment vertical="center" wrapText="1"/>
    </xf>
    <xf numFmtId="0" fontId="30" fillId="0" borderId="12" xfId="0" applyFont="1" applyBorder="1" applyAlignment="1">
      <alignment vertical="center" wrapText="1"/>
    </xf>
    <xf numFmtId="0" fontId="29" fillId="15" borderId="20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/>
    </xf>
    <xf numFmtId="14" fontId="30" fillId="0" borderId="1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4" fontId="30" fillId="0" borderId="10" xfId="0" applyNumberFormat="1" applyFont="1" applyBorder="1" applyAlignment="1">
      <alignment horizontal="right" vertical="center" wrapText="1"/>
    </xf>
    <xf numFmtId="14" fontId="30" fillId="0" borderId="12" xfId="0" applyNumberFormat="1" applyFont="1" applyBorder="1" applyAlignment="1">
      <alignment horizontal="right" vertical="center"/>
    </xf>
    <xf numFmtId="14" fontId="30" fillId="0" borderId="10" xfId="0" applyNumberFormat="1" applyFont="1" applyBorder="1" applyAlignment="1">
      <alignment horizontal="right" vertical="center"/>
    </xf>
    <xf numFmtId="0" fontId="39" fillId="0" borderId="11" xfId="0" applyFont="1" applyBorder="1" applyAlignment="1">
      <alignment vertical="center" wrapText="1"/>
    </xf>
    <xf numFmtId="3" fontId="30" fillId="0" borderId="12" xfId="0" applyNumberFormat="1" applyFont="1" applyBorder="1" applyAlignment="1">
      <alignment horizontal="right" vertical="center"/>
    </xf>
    <xf numFmtId="3" fontId="40" fillId="13" borderId="12" xfId="0" applyNumberFormat="1" applyFont="1" applyFill="1" applyBorder="1" applyAlignment="1">
      <alignment horizontal="right" vertical="center" wrapText="1"/>
    </xf>
    <xf numFmtId="0" fontId="29" fillId="13" borderId="8" xfId="0" applyFont="1" applyFill="1" applyBorder="1" applyAlignment="1">
      <alignment vertical="center" wrapText="1"/>
    </xf>
    <xf numFmtId="0" fontId="31" fillId="2" borderId="11" xfId="0" applyFont="1" applyFill="1" applyBorder="1" applyAlignment="1">
      <alignment vertical="center" wrapText="1"/>
    </xf>
    <xf numFmtId="0" fontId="31" fillId="2" borderId="12" xfId="0" applyFont="1" applyFill="1" applyBorder="1" applyAlignment="1">
      <alignment vertical="center" wrapText="1"/>
    </xf>
    <xf numFmtId="4" fontId="30" fillId="14" borderId="12" xfId="0" applyNumberFormat="1" applyFont="1" applyFill="1" applyBorder="1" applyAlignment="1">
      <alignment horizontal="right" vertical="center" wrapText="1"/>
    </xf>
    <xf numFmtId="0" fontId="30" fillId="14" borderId="12" xfId="0" applyFont="1" applyFill="1" applyBorder="1" applyAlignment="1">
      <alignment horizontal="right" vertical="center" wrapText="1"/>
    </xf>
    <xf numFmtId="0" fontId="29" fillId="0" borderId="12" xfId="0" applyFont="1" applyBorder="1" applyAlignment="1">
      <alignment horizontal="center" vertical="center" wrapText="1"/>
    </xf>
    <xf numFmtId="4" fontId="40" fillId="12" borderId="12" xfId="0" applyNumberFormat="1" applyFont="1" applyFill="1" applyBorder="1" applyAlignment="1">
      <alignment horizontal="right" vertical="center" wrapText="1"/>
    </xf>
    <xf numFmtId="0" fontId="40" fillId="13" borderId="11" xfId="0" applyFont="1" applyFill="1" applyBorder="1" applyAlignment="1">
      <alignment horizontal="center" vertical="center" wrapText="1"/>
    </xf>
    <xf numFmtId="0" fontId="40" fillId="13" borderId="12" xfId="0" applyFont="1" applyFill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3" fontId="39" fillId="0" borderId="12" xfId="0" applyNumberFormat="1" applyFont="1" applyBorder="1" applyAlignment="1">
      <alignment horizontal="right" vertical="center" wrapText="1"/>
    </xf>
    <xf numFmtId="3" fontId="39" fillId="2" borderId="12" xfId="0" applyNumberFormat="1" applyFont="1" applyFill="1" applyBorder="1" applyAlignment="1">
      <alignment horizontal="right" vertical="center" wrapText="1"/>
    </xf>
    <xf numFmtId="0" fontId="10" fillId="0" borderId="0" xfId="3"/>
    <xf numFmtId="1" fontId="13" fillId="0" borderId="0" xfId="3" applyNumberFormat="1" applyFont="1"/>
    <xf numFmtId="165" fontId="13" fillId="0" borderId="0" xfId="1" applyNumberFormat="1" applyFont="1" applyFill="1" applyBorder="1"/>
    <xf numFmtId="0" fontId="31" fillId="0" borderId="11" xfId="0" applyFont="1" applyBorder="1" applyAlignment="1">
      <alignment vertical="center" wrapText="1"/>
    </xf>
    <xf numFmtId="0" fontId="31" fillId="0" borderId="12" xfId="0" applyFont="1" applyBorder="1" applyAlignment="1">
      <alignment horizontal="center" vertical="center" wrapText="1"/>
    </xf>
    <xf numFmtId="0" fontId="45" fillId="13" borderId="11" xfId="0" applyFont="1" applyFill="1" applyBorder="1" applyAlignment="1">
      <alignment horizontal="center" vertical="center" wrapText="1"/>
    </xf>
    <xf numFmtId="0" fontId="43" fillId="13" borderId="11" xfId="0" applyFont="1" applyFill="1" applyBorder="1" applyAlignment="1">
      <alignment horizontal="center" vertical="center" wrapText="1"/>
    </xf>
    <xf numFmtId="0" fontId="29" fillId="12" borderId="12" xfId="0" applyFont="1" applyFill="1" applyBorder="1" applyAlignment="1">
      <alignment horizontal="center" vertical="center" wrapText="1"/>
    </xf>
    <xf numFmtId="4" fontId="29" fillId="12" borderId="12" xfId="0" applyNumberFormat="1" applyFont="1" applyFill="1" applyBorder="1" applyAlignment="1">
      <alignment horizontal="center" vertical="center" wrapText="1"/>
    </xf>
    <xf numFmtId="16" fontId="30" fillId="0" borderId="12" xfId="0" applyNumberFormat="1" applyFont="1" applyBorder="1" applyAlignment="1">
      <alignment horizontal="right" vertical="center" wrapText="1"/>
    </xf>
    <xf numFmtId="0" fontId="29" fillId="13" borderId="17" xfId="0" applyFont="1" applyFill="1" applyBorder="1" applyAlignment="1">
      <alignment horizontal="center" vertical="center" wrapText="1"/>
    </xf>
    <xf numFmtId="4" fontId="30" fillId="0" borderId="12" xfId="0" applyNumberFormat="1" applyFont="1" applyBorder="1" applyAlignment="1">
      <alignment horizontal="center" vertical="center"/>
    </xf>
    <xf numFmtId="0" fontId="30" fillId="2" borderId="8" xfId="0" applyFont="1" applyFill="1" applyBorder="1" applyAlignment="1">
      <alignment vertical="center" wrapText="1"/>
    </xf>
    <xf numFmtId="0" fontId="30" fillId="2" borderId="10" xfId="0" applyFont="1" applyFill="1" applyBorder="1" applyAlignment="1">
      <alignment vertical="center" wrapText="1"/>
    </xf>
    <xf numFmtId="0" fontId="29" fillId="12" borderId="8" xfId="0" applyFont="1" applyFill="1" applyBorder="1" applyAlignment="1">
      <alignment horizontal="center" vertical="center" wrapText="1"/>
    </xf>
    <xf numFmtId="0" fontId="29" fillId="12" borderId="9" xfId="0" applyFont="1" applyFill="1" applyBorder="1" applyAlignment="1">
      <alignment horizontal="center" vertical="center" wrapText="1"/>
    </xf>
    <xf numFmtId="0" fontId="29" fillId="1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9" fillId="12" borderId="8" xfId="0" applyFont="1" applyFill="1" applyBorder="1" applyAlignment="1">
      <alignment horizontal="right" vertical="center" wrapText="1"/>
    </xf>
    <xf numFmtId="0" fontId="29" fillId="12" borderId="10" xfId="0" applyFont="1" applyFill="1" applyBorder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20" xfId="0" applyFont="1" applyBorder="1" applyAlignment="1">
      <alignment vertical="center" wrapText="1"/>
    </xf>
    <xf numFmtId="0" fontId="30" fillId="0" borderId="11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29" fillId="12" borderId="9" xfId="0" applyFont="1" applyFill="1" applyBorder="1" applyAlignment="1">
      <alignment horizontal="right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20" xfId="0" applyFont="1" applyBorder="1" applyAlignment="1">
      <alignment vertical="center"/>
    </xf>
    <xf numFmtId="0" fontId="30" fillId="0" borderId="18" xfId="0" applyFont="1" applyBorder="1" applyAlignment="1">
      <alignment vertical="center"/>
    </xf>
    <xf numFmtId="0" fontId="30" fillId="0" borderId="11" xfId="0" applyFont="1" applyBorder="1" applyAlignment="1">
      <alignment vertical="center"/>
    </xf>
    <xf numFmtId="0" fontId="29" fillId="13" borderId="20" xfId="0" applyFont="1" applyFill="1" applyBorder="1" applyAlignment="1">
      <alignment horizontal="center" vertical="center" wrapText="1"/>
    </xf>
    <xf numFmtId="0" fontId="29" fillId="13" borderId="11" xfId="0" applyFont="1" applyFill="1" applyBorder="1" applyAlignment="1">
      <alignment horizontal="center" vertical="center" wrapText="1"/>
    </xf>
    <xf numFmtId="0" fontId="29" fillId="13" borderId="20" xfId="0" applyFont="1" applyFill="1" applyBorder="1" applyAlignment="1">
      <alignment vertical="center" wrapText="1"/>
    </xf>
    <xf numFmtId="0" fontId="29" fillId="13" borderId="11" xfId="0" applyFont="1" applyFill="1" applyBorder="1" applyAlignment="1">
      <alignment vertical="center" wrapText="1"/>
    </xf>
    <xf numFmtId="0" fontId="30" fillId="0" borderId="18" xfId="0" applyFont="1" applyBorder="1" applyAlignment="1">
      <alignment vertical="center" wrapText="1"/>
    </xf>
    <xf numFmtId="0" fontId="39" fillId="0" borderId="20" xfId="0" applyFont="1" applyBorder="1" applyAlignment="1">
      <alignment vertical="center" wrapText="1"/>
    </xf>
    <xf numFmtId="0" fontId="39" fillId="0" borderId="18" xfId="0" applyFont="1" applyBorder="1" applyAlignment="1">
      <alignment vertical="center" wrapText="1"/>
    </xf>
    <xf numFmtId="0" fontId="39" fillId="0" borderId="11" xfId="0" applyFont="1" applyBorder="1" applyAlignment="1">
      <alignment vertical="center" wrapText="1"/>
    </xf>
    <xf numFmtId="14" fontId="30" fillId="0" borderId="20" xfId="0" applyNumberFormat="1" applyFont="1" applyBorder="1" applyAlignment="1">
      <alignment horizontal="right" vertical="center"/>
    </xf>
    <xf numFmtId="14" fontId="30" fillId="0" borderId="11" xfId="0" applyNumberFormat="1" applyFont="1" applyBorder="1" applyAlignment="1">
      <alignment horizontal="right" vertical="center"/>
    </xf>
    <xf numFmtId="0" fontId="31" fillId="14" borderId="8" xfId="0" applyFont="1" applyFill="1" applyBorder="1" applyAlignment="1">
      <alignment horizontal="center" vertical="center" wrapText="1"/>
    </xf>
    <xf numFmtId="0" fontId="31" fillId="14" borderId="9" xfId="0" applyFont="1" applyFill="1" applyBorder="1" applyAlignment="1">
      <alignment horizontal="center" vertical="center" wrapText="1"/>
    </xf>
    <xf numFmtId="0" fontId="31" fillId="14" borderId="10" xfId="0" applyFont="1" applyFill="1" applyBorder="1" applyAlignment="1">
      <alignment horizontal="center" vertical="center" wrapText="1"/>
    </xf>
    <xf numFmtId="0" fontId="29" fillId="12" borderId="8" xfId="0" applyFont="1" applyFill="1" applyBorder="1" applyAlignment="1">
      <alignment vertical="center" wrapText="1"/>
    </xf>
    <xf numFmtId="0" fontId="29" fillId="12" borderId="10" xfId="0" applyFont="1" applyFill="1" applyBorder="1" applyAlignment="1">
      <alignment vertical="center" wrapText="1"/>
    </xf>
    <xf numFmtId="0" fontId="29" fillId="13" borderId="8" xfId="0" applyFont="1" applyFill="1" applyBorder="1" applyAlignment="1">
      <alignment vertical="center" wrapText="1"/>
    </xf>
    <xf numFmtId="0" fontId="29" fillId="13" borderId="10" xfId="0" applyFont="1" applyFill="1" applyBorder="1" applyAlignment="1">
      <alignment vertical="center" wrapText="1"/>
    </xf>
    <xf numFmtId="0" fontId="30" fillId="0" borderId="8" xfId="0" applyFont="1" applyBorder="1" applyAlignment="1">
      <alignment horizontal="right" vertical="center" wrapText="1"/>
    </xf>
    <xf numFmtId="0" fontId="30" fillId="0" borderId="10" xfId="0" applyFont="1" applyBorder="1" applyAlignment="1">
      <alignment horizontal="right" vertical="center" wrapText="1"/>
    </xf>
    <xf numFmtId="0" fontId="30" fillId="14" borderId="8" xfId="0" applyFont="1" applyFill="1" applyBorder="1" applyAlignment="1">
      <alignment horizontal="right" vertical="center" wrapText="1"/>
    </xf>
    <xf numFmtId="0" fontId="30" fillId="14" borderId="10" xfId="0" applyFont="1" applyFill="1" applyBorder="1" applyAlignment="1">
      <alignment horizontal="right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13" borderId="8" xfId="0" applyFont="1" applyFill="1" applyBorder="1" applyAlignment="1">
      <alignment horizontal="center" vertical="center" wrapText="1"/>
    </xf>
    <xf numFmtId="0" fontId="29" fillId="13" borderId="9" xfId="0" applyFont="1" applyFill="1" applyBorder="1" applyAlignment="1">
      <alignment horizontal="center" vertical="center" wrapText="1"/>
    </xf>
    <xf numFmtId="0" fontId="29" fillId="13" borderId="10" xfId="0" applyFont="1" applyFill="1" applyBorder="1" applyAlignment="1">
      <alignment horizontal="center" vertical="center" wrapText="1"/>
    </xf>
    <xf numFmtId="0" fontId="40" fillId="12" borderId="8" xfId="0" applyFont="1" applyFill="1" applyBorder="1" applyAlignment="1">
      <alignment horizontal="center" vertical="center" wrapText="1"/>
    </xf>
    <xf numFmtId="0" fontId="40" fillId="12" borderId="10" xfId="0" applyFont="1" applyFill="1" applyBorder="1" applyAlignment="1">
      <alignment horizontal="center" vertical="center" wrapText="1"/>
    </xf>
    <xf numFmtId="0" fontId="40" fillId="12" borderId="9" xfId="0" applyFont="1" applyFill="1" applyBorder="1" applyAlignment="1">
      <alignment horizontal="center" vertical="center" wrapText="1"/>
    </xf>
    <xf numFmtId="0" fontId="39" fillId="2" borderId="8" xfId="0" applyFont="1" applyFill="1" applyBorder="1" applyAlignment="1">
      <alignment horizontal="center" vertical="center" wrapText="1"/>
    </xf>
    <xf numFmtId="0" fontId="39" fillId="2" borderId="10" xfId="0" applyFont="1" applyFill="1" applyBorder="1" applyAlignment="1">
      <alignment horizontal="center" vertical="center" wrapText="1"/>
    </xf>
    <xf numFmtId="0" fontId="39" fillId="0" borderId="20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30" fillId="0" borderId="8" xfId="0" applyFont="1" applyBorder="1" applyAlignment="1">
      <alignment vertical="center" wrapText="1"/>
    </xf>
    <xf numFmtId="0" fontId="30" fillId="0" borderId="9" xfId="0" applyFont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31" fillId="2" borderId="8" xfId="0" applyFont="1" applyFill="1" applyBorder="1" applyAlignment="1">
      <alignment vertical="center" wrapText="1"/>
    </xf>
    <xf numFmtId="0" fontId="31" fillId="2" borderId="9" xfId="0" applyFont="1" applyFill="1" applyBorder="1" applyAlignment="1">
      <alignment vertical="center" wrapText="1"/>
    </xf>
    <xf numFmtId="0" fontId="31" fillId="2" borderId="10" xfId="0" applyFont="1" applyFill="1" applyBorder="1" applyAlignment="1">
      <alignment vertical="center" wrapText="1"/>
    </xf>
    <xf numFmtId="0" fontId="31" fillId="14" borderId="8" xfId="0" applyFont="1" applyFill="1" applyBorder="1" applyAlignment="1">
      <alignment vertical="center" wrapText="1"/>
    </xf>
    <xf numFmtId="0" fontId="31" fillId="14" borderId="9" xfId="0" applyFont="1" applyFill="1" applyBorder="1" applyAlignment="1">
      <alignment vertical="center" wrapText="1"/>
    </xf>
    <xf numFmtId="0" fontId="31" fillId="14" borderId="1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35" fillId="13" borderId="20" xfId="0" applyFont="1" applyFill="1" applyBorder="1" applyAlignment="1">
      <alignment horizontal="center" vertical="center" wrapText="1"/>
    </xf>
    <xf numFmtId="0" fontId="35" fillId="13" borderId="1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4" fontId="30" fillId="0" borderId="20" xfId="0" applyNumberFormat="1" applyFont="1" applyBorder="1" applyAlignment="1">
      <alignment horizontal="right" vertical="center" wrapText="1"/>
    </xf>
    <xf numFmtId="4" fontId="30" fillId="0" borderId="11" xfId="0" applyNumberFormat="1" applyFont="1" applyBorder="1" applyAlignment="1">
      <alignment horizontal="right" vertical="center" wrapText="1"/>
    </xf>
    <xf numFmtId="0" fontId="4" fillId="7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2" fillId="11" borderId="3" xfId="0" applyFont="1" applyFill="1" applyBorder="1" applyAlignment="1">
      <alignment vertical="center" wrapText="1"/>
    </xf>
    <xf numFmtId="0" fontId="2" fillId="11" borderId="5" xfId="0" applyFont="1" applyFill="1" applyBorder="1" applyAlignment="1">
      <alignment vertical="center" wrapText="1"/>
    </xf>
    <xf numFmtId="0" fontId="6" fillId="0" borderId="0" xfId="0" applyFont="1" applyAlignment="1">
      <alignment horizontal="left" wrapText="1" readingOrder="1"/>
    </xf>
    <xf numFmtId="0" fontId="29" fillId="12" borderId="20" xfId="0" applyFont="1" applyFill="1" applyBorder="1" applyAlignment="1">
      <alignment horizontal="right" vertical="center" wrapText="1"/>
    </xf>
    <xf numFmtId="0" fontId="29" fillId="12" borderId="11" xfId="0" applyFont="1" applyFill="1" applyBorder="1" applyAlignment="1">
      <alignment horizontal="right" vertical="center" wrapText="1"/>
    </xf>
    <xf numFmtId="0" fontId="13" fillId="0" borderId="0" xfId="0" applyFont="1" applyAlignment="1">
      <alignment horizontal="center" wrapText="1" readingOrder="1"/>
    </xf>
    <xf numFmtId="0" fontId="9" fillId="0" borderId="0" xfId="0" applyFont="1" applyAlignment="1">
      <alignment horizontal="center" wrapText="1"/>
    </xf>
    <xf numFmtId="0" fontId="6" fillId="0" borderId="0" xfId="0" applyFont="1" applyAlignment="1">
      <alignment horizontal="center" wrapText="1" readingOrder="1"/>
    </xf>
    <xf numFmtId="0" fontId="29" fillId="12" borderId="20" xfId="0" applyFont="1" applyFill="1" applyBorder="1" applyAlignment="1">
      <alignment horizontal="center" vertical="center" wrapText="1"/>
    </xf>
    <xf numFmtId="0" fontId="29" fillId="12" borderId="11" xfId="0" applyFont="1" applyFill="1" applyBorder="1" applyAlignment="1">
      <alignment horizontal="center" vertical="center" wrapText="1"/>
    </xf>
    <xf numFmtId="4" fontId="31" fillId="0" borderId="12" xfId="0" applyNumberFormat="1" applyFont="1" applyBorder="1" applyAlignment="1">
      <alignment horizontal="right" vertical="center" wrapText="1"/>
    </xf>
    <xf numFmtId="0" fontId="46" fillId="12" borderId="12" xfId="0" applyFont="1" applyFill="1" applyBorder="1" applyAlignment="1">
      <alignment horizontal="center" vertical="center" wrapText="1"/>
    </xf>
    <xf numFmtId="0" fontId="45" fillId="12" borderId="8" xfId="0" applyFont="1" applyFill="1" applyBorder="1" applyAlignment="1">
      <alignment horizontal="center" vertical="center" wrapText="1"/>
    </xf>
    <xf numFmtId="0" fontId="45" fillId="12" borderId="10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40" fillId="0" borderId="5" xfId="0" applyFont="1" applyBorder="1" applyAlignment="1">
      <alignment vertical="center" wrapText="1" readingOrder="1"/>
    </xf>
    <xf numFmtId="0" fontId="40" fillId="0" borderId="6" xfId="0" applyFont="1" applyBorder="1" applyAlignment="1">
      <alignment vertical="center" wrapText="1" readingOrder="1"/>
    </xf>
    <xf numFmtId="0" fontId="48" fillId="0" borderId="0" xfId="0" applyFont="1" applyAlignment="1">
      <alignment horizontal="right" vertical="center"/>
    </xf>
    <xf numFmtId="0" fontId="48" fillId="0" borderId="0" xfId="0" applyFont="1" applyAlignment="1">
      <alignment horizontal="center" vertical="center"/>
    </xf>
    <xf numFmtId="3" fontId="48" fillId="0" borderId="0" xfId="0" applyNumberFormat="1" applyFont="1" applyAlignment="1">
      <alignment horizontal="right" vertical="center"/>
    </xf>
    <xf numFmtId="0" fontId="48" fillId="0" borderId="0" xfId="0" applyFont="1" applyAlignment="1">
      <alignment horizontal="left" vertical="center"/>
    </xf>
    <xf numFmtId="0" fontId="40" fillId="0" borderId="0" xfId="0" applyFont="1" applyAlignment="1">
      <alignment vertical="center" wrapText="1" readingOrder="1"/>
    </xf>
    <xf numFmtId="0" fontId="47" fillId="0" borderId="0" xfId="0" applyFont="1" applyAlignment="1">
      <alignment vertical="center"/>
    </xf>
    <xf numFmtId="0" fontId="50" fillId="0" borderId="0" xfId="0" applyFont="1"/>
    <xf numFmtId="0" fontId="51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8" fillId="0" borderId="0" xfId="0" applyFont="1" applyAlignment="1">
      <alignment horizontal="right"/>
    </xf>
    <xf numFmtId="0" fontId="52" fillId="0" borderId="0" xfId="0" applyFont="1" applyAlignment="1">
      <alignment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40" fillId="0" borderId="0" xfId="0" applyFont="1" applyFill="1" applyBorder="1" applyAlignment="1">
      <alignment vertical="center" wrapText="1" readingOrder="1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48" fillId="0" borderId="0" xfId="0" applyFont="1" applyFill="1" applyBorder="1" applyAlignment="1">
      <alignment horizontal="left" vertical="center"/>
    </xf>
    <xf numFmtId="0" fontId="48" fillId="0" borderId="0" xfId="0" applyFont="1" applyFill="1" applyBorder="1" applyAlignment="1">
      <alignment horizontal="center"/>
    </xf>
    <xf numFmtId="0" fontId="48" fillId="0" borderId="0" xfId="0" applyFont="1" applyFill="1" applyBorder="1" applyAlignment="1">
      <alignment horizontal="right"/>
    </xf>
    <xf numFmtId="0" fontId="0" fillId="12" borderId="12" xfId="0" applyFill="1" applyBorder="1" applyAlignment="1">
      <alignment vertical="center" wrapText="1"/>
    </xf>
    <xf numFmtId="0" fontId="48" fillId="0" borderId="0" xfId="0" applyFont="1" applyAlignment="1">
      <alignment vertical="center"/>
    </xf>
    <xf numFmtId="1" fontId="48" fillId="0" borderId="0" xfId="0" applyNumberFormat="1" applyFont="1" applyAlignment="1">
      <alignment horizontal="right" vertical="center"/>
    </xf>
    <xf numFmtId="0" fontId="4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51" fillId="0" borderId="0" xfId="0" applyFont="1" applyAlignment="1">
      <alignment horizontal="center"/>
    </xf>
    <xf numFmtId="0" fontId="50" fillId="0" borderId="19" xfId="0" applyFont="1" applyBorder="1" applyAlignment="1">
      <alignment vertical="center" wrapText="1"/>
    </xf>
    <xf numFmtId="0" fontId="50" fillId="0" borderId="12" xfId="0" applyFont="1" applyBorder="1" applyAlignment="1">
      <alignment vertical="center" wrapText="1"/>
    </xf>
    <xf numFmtId="0" fontId="51" fillId="0" borderId="0" xfId="0" applyFont="1" applyAlignment="1"/>
    <xf numFmtId="0" fontId="50" fillId="0" borderId="0" xfId="0" applyFont="1" applyAlignment="1">
      <alignment horizontal="center"/>
    </xf>
    <xf numFmtId="0" fontId="48" fillId="0" borderId="0" xfId="0" applyFont="1"/>
    <xf numFmtId="0" fontId="50" fillId="0" borderId="11" xfId="0" applyFont="1" applyBorder="1" applyAlignment="1">
      <alignment vertical="center" wrapText="1"/>
    </xf>
    <xf numFmtId="0" fontId="51" fillId="0" borderId="0" xfId="0" applyFont="1"/>
    <xf numFmtId="4" fontId="40" fillId="12" borderId="8" xfId="0" applyNumberFormat="1" applyFont="1" applyFill="1" applyBorder="1" applyAlignment="1">
      <alignment vertical="center" wrapText="1"/>
    </xf>
    <xf numFmtId="4" fontId="30" fillId="0" borderId="8" xfId="0" applyNumberFormat="1" applyFont="1" applyBorder="1" applyAlignment="1">
      <alignment vertical="center" wrapText="1"/>
    </xf>
    <xf numFmtId="4" fontId="30" fillId="2" borderId="8" xfId="0" applyNumberFormat="1" applyFont="1" applyFill="1" applyBorder="1" applyAlignment="1">
      <alignment vertical="center" wrapText="1"/>
    </xf>
    <xf numFmtId="4" fontId="30" fillId="14" borderId="8" xfId="0" applyNumberFormat="1" applyFont="1" applyFill="1" applyBorder="1" applyAlignment="1">
      <alignment vertical="center" wrapText="1"/>
    </xf>
    <xf numFmtId="4" fontId="29" fillId="12" borderId="8" xfId="0" applyNumberFormat="1" applyFont="1" applyFill="1" applyBorder="1" applyAlignment="1">
      <alignment vertical="center" wrapText="1"/>
    </xf>
    <xf numFmtId="4" fontId="29" fillId="13" borderId="12" xfId="0" applyNumberFormat="1" applyFont="1" applyFill="1" applyBorder="1" applyAlignment="1">
      <alignment horizontal="center" vertical="center" wrapText="1"/>
    </xf>
    <xf numFmtId="4" fontId="29" fillId="13" borderId="8" xfId="0" applyNumberFormat="1" applyFont="1" applyFill="1" applyBorder="1" applyAlignment="1">
      <alignment vertical="center" wrapText="1"/>
    </xf>
    <xf numFmtId="0" fontId="31" fillId="2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" fontId="31" fillId="2" borderId="8" xfId="0" applyNumberFormat="1" applyFont="1" applyFill="1" applyBorder="1" applyAlignment="1">
      <alignment vertical="center" wrapText="1"/>
    </xf>
    <xf numFmtId="1" fontId="31" fillId="2" borderId="12" xfId="0" applyNumberFormat="1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right" vertical="center"/>
    </xf>
    <xf numFmtId="0" fontId="40" fillId="0" borderId="8" xfId="0" applyFont="1" applyFill="1" applyBorder="1" applyAlignment="1">
      <alignment horizontal="center" vertical="center" wrapText="1"/>
    </xf>
    <xf numFmtId="0" fontId="40" fillId="0" borderId="10" xfId="0" applyFont="1" applyFill="1" applyBorder="1" applyAlignment="1">
      <alignment horizontal="center" vertical="center" wrapText="1"/>
    </xf>
    <xf numFmtId="3" fontId="40" fillId="0" borderId="12" xfId="0" applyNumberFormat="1" applyFont="1" applyFill="1" applyBorder="1" applyAlignment="1">
      <alignment horizontal="right" vertical="center" wrapText="1"/>
    </xf>
    <xf numFmtId="0" fontId="39" fillId="0" borderId="17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right" vertical="center" wrapText="1"/>
    </xf>
    <xf numFmtId="0" fontId="53" fillId="0" borderId="12" xfId="0" applyFont="1" applyBorder="1" applyAlignment="1">
      <alignment horizontal="right" vertical="center" wrapText="1"/>
    </xf>
    <xf numFmtId="3" fontId="54" fillId="12" borderId="12" xfId="0" applyNumberFormat="1" applyFont="1" applyFill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 wrapText="1"/>
    </xf>
    <xf numFmtId="0" fontId="53" fillId="0" borderId="10" xfId="0" applyFont="1" applyBorder="1" applyAlignment="1">
      <alignment horizontal="center" vertical="center" wrapText="1"/>
    </xf>
    <xf numFmtId="0" fontId="48" fillId="0" borderId="0" xfId="0" applyFont="1" applyFill="1" applyAlignment="1">
      <alignment horizontal="left" vertical="center"/>
    </xf>
    <xf numFmtId="0" fontId="48" fillId="0" borderId="0" xfId="0" applyFont="1" applyFill="1" applyAlignment="1">
      <alignment horizontal="center" vertical="center"/>
    </xf>
    <xf numFmtId="0" fontId="48" fillId="0" borderId="0" xfId="0" applyFont="1" applyFill="1" applyAlignment="1">
      <alignment horizontal="right" vertical="center"/>
    </xf>
    <xf numFmtId="43" fontId="56" fillId="0" borderId="2" xfId="8" applyFont="1" applyFill="1" applyBorder="1" applyAlignment="1">
      <alignment horizontal="right" vertical="center" wrapText="1"/>
    </xf>
    <xf numFmtId="0" fontId="0" fillId="0" borderId="0" xfId="0" applyFill="1"/>
    <xf numFmtId="0" fontId="55" fillId="0" borderId="2" xfId="0" applyFont="1" applyFill="1" applyBorder="1" applyAlignment="1">
      <alignment vertical="center" wrapText="1"/>
    </xf>
    <xf numFmtId="0" fontId="50" fillId="0" borderId="0" xfId="0" applyFont="1" applyFill="1"/>
    <xf numFmtId="0" fontId="29" fillId="12" borderId="17" xfId="0" applyFont="1" applyFill="1" applyBorder="1" applyAlignment="1">
      <alignment vertical="center" wrapText="1"/>
    </xf>
    <xf numFmtId="0" fontId="57" fillId="0" borderId="0" xfId="0" applyFont="1"/>
    <xf numFmtId="4" fontId="30" fillId="5" borderId="12" xfId="0" applyNumberFormat="1" applyFont="1" applyFill="1" applyBorder="1" applyAlignment="1">
      <alignment horizontal="right" vertical="center" wrapText="1"/>
    </xf>
    <xf numFmtId="0" fontId="48" fillId="0" borderId="0" xfId="0" applyFont="1" applyAlignment="1">
      <alignment horizontal="left"/>
    </xf>
    <xf numFmtId="0" fontId="29" fillId="13" borderId="17" xfId="0" applyFont="1" applyFill="1" applyBorder="1" applyAlignment="1">
      <alignment vertical="center" wrapText="1"/>
    </xf>
    <xf numFmtId="0" fontId="30" fillId="0" borderId="17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4" fontId="30" fillId="0" borderId="17" xfId="0" applyNumberFormat="1" applyFont="1" applyBorder="1" applyAlignment="1">
      <alignment horizontal="right" wrapText="1"/>
    </xf>
    <xf numFmtId="0" fontId="30" fillId="2" borderId="17" xfId="0" applyFont="1" applyFill="1" applyBorder="1" applyAlignment="1">
      <alignment vertical="center" wrapText="1"/>
    </xf>
    <xf numFmtId="4" fontId="30" fillId="2" borderId="17" xfId="0" applyNumberFormat="1" applyFont="1" applyFill="1" applyBorder="1" applyAlignment="1">
      <alignment vertical="center" wrapText="1"/>
    </xf>
    <xf numFmtId="0" fontId="40" fillId="12" borderId="17" xfId="0" applyFont="1" applyFill="1" applyBorder="1" applyAlignment="1">
      <alignment vertical="center" wrapText="1"/>
    </xf>
    <xf numFmtId="4" fontId="40" fillId="12" borderId="17" xfId="0" applyNumberFormat="1" applyFont="1" applyFill="1" applyBorder="1" applyAlignment="1">
      <alignment vertical="center" wrapText="1"/>
    </xf>
    <xf numFmtId="0" fontId="31" fillId="13" borderId="11" xfId="0" applyFont="1" applyFill="1" applyBorder="1" applyAlignment="1">
      <alignment vertical="center" wrapText="1"/>
    </xf>
    <xf numFmtId="4" fontId="30" fillId="0" borderId="17" xfId="0" applyNumberFormat="1" applyFont="1" applyBorder="1" applyAlignment="1">
      <alignment horizontal="right" vertical="center" wrapText="1"/>
    </xf>
    <xf numFmtId="0" fontId="50" fillId="0" borderId="18" xfId="0" applyFont="1" applyBorder="1" applyAlignment="1">
      <alignment vertical="center" wrapText="1"/>
    </xf>
    <xf numFmtId="4" fontId="29" fillId="12" borderId="17" xfId="0" applyNumberFormat="1" applyFont="1" applyFill="1" applyBorder="1" applyAlignment="1">
      <alignment horizontal="center" vertical="center" wrapText="1"/>
    </xf>
    <xf numFmtId="4" fontId="29" fillId="12" borderId="10" xfId="0" applyNumberFormat="1" applyFont="1" applyFill="1" applyBorder="1" applyAlignment="1">
      <alignment horizontal="center" vertical="center" wrapText="1"/>
    </xf>
    <xf numFmtId="0" fontId="37" fillId="5" borderId="8" xfId="0" applyFont="1" applyFill="1" applyBorder="1" applyAlignment="1">
      <alignment vertical="center" wrapText="1"/>
    </xf>
    <xf numFmtId="0" fontId="29" fillId="0" borderId="0" xfId="0" applyFont="1" applyFill="1" applyBorder="1" applyAlignment="1">
      <alignment vertical="center" wrapText="1"/>
    </xf>
    <xf numFmtId="0" fontId="29" fillId="12" borderId="24" xfId="0" applyFont="1" applyFill="1" applyBorder="1" applyAlignment="1">
      <alignment horizontal="center" vertical="center" wrapText="1"/>
    </xf>
    <xf numFmtId="4" fontId="30" fillId="0" borderId="8" xfId="0" applyNumberFormat="1" applyFont="1" applyBorder="1" applyAlignment="1">
      <alignment horizontal="right" vertical="center"/>
    </xf>
    <xf numFmtId="4" fontId="30" fillId="2" borderId="8" xfId="0" applyNumberFormat="1" applyFont="1" applyFill="1" applyBorder="1" applyAlignment="1">
      <alignment horizontal="right" vertical="center"/>
    </xf>
    <xf numFmtId="0" fontId="30" fillId="2" borderId="8" xfId="0" applyFont="1" applyFill="1" applyBorder="1" applyAlignment="1">
      <alignment horizontal="right" vertical="center"/>
    </xf>
    <xf numFmtId="4" fontId="29" fillId="12" borderId="8" xfId="0" applyNumberFormat="1" applyFont="1" applyFill="1" applyBorder="1" applyAlignment="1">
      <alignment horizontal="right" vertical="center"/>
    </xf>
    <xf numFmtId="0" fontId="37" fillId="5" borderId="12" xfId="0" applyFont="1" applyFill="1" applyBorder="1" applyAlignment="1">
      <alignment vertical="center" wrapText="1"/>
    </xf>
    <xf numFmtId="0" fontId="50" fillId="0" borderId="0" xfId="0" applyFont="1" applyFill="1" applyBorder="1"/>
    <xf numFmtId="0" fontId="50" fillId="14" borderId="12" xfId="0" applyFont="1" applyFill="1" applyBorder="1" applyAlignment="1">
      <alignment horizontal="right" vertical="center" wrapText="1"/>
    </xf>
    <xf numFmtId="0" fontId="50" fillId="14" borderId="8" xfId="0" applyFont="1" applyFill="1" applyBorder="1" applyAlignment="1">
      <alignment horizontal="right" vertical="center" wrapText="1"/>
    </xf>
    <xf numFmtId="0" fontId="50" fillId="14" borderId="8" xfId="0" applyFont="1" applyFill="1" applyBorder="1" applyAlignment="1">
      <alignment horizontal="right" vertical="center"/>
    </xf>
    <xf numFmtId="0" fontId="58" fillId="0" borderId="0" xfId="0" applyFont="1"/>
    <xf numFmtId="43" fontId="11" fillId="0" borderId="0" xfId="2" applyNumberFormat="1" applyFont="1"/>
    <xf numFmtId="0" fontId="9" fillId="0" borderId="0" xfId="0" applyFont="1" applyAlignment="1">
      <alignment horizontal="left" wrapText="1"/>
    </xf>
    <xf numFmtId="9" fontId="11" fillId="0" borderId="0" xfId="0" applyNumberFormat="1" applyFont="1" applyAlignment="1">
      <alignment horizontal="right"/>
    </xf>
    <xf numFmtId="173" fontId="11" fillId="0" borderId="0" xfId="2" applyNumberFormat="1" applyFont="1" applyAlignment="1">
      <alignment horizontal="right"/>
    </xf>
    <xf numFmtId="173" fontId="11" fillId="0" borderId="0" xfId="0" applyNumberFormat="1" applyFont="1" applyAlignment="1">
      <alignment horizontal="right"/>
    </xf>
    <xf numFmtId="0" fontId="31" fillId="14" borderId="9" xfId="0" applyFont="1" applyFill="1" applyBorder="1" applyAlignment="1">
      <alignment horizontal="left" vertical="center" wrapText="1"/>
    </xf>
    <xf numFmtId="0" fontId="31" fillId="14" borderId="10" xfId="0" applyFont="1" applyFill="1" applyBorder="1" applyAlignment="1">
      <alignment horizontal="left" vertical="center" wrapText="1"/>
    </xf>
    <xf numFmtId="0" fontId="56" fillId="0" borderId="0" xfId="0" applyFont="1" applyAlignment="1">
      <alignment wrapText="1"/>
    </xf>
    <xf numFmtId="0" fontId="21" fillId="0" borderId="0" xfId="0" applyFont="1" applyBorder="1" applyAlignment="1">
      <alignment horizontal="center"/>
    </xf>
    <xf numFmtId="0" fontId="29" fillId="13" borderId="8" xfId="0" applyFont="1" applyFill="1" applyBorder="1" applyAlignment="1">
      <alignment horizontal="left" vertical="center" wrapText="1"/>
    </xf>
    <xf numFmtId="0" fontId="30" fillId="0" borderId="8" xfId="0" applyFont="1" applyBorder="1" applyAlignment="1">
      <alignment horizontal="left" vertical="center"/>
    </xf>
    <xf numFmtId="4" fontId="30" fillId="2" borderId="17" xfId="0" applyNumberFormat="1" applyFont="1" applyFill="1" applyBorder="1" applyAlignment="1">
      <alignment horizontal="left" vertical="center" wrapText="1"/>
    </xf>
    <xf numFmtId="4" fontId="29" fillId="12" borderId="17" xfId="0" applyNumberFormat="1" applyFont="1" applyFill="1" applyBorder="1" applyAlignment="1">
      <alignment horizontal="left" vertical="center" wrapText="1"/>
    </xf>
    <xf numFmtId="4" fontId="30" fillId="0" borderId="8" xfId="0" applyNumberFormat="1" applyFont="1" applyBorder="1" applyAlignment="1">
      <alignment horizontal="left" vertical="center"/>
    </xf>
    <xf numFmtId="0" fontId="57" fillId="0" borderId="0" xfId="0" applyFont="1" applyAlignment="1">
      <alignment horizontal="center"/>
    </xf>
    <xf numFmtId="43" fontId="5" fillId="2" borderId="0" xfId="1" applyFont="1" applyFill="1" applyAlignment="1">
      <alignment horizontal="right" wrapText="1"/>
    </xf>
    <xf numFmtId="9" fontId="11" fillId="0" borderId="0" xfId="2" applyFont="1"/>
    <xf numFmtId="0" fontId="29" fillId="12" borderId="21" xfId="0" applyFont="1" applyFill="1" applyBorder="1" applyAlignment="1">
      <alignment horizontal="center" vertical="center" wrapText="1"/>
    </xf>
    <xf numFmtId="4" fontId="31" fillId="14" borderId="9" xfId="0" applyNumberFormat="1" applyFont="1" applyFill="1" applyBorder="1" applyAlignment="1">
      <alignment vertical="center" wrapText="1"/>
    </xf>
    <xf numFmtId="4" fontId="40" fillId="12" borderId="0" xfId="1" applyNumberFormat="1" applyFont="1" applyFill="1" applyAlignment="1">
      <alignment horizontal="center" vertical="center" wrapText="1"/>
    </xf>
    <xf numFmtId="0" fontId="29" fillId="13" borderId="20" xfId="0" applyFont="1" applyFill="1" applyBorder="1" applyAlignment="1">
      <alignment horizontal="left" vertical="center" wrapText="1"/>
    </xf>
    <xf numFmtId="0" fontId="40" fillId="12" borderId="0" xfId="0" applyFont="1" applyFill="1" applyAlignment="1">
      <alignment horizontal="left" vertical="center" wrapText="1"/>
    </xf>
    <xf numFmtId="0" fontId="30" fillId="14" borderId="17" xfId="0" applyFont="1" applyFill="1" applyBorder="1" applyAlignment="1">
      <alignment vertical="center" wrapText="1"/>
    </xf>
    <xf numFmtId="0" fontId="30" fillId="14" borderId="11" xfId="0" applyFont="1" applyFill="1" applyBorder="1" applyAlignment="1">
      <alignment vertical="center" wrapText="1"/>
    </xf>
    <xf numFmtId="0" fontId="61" fillId="0" borderId="0" xfId="0" applyFont="1" applyAlignment="1">
      <alignment horizontal="center" vertical="center"/>
    </xf>
    <xf numFmtId="0" fontId="40" fillId="12" borderId="21" xfId="0" applyFont="1" applyFill="1" applyBorder="1" applyAlignment="1">
      <alignment horizontal="center" vertical="center" wrapText="1"/>
    </xf>
    <xf numFmtId="4" fontId="30" fillId="14" borderId="17" xfId="0" applyNumberFormat="1" applyFont="1" applyFill="1" applyBorder="1" applyAlignment="1">
      <alignment horizontal="right" vertical="center" wrapText="1"/>
    </xf>
    <xf numFmtId="4" fontId="40" fillId="12" borderId="0" xfId="0" applyNumberFormat="1" applyFont="1" applyFill="1" applyAlignment="1">
      <alignment horizontal="right" vertical="center" wrapText="1"/>
    </xf>
    <xf numFmtId="0" fontId="39" fillId="14" borderId="17" xfId="0" applyFont="1" applyFill="1" applyBorder="1" applyAlignment="1">
      <alignment vertical="center" wrapText="1"/>
    </xf>
    <xf numFmtId="0" fontId="39" fillId="14" borderId="11" xfId="0" applyFont="1" applyFill="1" applyBorder="1" applyAlignment="1">
      <alignment vertical="center" wrapText="1"/>
    </xf>
    <xf numFmtId="0" fontId="29" fillId="0" borderId="0" xfId="0" applyFont="1" applyFill="1" applyBorder="1" applyAlignment="1">
      <alignment horizontal="right" vertical="center" wrapText="1"/>
    </xf>
    <xf numFmtId="0" fontId="11" fillId="0" borderId="0" xfId="0" applyFont="1" applyFill="1" applyBorder="1"/>
    <xf numFmtId="43" fontId="5" fillId="0" borderId="0" xfId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43" fontId="9" fillId="0" borderId="0" xfId="1" applyFont="1" applyFill="1" applyBorder="1" applyAlignment="1">
      <alignment horizontal="center" vertical="center" wrapText="1"/>
    </xf>
    <xf numFmtId="0" fontId="62" fillId="0" borderId="0" xfId="0" applyFont="1" applyAlignment="1">
      <alignment horizontal="left"/>
    </xf>
    <xf numFmtId="0" fontId="63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1" fillId="0" borderId="0" xfId="0" applyFont="1" applyAlignment="1"/>
    <xf numFmtId="0" fontId="63" fillId="0" borderId="0" xfId="0" applyFont="1" applyAlignment="1">
      <alignment vertical="center"/>
    </xf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4" fontId="64" fillId="0" borderId="12" xfId="0" applyNumberFormat="1" applyFont="1" applyBorder="1" applyAlignment="1">
      <alignment horizontal="right" vertical="center" wrapText="1"/>
    </xf>
    <xf numFmtId="4" fontId="64" fillId="0" borderId="20" xfId="0" applyNumberFormat="1" applyFont="1" applyBorder="1" applyAlignment="1">
      <alignment horizontal="right" vertical="center" wrapText="1"/>
    </xf>
    <xf numFmtId="4" fontId="64" fillId="0" borderId="11" xfId="0" applyNumberFormat="1" applyFont="1" applyBorder="1" applyAlignment="1">
      <alignment horizontal="right" vertical="center" wrapText="1"/>
    </xf>
    <xf numFmtId="4" fontId="64" fillId="0" borderId="18" xfId="0" applyNumberFormat="1" applyFont="1" applyBorder="1" applyAlignment="1">
      <alignment horizontal="right" vertical="center" wrapText="1"/>
    </xf>
    <xf numFmtId="0" fontId="64" fillId="0" borderId="20" xfId="0" applyFont="1" applyBorder="1" applyAlignment="1">
      <alignment horizontal="right" vertical="center" wrapText="1"/>
    </xf>
    <xf numFmtId="0" fontId="64" fillId="0" borderId="18" xfId="0" applyFont="1" applyBorder="1" applyAlignment="1">
      <alignment horizontal="right" vertical="center" wrapText="1"/>
    </xf>
    <xf numFmtId="0" fontId="64" fillId="0" borderId="11" xfId="0" applyFont="1" applyBorder="1" applyAlignment="1">
      <alignment horizontal="right" vertical="center" wrapText="1"/>
    </xf>
    <xf numFmtId="0" fontId="30" fillId="0" borderId="11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 wrapText="1"/>
    </xf>
    <xf numFmtId="0" fontId="30" fillId="0" borderId="18" xfId="0" applyFont="1" applyBorder="1" applyAlignment="1">
      <alignment horizontal="left" vertical="center" wrapText="1"/>
    </xf>
    <xf numFmtId="0" fontId="47" fillId="0" borderId="0" xfId="0" applyFont="1" applyAlignment="1">
      <alignment horizontal="center"/>
    </xf>
    <xf numFmtId="0" fontId="48" fillId="0" borderId="0" xfId="0" applyFont="1" applyFill="1" applyBorder="1"/>
    <xf numFmtId="0" fontId="11" fillId="0" borderId="0" xfId="0" applyFont="1" applyAlignment="1">
      <alignment horizontal="left" wrapText="1"/>
    </xf>
    <xf numFmtId="0" fontId="29" fillId="13" borderId="11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wrapText="1"/>
    </xf>
    <xf numFmtId="4" fontId="60" fillId="0" borderId="12" xfId="0" applyNumberFormat="1" applyFont="1" applyBorder="1" applyAlignment="1">
      <alignment horizontal="right" vertical="center" wrapText="1"/>
    </xf>
    <xf numFmtId="0" fontId="60" fillId="0" borderId="20" xfId="0" applyFont="1" applyBorder="1" applyAlignment="1">
      <alignment horizontal="right" vertical="center" wrapText="1"/>
    </xf>
    <xf numFmtId="0" fontId="60" fillId="0" borderId="11" xfId="0" applyFont="1" applyBorder="1" applyAlignment="1">
      <alignment horizontal="right" vertical="center" wrapText="1"/>
    </xf>
    <xf numFmtId="4" fontId="39" fillId="0" borderId="12" xfId="0" applyNumberFormat="1" applyFont="1" applyBorder="1" applyAlignment="1">
      <alignment horizontal="right" vertical="center" wrapText="1"/>
    </xf>
    <xf numFmtId="4" fontId="39" fillId="0" borderId="20" xfId="0" applyNumberFormat="1" applyFont="1" applyBorder="1" applyAlignment="1">
      <alignment horizontal="right" vertical="center" wrapText="1"/>
    </xf>
    <xf numFmtId="0" fontId="65" fillId="0" borderId="0" xfId="0" applyFont="1"/>
    <xf numFmtId="0" fontId="66" fillId="0" borderId="0" xfId="0" applyFont="1" applyAlignment="1">
      <alignment horizontal="left" vertical="center" wrapText="1"/>
    </xf>
    <xf numFmtId="0" fontId="66" fillId="0" borderId="0" xfId="0" applyFont="1" applyAlignment="1">
      <alignment vertical="center"/>
    </xf>
    <xf numFmtId="0" fontId="66" fillId="0" borderId="0" xfId="0" applyFont="1" applyAlignment="1">
      <alignment horizontal="justify" vertical="center"/>
    </xf>
    <xf numFmtId="0" fontId="33" fillId="0" borderId="0" xfId="0" applyFont="1" applyAlignment="1"/>
    <xf numFmtId="0" fontId="66" fillId="0" borderId="0" xfId="0" applyFont="1" applyAlignment="1">
      <alignment horizontal="center" vertical="center"/>
    </xf>
    <xf numFmtId="4" fontId="40" fillId="0" borderId="0" xfId="0" applyNumberFormat="1" applyFont="1" applyAlignment="1">
      <alignment horizontal="right" vertical="center" wrapText="1"/>
    </xf>
    <xf numFmtId="0" fontId="40" fillId="10" borderId="13" xfId="0" applyFont="1" applyFill="1" applyBorder="1" applyAlignment="1">
      <alignment horizontal="right" vertical="center" wrapText="1"/>
    </xf>
    <xf numFmtId="0" fontId="40" fillId="10" borderId="14" xfId="0" applyFont="1" applyFill="1" applyBorder="1" applyAlignment="1">
      <alignment horizontal="right" vertical="center" wrapText="1"/>
    </xf>
    <xf numFmtId="4" fontId="60" fillId="0" borderId="2" xfId="0" applyNumberFormat="1" applyFont="1" applyBorder="1" applyAlignment="1">
      <alignment horizontal="right" vertical="center" wrapText="1"/>
    </xf>
    <xf numFmtId="4" fontId="40" fillId="11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9" fillId="12" borderId="20" xfId="0" applyFont="1" applyFill="1" applyBorder="1" applyAlignment="1">
      <alignment horizontal="left" vertical="center" wrapText="1"/>
    </xf>
    <xf numFmtId="0" fontId="29" fillId="12" borderId="11" xfId="0" applyFont="1" applyFill="1" applyBorder="1" applyAlignment="1">
      <alignment horizontal="left" vertical="center" wrapText="1"/>
    </xf>
    <xf numFmtId="0" fontId="29" fillId="12" borderId="11" xfId="0" applyFont="1" applyFill="1" applyBorder="1" applyAlignment="1">
      <alignment horizontal="left" vertical="center" wrapText="1"/>
    </xf>
    <xf numFmtId="0" fontId="29" fillId="12" borderId="17" xfId="0" applyFont="1" applyFill="1" applyBorder="1" applyAlignment="1">
      <alignment horizontal="left" vertical="center" wrapText="1"/>
    </xf>
    <xf numFmtId="0" fontId="26" fillId="0" borderId="0" xfId="0" applyFont="1" applyAlignment="1">
      <alignment horizontal="left"/>
    </xf>
    <xf numFmtId="2" fontId="27" fillId="3" borderId="0" xfId="0" applyNumberFormat="1" applyFont="1" applyFill="1" applyAlignment="1">
      <alignment horizontal="left"/>
    </xf>
    <xf numFmtId="2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67" fontId="0" fillId="3" borderId="0" xfId="13" applyFont="1" applyFill="1" applyAlignment="1">
      <alignment horizontal="left"/>
    </xf>
    <xf numFmtId="43" fontId="0" fillId="3" borderId="0" xfId="0" applyNumberFormat="1" applyFill="1" applyAlignment="1">
      <alignment horizontal="left"/>
    </xf>
    <xf numFmtId="167" fontId="28" fillId="3" borderId="0" xfId="13" applyFont="1" applyFill="1" applyAlignment="1">
      <alignment horizontal="left"/>
    </xf>
    <xf numFmtId="0" fontId="44" fillId="0" borderId="0" xfId="0" applyFont="1" applyAlignment="1">
      <alignment horizontal="left" wrapText="1" readingOrder="1"/>
    </xf>
    <xf numFmtId="0" fontId="40" fillId="0" borderId="0" xfId="0" applyFont="1" applyAlignment="1">
      <alignment horizontal="right" wrapText="1" readingOrder="1"/>
    </xf>
    <xf numFmtId="43" fontId="60" fillId="0" borderId="0" xfId="8" applyFont="1" applyFill="1" applyAlignment="1">
      <alignment horizontal="left" wrapText="1" readingOrder="1"/>
    </xf>
    <xf numFmtId="167" fontId="40" fillId="0" borderId="0" xfId="13" applyFont="1" applyFill="1" applyAlignment="1">
      <alignment horizontal="right" wrapText="1" readingOrder="1"/>
    </xf>
    <xf numFmtId="0" fontId="67" fillId="0" borderId="0" xfId="0" applyFont="1" applyAlignment="1">
      <alignment horizontal="left"/>
    </xf>
    <xf numFmtId="2" fontId="59" fillId="3" borderId="0" xfId="0" applyNumberFormat="1" applyFont="1" applyFill="1" applyAlignment="1">
      <alignment horizontal="left"/>
    </xf>
    <xf numFmtId="167" fontId="50" fillId="3" borderId="0" xfId="13" applyFont="1" applyFill="1"/>
    <xf numFmtId="3" fontId="38" fillId="0" borderId="0" xfId="0" applyNumberFormat="1" applyFont="1" applyFill="1" applyBorder="1" applyAlignment="1">
      <alignment horizontal="right" vertical="center" wrapText="1"/>
    </xf>
    <xf numFmtId="4" fontId="29" fillId="0" borderId="0" xfId="0" applyNumberFormat="1" applyFont="1" applyFill="1" applyBorder="1" applyAlignment="1">
      <alignment horizontal="right" vertical="center" wrapText="1"/>
    </xf>
    <xf numFmtId="0" fontId="61" fillId="0" borderId="0" xfId="0" applyFont="1" applyAlignment="1">
      <alignment horizontal="center" wrapText="1"/>
    </xf>
    <xf numFmtId="0" fontId="68" fillId="0" borderId="0" xfId="0" applyFont="1" applyAlignment="1">
      <alignment horizontal="left" wrapText="1" readingOrder="1"/>
    </xf>
    <xf numFmtId="0" fontId="55" fillId="0" borderId="0" xfId="0" applyFont="1" applyAlignment="1">
      <alignment horizontal="center" wrapText="1" readingOrder="1"/>
    </xf>
    <xf numFmtId="0" fontId="40" fillId="0" borderId="0" xfId="0" applyFont="1" applyAlignment="1">
      <alignment horizontal="center" wrapText="1" readingOrder="1"/>
    </xf>
    <xf numFmtId="4" fontId="60" fillId="0" borderId="0" xfId="0" applyNumberFormat="1" applyFont="1" applyAlignment="1">
      <alignment horizontal="right" wrapText="1" readingOrder="1"/>
    </xf>
    <xf numFmtId="3" fontId="60" fillId="0" borderId="0" xfId="0" applyNumberFormat="1" applyFont="1" applyAlignment="1">
      <alignment horizontal="right" wrapText="1" readingOrder="1"/>
    </xf>
    <xf numFmtId="0" fontId="60" fillId="0" borderId="0" xfId="0" applyFont="1" applyAlignment="1">
      <alignment horizontal="right" wrapText="1" readingOrder="1"/>
    </xf>
    <xf numFmtId="3" fontId="40" fillId="0" borderId="0" xfId="0" applyNumberFormat="1" applyFont="1" applyAlignment="1">
      <alignment horizontal="right" wrapText="1" readingOrder="1"/>
    </xf>
    <xf numFmtId="43" fontId="60" fillId="0" borderId="0" xfId="1" applyFont="1" applyFill="1" applyAlignment="1">
      <alignment horizontal="right" wrapText="1" readingOrder="1"/>
    </xf>
    <xf numFmtId="43" fontId="40" fillId="0" borderId="0" xfId="1" applyFont="1" applyFill="1" applyAlignment="1">
      <alignment horizontal="right" wrapText="1" readingOrder="1"/>
    </xf>
    <xf numFmtId="0" fontId="50" fillId="0" borderId="0" xfId="0" applyFont="1" applyAlignment="1">
      <alignment horizontal="center"/>
    </xf>
    <xf numFmtId="17" fontId="40" fillId="0" borderId="0" xfId="0" applyNumberFormat="1" applyFont="1" applyAlignment="1">
      <alignment horizontal="right" wrapText="1" readingOrder="1"/>
    </xf>
    <xf numFmtId="2" fontId="60" fillId="0" borderId="0" xfId="0" applyNumberFormat="1" applyFont="1" applyAlignment="1">
      <alignment horizontal="right" wrapText="1" readingOrder="1"/>
    </xf>
    <xf numFmtId="2" fontId="40" fillId="0" borderId="0" xfId="0" applyNumberFormat="1" applyFont="1" applyAlignment="1">
      <alignment horizontal="right" wrapText="1" readingOrder="1"/>
    </xf>
    <xf numFmtId="4" fontId="50" fillId="0" borderId="0" xfId="0" applyNumberFormat="1" applyFont="1"/>
    <xf numFmtId="2" fontId="50" fillId="0" borderId="0" xfId="0" applyNumberFormat="1" applyFont="1"/>
    <xf numFmtId="0" fontId="61" fillId="0" borderId="25" xfId="0" applyFont="1" applyBorder="1" applyAlignment="1">
      <alignment horizontal="center" wrapText="1"/>
    </xf>
    <xf numFmtId="0" fontId="61" fillId="0" borderId="0" xfId="0" applyFont="1" applyAlignment="1">
      <alignment horizontal="center"/>
    </xf>
    <xf numFmtId="0" fontId="52" fillId="0" borderId="22" xfId="0" applyFont="1" applyBorder="1" applyAlignment="1">
      <alignment vertical="center" wrapText="1"/>
    </xf>
  </cellXfs>
  <cellStyles count="14">
    <cellStyle name="Comma" xfId="7" xr:uid="{00000000-0005-0000-0000-000000000000}"/>
    <cellStyle name="Comma 2" xfId="8" xr:uid="{00000000-0005-0000-0000-000001000000}"/>
    <cellStyle name="Comma 3" xfId="13" xr:uid="{667864F2-4A46-40EF-9121-0B034E4BB024}"/>
    <cellStyle name="Euro" xfId="5" xr:uid="{00000000-0005-0000-0000-000002000000}"/>
    <cellStyle name="Millares" xfId="1" builtinId="3"/>
    <cellStyle name="Normal" xfId="0" builtinId="0"/>
    <cellStyle name="Normal 2" xfId="6" xr:uid="{00000000-0005-0000-0000-000005000000}"/>
    <cellStyle name="Normal 2 2" xfId="10" xr:uid="{00000000-0005-0000-0000-000006000000}"/>
    <cellStyle name="Normal 2 2 2" xfId="3" xr:uid="{00000000-0005-0000-0000-000007000000}"/>
    <cellStyle name="Normal 3" xfId="4" xr:uid="{00000000-0005-0000-0000-000008000000}"/>
    <cellStyle name="Normal 3 2" xfId="9" xr:uid="{00000000-0005-0000-0000-000009000000}"/>
    <cellStyle name="Normal 3 3" xfId="12" xr:uid="{00000000-0005-0000-0000-00000A000000}"/>
    <cellStyle name="Normal 4 2" xfId="11" xr:uid="{00000000-0005-0000-0000-00000B000000}"/>
    <cellStyle name="Porcentaje" xfId="2" builtinId="5"/>
  </cellStyles>
  <dxfs count="0"/>
  <tableStyles count="0" defaultTableStyle="TableStyleMedium2" defaultPivotStyle="PivotStyleLight16"/>
  <colors>
    <mruColors>
      <color rgb="FF0070C0"/>
      <color rgb="FF0F543B"/>
      <color rgb="FFF2F2F2"/>
      <color rgb="FF1F4E78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cumentos%20TEMP_DGH63\Cuarentena\GRAFICOS%20DPTC%20-%20ANUARIO%202022.xlsx" TargetMode="External"/><Relationship Id="rId1" Type="http://schemas.openxmlformats.org/officeDocument/2006/relationships/externalLinkPath" Target="/Documentos%20TEMP_DGH63/Cuarentena/GRAFICOS%20DPTC%20-%20ANUARIO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"/>
      <sheetName val="17"/>
      <sheetName val="18"/>
      <sheetName val="19"/>
      <sheetName val="20"/>
      <sheetName val="Hoja1"/>
      <sheetName val="21"/>
      <sheetName val="22"/>
      <sheetName val="23."/>
      <sheetName val="24"/>
      <sheetName val="25."/>
      <sheetName val="26."/>
      <sheetName val="27."/>
      <sheetName val="28."/>
      <sheetName val="29."/>
      <sheetName val="30"/>
      <sheetName val="31"/>
      <sheetName val="32"/>
      <sheetName val="33"/>
      <sheetName val="34"/>
      <sheetName val="36"/>
      <sheetName val="37"/>
      <sheetName val="biodiesel"/>
      <sheetName val="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K3">
            <v>408.07158000000004</v>
          </cell>
        </row>
        <row r="5">
          <cell r="K5">
            <v>309.28458000000001</v>
          </cell>
        </row>
        <row r="7">
          <cell r="K7">
            <v>98.787000000000006</v>
          </cell>
        </row>
        <row r="8">
          <cell r="K8">
            <v>85.867000000000004</v>
          </cell>
        </row>
        <row r="9">
          <cell r="K9">
            <v>58.496000000000002</v>
          </cell>
        </row>
        <row r="10">
          <cell r="K10">
            <v>27.370999999999999</v>
          </cell>
        </row>
        <row r="11">
          <cell r="K11">
            <v>27887.100000000006</v>
          </cell>
        </row>
        <row r="12">
          <cell r="K12">
            <v>9760.4999999999982</v>
          </cell>
        </row>
        <row r="13">
          <cell r="K13">
            <v>13258.400000000001</v>
          </cell>
        </row>
        <row r="14">
          <cell r="K14">
            <v>1094.8999999999999</v>
          </cell>
        </row>
        <row r="16">
          <cell r="K16">
            <v>3407.6000000000008</v>
          </cell>
        </row>
        <row r="17">
          <cell r="K17">
            <v>365.70000000000005</v>
          </cell>
        </row>
        <row r="18">
          <cell r="K18">
            <v>225.69799999999998</v>
          </cell>
        </row>
        <row r="21">
          <cell r="K21">
            <v>148.05799999999999</v>
          </cell>
        </row>
        <row r="22">
          <cell r="K22">
            <v>77.64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  <pageSetUpPr fitToPage="1"/>
  </sheetPr>
  <dimension ref="A1:V56"/>
  <sheetViews>
    <sheetView showGridLines="0" tabSelected="1" zoomScale="90" zoomScaleNormal="90" workbookViewId="0">
      <selection activeCell="L19" sqref="L19"/>
    </sheetView>
  </sheetViews>
  <sheetFormatPr baseColWidth="10" defaultColWidth="9.5703125" defaultRowHeight="14.45" customHeight="1" x14ac:dyDescent="0.2"/>
  <cols>
    <col min="1" max="1" width="14.28515625" style="1" customWidth="1"/>
    <col min="2" max="2" width="9.5703125" style="2"/>
    <col min="3" max="3" width="9.5703125" style="3" customWidth="1"/>
    <col min="4" max="9" width="9.5703125" style="3"/>
    <col min="10" max="11" width="9.5703125" style="4"/>
    <col min="12" max="13" width="9.7109375" style="5" customWidth="1"/>
    <col min="14" max="16384" width="9.5703125" style="5"/>
  </cols>
  <sheetData>
    <row r="1" spans="1:16" ht="14.45" customHeight="1" x14ac:dyDescent="0.2">
      <c r="A1" s="2"/>
    </row>
    <row r="2" spans="1:16" ht="14.45" customHeight="1" x14ac:dyDescent="0.25">
      <c r="A2" s="306" t="s">
        <v>584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M2"/>
    </row>
    <row r="3" spans="1:16" s="6" customFormat="1" ht="14.45" customHeight="1" thickBot="1" x14ac:dyDescent="0.3">
      <c r="A3" s="307"/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161"/>
      <c r="M3"/>
    </row>
    <row r="4" spans="1:16" s="6" customFormat="1" ht="14.45" customHeight="1" thickBot="1" x14ac:dyDescent="0.3">
      <c r="A4" s="217" t="s">
        <v>585</v>
      </c>
      <c r="B4" s="218"/>
      <c r="C4" s="218"/>
      <c r="D4" s="218"/>
      <c r="E4" s="218"/>
      <c r="F4" s="218"/>
      <c r="G4" s="218"/>
      <c r="H4" s="218"/>
      <c r="I4" s="218"/>
      <c r="J4" s="218"/>
      <c r="K4" s="219"/>
      <c r="L4" s="162"/>
      <c r="M4"/>
    </row>
    <row r="5" spans="1:16" ht="14.45" customHeight="1" thickBot="1" x14ac:dyDescent="0.3">
      <c r="A5" s="95" t="s">
        <v>586</v>
      </c>
      <c r="B5" s="91" t="s">
        <v>70</v>
      </c>
      <c r="C5" s="91">
        <v>2014</v>
      </c>
      <c r="D5" s="91">
        <v>2015</v>
      </c>
      <c r="E5" s="91">
        <v>2016</v>
      </c>
      <c r="F5" s="91">
        <v>2017</v>
      </c>
      <c r="G5" s="91">
        <v>2018</v>
      </c>
      <c r="H5" s="91">
        <v>2019</v>
      </c>
      <c r="I5" s="91">
        <v>2020</v>
      </c>
      <c r="J5" s="91">
        <v>2021</v>
      </c>
      <c r="K5" s="91">
        <v>2022</v>
      </c>
      <c r="L5" s="163"/>
      <c r="M5"/>
    </row>
    <row r="6" spans="1:16" ht="14.45" customHeight="1" thickBot="1" x14ac:dyDescent="0.3">
      <c r="A6" s="98" t="s">
        <v>0</v>
      </c>
      <c r="B6" s="167" t="s">
        <v>1</v>
      </c>
      <c r="C6" s="67" t="s">
        <v>2</v>
      </c>
      <c r="D6" s="67">
        <v>54</v>
      </c>
      <c r="E6" s="67">
        <v>109</v>
      </c>
      <c r="F6" s="67" t="s">
        <v>2</v>
      </c>
      <c r="G6" s="67">
        <v>0</v>
      </c>
      <c r="H6" s="67" t="s">
        <v>2</v>
      </c>
      <c r="I6" s="67" t="s">
        <v>2</v>
      </c>
      <c r="J6" s="67" t="s">
        <v>2</v>
      </c>
      <c r="K6" s="67" t="s">
        <v>2</v>
      </c>
      <c r="L6" s="163"/>
      <c r="M6"/>
    </row>
    <row r="7" spans="1:16" ht="14.45" customHeight="1" thickBot="1" x14ac:dyDescent="0.3">
      <c r="A7" s="98" t="s">
        <v>3</v>
      </c>
      <c r="B7" s="167" t="s">
        <v>4</v>
      </c>
      <c r="C7" s="67" t="s">
        <v>2</v>
      </c>
      <c r="D7" s="67" t="s">
        <v>2</v>
      </c>
      <c r="E7" s="67" t="s">
        <v>2</v>
      </c>
      <c r="F7" s="67" t="s">
        <v>2</v>
      </c>
      <c r="G7" s="67" t="s">
        <v>2</v>
      </c>
      <c r="H7" s="67" t="s">
        <v>2</v>
      </c>
      <c r="I7" s="67" t="s">
        <v>2</v>
      </c>
      <c r="J7" s="67" t="s">
        <v>2</v>
      </c>
      <c r="K7" s="67" t="s">
        <v>2</v>
      </c>
      <c r="L7" s="163"/>
      <c r="M7"/>
      <c r="P7" s="26"/>
    </row>
    <row r="8" spans="1:16" ht="14.45" customHeight="1" thickBot="1" x14ac:dyDescent="0.3">
      <c r="A8" s="98" t="s">
        <v>5</v>
      </c>
      <c r="B8" s="167" t="s">
        <v>6</v>
      </c>
      <c r="C8" s="67" t="s">
        <v>2</v>
      </c>
      <c r="D8" s="67" t="s">
        <v>2</v>
      </c>
      <c r="E8" s="67" t="s">
        <v>2</v>
      </c>
      <c r="F8" s="67" t="s">
        <v>2</v>
      </c>
      <c r="G8" s="67">
        <v>81</v>
      </c>
      <c r="H8" s="67">
        <v>63</v>
      </c>
      <c r="I8" s="67" t="s">
        <v>2</v>
      </c>
      <c r="J8" s="67" t="s">
        <v>2</v>
      </c>
      <c r="K8" s="67">
        <v>70</v>
      </c>
      <c r="L8" s="164"/>
      <c r="M8"/>
    </row>
    <row r="9" spans="1:16" ht="14.45" customHeight="1" thickBot="1" x14ac:dyDescent="0.3">
      <c r="A9" s="215" t="s">
        <v>587</v>
      </c>
      <c r="B9" s="216"/>
      <c r="C9" s="119"/>
      <c r="D9" s="119">
        <v>54</v>
      </c>
      <c r="E9" s="119">
        <v>109</v>
      </c>
      <c r="F9" s="119">
        <v>0</v>
      </c>
      <c r="G9" s="119">
        <v>81</v>
      </c>
      <c r="H9" s="119">
        <v>63</v>
      </c>
      <c r="I9" s="119">
        <v>0</v>
      </c>
      <c r="J9" s="119" t="s">
        <v>2</v>
      </c>
      <c r="K9" s="119">
        <v>70</v>
      </c>
      <c r="L9" s="163"/>
      <c r="M9"/>
    </row>
    <row r="10" spans="1:16" ht="14.45" customHeight="1" thickBot="1" x14ac:dyDescent="0.3">
      <c r="A10" s="98" t="s">
        <v>7</v>
      </c>
      <c r="B10" s="167" t="s">
        <v>8</v>
      </c>
      <c r="C10" s="67">
        <v>262</v>
      </c>
      <c r="D10" s="67" t="s">
        <v>2</v>
      </c>
      <c r="E10" s="67" t="s">
        <v>2</v>
      </c>
      <c r="F10" s="67" t="s">
        <v>2</v>
      </c>
      <c r="G10" s="67" t="s">
        <v>2</v>
      </c>
      <c r="H10" s="67" t="s">
        <v>2</v>
      </c>
      <c r="I10" s="67" t="s">
        <v>2</v>
      </c>
      <c r="J10" s="67" t="s">
        <v>2</v>
      </c>
      <c r="K10" s="67" t="s">
        <v>2</v>
      </c>
      <c r="L10" s="163"/>
      <c r="M10"/>
    </row>
    <row r="11" spans="1:16" ht="14.45" customHeight="1" thickBot="1" x14ac:dyDescent="0.3">
      <c r="A11" s="98" t="s">
        <v>9</v>
      </c>
      <c r="B11" s="167" t="s">
        <v>10</v>
      </c>
      <c r="C11" s="67" t="s">
        <v>2</v>
      </c>
      <c r="D11" s="67" t="s">
        <v>2</v>
      </c>
      <c r="E11" s="67" t="s">
        <v>2</v>
      </c>
      <c r="F11" s="67" t="s">
        <v>2</v>
      </c>
      <c r="G11" s="67" t="s">
        <v>2</v>
      </c>
      <c r="H11" s="67" t="s">
        <v>2</v>
      </c>
      <c r="I11" s="67" t="s">
        <v>2</v>
      </c>
      <c r="J11" s="67" t="s">
        <v>2</v>
      </c>
      <c r="K11" s="67" t="s">
        <v>2</v>
      </c>
      <c r="L11" s="163"/>
      <c r="M11"/>
    </row>
    <row r="12" spans="1:16" ht="14.45" customHeight="1" thickBot="1" x14ac:dyDescent="0.3">
      <c r="A12" s="98" t="s">
        <v>9</v>
      </c>
      <c r="B12" s="167" t="s">
        <v>11</v>
      </c>
      <c r="C12" s="67" t="s">
        <v>2</v>
      </c>
      <c r="D12" s="67" t="s">
        <v>2</v>
      </c>
      <c r="E12" s="67" t="s">
        <v>2</v>
      </c>
      <c r="F12" s="67" t="s">
        <v>2</v>
      </c>
      <c r="G12" s="67" t="s">
        <v>2</v>
      </c>
      <c r="H12" s="67" t="s">
        <v>2</v>
      </c>
      <c r="I12" s="67" t="s">
        <v>2</v>
      </c>
      <c r="J12" s="67" t="s">
        <v>2</v>
      </c>
      <c r="K12" s="67" t="s">
        <v>2</v>
      </c>
      <c r="L12" s="163"/>
      <c r="M12"/>
    </row>
    <row r="13" spans="1:16" ht="14.45" customHeight="1" thickBot="1" x14ac:dyDescent="0.3">
      <c r="A13" s="98" t="s">
        <v>9</v>
      </c>
      <c r="B13" s="167" t="s">
        <v>12</v>
      </c>
      <c r="C13" s="67" t="s">
        <v>2</v>
      </c>
      <c r="D13" s="67" t="s">
        <v>2</v>
      </c>
      <c r="E13" s="67" t="s">
        <v>2</v>
      </c>
      <c r="F13" s="67" t="s">
        <v>2</v>
      </c>
      <c r="G13" s="67" t="s">
        <v>2</v>
      </c>
      <c r="H13" s="67" t="s">
        <v>2</v>
      </c>
      <c r="I13" s="67" t="s">
        <v>2</v>
      </c>
      <c r="J13" s="67" t="s">
        <v>2</v>
      </c>
      <c r="K13" s="67" t="s">
        <v>2</v>
      </c>
      <c r="L13" s="163"/>
      <c r="M13"/>
    </row>
    <row r="14" spans="1:16" ht="14.45" customHeight="1" thickBot="1" x14ac:dyDescent="0.3">
      <c r="A14" s="98" t="s">
        <v>13</v>
      </c>
      <c r="B14" s="167" t="s">
        <v>14</v>
      </c>
      <c r="C14" s="99">
        <v>1031</v>
      </c>
      <c r="D14" s="99">
        <v>5614</v>
      </c>
      <c r="E14" s="67" t="s">
        <v>2</v>
      </c>
      <c r="F14" s="67" t="s">
        <v>2</v>
      </c>
      <c r="G14" s="67" t="s">
        <v>2</v>
      </c>
      <c r="H14" s="67" t="s">
        <v>2</v>
      </c>
      <c r="I14" s="67" t="s">
        <v>2</v>
      </c>
      <c r="J14" s="67" t="s">
        <v>2</v>
      </c>
      <c r="K14" s="67" t="s">
        <v>2</v>
      </c>
      <c r="L14" s="164"/>
      <c r="M14"/>
    </row>
    <row r="15" spans="1:16" ht="14.45" customHeight="1" thickBot="1" x14ac:dyDescent="0.3">
      <c r="A15" s="215" t="s">
        <v>588</v>
      </c>
      <c r="B15" s="216"/>
      <c r="C15" s="168">
        <v>1292</v>
      </c>
      <c r="D15" s="168">
        <v>5614</v>
      </c>
      <c r="E15" s="119"/>
      <c r="F15" s="119">
        <v>0</v>
      </c>
      <c r="G15" s="119">
        <v>0</v>
      </c>
      <c r="H15" s="119">
        <v>0</v>
      </c>
      <c r="I15" s="119">
        <v>0</v>
      </c>
      <c r="J15" s="119">
        <v>0</v>
      </c>
      <c r="K15" s="119">
        <v>0</v>
      </c>
      <c r="L15" s="163"/>
      <c r="M15"/>
    </row>
    <row r="16" spans="1:16" ht="14.45" customHeight="1" thickBot="1" x14ac:dyDescent="0.3">
      <c r="A16" s="98" t="s">
        <v>15</v>
      </c>
      <c r="B16" s="167">
        <v>107</v>
      </c>
      <c r="C16" s="67">
        <v>236</v>
      </c>
      <c r="D16" s="67">
        <v>74</v>
      </c>
      <c r="E16" s="67" t="s">
        <v>2</v>
      </c>
      <c r="F16" s="67" t="s">
        <v>2</v>
      </c>
      <c r="G16" s="67" t="s">
        <v>2</v>
      </c>
      <c r="H16" s="67" t="s">
        <v>2</v>
      </c>
      <c r="I16" s="67" t="s">
        <v>2</v>
      </c>
      <c r="J16" s="67" t="s">
        <v>2</v>
      </c>
      <c r="K16" s="67" t="s">
        <v>2</v>
      </c>
      <c r="L16" s="163"/>
      <c r="M16"/>
    </row>
    <row r="17" spans="1:22" ht="14.45" customHeight="1" thickBot="1" x14ac:dyDescent="0.3">
      <c r="A17" s="98" t="s">
        <v>16</v>
      </c>
      <c r="B17" s="167">
        <v>121</v>
      </c>
      <c r="C17" s="67" t="s">
        <v>2</v>
      </c>
      <c r="D17" s="67" t="s">
        <v>2</v>
      </c>
      <c r="E17" s="67" t="s">
        <v>2</v>
      </c>
      <c r="F17" s="67" t="s">
        <v>2</v>
      </c>
      <c r="G17" s="67" t="s">
        <v>2</v>
      </c>
      <c r="H17" s="67" t="s">
        <v>2</v>
      </c>
      <c r="I17" s="67" t="s">
        <v>2</v>
      </c>
      <c r="J17" s="67" t="s">
        <v>2</v>
      </c>
      <c r="K17" s="67" t="s">
        <v>2</v>
      </c>
      <c r="L17" s="163"/>
      <c r="M17"/>
    </row>
    <row r="18" spans="1:22" ht="14.45" customHeight="1" thickBot="1" x14ac:dyDescent="0.3">
      <c r="A18" s="98" t="s">
        <v>17</v>
      </c>
      <c r="B18" s="167">
        <v>123</v>
      </c>
      <c r="C18" s="67" t="s">
        <v>2</v>
      </c>
      <c r="D18" s="67" t="s">
        <v>2</v>
      </c>
      <c r="E18" s="67" t="s">
        <v>2</v>
      </c>
      <c r="F18" s="67" t="s">
        <v>2</v>
      </c>
      <c r="G18" s="67" t="s">
        <v>2</v>
      </c>
      <c r="H18" s="67" t="s">
        <v>2</v>
      </c>
      <c r="I18" s="67" t="s">
        <v>2</v>
      </c>
      <c r="J18" s="67" t="s">
        <v>2</v>
      </c>
      <c r="K18" s="67" t="s">
        <v>2</v>
      </c>
      <c r="L18" s="163"/>
      <c r="M18"/>
    </row>
    <row r="19" spans="1:22" ht="14.45" customHeight="1" thickBot="1" x14ac:dyDescent="0.3">
      <c r="A19" s="98" t="s">
        <v>17</v>
      </c>
      <c r="B19" s="167">
        <v>129</v>
      </c>
      <c r="C19" s="67" t="s">
        <v>2</v>
      </c>
      <c r="D19" s="67" t="s">
        <v>2</v>
      </c>
      <c r="E19" s="67" t="s">
        <v>2</v>
      </c>
      <c r="F19" s="67" t="s">
        <v>2</v>
      </c>
      <c r="G19" s="67" t="s">
        <v>2</v>
      </c>
      <c r="H19" s="67" t="s">
        <v>2</v>
      </c>
      <c r="I19" s="67" t="s">
        <v>2</v>
      </c>
      <c r="J19" s="67" t="s">
        <v>2</v>
      </c>
      <c r="K19" s="67" t="s">
        <v>2</v>
      </c>
      <c r="L19" s="163"/>
      <c r="M19"/>
    </row>
    <row r="20" spans="1:22" ht="14.45" customHeight="1" thickBot="1" x14ac:dyDescent="0.3">
      <c r="A20" s="98" t="s">
        <v>15</v>
      </c>
      <c r="B20" s="167">
        <v>133</v>
      </c>
      <c r="C20" s="67" t="s">
        <v>2</v>
      </c>
      <c r="D20" s="67" t="s">
        <v>2</v>
      </c>
      <c r="E20" s="67" t="s">
        <v>2</v>
      </c>
      <c r="F20" s="67" t="s">
        <v>2</v>
      </c>
      <c r="G20" s="67" t="s">
        <v>2</v>
      </c>
      <c r="H20" s="67" t="s">
        <v>2</v>
      </c>
      <c r="I20" s="67" t="s">
        <v>2</v>
      </c>
      <c r="J20" s="67" t="s">
        <v>2</v>
      </c>
      <c r="K20" s="67" t="s">
        <v>2</v>
      </c>
      <c r="L20" s="163"/>
      <c r="M20"/>
    </row>
    <row r="21" spans="1:22" ht="14.45" customHeight="1" thickBot="1" x14ac:dyDescent="0.3">
      <c r="A21" s="98" t="s">
        <v>18</v>
      </c>
      <c r="B21" s="167">
        <v>95</v>
      </c>
      <c r="C21" s="67" t="s">
        <v>2</v>
      </c>
      <c r="D21" s="67" t="s">
        <v>2</v>
      </c>
      <c r="E21" s="67" t="s">
        <v>2</v>
      </c>
      <c r="F21" s="67" t="s">
        <v>2</v>
      </c>
      <c r="G21" s="67" t="s">
        <v>2</v>
      </c>
      <c r="H21" s="67" t="s">
        <v>2</v>
      </c>
      <c r="I21" s="67" t="s">
        <v>2</v>
      </c>
      <c r="J21" s="67" t="s">
        <v>2</v>
      </c>
      <c r="K21" s="67" t="s">
        <v>2</v>
      </c>
      <c r="L21" s="163"/>
      <c r="M21"/>
      <c r="P21" s="7"/>
      <c r="Q21" s="8"/>
      <c r="R21" s="8"/>
      <c r="S21" s="8"/>
      <c r="T21" s="8"/>
      <c r="U21" s="8"/>
      <c r="V21" s="8"/>
    </row>
    <row r="22" spans="1:22" ht="14.45" customHeight="1" thickBot="1" x14ac:dyDescent="0.3">
      <c r="A22" s="98" t="s">
        <v>19</v>
      </c>
      <c r="B22" s="167">
        <v>58</v>
      </c>
      <c r="C22" s="67" t="s">
        <v>2</v>
      </c>
      <c r="D22" s="67">
        <v>374</v>
      </c>
      <c r="E22" s="67" t="s">
        <v>2</v>
      </c>
      <c r="F22" s="67" t="s">
        <v>2</v>
      </c>
      <c r="G22" s="67">
        <v>232</v>
      </c>
      <c r="H22" s="67" t="s">
        <v>2</v>
      </c>
      <c r="I22" s="67" t="s">
        <v>2</v>
      </c>
      <c r="J22" s="67">
        <v>192</v>
      </c>
      <c r="K22" s="67" t="s">
        <v>2</v>
      </c>
      <c r="L22" s="163"/>
      <c r="M22"/>
      <c r="P22" s="8"/>
      <c r="Q22" s="220"/>
      <c r="R22" s="220"/>
      <c r="S22" s="220"/>
      <c r="T22" s="220"/>
      <c r="U22" s="220"/>
      <c r="V22" s="220"/>
    </row>
    <row r="23" spans="1:22" ht="12.75" thickBot="1" x14ac:dyDescent="0.25">
      <c r="A23" s="98" t="s">
        <v>20</v>
      </c>
      <c r="B23" s="167">
        <v>114</v>
      </c>
      <c r="C23" s="67" t="s">
        <v>2</v>
      </c>
      <c r="D23" s="67" t="s">
        <v>2</v>
      </c>
      <c r="E23" s="67" t="s">
        <v>2</v>
      </c>
      <c r="F23" s="67" t="s">
        <v>2</v>
      </c>
      <c r="G23" s="67" t="s">
        <v>2</v>
      </c>
      <c r="H23" s="67" t="s">
        <v>2</v>
      </c>
      <c r="I23" s="67" t="s">
        <v>2</v>
      </c>
      <c r="J23" s="67" t="s">
        <v>2</v>
      </c>
      <c r="K23" s="67" t="s">
        <v>2</v>
      </c>
      <c r="L23" s="163"/>
      <c r="P23" s="171"/>
      <c r="Q23" s="88"/>
      <c r="R23" s="88"/>
      <c r="S23" s="88"/>
      <c r="T23" s="88"/>
      <c r="U23" s="88"/>
      <c r="V23" s="89"/>
    </row>
    <row r="24" spans="1:22" ht="14.45" customHeight="1" thickBot="1" x14ac:dyDescent="0.3">
      <c r="A24" s="98" t="s">
        <v>21</v>
      </c>
      <c r="B24" s="167">
        <v>135</v>
      </c>
      <c r="C24" s="67" t="s">
        <v>2</v>
      </c>
      <c r="D24" s="67" t="s">
        <v>2</v>
      </c>
      <c r="E24" s="67" t="s">
        <v>2</v>
      </c>
      <c r="F24" s="67" t="s">
        <v>2</v>
      </c>
      <c r="G24" s="67" t="s">
        <v>2</v>
      </c>
      <c r="H24" s="67" t="s">
        <v>2</v>
      </c>
      <c r="I24" s="67" t="s">
        <v>2</v>
      </c>
      <c r="J24" s="67" t="s">
        <v>2</v>
      </c>
      <c r="K24" s="67" t="s">
        <v>2</v>
      </c>
      <c r="L24" s="163"/>
      <c r="M24"/>
      <c r="P24" s="172"/>
      <c r="Q24" s="173"/>
      <c r="R24" s="173"/>
      <c r="S24" s="173"/>
      <c r="T24" s="173"/>
      <c r="U24" s="173"/>
      <c r="V24" s="173"/>
    </row>
    <row r="25" spans="1:22" ht="14.45" customHeight="1" thickBot="1" x14ac:dyDescent="0.25">
      <c r="A25" s="98" t="s">
        <v>22</v>
      </c>
      <c r="B25" s="167">
        <v>88</v>
      </c>
      <c r="C25" s="67">
        <v>189</v>
      </c>
      <c r="D25" s="67" t="s">
        <v>2</v>
      </c>
      <c r="E25" s="67" t="s">
        <v>2</v>
      </c>
      <c r="F25" s="67" t="s">
        <v>2</v>
      </c>
      <c r="G25" s="67" t="s">
        <v>2</v>
      </c>
      <c r="H25" s="67" t="s">
        <v>2</v>
      </c>
      <c r="I25" s="67" t="s">
        <v>2</v>
      </c>
      <c r="J25" s="67" t="s">
        <v>2</v>
      </c>
      <c r="K25" s="67" t="s">
        <v>2</v>
      </c>
      <c r="L25" s="163"/>
      <c r="P25" s="172"/>
      <c r="Q25" s="173"/>
      <c r="R25" s="173"/>
      <c r="S25" s="173"/>
      <c r="T25" s="173"/>
      <c r="U25" s="173"/>
      <c r="V25" s="173"/>
    </row>
    <row r="26" spans="1:22" ht="14.45" customHeight="1" thickBot="1" x14ac:dyDescent="0.3">
      <c r="A26" s="98" t="s">
        <v>22</v>
      </c>
      <c r="B26" s="167">
        <v>108</v>
      </c>
      <c r="C26" s="67">
        <v>180</v>
      </c>
      <c r="D26" s="67">
        <v>311</v>
      </c>
      <c r="E26" s="67" t="s">
        <v>2</v>
      </c>
      <c r="F26" s="67" t="s">
        <v>2</v>
      </c>
      <c r="G26" s="67" t="s">
        <v>2</v>
      </c>
      <c r="H26" s="67" t="s">
        <v>2</v>
      </c>
      <c r="I26" s="67" t="s">
        <v>2</v>
      </c>
      <c r="J26" s="67" t="s">
        <v>2</v>
      </c>
      <c r="K26" s="67" t="s">
        <v>2</v>
      </c>
      <c r="L26" s="163"/>
      <c r="M26"/>
      <c r="P26" s="172"/>
      <c r="Q26" s="173"/>
      <c r="R26" s="173"/>
      <c r="S26" s="173"/>
      <c r="T26" s="173"/>
      <c r="U26" s="173"/>
      <c r="V26" s="173"/>
    </row>
    <row r="27" spans="1:22" ht="14.45" customHeight="1" thickBot="1" x14ac:dyDescent="0.25">
      <c r="A27" s="98" t="s">
        <v>23</v>
      </c>
      <c r="B27" s="167">
        <v>57</v>
      </c>
      <c r="C27" s="67">
        <v>140</v>
      </c>
      <c r="D27" s="67" t="s">
        <v>2</v>
      </c>
      <c r="E27" s="67" t="s">
        <v>2</v>
      </c>
      <c r="F27" s="67" t="s">
        <v>2</v>
      </c>
      <c r="G27" s="67" t="s">
        <v>2</v>
      </c>
      <c r="H27" s="67" t="s">
        <v>2</v>
      </c>
      <c r="I27" s="67" t="s">
        <v>2</v>
      </c>
      <c r="J27" s="67" t="s">
        <v>2</v>
      </c>
      <c r="K27" s="67" t="s">
        <v>2</v>
      </c>
      <c r="L27" s="164"/>
      <c r="P27" s="172"/>
      <c r="Q27" s="173"/>
      <c r="R27" s="173"/>
      <c r="S27" s="173"/>
      <c r="T27" s="173"/>
      <c r="U27" s="173"/>
      <c r="V27" s="173"/>
    </row>
    <row r="28" spans="1:22" ht="14.45" customHeight="1" thickBot="1" x14ac:dyDescent="0.25">
      <c r="A28" s="215" t="s">
        <v>589</v>
      </c>
      <c r="B28" s="216"/>
      <c r="C28" s="119">
        <v>744</v>
      </c>
      <c r="D28" s="119">
        <v>758</v>
      </c>
      <c r="E28" s="119">
        <v>0</v>
      </c>
      <c r="F28" s="119">
        <v>0</v>
      </c>
      <c r="G28" s="119">
        <v>232</v>
      </c>
      <c r="H28" s="119">
        <v>0</v>
      </c>
      <c r="I28" s="119">
        <v>0</v>
      </c>
      <c r="J28" s="119">
        <v>192</v>
      </c>
      <c r="K28" s="119" t="s">
        <v>2</v>
      </c>
      <c r="L28" s="166"/>
      <c r="P28" s="172"/>
      <c r="Q28" s="173"/>
      <c r="R28" s="173"/>
      <c r="S28" s="173"/>
      <c r="T28" s="173"/>
      <c r="U28" s="173"/>
      <c r="V28" s="173"/>
    </row>
    <row r="29" spans="1:22" ht="14.45" customHeight="1" thickBot="1" x14ac:dyDescent="0.25">
      <c r="A29" s="224" t="s">
        <v>590</v>
      </c>
      <c r="B29" s="225"/>
      <c r="C29" s="145">
        <v>2036</v>
      </c>
      <c r="D29" s="145">
        <v>6426</v>
      </c>
      <c r="E29" s="93">
        <v>109</v>
      </c>
      <c r="F29" s="93">
        <v>0</v>
      </c>
      <c r="G29" s="93">
        <v>313</v>
      </c>
      <c r="H29" s="93">
        <v>63</v>
      </c>
      <c r="I29" s="93">
        <v>0</v>
      </c>
      <c r="J29" s="93">
        <v>192</v>
      </c>
      <c r="K29" s="93">
        <v>70</v>
      </c>
      <c r="P29" s="172"/>
      <c r="Q29" s="173"/>
      <c r="R29" s="173"/>
      <c r="S29" s="173"/>
      <c r="T29" s="173"/>
      <c r="U29" s="173"/>
      <c r="V29" s="173"/>
    </row>
    <row r="30" spans="1:22" ht="14.45" customHeight="1" x14ac:dyDescent="0.2">
      <c r="A30" s="1" t="s">
        <v>24</v>
      </c>
      <c r="P30" s="172"/>
      <c r="Q30" s="173"/>
      <c r="R30" s="173"/>
      <c r="S30" s="173"/>
      <c r="T30" s="173"/>
      <c r="U30" s="173"/>
      <c r="V30" s="173"/>
    </row>
    <row r="31" spans="1:22" ht="14.45" customHeight="1" x14ac:dyDescent="0.2">
      <c r="P31" s="171"/>
      <c r="Q31" s="174"/>
      <c r="R31" s="174"/>
      <c r="S31" s="174"/>
      <c r="T31" s="174"/>
      <c r="U31" s="174"/>
      <c r="V31" s="174"/>
    </row>
    <row r="34" spans="1:20" ht="14.45" customHeight="1" x14ac:dyDescent="0.2">
      <c r="H34" s="8"/>
      <c r="I34" s="8"/>
      <c r="J34" s="8"/>
      <c r="K34" s="8"/>
      <c r="L34" s="8"/>
      <c r="M34" s="8"/>
    </row>
    <row r="35" spans="1:20" ht="14.45" customHeight="1" x14ac:dyDescent="0.2">
      <c r="H35" s="9"/>
      <c r="I35" s="8"/>
      <c r="J35" s="5"/>
      <c r="K35" s="5"/>
    </row>
    <row r="36" spans="1:20" ht="31.15" customHeight="1" x14ac:dyDescent="0.2">
      <c r="I36" s="1"/>
      <c r="J36" s="1"/>
      <c r="K36" s="3"/>
      <c r="L36" s="3"/>
      <c r="M36" s="3"/>
      <c r="N36" s="221"/>
      <c r="O36" s="221"/>
      <c r="P36" s="221"/>
      <c r="Q36" s="221"/>
      <c r="R36" s="221"/>
      <c r="S36" s="221"/>
      <c r="T36" s="221"/>
    </row>
    <row r="37" spans="1:20" ht="14.45" customHeight="1" x14ac:dyDescent="0.2">
      <c r="I37" s="1"/>
      <c r="J37" s="2"/>
      <c r="K37" s="3"/>
      <c r="L37" s="3"/>
      <c r="M37" s="3"/>
      <c r="N37" s="3"/>
      <c r="O37" s="3"/>
      <c r="P37" s="3"/>
      <c r="Q37" s="3"/>
      <c r="R37" s="4"/>
    </row>
    <row r="38" spans="1:20" ht="14.45" customHeight="1" x14ac:dyDescent="0.2">
      <c r="I38" s="1"/>
      <c r="J38" s="2"/>
      <c r="K38" s="5"/>
      <c r="L38" s="25"/>
      <c r="M38" s="3"/>
      <c r="N38" s="3"/>
      <c r="O38" s="3"/>
      <c r="P38" s="3"/>
      <c r="Q38" s="3"/>
      <c r="R38" s="4"/>
    </row>
    <row r="39" spans="1:20" ht="14.45" customHeight="1" x14ac:dyDescent="0.2">
      <c r="I39" s="1"/>
      <c r="J39" s="2"/>
      <c r="K39" s="5"/>
      <c r="L39" s="25"/>
      <c r="M39" s="3"/>
      <c r="N39" s="3"/>
      <c r="O39" s="3"/>
      <c r="P39" s="3"/>
      <c r="Q39" s="3"/>
      <c r="R39" s="4"/>
    </row>
    <row r="40" spans="1:20" ht="14.45" customHeight="1" x14ac:dyDescent="0.2">
      <c r="I40" s="1"/>
      <c r="J40" s="2"/>
      <c r="K40" s="5"/>
      <c r="L40" s="25"/>
      <c r="M40" s="3"/>
      <c r="N40" s="3"/>
      <c r="O40" s="3"/>
      <c r="P40" s="3"/>
      <c r="Q40" s="3"/>
      <c r="R40" s="4"/>
    </row>
    <row r="41" spans="1:20" ht="14.45" customHeight="1" x14ac:dyDescent="0.2">
      <c r="I41" s="1"/>
      <c r="J41" s="2"/>
      <c r="K41" s="5"/>
      <c r="L41" s="25"/>
      <c r="M41" s="3"/>
      <c r="N41" s="3"/>
      <c r="O41" s="3"/>
      <c r="P41" s="3"/>
      <c r="Q41" s="3"/>
      <c r="R41" s="4"/>
    </row>
    <row r="42" spans="1:20" ht="14.45" customHeight="1" x14ac:dyDescent="0.2">
      <c r="I42" s="1"/>
      <c r="J42" s="2"/>
      <c r="K42" s="5"/>
      <c r="L42" s="25"/>
      <c r="M42" s="3"/>
      <c r="N42" s="3"/>
      <c r="O42" s="3"/>
      <c r="P42" s="3"/>
      <c r="Q42" s="3"/>
      <c r="R42" s="4"/>
    </row>
    <row r="43" spans="1:20" ht="14.45" customHeight="1" x14ac:dyDescent="0.2">
      <c r="I43" s="1"/>
      <c r="J43" s="2"/>
      <c r="K43" s="3"/>
      <c r="L43" s="25"/>
      <c r="M43" s="3"/>
      <c r="N43" s="3"/>
      <c r="O43" s="3"/>
      <c r="P43" s="3"/>
      <c r="Q43" s="3"/>
      <c r="R43" s="4"/>
    </row>
    <row r="44" spans="1:20" ht="14.45" customHeight="1" x14ac:dyDescent="0.2">
      <c r="I44" s="1"/>
      <c r="J44" s="2"/>
      <c r="K44" s="5"/>
      <c r="L44" s="25"/>
      <c r="M44" s="3"/>
      <c r="N44" s="3"/>
      <c r="O44" s="3"/>
      <c r="P44" s="3"/>
      <c r="Q44" s="3"/>
      <c r="R44" s="4"/>
    </row>
    <row r="45" spans="1:20" ht="14.45" customHeight="1" x14ac:dyDescent="0.25">
      <c r="A45"/>
      <c r="B45"/>
      <c r="C45"/>
      <c r="D45"/>
      <c r="E45"/>
      <c r="F45"/>
      <c r="G45"/>
      <c r="I45" s="1"/>
      <c r="J45" s="2"/>
      <c r="K45" s="3"/>
      <c r="L45" s="3"/>
      <c r="M45" s="3"/>
      <c r="N45" s="3"/>
      <c r="O45" s="3"/>
      <c r="P45" s="3"/>
      <c r="Q45" s="3"/>
      <c r="R45" s="4"/>
    </row>
    <row r="46" spans="1:20" ht="14.45" customHeight="1" x14ac:dyDescent="0.25">
      <c r="A46"/>
      <c r="B46"/>
      <c r="C46"/>
      <c r="D46"/>
      <c r="E46"/>
      <c r="F46"/>
      <c r="G46"/>
      <c r="I46" s="1"/>
      <c r="J46" s="2"/>
      <c r="K46" s="3"/>
      <c r="L46" s="3"/>
      <c r="M46" s="3"/>
      <c r="N46" s="3"/>
      <c r="O46" s="3"/>
      <c r="P46" s="3"/>
      <c r="Q46" s="3"/>
      <c r="R46" s="4"/>
    </row>
    <row r="47" spans="1:20" ht="14.45" customHeight="1" x14ac:dyDescent="0.25">
      <c r="A47"/>
      <c r="B47"/>
      <c r="C47"/>
      <c r="D47"/>
      <c r="E47"/>
      <c r="F47"/>
      <c r="G47"/>
      <c r="I47" s="1"/>
      <c r="J47" s="2"/>
      <c r="K47" s="3"/>
      <c r="L47" s="3"/>
      <c r="M47" s="3"/>
      <c r="N47" s="3"/>
      <c r="O47" s="3"/>
      <c r="P47" s="3"/>
      <c r="Q47" s="3"/>
      <c r="R47" s="4"/>
    </row>
    <row r="48" spans="1:20" ht="14.45" customHeight="1" x14ac:dyDescent="0.25">
      <c r="A48"/>
      <c r="B48"/>
      <c r="C48"/>
      <c r="D48"/>
      <c r="E48"/>
      <c r="F48"/>
      <c r="G48"/>
      <c r="I48" s="1"/>
      <c r="J48" s="2"/>
      <c r="K48" s="3"/>
      <c r="L48" s="3"/>
      <c r="M48" s="3"/>
      <c r="N48" s="3"/>
      <c r="O48" s="3"/>
      <c r="P48" s="3"/>
      <c r="Q48" s="3"/>
      <c r="R48" s="4"/>
    </row>
    <row r="49" spans="1:20" ht="14.45" customHeight="1" x14ac:dyDescent="0.2">
      <c r="I49" s="1"/>
      <c r="J49" s="2"/>
      <c r="K49" s="3"/>
      <c r="L49" s="3"/>
      <c r="M49" s="3"/>
      <c r="N49" s="3"/>
      <c r="O49" s="3"/>
      <c r="P49" s="3"/>
      <c r="Q49" s="3"/>
      <c r="R49" s="4"/>
    </row>
    <row r="50" spans="1:20" ht="14.45" customHeight="1" x14ac:dyDescent="0.2">
      <c r="A50" s="8"/>
      <c r="B50" s="8"/>
      <c r="C50" s="8"/>
      <c r="D50" s="8"/>
      <c r="E50" s="8"/>
      <c r="F50" s="8"/>
      <c r="G50" s="8"/>
      <c r="H50" s="8"/>
      <c r="I50" s="1"/>
      <c r="J50" s="2"/>
      <c r="K50" s="3"/>
      <c r="L50" s="3"/>
      <c r="M50" s="3"/>
      <c r="N50" s="3"/>
      <c r="O50" s="3"/>
      <c r="P50" s="3"/>
      <c r="Q50" s="3"/>
      <c r="R50" s="4"/>
    </row>
    <row r="51" spans="1:20" ht="14.45" customHeight="1" x14ac:dyDescent="0.2">
      <c r="A51" s="222"/>
      <c r="B51" s="222"/>
      <c r="C51" s="222"/>
      <c r="D51" s="222"/>
      <c r="E51" s="8"/>
      <c r="F51" s="8"/>
      <c r="G51" s="8"/>
      <c r="H51" s="8"/>
      <c r="I51" s="1"/>
      <c r="J51" s="2"/>
      <c r="K51" s="3"/>
      <c r="L51" s="3"/>
      <c r="M51" s="3"/>
      <c r="N51" s="3"/>
      <c r="O51" s="3"/>
      <c r="P51" s="3"/>
      <c r="Q51" s="3"/>
      <c r="R51" s="4"/>
    </row>
    <row r="52" spans="1:20" ht="14.45" customHeight="1" x14ac:dyDescent="0.2">
      <c r="A52" s="5"/>
      <c r="I52" s="1"/>
      <c r="J52" s="2"/>
      <c r="K52" s="3"/>
      <c r="L52" s="3"/>
      <c r="M52" s="3"/>
      <c r="N52" s="3"/>
      <c r="O52" s="3"/>
      <c r="P52" s="3"/>
      <c r="Q52" s="3"/>
      <c r="R52" s="4"/>
    </row>
    <row r="53" spans="1:20" ht="14.45" customHeight="1" x14ac:dyDescent="0.2">
      <c r="I53" s="1"/>
      <c r="J53" s="2"/>
      <c r="K53" s="3"/>
      <c r="L53" s="3"/>
      <c r="M53" s="3"/>
      <c r="N53" s="3"/>
      <c r="O53" s="3"/>
      <c r="P53" s="3"/>
      <c r="Q53" s="3"/>
      <c r="R53" s="4"/>
    </row>
    <row r="54" spans="1:20" ht="14.45" customHeight="1" x14ac:dyDescent="0.2">
      <c r="I54" s="1"/>
      <c r="J54" s="2"/>
      <c r="K54" s="3"/>
      <c r="L54" s="3"/>
      <c r="M54" s="3"/>
      <c r="N54" s="223"/>
      <c r="O54" s="223"/>
      <c r="P54" s="223"/>
      <c r="Q54" s="223"/>
      <c r="R54" s="223"/>
      <c r="S54" s="223"/>
      <c r="T54" s="223"/>
    </row>
    <row r="55" spans="1:20" ht="14.45" customHeight="1" x14ac:dyDescent="0.2">
      <c r="I55" s="5"/>
      <c r="J55" s="5"/>
      <c r="K55" s="5"/>
      <c r="N55" s="223"/>
      <c r="O55" s="223"/>
      <c r="P55" s="223"/>
      <c r="Q55" s="223"/>
      <c r="R55" s="223"/>
      <c r="S55" s="223"/>
      <c r="T55" s="223"/>
    </row>
    <row r="56" spans="1:20" ht="14.45" customHeight="1" x14ac:dyDescent="0.2">
      <c r="N56" s="223"/>
      <c r="O56" s="223"/>
      <c r="P56" s="223"/>
      <c r="Q56" s="223"/>
      <c r="R56" s="223"/>
      <c r="S56" s="223"/>
      <c r="T56" s="223"/>
    </row>
  </sheetData>
  <mergeCells count="10">
    <mergeCell ref="Q22:V22"/>
    <mergeCell ref="N36:T36"/>
    <mergeCell ref="A51:D51"/>
    <mergeCell ref="N54:T56"/>
    <mergeCell ref="A29:B29"/>
    <mergeCell ref="A2:K2"/>
    <mergeCell ref="A28:B28"/>
    <mergeCell ref="A4:K4"/>
    <mergeCell ref="A9:B9"/>
    <mergeCell ref="A15:B15"/>
  </mergeCells>
  <pageMargins left="0.7" right="0.7" top="0.75" bottom="0.75" header="0.3" footer="0.3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  <pageSetUpPr fitToPage="1"/>
  </sheetPr>
  <dimension ref="A1:U45"/>
  <sheetViews>
    <sheetView showGridLines="0" zoomScale="80" zoomScaleNormal="80" workbookViewId="0">
      <selection activeCell="J28" sqref="J28"/>
    </sheetView>
  </sheetViews>
  <sheetFormatPr baseColWidth="10" defaultRowHeight="15" x14ac:dyDescent="0.25"/>
  <cols>
    <col min="1" max="1" width="17.28515625" style="3" customWidth="1"/>
    <col min="2" max="2" width="9.5703125" style="2" customWidth="1"/>
    <col min="3" max="11" width="7.7109375" style="3" customWidth="1"/>
    <col min="13" max="20" width="8.85546875" customWidth="1"/>
  </cols>
  <sheetData>
    <row r="1" spans="1:21" x14ac:dyDescent="0.25">
      <c r="A1" s="309"/>
      <c r="B1" s="310"/>
      <c r="C1" s="309"/>
      <c r="D1" s="309"/>
      <c r="E1" s="309"/>
      <c r="F1" s="309"/>
      <c r="G1" s="309"/>
      <c r="H1" s="309"/>
      <c r="I1" s="309"/>
      <c r="J1" s="309"/>
      <c r="K1" s="309"/>
    </row>
    <row r="2" spans="1:21" x14ac:dyDescent="0.25">
      <c r="A2" s="306" t="s">
        <v>702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</row>
    <row r="3" spans="1:21" ht="15.75" thickBot="1" x14ac:dyDescent="0.3">
      <c r="A3" s="309"/>
      <c r="B3" s="310"/>
      <c r="C3" s="309"/>
      <c r="D3" s="309"/>
      <c r="E3" s="309"/>
      <c r="F3" s="309"/>
      <c r="G3" s="309"/>
      <c r="H3" s="309"/>
      <c r="I3" s="309"/>
      <c r="J3" s="309"/>
      <c r="K3" s="309"/>
    </row>
    <row r="4" spans="1:21" s="12" customFormat="1" ht="14.45" customHeight="1" thickBot="1" x14ac:dyDescent="0.3">
      <c r="A4" s="217" t="s">
        <v>591</v>
      </c>
      <c r="B4" s="218"/>
      <c r="C4" s="218"/>
      <c r="D4" s="218"/>
      <c r="E4" s="218"/>
      <c r="F4" s="218"/>
      <c r="G4" s="218"/>
      <c r="H4" s="218"/>
      <c r="I4" s="218"/>
      <c r="J4" s="218"/>
      <c r="K4" s="219"/>
      <c r="L4" s="170"/>
    </row>
    <row r="5" spans="1:21" s="12" customFormat="1" ht="14.45" customHeight="1" thickBot="1" x14ac:dyDescent="0.3">
      <c r="A5" s="95" t="s">
        <v>586</v>
      </c>
      <c r="B5" s="91" t="s">
        <v>70</v>
      </c>
      <c r="C5" s="91">
        <v>2014</v>
      </c>
      <c r="D5" s="91">
        <v>2015</v>
      </c>
      <c r="E5" s="91">
        <v>2016</v>
      </c>
      <c r="F5" s="91">
        <v>2017</v>
      </c>
      <c r="G5" s="91">
        <v>2018</v>
      </c>
      <c r="H5" s="91">
        <v>2019</v>
      </c>
      <c r="I5" s="91">
        <v>2020</v>
      </c>
      <c r="J5" s="91">
        <v>2021</v>
      </c>
      <c r="K5" s="91">
        <v>2022</v>
      </c>
      <c r="L5" s="170"/>
    </row>
    <row r="6" spans="1:21" ht="14.45" customHeight="1" thickBot="1" x14ac:dyDescent="0.3">
      <c r="A6" s="215" t="s">
        <v>587</v>
      </c>
      <c r="B6" s="216"/>
      <c r="C6" s="119"/>
      <c r="D6" s="119">
        <v>0</v>
      </c>
      <c r="E6" s="119">
        <v>0</v>
      </c>
      <c r="F6" s="119">
        <v>0</v>
      </c>
      <c r="G6" s="119">
        <v>0</v>
      </c>
      <c r="H6" s="119">
        <v>0</v>
      </c>
      <c r="I6" s="119">
        <v>0</v>
      </c>
      <c r="J6" s="119">
        <v>0</v>
      </c>
      <c r="K6" s="119">
        <v>0</v>
      </c>
      <c r="L6" s="170"/>
    </row>
    <row r="7" spans="1:21" ht="14.45" customHeight="1" thickBot="1" x14ac:dyDescent="0.3">
      <c r="A7" s="98" t="s">
        <v>30</v>
      </c>
      <c r="B7" s="167" t="s">
        <v>31</v>
      </c>
      <c r="C7" s="67" t="s">
        <v>2</v>
      </c>
      <c r="D7" s="67" t="s">
        <v>2</v>
      </c>
      <c r="E7" s="67" t="s">
        <v>2</v>
      </c>
      <c r="F7" s="67" t="s">
        <v>2</v>
      </c>
      <c r="G7" s="67" t="s">
        <v>2</v>
      </c>
      <c r="H7" s="67" t="s">
        <v>2</v>
      </c>
      <c r="I7" s="67" t="s">
        <v>2</v>
      </c>
      <c r="J7" s="67" t="s">
        <v>2</v>
      </c>
      <c r="K7" s="67" t="s">
        <v>2</v>
      </c>
      <c r="L7" s="170"/>
      <c r="N7" s="5"/>
    </row>
    <row r="8" spans="1:21" ht="14.45" customHeight="1" thickBot="1" x14ac:dyDescent="0.3">
      <c r="A8" s="98" t="s">
        <v>7</v>
      </c>
      <c r="B8" s="167" t="s">
        <v>8</v>
      </c>
      <c r="C8" s="67">
        <v>273</v>
      </c>
      <c r="D8" s="67" t="s">
        <v>2</v>
      </c>
      <c r="E8" s="67" t="s">
        <v>2</v>
      </c>
      <c r="F8" s="67" t="s">
        <v>2</v>
      </c>
      <c r="G8" s="67" t="s">
        <v>2</v>
      </c>
      <c r="H8" s="67" t="s">
        <v>2</v>
      </c>
      <c r="I8" s="67" t="s">
        <v>2</v>
      </c>
      <c r="J8" s="67" t="s">
        <v>2</v>
      </c>
      <c r="K8" s="67" t="s">
        <v>2</v>
      </c>
      <c r="L8" s="170"/>
      <c r="N8" s="5"/>
      <c r="O8" s="7"/>
      <c r="P8" s="8"/>
      <c r="Q8" s="8"/>
      <c r="R8" s="8"/>
      <c r="S8" s="8"/>
      <c r="T8" s="8"/>
      <c r="U8" s="8"/>
    </row>
    <row r="9" spans="1:21" ht="14.45" customHeight="1" thickBot="1" x14ac:dyDescent="0.3">
      <c r="A9" s="98" t="s">
        <v>7</v>
      </c>
      <c r="B9" s="167" t="s">
        <v>32</v>
      </c>
      <c r="C9" s="67" t="s">
        <v>2</v>
      </c>
      <c r="D9" s="67" t="s">
        <v>2</v>
      </c>
      <c r="E9" s="67" t="s">
        <v>2</v>
      </c>
      <c r="F9" s="67" t="s">
        <v>2</v>
      </c>
      <c r="G9" s="67" t="s">
        <v>2</v>
      </c>
      <c r="H9" s="67" t="s">
        <v>2</v>
      </c>
      <c r="I9" s="67" t="s">
        <v>2</v>
      </c>
      <c r="J9" s="67" t="s">
        <v>2</v>
      </c>
      <c r="K9" s="67" t="s">
        <v>2</v>
      </c>
      <c r="L9" s="170"/>
      <c r="O9" s="8"/>
      <c r="P9" s="220"/>
      <c r="Q9" s="220"/>
      <c r="R9" s="220"/>
      <c r="S9" s="220"/>
      <c r="T9" s="220"/>
      <c r="U9" s="220"/>
    </row>
    <row r="10" spans="1:21" ht="14.45" customHeight="1" thickBot="1" x14ac:dyDescent="0.3">
      <c r="A10" s="98" t="s">
        <v>7</v>
      </c>
      <c r="B10" s="167" t="s">
        <v>33</v>
      </c>
      <c r="C10" s="67" t="s">
        <v>2</v>
      </c>
      <c r="D10" s="67" t="s">
        <v>2</v>
      </c>
      <c r="E10" s="67" t="s">
        <v>2</v>
      </c>
      <c r="F10" s="67" t="s">
        <v>2</v>
      </c>
      <c r="G10" s="67" t="s">
        <v>2</v>
      </c>
      <c r="H10" s="67" t="s">
        <v>2</v>
      </c>
      <c r="I10" s="67" t="s">
        <v>2</v>
      </c>
      <c r="J10" s="67" t="s">
        <v>2</v>
      </c>
      <c r="K10" s="67" t="s">
        <v>2</v>
      </c>
      <c r="L10" s="170"/>
      <c r="O10" s="171"/>
      <c r="P10" s="88"/>
      <c r="Q10" s="88"/>
      <c r="R10" s="88"/>
      <c r="S10" s="88"/>
      <c r="T10" s="88"/>
      <c r="U10" s="89"/>
    </row>
    <row r="11" spans="1:21" ht="14.45" customHeight="1" thickBot="1" x14ac:dyDescent="0.3">
      <c r="A11" s="98" t="s">
        <v>9</v>
      </c>
      <c r="B11" s="167" t="s">
        <v>11</v>
      </c>
      <c r="C11" s="67" t="s">
        <v>2</v>
      </c>
      <c r="D11" s="67" t="s">
        <v>2</v>
      </c>
      <c r="E11" s="67" t="s">
        <v>2</v>
      </c>
      <c r="F11" s="67" t="s">
        <v>2</v>
      </c>
      <c r="G11" s="67" t="s">
        <v>2</v>
      </c>
      <c r="H11" s="67" t="s">
        <v>2</v>
      </c>
      <c r="I11" s="67" t="s">
        <v>2</v>
      </c>
      <c r="J11" s="67" t="s">
        <v>2</v>
      </c>
      <c r="K11" s="67" t="s">
        <v>2</v>
      </c>
      <c r="L11" s="170"/>
      <c r="O11" s="172"/>
      <c r="P11" s="173"/>
      <c r="Q11" s="173"/>
      <c r="R11" s="173"/>
      <c r="S11" s="173"/>
      <c r="T11" s="173"/>
      <c r="U11" s="173"/>
    </row>
    <row r="12" spans="1:21" ht="14.45" customHeight="1" thickBot="1" x14ac:dyDescent="0.3">
      <c r="A12" s="215" t="s">
        <v>588</v>
      </c>
      <c r="B12" s="216"/>
      <c r="C12" s="119">
        <v>273</v>
      </c>
      <c r="D12" s="119"/>
      <c r="E12" s="119">
        <v>0</v>
      </c>
      <c r="F12" s="119">
        <v>0</v>
      </c>
      <c r="G12" s="119">
        <v>0</v>
      </c>
      <c r="H12" s="119">
        <v>0</v>
      </c>
      <c r="I12" s="119">
        <v>0</v>
      </c>
      <c r="J12" s="119">
        <v>0</v>
      </c>
      <c r="K12" s="119">
        <v>0</v>
      </c>
      <c r="L12" s="170"/>
      <c r="O12" s="172"/>
      <c r="P12" s="173"/>
      <c r="Q12" s="173"/>
      <c r="R12" s="173"/>
      <c r="S12" s="173"/>
      <c r="T12" s="173"/>
      <c r="U12" s="173"/>
    </row>
    <row r="13" spans="1:21" ht="14.45" customHeight="1" thickBot="1" x14ac:dyDescent="0.3">
      <c r="A13" s="98" t="s">
        <v>23</v>
      </c>
      <c r="B13" s="167">
        <v>57</v>
      </c>
      <c r="C13" s="67">
        <v>211</v>
      </c>
      <c r="D13" s="67" t="s">
        <v>2</v>
      </c>
      <c r="E13" s="67" t="s">
        <v>2</v>
      </c>
      <c r="F13" s="67" t="s">
        <v>2</v>
      </c>
      <c r="G13" s="67" t="s">
        <v>2</v>
      </c>
      <c r="H13" s="67" t="s">
        <v>2</v>
      </c>
      <c r="I13" s="67" t="s">
        <v>2</v>
      </c>
      <c r="J13" s="67" t="s">
        <v>2</v>
      </c>
      <c r="K13" s="67" t="s">
        <v>2</v>
      </c>
      <c r="L13" s="170"/>
      <c r="O13" s="172"/>
      <c r="P13" s="173"/>
      <c r="Q13" s="173"/>
      <c r="R13" s="173"/>
      <c r="S13" s="173"/>
      <c r="T13" s="173"/>
      <c r="U13" s="173"/>
    </row>
    <row r="14" spans="1:21" ht="14.45" customHeight="1" thickBot="1" x14ac:dyDescent="0.3">
      <c r="A14" s="215" t="s">
        <v>589</v>
      </c>
      <c r="B14" s="216"/>
      <c r="C14" s="119">
        <v>211</v>
      </c>
      <c r="D14" s="119">
        <v>0</v>
      </c>
      <c r="E14" s="119">
        <v>0</v>
      </c>
      <c r="F14" s="119">
        <v>0</v>
      </c>
      <c r="G14" s="119">
        <v>0</v>
      </c>
      <c r="H14" s="119">
        <v>0</v>
      </c>
      <c r="I14" s="119">
        <v>0</v>
      </c>
      <c r="J14" s="119">
        <v>0</v>
      </c>
      <c r="K14" s="119">
        <v>0</v>
      </c>
      <c r="L14" s="170"/>
      <c r="O14" s="172"/>
      <c r="P14" s="173"/>
      <c r="Q14" s="173"/>
      <c r="R14" s="173"/>
      <c r="S14" s="173"/>
      <c r="T14" s="173"/>
      <c r="U14" s="173"/>
    </row>
    <row r="15" spans="1:21" ht="14.45" customHeight="1" thickBot="1" x14ac:dyDescent="0.3">
      <c r="A15" s="224" t="s">
        <v>590</v>
      </c>
      <c r="B15" s="225"/>
      <c r="C15" s="93">
        <v>484</v>
      </c>
      <c r="D15" s="93">
        <v>0</v>
      </c>
      <c r="E15" s="93">
        <v>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161"/>
      <c r="O15" s="172"/>
      <c r="P15" s="173"/>
      <c r="Q15" s="173"/>
      <c r="R15" s="173"/>
      <c r="S15" s="173"/>
      <c r="T15" s="173"/>
      <c r="U15" s="173"/>
    </row>
    <row r="16" spans="1:21" x14ac:dyDescent="0.25">
      <c r="A16" s="309"/>
      <c r="B16" s="310"/>
      <c r="C16" s="311"/>
      <c r="D16" s="311"/>
      <c r="E16" s="311"/>
      <c r="F16" s="311"/>
      <c r="G16" s="311"/>
      <c r="H16" s="311"/>
      <c r="I16" s="311"/>
      <c r="J16" s="311"/>
      <c r="K16" s="311"/>
      <c r="O16" s="172"/>
      <c r="P16" s="173"/>
      <c r="Q16" s="173"/>
      <c r="R16" s="173"/>
      <c r="S16" s="173"/>
      <c r="T16" s="173"/>
      <c r="U16" s="173"/>
    </row>
    <row r="17" spans="1:21" x14ac:dyDescent="0.25">
      <c r="A17" s="312" t="s">
        <v>24</v>
      </c>
      <c r="B17" s="310"/>
      <c r="C17" s="309"/>
      <c r="D17" s="309"/>
      <c r="E17" s="309"/>
      <c r="F17" s="309"/>
      <c r="G17" s="309"/>
      <c r="H17" s="309"/>
      <c r="I17" s="309"/>
      <c r="J17" s="309"/>
      <c r="K17" s="309"/>
      <c r="O17" s="172"/>
      <c r="P17" s="173"/>
      <c r="Q17" s="173"/>
      <c r="R17" s="173"/>
      <c r="S17" s="173"/>
      <c r="T17" s="173"/>
      <c r="U17" s="173"/>
    </row>
    <row r="18" spans="1:21" x14ac:dyDescent="0.25">
      <c r="A18" s="309"/>
      <c r="B18" s="310"/>
      <c r="C18" s="309"/>
      <c r="D18" s="309"/>
      <c r="E18" s="309"/>
      <c r="F18" s="309"/>
      <c r="G18" s="309"/>
      <c r="H18" s="309"/>
      <c r="I18" s="309"/>
      <c r="J18" s="309"/>
      <c r="K18" s="309"/>
      <c r="O18" s="171"/>
      <c r="P18" s="174"/>
      <c r="Q18" s="174"/>
      <c r="R18" s="174"/>
      <c r="S18" s="174"/>
      <c r="T18" s="174"/>
      <c r="U18" s="174"/>
    </row>
    <row r="20" spans="1:21" x14ac:dyDescent="0.25">
      <c r="O20" s="1"/>
    </row>
    <row r="22" spans="1:21" x14ac:dyDescent="0.25"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  <c r="U22" s="5"/>
    </row>
    <row r="23" spans="1:21" x14ac:dyDescent="0.25">
      <c r="I23" s="8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x14ac:dyDescent="0.25">
      <c r="I24" s="1"/>
      <c r="J24" s="1"/>
      <c r="L24" s="3"/>
      <c r="M24" s="3"/>
      <c r="N24" s="221"/>
      <c r="O24" s="221"/>
      <c r="P24" s="221"/>
      <c r="Q24" s="221"/>
      <c r="R24" s="221"/>
      <c r="S24" s="221"/>
      <c r="T24" s="221"/>
      <c r="U24" s="5"/>
    </row>
    <row r="25" spans="1:21" x14ac:dyDescent="0.25">
      <c r="I25" s="1"/>
      <c r="J25" s="2"/>
      <c r="L25" s="3"/>
      <c r="M25" s="3"/>
      <c r="N25" s="3"/>
      <c r="O25" s="3"/>
      <c r="P25" s="3"/>
      <c r="Q25" s="3"/>
      <c r="R25" s="4"/>
      <c r="S25" s="5"/>
      <c r="T25" s="5"/>
      <c r="U25" s="5"/>
    </row>
    <row r="26" spans="1:21" x14ac:dyDescent="0.25">
      <c r="I26" s="1"/>
      <c r="J26" s="2"/>
      <c r="K26" s="5"/>
      <c r="L26" s="10"/>
      <c r="M26" s="3"/>
      <c r="N26" s="3"/>
      <c r="O26" s="3"/>
      <c r="P26" s="3"/>
      <c r="Q26" s="3"/>
      <c r="R26" s="4"/>
      <c r="S26" s="5"/>
      <c r="T26" s="5"/>
      <c r="U26" s="5"/>
    </row>
    <row r="27" spans="1:21" x14ac:dyDescent="0.25">
      <c r="I27" s="1"/>
      <c r="J27" s="2"/>
      <c r="K27" s="5"/>
      <c r="L27" s="10"/>
      <c r="M27" s="3"/>
      <c r="N27" s="3"/>
      <c r="O27" s="3"/>
      <c r="P27" s="3"/>
      <c r="Q27" s="3"/>
      <c r="R27" s="4"/>
      <c r="S27" s="5"/>
      <c r="T27" s="5"/>
      <c r="U27" s="5"/>
    </row>
    <row r="28" spans="1:21" x14ac:dyDescent="0.25">
      <c r="I28" s="1"/>
      <c r="J28" s="2"/>
      <c r="K28" s="5"/>
      <c r="L28" s="10"/>
      <c r="M28" s="3"/>
      <c r="N28" s="3"/>
      <c r="O28" s="3"/>
      <c r="P28" s="3"/>
      <c r="Q28" s="3"/>
      <c r="R28" s="4"/>
      <c r="S28" s="5"/>
      <c r="T28" s="5"/>
      <c r="U28" s="5"/>
    </row>
    <row r="29" spans="1:21" x14ac:dyDescent="0.25">
      <c r="I29" s="1"/>
      <c r="J29" s="2"/>
      <c r="K29" s="5"/>
      <c r="L29" s="10"/>
      <c r="M29" s="3"/>
      <c r="N29" s="3"/>
      <c r="O29" s="3"/>
      <c r="P29" s="3"/>
      <c r="Q29" s="3"/>
      <c r="R29" s="4"/>
      <c r="S29" s="5"/>
      <c r="T29" s="5"/>
      <c r="U29" s="5"/>
    </row>
    <row r="30" spans="1:21" x14ac:dyDescent="0.25">
      <c r="I30" s="1"/>
      <c r="J30" s="2"/>
      <c r="K30" s="5"/>
      <c r="L30" s="10"/>
      <c r="M30" s="3"/>
      <c r="N30" s="3"/>
      <c r="O30" s="3"/>
      <c r="P30" s="3"/>
      <c r="Q30" s="3"/>
      <c r="R30" s="4"/>
      <c r="S30" s="5"/>
      <c r="T30" s="5"/>
      <c r="U30" s="5"/>
    </row>
    <row r="31" spans="1:21" x14ac:dyDescent="0.25">
      <c r="I31" s="1"/>
      <c r="J31" s="2"/>
      <c r="L31" s="11"/>
      <c r="M31" s="3"/>
      <c r="N31" s="3"/>
      <c r="O31" s="3"/>
      <c r="P31" s="3"/>
      <c r="Q31" s="3"/>
      <c r="R31" s="4"/>
      <c r="S31" s="5"/>
      <c r="T31" s="5"/>
      <c r="U31" s="5"/>
    </row>
    <row r="32" spans="1:21" x14ac:dyDescent="0.25">
      <c r="I32" s="1"/>
      <c r="J32" s="2"/>
      <c r="K32" s="5"/>
      <c r="L32" s="10"/>
      <c r="M32" s="3"/>
      <c r="N32" s="3"/>
      <c r="O32" s="3"/>
      <c r="P32" s="3"/>
      <c r="Q32" s="3"/>
      <c r="R32" s="4"/>
      <c r="S32" s="5"/>
      <c r="T32" s="5"/>
      <c r="U32" s="5"/>
    </row>
    <row r="33" spans="1:21" x14ac:dyDescent="0.25">
      <c r="I33" s="1"/>
      <c r="J33" s="2"/>
      <c r="L33" s="3"/>
      <c r="M33" s="3"/>
      <c r="N33" s="3"/>
      <c r="O33" s="3"/>
      <c r="P33" s="3"/>
      <c r="Q33" s="3"/>
      <c r="R33" s="4"/>
      <c r="S33" s="5"/>
      <c r="T33" s="5"/>
      <c r="U33" s="5"/>
    </row>
    <row r="34" spans="1:21" x14ac:dyDescent="0.25">
      <c r="A34"/>
      <c r="B34"/>
      <c r="C34"/>
      <c r="D34"/>
      <c r="E34"/>
      <c r="F34"/>
      <c r="G34"/>
      <c r="I34" s="1"/>
      <c r="J34" s="2"/>
      <c r="L34" s="3"/>
      <c r="M34" s="3"/>
      <c r="N34" s="3"/>
      <c r="O34" s="3"/>
      <c r="P34" s="3"/>
      <c r="Q34" s="3"/>
      <c r="R34" s="4"/>
      <c r="S34" s="5"/>
      <c r="T34" s="5"/>
      <c r="U34" s="5"/>
    </row>
    <row r="35" spans="1:21" x14ac:dyDescent="0.25">
      <c r="A35"/>
      <c r="B35"/>
      <c r="C35"/>
      <c r="D35"/>
      <c r="E35"/>
      <c r="F35"/>
      <c r="G35"/>
      <c r="I35" s="1"/>
      <c r="J35" s="2"/>
      <c r="L35" s="3"/>
      <c r="M35" s="3"/>
      <c r="N35" s="3"/>
      <c r="O35" s="3"/>
      <c r="P35" s="3"/>
      <c r="Q35" s="3"/>
      <c r="R35" s="4"/>
      <c r="S35" s="5"/>
      <c r="T35" s="5"/>
      <c r="U35" s="5"/>
    </row>
    <row r="36" spans="1:21" x14ac:dyDescent="0.25">
      <c r="A36" s="8"/>
      <c r="B36" s="8"/>
      <c r="C36" s="8"/>
      <c r="D36" s="8"/>
      <c r="E36" s="8"/>
      <c r="F36" s="8"/>
      <c r="G36" s="8"/>
      <c r="I36" s="1"/>
      <c r="J36" s="2"/>
      <c r="L36" s="3"/>
      <c r="M36" s="3"/>
      <c r="N36" s="3"/>
      <c r="O36" s="3"/>
      <c r="P36" s="3"/>
      <c r="Q36" s="3"/>
      <c r="R36" s="4"/>
      <c r="S36" s="5"/>
      <c r="T36" s="5"/>
      <c r="U36" s="5"/>
    </row>
    <row r="37" spans="1:21" x14ac:dyDescent="0.25">
      <c r="A37" s="222"/>
      <c r="B37" s="222"/>
      <c r="C37" s="222"/>
      <c r="D37" s="222"/>
      <c r="E37" s="8"/>
      <c r="F37" s="8"/>
      <c r="G37" s="8"/>
      <c r="I37" s="1"/>
      <c r="J37" s="2"/>
      <c r="L37" s="3"/>
      <c r="M37" s="3"/>
      <c r="N37" s="3"/>
      <c r="O37" s="3"/>
      <c r="P37" s="3"/>
      <c r="Q37" s="3"/>
      <c r="R37" s="4"/>
      <c r="S37" s="5"/>
      <c r="T37" s="5"/>
      <c r="U37" s="5"/>
    </row>
    <row r="38" spans="1:21" x14ac:dyDescent="0.25">
      <c r="A38" s="1"/>
      <c r="I38" s="1"/>
      <c r="J38" s="2"/>
      <c r="L38" s="3"/>
      <c r="M38" s="3"/>
      <c r="N38" s="3"/>
      <c r="O38" s="3"/>
      <c r="P38" s="3"/>
      <c r="Q38" s="3"/>
      <c r="R38" s="4"/>
      <c r="S38" s="5"/>
      <c r="T38" s="5"/>
      <c r="U38" s="5"/>
    </row>
    <row r="39" spans="1:21" x14ac:dyDescent="0.25">
      <c r="I39" s="1"/>
      <c r="J39" s="2"/>
      <c r="L39" s="3"/>
      <c r="M39" s="3"/>
      <c r="N39" s="3"/>
      <c r="O39" s="3"/>
      <c r="P39" s="3"/>
      <c r="Q39" s="3"/>
      <c r="R39" s="4"/>
      <c r="S39" s="5"/>
      <c r="T39" s="5"/>
      <c r="U39" s="5"/>
    </row>
    <row r="40" spans="1:21" x14ac:dyDescent="0.25">
      <c r="I40" s="1"/>
      <c r="J40" s="2"/>
      <c r="L40" s="3"/>
      <c r="M40" s="3"/>
      <c r="N40" s="3"/>
      <c r="O40" s="3"/>
      <c r="P40" s="3"/>
      <c r="Q40" s="3"/>
      <c r="R40" s="4"/>
      <c r="S40" s="5"/>
      <c r="T40" s="5"/>
      <c r="U40" s="5"/>
    </row>
    <row r="41" spans="1:21" x14ac:dyDescent="0.25">
      <c r="I41" s="1"/>
      <c r="J41" s="2"/>
      <c r="L41" s="3"/>
      <c r="M41" s="3"/>
      <c r="N41" s="3"/>
      <c r="O41" s="3"/>
      <c r="P41" s="3"/>
      <c r="Q41" s="3"/>
      <c r="R41" s="4"/>
      <c r="S41" s="5"/>
      <c r="T41" s="5"/>
      <c r="U41" s="5"/>
    </row>
    <row r="42" spans="1:21" x14ac:dyDescent="0.25">
      <c r="I42" s="1"/>
      <c r="J42" s="2"/>
      <c r="L42" s="3"/>
      <c r="M42" s="3"/>
      <c r="N42" s="226"/>
      <c r="O42" s="226"/>
      <c r="P42" s="226"/>
      <c r="Q42" s="226"/>
      <c r="R42" s="226"/>
      <c r="S42" s="226"/>
      <c r="T42" s="226"/>
      <c r="U42" s="5"/>
    </row>
    <row r="43" spans="1:21" x14ac:dyDescent="0.25">
      <c r="I43" s="5"/>
      <c r="J43" s="5"/>
      <c r="K43" s="5"/>
      <c r="L43" s="5"/>
      <c r="M43" s="5"/>
      <c r="N43" s="226"/>
      <c r="O43" s="226"/>
      <c r="P43" s="226"/>
      <c r="Q43" s="226"/>
      <c r="R43" s="226"/>
      <c r="S43" s="226"/>
      <c r="T43" s="226"/>
      <c r="U43" s="5"/>
    </row>
    <row r="44" spans="1:21" x14ac:dyDescent="0.25">
      <c r="J44" s="4"/>
      <c r="K44" s="4"/>
      <c r="L44" s="5"/>
      <c r="M44" s="5"/>
      <c r="N44" s="226"/>
      <c r="O44" s="226"/>
      <c r="P44" s="226"/>
      <c r="Q44" s="226"/>
      <c r="R44" s="226"/>
      <c r="S44" s="226"/>
      <c r="T44" s="226"/>
      <c r="U44" s="5"/>
    </row>
    <row r="45" spans="1:21" x14ac:dyDescent="0.25">
      <c r="J45" s="4"/>
      <c r="K45" s="4"/>
      <c r="L45" s="5"/>
      <c r="M45" s="5"/>
      <c r="N45" s="5"/>
      <c r="O45" s="5"/>
      <c r="P45" s="5"/>
      <c r="Q45" s="5"/>
      <c r="R45" s="5"/>
      <c r="S45" s="5"/>
      <c r="T45" s="5"/>
      <c r="U45" s="5"/>
    </row>
  </sheetData>
  <mergeCells count="10">
    <mergeCell ref="P9:U9"/>
    <mergeCell ref="N24:T24"/>
    <mergeCell ref="A37:D37"/>
    <mergeCell ref="N42:T44"/>
    <mergeCell ref="A14:B14"/>
    <mergeCell ref="A2:K2"/>
    <mergeCell ref="A6:B6"/>
    <mergeCell ref="A12:B12"/>
    <mergeCell ref="A15:B15"/>
    <mergeCell ref="A4:K4"/>
  </mergeCells>
  <pageMargins left="0.7" right="0.7" top="0.75" bottom="0.75" header="0.3" footer="0.3"/>
  <pageSetup scale="9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  <pageSetUpPr fitToPage="1"/>
  </sheetPr>
  <dimension ref="A2:M37"/>
  <sheetViews>
    <sheetView showGridLines="0" zoomScale="80" zoomScaleNormal="80" workbookViewId="0">
      <selection activeCell="L21" sqref="L21"/>
    </sheetView>
  </sheetViews>
  <sheetFormatPr baseColWidth="10" defaultColWidth="9.85546875" defaultRowHeight="11.25" x14ac:dyDescent="0.25"/>
  <cols>
    <col min="1" max="1" width="19.140625" style="1" customWidth="1"/>
    <col min="2" max="2" width="9.5703125" style="2" customWidth="1"/>
    <col min="3" max="11" width="9.5703125" style="3" customWidth="1"/>
    <col min="12" max="16384" width="9.85546875" style="3"/>
  </cols>
  <sheetData>
    <row r="2" spans="1:13" ht="12.75" x14ac:dyDescent="0.25">
      <c r="A2" s="306" t="s">
        <v>593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</row>
    <row r="3" spans="1:13" ht="12" thickBot="1" x14ac:dyDescent="0.3">
      <c r="A3" s="312"/>
      <c r="B3" s="310"/>
      <c r="C3" s="309"/>
      <c r="D3" s="309"/>
      <c r="E3" s="309"/>
      <c r="F3" s="309"/>
      <c r="G3" s="309"/>
      <c r="H3" s="309"/>
      <c r="I3" s="309"/>
      <c r="J3" s="309"/>
      <c r="K3" s="309"/>
      <c r="L3" s="309"/>
    </row>
    <row r="4" spans="1:13" s="165" customFormat="1" ht="14.45" customHeight="1" thickBot="1" x14ac:dyDescent="0.3">
      <c r="A4" s="217" t="s">
        <v>592</v>
      </c>
      <c r="B4" s="218"/>
      <c r="C4" s="218"/>
      <c r="D4" s="218"/>
      <c r="E4" s="218"/>
      <c r="F4" s="218"/>
      <c r="G4" s="218"/>
      <c r="H4" s="218"/>
      <c r="I4" s="218"/>
      <c r="J4" s="218"/>
      <c r="K4" s="219"/>
      <c r="L4" s="313"/>
      <c r="M4" s="169"/>
    </row>
    <row r="5" spans="1:13" s="165" customFormat="1" ht="14.45" customHeight="1" thickBot="1" x14ac:dyDescent="0.3">
      <c r="A5" s="95" t="s">
        <v>586</v>
      </c>
      <c r="B5" s="91" t="s">
        <v>70</v>
      </c>
      <c r="C5" s="91">
        <v>2014</v>
      </c>
      <c r="D5" s="91">
        <v>2015</v>
      </c>
      <c r="E5" s="91">
        <v>2016</v>
      </c>
      <c r="F5" s="91">
        <v>2017</v>
      </c>
      <c r="G5" s="91">
        <v>2018</v>
      </c>
      <c r="H5" s="91">
        <v>2019</v>
      </c>
      <c r="I5" s="91">
        <v>2020</v>
      </c>
      <c r="J5" s="91">
        <v>2021</v>
      </c>
      <c r="K5" s="91">
        <v>2022</v>
      </c>
      <c r="L5" s="313"/>
      <c r="M5" s="169"/>
    </row>
    <row r="6" spans="1:13" s="165" customFormat="1" ht="14.45" customHeight="1" thickBot="1" x14ac:dyDescent="0.3">
      <c r="A6" s="98" t="s">
        <v>252</v>
      </c>
      <c r="B6" s="167" t="s">
        <v>35</v>
      </c>
      <c r="C6" s="67" t="s">
        <v>2</v>
      </c>
      <c r="D6" s="67" t="s">
        <v>2</v>
      </c>
      <c r="E6" s="67" t="s">
        <v>2</v>
      </c>
      <c r="F6" s="67">
        <v>1</v>
      </c>
      <c r="G6" s="67" t="s">
        <v>2</v>
      </c>
      <c r="H6" s="67" t="s">
        <v>2</v>
      </c>
      <c r="I6" s="67" t="s">
        <v>2</v>
      </c>
      <c r="J6" s="67">
        <v>1</v>
      </c>
      <c r="K6" s="67" t="s">
        <v>2</v>
      </c>
      <c r="L6" s="313"/>
      <c r="M6" s="169"/>
    </row>
    <row r="7" spans="1:13" s="165" customFormat="1" ht="14.45" customHeight="1" thickBot="1" x14ac:dyDescent="0.3">
      <c r="A7" s="98" t="s">
        <v>252</v>
      </c>
      <c r="B7" s="167" t="s">
        <v>36</v>
      </c>
      <c r="C7" s="67" t="s">
        <v>2</v>
      </c>
      <c r="D7" s="67" t="s">
        <v>2</v>
      </c>
      <c r="E7" s="67" t="s">
        <v>2</v>
      </c>
      <c r="F7" s="67" t="s">
        <v>2</v>
      </c>
      <c r="G7" s="67">
        <v>1</v>
      </c>
      <c r="H7" s="67" t="s">
        <v>2</v>
      </c>
      <c r="I7" s="67" t="s">
        <v>2</v>
      </c>
      <c r="J7" s="67" t="s">
        <v>2</v>
      </c>
      <c r="K7" s="67" t="s">
        <v>2</v>
      </c>
      <c r="L7" s="313"/>
      <c r="M7" s="169"/>
    </row>
    <row r="8" spans="1:13" s="165" customFormat="1" ht="14.45" customHeight="1" thickBot="1" x14ac:dyDescent="0.3">
      <c r="A8" s="98" t="s">
        <v>19</v>
      </c>
      <c r="B8" s="167" t="s">
        <v>37</v>
      </c>
      <c r="C8" s="67" t="s">
        <v>2</v>
      </c>
      <c r="D8" s="67" t="s">
        <v>2</v>
      </c>
      <c r="E8" s="67" t="s">
        <v>2</v>
      </c>
      <c r="F8" s="67" t="s">
        <v>2</v>
      </c>
      <c r="G8" s="67">
        <v>1</v>
      </c>
      <c r="H8" s="67" t="s">
        <v>2</v>
      </c>
      <c r="I8" s="67" t="s">
        <v>2</v>
      </c>
      <c r="J8" s="67" t="s">
        <v>2</v>
      </c>
      <c r="K8" s="67" t="s">
        <v>2</v>
      </c>
      <c r="L8" s="313"/>
      <c r="M8" s="169"/>
    </row>
    <row r="9" spans="1:13" s="165" customFormat="1" ht="14.45" customHeight="1" thickBot="1" x14ac:dyDescent="0.3">
      <c r="A9" s="98" t="s">
        <v>38</v>
      </c>
      <c r="B9" s="167" t="s">
        <v>6</v>
      </c>
      <c r="C9" s="67" t="s">
        <v>2</v>
      </c>
      <c r="D9" s="67" t="s">
        <v>2</v>
      </c>
      <c r="E9" s="67" t="s">
        <v>2</v>
      </c>
      <c r="F9" s="67">
        <v>1</v>
      </c>
      <c r="G9" s="67">
        <v>1</v>
      </c>
      <c r="H9" s="67">
        <v>1</v>
      </c>
      <c r="I9" s="67" t="s">
        <v>2</v>
      </c>
      <c r="J9" s="67" t="s">
        <v>2</v>
      </c>
      <c r="K9" s="67" t="s">
        <v>2</v>
      </c>
      <c r="L9" s="313"/>
      <c r="M9" s="169"/>
    </row>
    <row r="10" spans="1:13" s="165" customFormat="1" ht="14.45" customHeight="1" thickBot="1" x14ac:dyDescent="0.3">
      <c r="A10" s="98" t="s">
        <v>39</v>
      </c>
      <c r="B10" s="167" t="s">
        <v>27</v>
      </c>
      <c r="C10" s="67" t="s">
        <v>2</v>
      </c>
      <c r="D10" s="67" t="s">
        <v>2</v>
      </c>
      <c r="E10" s="67" t="s">
        <v>2</v>
      </c>
      <c r="F10" s="67" t="s">
        <v>2</v>
      </c>
      <c r="G10" s="67">
        <v>1</v>
      </c>
      <c r="H10" s="67" t="s">
        <v>2</v>
      </c>
      <c r="I10" s="67" t="s">
        <v>2</v>
      </c>
      <c r="J10" s="67" t="s">
        <v>2</v>
      </c>
      <c r="K10" s="67" t="s">
        <v>2</v>
      </c>
      <c r="L10" s="313"/>
      <c r="M10" s="169"/>
    </row>
    <row r="11" spans="1:13" s="165" customFormat="1" ht="14.45" customHeight="1" thickBot="1" x14ac:dyDescent="0.3">
      <c r="A11" s="98" t="s">
        <v>3</v>
      </c>
      <c r="B11" s="167" t="s">
        <v>4</v>
      </c>
      <c r="C11" s="67">
        <v>2</v>
      </c>
      <c r="D11" s="67" t="s">
        <v>2</v>
      </c>
      <c r="E11" s="67" t="s">
        <v>2</v>
      </c>
      <c r="F11" s="67" t="s">
        <v>2</v>
      </c>
      <c r="G11" s="67" t="s">
        <v>2</v>
      </c>
      <c r="H11" s="67" t="s">
        <v>2</v>
      </c>
      <c r="I11" s="67" t="s">
        <v>2</v>
      </c>
      <c r="J11" s="67" t="s">
        <v>2</v>
      </c>
      <c r="K11" s="67" t="s">
        <v>2</v>
      </c>
      <c r="L11" s="313"/>
      <c r="M11" s="169"/>
    </row>
    <row r="12" spans="1:13" s="165" customFormat="1" ht="14.45" customHeight="1" thickBot="1" x14ac:dyDescent="0.3">
      <c r="A12" s="98" t="s">
        <v>39</v>
      </c>
      <c r="B12" s="167" t="s">
        <v>40</v>
      </c>
      <c r="C12" s="67">
        <v>5</v>
      </c>
      <c r="D12" s="67" t="s">
        <v>2</v>
      </c>
      <c r="E12" s="67" t="s">
        <v>2</v>
      </c>
      <c r="F12" s="67" t="s">
        <v>2</v>
      </c>
      <c r="G12" s="67" t="s">
        <v>2</v>
      </c>
      <c r="H12" s="67" t="s">
        <v>2</v>
      </c>
      <c r="I12" s="67" t="s">
        <v>2</v>
      </c>
      <c r="J12" s="67" t="s">
        <v>2</v>
      </c>
      <c r="K12" s="67" t="s">
        <v>2</v>
      </c>
      <c r="L12" s="313"/>
      <c r="M12" s="169"/>
    </row>
    <row r="13" spans="1:13" s="165" customFormat="1" ht="14.45" customHeight="1" thickBot="1" x14ac:dyDescent="0.3">
      <c r="A13" s="98" t="s">
        <v>30</v>
      </c>
      <c r="B13" s="167" t="s">
        <v>27</v>
      </c>
      <c r="C13" s="67">
        <v>3</v>
      </c>
      <c r="D13" s="67" t="s">
        <v>2</v>
      </c>
      <c r="E13" s="67" t="s">
        <v>2</v>
      </c>
      <c r="F13" s="67" t="s">
        <v>2</v>
      </c>
      <c r="G13" s="67" t="s">
        <v>2</v>
      </c>
      <c r="H13" s="67" t="s">
        <v>2</v>
      </c>
      <c r="I13" s="67" t="s">
        <v>2</v>
      </c>
      <c r="J13" s="67" t="s">
        <v>2</v>
      </c>
      <c r="K13" s="67" t="s">
        <v>2</v>
      </c>
      <c r="L13" s="313"/>
      <c r="M13" s="169"/>
    </row>
    <row r="14" spans="1:13" s="165" customFormat="1" ht="14.45" customHeight="1" thickBot="1" x14ac:dyDescent="0.3">
      <c r="A14" s="98" t="s">
        <v>41</v>
      </c>
      <c r="B14" s="167" t="s">
        <v>28</v>
      </c>
      <c r="C14" s="67">
        <v>1</v>
      </c>
      <c r="D14" s="67" t="s">
        <v>2</v>
      </c>
      <c r="E14" s="67" t="s">
        <v>2</v>
      </c>
      <c r="F14" s="67" t="s">
        <v>2</v>
      </c>
      <c r="G14" s="67" t="s">
        <v>2</v>
      </c>
      <c r="H14" s="67" t="s">
        <v>2</v>
      </c>
      <c r="I14" s="67" t="s">
        <v>2</v>
      </c>
      <c r="J14" s="67" t="s">
        <v>2</v>
      </c>
      <c r="K14" s="67" t="s">
        <v>2</v>
      </c>
      <c r="L14" s="313"/>
      <c r="M14" s="169"/>
    </row>
    <row r="15" spans="1:13" s="165" customFormat="1" ht="14.45" customHeight="1" thickBot="1" x14ac:dyDescent="0.3">
      <c r="A15" s="215" t="s">
        <v>587</v>
      </c>
      <c r="B15" s="216"/>
      <c r="C15" s="119">
        <v>11</v>
      </c>
      <c r="D15" s="119">
        <v>0</v>
      </c>
      <c r="E15" s="119">
        <v>0</v>
      </c>
      <c r="F15" s="119">
        <v>2</v>
      </c>
      <c r="G15" s="119">
        <v>4</v>
      </c>
      <c r="H15" s="119">
        <v>1</v>
      </c>
      <c r="I15" s="119">
        <v>0</v>
      </c>
      <c r="J15" s="119">
        <v>0</v>
      </c>
      <c r="K15" s="119">
        <v>0</v>
      </c>
      <c r="L15" s="313"/>
      <c r="M15" s="169"/>
    </row>
    <row r="16" spans="1:13" s="165" customFormat="1" ht="14.45" customHeight="1" thickBot="1" x14ac:dyDescent="0.3">
      <c r="A16" s="98" t="s">
        <v>43</v>
      </c>
      <c r="B16" s="167" t="s">
        <v>44</v>
      </c>
      <c r="C16" s="67" t="s">
        <v>2</v>
      </c>
      <c r="D16" s="67" t="s">
        <v>2</v>
      </c>
      <c r="E16" s="67" t="s">
        <v>2</v>
      </c>
      <c r="F16" s="67" t="s">
        <v>2</v>
      </c>
      <c r="G16" s="67" t="s">
        <v>2</v>
      </c>
      <c r="H16" s="67" t="s">
        <v>2</v>
      </c>
      <c r="I16" s="67" t="s">
        <v>2</v>
      </c>
      <c r="J16" s="67" t="s">
        <v>2</v>
      </c>
      <c r="K16" s="67" t="s">
        <v>2</v>
      </c>
      <c r="L16" s="313"/>
      <c r="M16" s="169"/>
    </row>
    <row r="17" spans="1:13" s="165" customFormat="1" ht="14.45" customHeight="1" thickBot="1" x14ac:dyDescent="0.3">
      <c r="A17" s="98" t="s">
        <v>45</v>
      </c>
      <c r="B17" s="167" t="s">
        <v>31</v>
      </c>
      <c r="C17" s="67" t="s">
        <v>2</v>
      </c>
      <c r="D17" s="67" t="s">
        <v>2</v>
      </c>
      <c r="E17" s="67" t="s">
        <v>2</v>
      </c>
      <c r="F17" s="67" t="s">
        <v>2</v>
      </c>
      <c r="G17" s="67">
        <v>1</v>
      </c>
      <c r="H17" s="67" t="s">
        <v>2</v>
      </c>
      <c r="I17" s="67" t="s">
        <v>2</v>
      </c>
      <c r="J17" s="67" t="s">
        <v>2</v>
      </c>
      <c r="K17" s="67" t="s">
        <v>2</v>
      </c>
      <c r="L17" s="313"/>
      <c r="M17" s="169"/>
    </row>
    <row r="18" spans="1:13" s="165" customFormat="1" ht="11.25" customHeight="1" thickBot="1" x14ac:dyDescent="0.3">
      <c r="A18" s="98" t="s">
        <v>46</v>
      </c>
      <c r="B18" s="167" t="s">
        <v>26</v>
      </c>
      <c r="C18" s="67" t="s">
        <v>2</v>
      </c>
      <c r="D18" s="67" t="s">
        <v>2</v>
      </c>
      <c r="E18" s="67" t="s">
        <v>2</v>
      </c>
      <c r="F18" s="67" t="s">
        <v>2</v>
      </c>
      <c r="G18" s="67" t="s">
        <v>2</v>
      </c>
      <c r="H18" s="67" t="s">
        <v>2</v>
      </c>
      <c r="I18" s="67">
        <v>1</v>
      </c>
      <c r="J18" s="67" t="s">
        <v>2</v>
      </c>
      <c r="K18" s="67" t="s">
        <v>2</v>
      </c>
      <c r="L18" s="313"/>
      <c r="M18" s="169"/>
    </row>
    <row r="19" spans="1:13" s="165" customFormat="1" ht="14.45" customHeight="1" thickBot="1" x14ac:dyDescent="0.3">
      <c r="A19" s="215" t="s">
        <v>588</v>
      </c>
      <c r="B19" s="216"/>
      <c r="C19" s="119">
        <v>0</v>
      </c>
      <c r="D19" s="119">
        <v>0</v>
      </c>
      <c r="E19" s="119">
        <v>0</v>
      </c>
      <c r="F19" s="119">
        <v>0</v>
      </c>
      <c r="G19" s="119">
        <v>1</v>
      </c>
      <c r="H19" s="119">
        <v>0</v>
      </c>
      <c r="I19" s="119">
        <v>1</v>
      </c>
      <c r="J19" s="119">
        <v>0</v>
      </c>
      <c r="K19" s="119">
        <v>0</v>
      </c>
      <c r="L19" s="313"/>
      <c r="M19" s="169"/>
    </row>
    <row r="20" spans="1:13" s="165" customFormat="1" ht="14.45" customHeight="1" thickBot="1" x14ac:dyDescent="0.3">
      <c r="A20" s="98" t="s">
        <v>22</v>
      </c>
      <c r="B20" s="167">
        <v>56</v>
      </c>
      <c r="C20" s="67" t="s">
        <v>2</v>
      </c>
      <c r="D20" s="67" t="s">
        <v>2</v>
      </c>
      <c r="E20" s="67" t="s">
        <v>2</v>
      </c>
      <c r="F20" s="67" t="s">
        <v>2</v>
      </c>
      <c r="G20" s="67" t="s">
        <v>2</v>
      </c>
      <c r="H20" s="67" t="s">
        <v>2</v>
      </c>
      <c r="I20" s="67" t="s">
        <v>2</v>
      </c>
      <c r="J20" s="67" t="s">
        <v>2</v>
      </c>
      <c r="K20" s="67" t="s">
        <v>2</v>
      </c>
      <c r="L20" s="313"/>
      <c r="M20" s="169"/>
    </row>
    <row r="21" spans="1:13" s="165" customFormat="1" ht="14.45" customHeight="1" thickBot="1" x14ac:dyDescent="0.3">
      <c r="A21" s="98" t="s">
        <v>23</v>
      </c>
      <c r="B21" s="167">
        <v>57</v>
      </c>
      <c r="C21" s="67" t="s">
        <v>2</v>
      </c>
      <c r="D21" s="67" t="s">
        <v>2</v>
      </c>
      <c r="E21" s="67" t="s">
        <v>2</v>
      </c>
      <c r="F21" s="67">
        <v>1</v>
      </c>
      <c r="G21" s="67" t="s">
        <v>2</v>
      </c>
      <c r="H21" s="67" t="s">
        <v>2</v>
      </c>
      <c r="I21" s="67" t="s">
        <v>2</v>
      </c>
      <c r="J21" s="67" t="s">
        <v>2</v>
      </c>
      <c r="K21" s="67" t="s">
        <v>2</v>
      </c>
      <c r="L21" s="313"/>
      <c r="M21" s="169"/>
    </row>
    <row r="22" spans="1:13" s="165" customFormat="1" ht="14.45" customHeight="1" thickBot="1" x14ac:dyDescent="0.3">
      <c r="A22" s="98" t="s">
        <v>19</v>
      </c>
      <c r="B22" s="167">
        <v>58</v>
      </c>
      <c r="C22" s="67" t="s">
        <v>2</v>
      </c>
      <c r="D22" s="67" t="s">
        <v>2</v>
      </c>
      <c r="E22" s="67" t="s">
        <v>2</v>
      </c>
      <c r="F22" s="67" t="s">
        <v>2</v>
      </c>
      <c r="G22" s="67" t="s">
        <v>2</v>
      </c>
      <c r="H22" s="67" t="s">
        <v>2</v>
      </c>
      <c r="I22" s="67" t="s">
        <v>2</v>
      </c>
      <c r="J22" s="67" t="s">
        <v>2</v>
      </c>
      <c r="K22" s="67" t="s">
        <v>2</v>
      </c>
      <c r="L22" s="313"/>
      <c r="M22" s="169"/>
    </row>
    <row r="23" spans="1:13" s="165" customFormat="1" ht="14.45" customHeight="1" thickBot="1" x14ac:dyDescent="0.3">
      <c r="A23" s="98" t="s">
        <v>47</v>
      </c>
      <c r="B23" s="167">
        <v>64</v>
      </c>
      <c r="C23" s="67" t="s">
        <v>2</v>
      </c>
      <c r="D23" s="67" t="s">
        <v>2</v>
      </c>
      <c r="E23" s="67" t="s">
        <v>2</v>
      </c>
      <c r="F23" s="67" t="s">
        <v>2</v>
      </c>
      <c r="G23" s="67" t="s">
        <v>2</v>
      </c>
      <c r="H23" s="67" t="s">
        <v>2</v>
      </c>
      <c r="I23" s="67" t="s">
        <v>2</v>
      </c>
      <c r="J23" s="67" t="s">
        <v>2</v>
      </c>
      <c r="K23" s="67" t="s">
        <v>2</v>
      </c>
      <c r="L23" s="313"/>
      <c r="M23" s="169"/>
    </row>
    <row r="24" spans="1:13" s="165" customFormat="1" ht="14.45" customHeight="1" thickBot="1" x14ac:dyDescent="0.3">
      <c r="A24" s="98" t="s">
        <v>48</v>
      </c>
      <c r="B24" s="167">
        <v>76</v>
      </c>
      <c r="C24" s="67" t="s">
        <v>2</v>
      </c>
      <c r="D24" s="67">
        <v>1</v>
      </c>
      <c r="E24" s="67" t="s">
        <v>2</v>
      </c>
      <c r="F24" s="67" t="s">
        <v>2</v>
      </c>
      <c r="G24" s="67" t="s">
        <v>2</v>
      </c>
      <c r="H24" s="67" t="s">
        <v>2</v>
      </c>
      <c r="I24" s="67" t="s">
        <v>2</v>
      </c>
      <c r="J24" s="67" t="s">
        <v>2</v>
      </c>
      <c r="K24" s="67" t="s">
        <v>2</v>
      </c>
      <c r="L24" s="313"/>
      <c r="M24" s="169"/>
    </row>
    <row r="25" spans="1:13" s="165" customFormat="1" ht="14.45" customHeight="1" thickBot="1" x14ac:dyDescent="0.3">
      <c r="A25" s="98" t="s">
        <v>22</v>
      </c>
      <c r="B25" s="167">
        <v>88</v>
      </c>
      <c r="C25" s="67" t="s">
        <v>2</v>
      </c>
      <c r="D25" s="67">
        <v>1</v>
      </c>
      <c r="E25" s="67" t="s">
        <v>2</v>
      </c>
      <c r="F25" s="67" t="s">
        <v>2</v>
      </c>
      <c r="G25" s="67" t="s">
        <v>2</v>
      </c>
      <c r="H25" s="67" t="s">
        <v>2</v>
      </c>
      <c r="I25" s="67" t="s">
        <v>2</v>
      </c>
      <c r="J25" s="67" t="s">
        <v>2</v>
      </c>
      <c r="K25" s="67" t="s">
        <v>2</v>
      </c>
      <c r="L25" s="313"/>
      <c r="M25" s="169"/>
    </row>
    <row r="26" spans="1:13" s="165" customFormat="1" ht="14.45" customHeight="1" thickBot="1" x14ac:dyDescent="0.3">
      <c r="A26" s="98" t="s">
        <v>49</v>
      </c>
      <c r="B26" s="167">
        <v>95</v>
      </c>
      <c r="C26" s="67" t="s">
        <v>2</v>
      </c>
      <c r="D26" s="67">
        <v>1</v>
      </c>
      <c r="E26" s="67" t="s">
        <v>2</v>
      </c>
      <c r="F26" s="67" t="s">
        <v>2</v>
      </c>
      <c r="G26" s="67" t="s">
        <v>2</v>
      </c>
      <c r="H26" s="67">
        <v>1</v>
      </c>
      <c r="I26" s="67" t="s">
        <v>2</v>
      </c>
      <c r="J26" s="67" t="s">
        <v>2</v>
      </c>
      <c r="K26" s="67" t="s">
        <v>2</v>
      </c>
      <c r="L26" s="313"/>
      <c r="M26" s="169"/>
    </row>
    <row r="27" spans="1:13" s="165" customFormat="1" ht="14.45" customHeight="1" thickBot="1" x14ac:dyDescent="0.3">
      <c r="A27" s="98" t="s">
        <v>22</v>
      </c>
      <c r="B27" s="167">
        <v>108</v>
      </c>
      <c r="C27" s="67" t="s">
        <v>2</v>
      </c>
      <c r="D27" s="67" t="s">
        <v>2</v>
      </c>
      <c r="E27" s="67" t="s">
        <v>2</v>
      </c>
      <c r="F27" s="67" t="s">
        <v>2</v>
      </c>
      <c r="G27" s="67" t="s">
        <v>2</v>
      </c>
      <c r="H27" s="67">
        <v>1</v>
      </c>
      <c r="I27" s="67" t="s">
        <v>2</v>
      </c>
      <c r="J27" s="67" t="s">
        <v>2</v>
      </c>
      <c r="K27" s="67" t="s">
        <v>2</v>
      </c>
      <c r="L27" s="313"/>
      <c r="M27" s="169"/>
    </row>
    <row r="28" spans="1:13" s="165" customFormat="1" ht="14.45" customHeight="1" thickBot="1" x14ac:dyDescent="0.3">
      <c r="A28" s="98" t="s">
        <v>21</v>
      </c>
      <c r="B28" s="167">
        <v>116</v>
      </c>
      <c r="C28" s="67">
        <v>1</v>
      </c>
      <c r="D28" s="67" t="s">
        <v>2</v>
      </c>
      <c r="E28" s="67" t="s">
        <v>2</v>
      </c>
      <c r="F28" s="67" t="s">
        <v>2</v>
      </c>
      <c r="G28" s="67" t="s">
        <v>2</v>
      </c>
      <c r="H28" s="67" t="s">
        <v>2</v>
      </c>
      <c r="I28" s="67" t="s">
        <v>2</v>
      </c>
      <c r="J28" s="67" t="s">
        <v>2</v>
      </c>
      <c r="K28" s="67" t="s">
        <v>2</v>
      </c>
      <c r="L28" s="313"/>
      <c r="M28" s="169"/>
    </row>
    <row r="29" spans="1:13" s="165" customFormat="1" ht="14.45" customHeight="1" thickBot="1" x14ac:dyDescent="0.3">
      <c r="A29" s="98" t="s">
        <v>50</v>
      </c>
      <c r="B29" s="167">
        <v>126</v>
      </c>
      <c r="C29" s="67" t="s">
        <v>2</v>
      </c>
      <c r="D29" s="67" t="s">
        <v>2</v>
      </c>
      <c r="E29" s="67" t="s">
        <v>2</v>
      </c>
      <c r="F29" s="67" t="s">
        <v>2</v>
      </c>
      <c r="G29" s="67" t="s">
        <v>2</v>
      </c>
      <c r="H29" s="67" t="s">
        <v>2</v>
      </c>
      <c r="I29" s="67" t="s">
        <v>2</v>
      </c>
      <c r="J29" s="67" t="s">
        <v>2</v>
      </c>
      <c r="K29" s="67" t="s">
        <v>2</v>
      </c>
      <c r="L29" s="313"/>
      <c r="M29" s="169"/>
    </row>
    <row r="30" spans="1:13" s="165" customFormat="1" ht="14.45" customHeight="1" thickBot="1" x14ac:dyDescent="0.3">
      <c r="A30" s="98" t="s">
        <v>20</v>
      </c>
      <c r="B30" s="167">
        <v>131</v>
      </c>
      <c r="C30" s="67" t="s">
        <v>2</v>
      </c>
      <c r="D30" s="67">
        <v>1</v>
      </c>
      <c r="E30" s="67" t="s">
        <v>2</v>
      </c>
      <c r="F30" s="67">
        <v>1</v>
      </c>
      <c r="G30" s="67" t="s">
        <v>2</v>
      </c>
      <c r="H30" s="67" t="s">
        <v>2</v>
      </c>
      <c r="I30" s="67" t="s">
        <v>2</v>
      </c>
      <c r="J30" s="67" t="s">
        <v>2</v>
      </c>
      <c r="K30" s="67" t="s">
        <v>2</v>
      </c>
      <c r="L30" s="313"/>
      <c r="M30" s="169"/>
    </row>
    <row r="31" spans="1:13" s="165" customFormat="1" ht="14.45" customHeight="1" thickBot="1" x14ac:dyDescent="0.3">
      <c r="A31" s="98" t="s">
        <v>21</v>
      </c>
      <c r="B31" s="167">
        <v>138</v>
      </c>
      <c r="C31" s="67" t="s">
        <v>2</v>
      </c>
      <c r="D31" s="67" t="s">
        <v>2</v>
      </c>
      <c r="E31" s="67" t="s">
        <v>2</v>
      </c>
      <c r="F31" s="67" t="s">
        <v>2</v>
      </c>
      <c r="G31" s="67" t="s">
        <v>2</v>
      </c>
      <c r="H31" s="67" t="s">
        <v>2</v>
      </c>
      <c r="I31" s="67" t="s">
        <v>2</v>
      </c>
      <c r="J31" s="67" t="s">
        <v>2</v>
      </c>
      <c r="K31" s="67" t="s">
        <v>2</v>
      </c>
      <c r="L31" s="313"/>
      <c r="M31" s="169"/>
    </row>
    <row r="32" spans="1:13" s="165" customFormat="1" ht="14.45" customHeight="1" thickBot="1" x14ac:dyDescent="0.3">
      <c r="A32" s="215" t="s">
        <v>589</v>
      </c>
      <c r="B32" s="216"/>
      <c r="C32" s="119">
        <v>1</v>
      </c>
      <c r="D32" s="119">
        <v>4</v>
      </c>
      <c r="E32" s="119">
        <v>0</v>
      </c>
      <c r="F32" s="119">
        <v>2</v>
      </c>
      <c r="G32" s="119">
        <v>0</v>
      </c>
      <c r="H32" s="119">
        <v>2</v>
      </c>
      <c r="I32" s="119">
        <v>0</v>
      </c>
      <c r="J32" s="119">
        <v>0</v>
      </c>
      <c r="K32" s="119">
        <v>0</v>
      </c>
      <c r="L32" s="313"/>
      <c r="M32" s="169"/>
    </row>
    <row r="33" spans="1:13" s="165" customFormat="1" ht="14.45" customHeight="1" thickBot="1" x14ac:dyDescent="0.3">
      <c r="A33" s="224" t="s">
        <v>590</v>
      </c>
      <c r="B33" s="225"/>
      <c r="C33" s="93">
        <v>12</v>
      </c>
      <c r="D33" s="93">
        <v>4</v>
      </c>
      <c r="E33" s="93">
        <v>0</v>
      </c>
      <c r="F33" s="93">
        <v>4</v>
      </c>
      <c r="G33" s="93">
        <v>5</v>
      </c>
      <c r="H33" s="93">
        <v>3</v>
      </c>
      <c r="I33" s="93">
        <v>1</v>
      </c>
      <c r="J33" s="93">
        <v>1</v>
      </c>
      <c r="K33" s="93">
        <v>0</v>
      </c>
      <c r="L33" s="313"/>
      <c r="M33" s="169"/>
    </row>
    <row r="34" spans="1:13" s="165" customFormat="1" ht="14.45" customHeight="1" x14ac:dyDescent="0.25">
      <c r="A34" s="313"/>
      <c r="B34" s="313"/>
      <c r="C34" s="313"/>
      <c r="D34" s="313"/>
      <c r="E34" s="313"/>
      <c r="F34" s="313"/>
      <c r="G34" s="313"/>
      <c r="H34" s="313"/>
      <c r="I34" s="313"/>
      <c r="J34" s="313"/>
      <c r="K34" s="313"/>
      <c r="L34" s="313"/>
      <c r="M34" s="169"/>
    </row>
    <row r="35" spans="1:13" s="165" customFormat="1" ht="11.25" customHeight="1" x14ac:dyDescent="0.25">
      <c r="A35" s="313"/>
      <c r="B35" s="313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169"/>
    </row>
    <row r="36" spans="1:13" x14ac:dyDescent="0.25">
      <c r="A36" s="312"/>
      <c r="B36" s="310"/>
      <c r="C36" s="309"/>
      <c r="D36" s="309"/>
      <c r="E36" s="309"/>
      <c r="F36" s="309"/>
      <c r="G36" s="309"/>
      <c r="H36" s="309"/>
      <c r="I36" s="309"/>
      <c r="J36" s="309"/>
      <c r="K36" s="309"/>
      <c r="L36" s="309"/>
    </row>
    <row r="37" spans="1:13" x14ac:dyDescent="0.25">
      <c r="A37" s="312" t="s">
        <v>24</v>
      </c>
      <c r="B37" s="310"/>
      <c r="C37" s="309"/>
      <c r="D37" s="309"/>
      <c r="E37" s="309"/>
      <c r="F37" s="309"/>
      <c r="G37" s="309"/>
      <c r="H37" s="309"/>
      <c r="I37" s="309"/>
      <c r="J37" s="309"/>
      <c r="K37" s="309"/>
      <c r="L37" s="309"/>
    </row>
  </sheetData>
  <mergeCells count="6">
    <mergeCell ref="A2:L2"/>
    <mergeCell ref="A33:B33"/>
    <mergeCell ref="A4:K4"/>
    <mergeCell ref="A15:B15"/>
    <mergeCell ref="A19:B19"/>
    <mergeCell ref="A32:B32"/>
  </mergeCells>
  <pageMargins left="0.7" right="0.7" top="0.75" bottom="0.75" header="0.3" footer="0.3"/>
  <pageSetup scale="94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  <pageSetUpPr fitToPage="1"/>
  </sheetPr>
  <dimension ref="A2:P25"/>
  <sheetViews>
    <sheetView showGridLines="0" zoomScale="90" zoomScaleNormal="90" workbookViewId="0">
      <pane ySplit="3" topLeftCell="A4" activePane="bottomLeft" state="frozen"/>
      <selection activeCell="Q43" sqref="Q43"/>
      <selection pane="bottomLeft" activeCell="G24" sqref="G24"/>
    </sheetView>
  </sheetViews>
  <sheetFormatPr baseColWidth="10" defaultRowHeight="15" x14ac:dyDescent="0.25"/>
  <cols>
    <col min="1" max="2" width="9.5703125" style="2" customWidth="1"/>
    <col min="3" max="3" width="21.85546875" style="1" customWidth="1"/>
    <col min="4" max="4" width="40.42578125" style="3" bestFit="1" customWidth="1"/>
    <col min="5" max="5" width="13.42578125" style="3" bestFit="1" customWidth="1"/>
    <col min="6" max="6" width="10.28515625" style="3" customWidth="1"/>
    <col min="7" max="7" width="13.85546875" style="3" bestFit="1" customWidth="1"/>
    <col min="8" max="154" width="11.5703125"/>
  </cols>
  <sheetData>
    <row r="2" spans="1:16" x14ac:dyDescent="0.25">
      <c r="A2" s="306" t="s">
        <v>594</v>
      </c>
      <c r="B2" s="306"/>
      <c r="C2" s="306"/>
      <c r="D2" s="306"/>
      <c r="E2" s="306"/>
      <c r="F2" s="306"/>
      <c r="G2" s="306"/>
      <c r="H2" s="314"/>
      <c r="I2" s="13"/>
      <c r="J2" s="13"/>
      <c r="K2" s="13"/>
      <c r="L2" s="13"/>
    </row>
    <row r="3" spans="1:16" ht="15.75" thickBot="1" x14ac:dyDescent="0.3">
      <c r="A3" s="310"/>
      <c r="B3" s="310"/>
      <c r="C3" s="312"/>
      <c r="D3" s="309"/>
      <c r="E3" s="309"/>
      <c r="F3" s="309"/>
      <c r="G3" s="309"/>
      <c r="H3" s="315"/>
    </row>
    <row r="4" spans="1:16" s="12" customFormat="1" ht="14.45" customHeight="1" thickBot="1" x14ac:dyDescent="0.3">
      <c r="A4" s="313"/>
      <c r="B4" s="217" t="s">
        <v>595</v>
      </c>
      <c r="C4" s="218"/>
      <c r="D4" s="218"/>
      <c r="E4" s="218"/>
      <c r="F4" s="218"/>
      <c r="G4" s="218"/>
      <c r="H4" s="219"/>
    </row>
    <row r="5" spans="1:16" s="12" customFormat="1" ht="23.25" thickBot="1" x14ac:dyDescent="0.3">
      <c r="A5" s="313"/>
      <c r="B5" s="180" t="s">
        <v>69</v>
      </c>
      <c r="C5" s="180" t="s">
        <v>70</v>
      </c>
      <c r="D5" s="180" t="s">
        <v>596</v>
      </c>
      <c r="E5" s="175" t="s">
        <v>703</v>
      </c>
      <c r="F5" s="175" t="s">
        <v>704</v>
      </c>
      <c r="G5" s="175" t="s">
        <v>705</v>
      </c>
      <c r="H5" s="175" t="s">
        <v>706</v>
      </c>
    </row>
    <row r="6" spans="1:16" s="12" customFormat="1" ht="14.45" customHeight="1" thickBot="1" x14ac:dyDescent="0.3">
      <c r="A6" s="313"/>
      <c r="B6" s="227" t="s">
        <v>597</v>
      </c>
      <c r="C6" s="227">
        <v>107</v>
      </c>
      <c r="D6" s="227" t="s">
        <v>598</v>
      </c>
      <c r="E6" s="67" t="s">
        <v>51</v>
      </c>
      <c r="F6" s="177">
        <v>38575</v>
      </c>
      <c r="G6" s="177">
        <v>38596</v>
      </c>
      <c r="H6" s="227" t="s">
        <v>52</v>
      </c>
    </row>
    <row r="7" spans="1:16" s="12" customFormat="1" ht="14.45" customHeight="1" thickBot="1" x14ac:dyDescent="0.3">
      <c r="A7" s="313"/>
      <c r="B7" s="228"/>
      <c r="C7" s="228"/>
      <c r="D7" s="228"/>
      <c r="E7" s="67" t="s">
        <v>53</v>
      </c>
      <c r="F7" s="177">
        <v>39312</v>
      </c>
      <c r="G7" s="177">
        <v>39377</v>
      </c>
      <c r="H7" s="228"/>
    </row>
    <row r="8" spans="1:16" ht="14.45" customHeight="1" thickBot="1" x14ac:dyDescent="0.3">
      <c r="A8" s="313"/>
      <c r="B8" s="228"/>
      <c r="C8" s="228"/>
      <c r="D8" s="228"/>
      <c r="E8" s="67" t="s">
        <v>54</v>
      </c>
      <c r="F8" s="177">
        <v>40403</v>
      </c>
      <c r="G8" s="177">
        <v>40408</v>
      </c>
      <c r="H8" s="228"/>
      <c r="J8" s="232"/>
      <c r="K8" s="232"/>
      <c r="L8" s="232"/>
      <c r="M8" s="232"/>
      <c r="N8" s="232"/>
    </row>
    <row r="9" spans="1:16" ht="14.45" customHeight="1" thickBot="1" x14ac:dyDescent="0.3">
      <c r="A9" s="313"/>
      <c r="B9" s="228"/>
      <c r="C9" s="228"/>
      <c r="D9" s="228"/>
      <c r="E9" s="67" t="s">
        <v>55</v>
      </c>
      <c r="F9" s="177">
        <v>42124</v>
      </c>
      <c r="G9" s="177">
        <v>42157</v>
      </c>
      <c r="H9" s="228"/>
      <c r="J9" s="232"/>
      <c r="K9" s="232"/>
      <c r="L9" s="232"/>
      <c r="M9" s="232"/>
      <c r="N9" s="232"/>
    </row>
    <row r="10" spans="1:16" ht="14.45" customHeight="1" thickBot="1" x14ac:dyDescent="0.3">
      <c r="A10" s="313"/>
      <c r="B10" s="228"/>
      <c r="C10" s="228"/>
      <c r="D10" s="228"/>
      <c r="E10" s="67" t="s">
        <v>56</v>
      </c>
      <c r="F10" s="177">
        <v>42747</v>
      </c>
      <c r="G10" s="177">
        <v>43003</v>
      </c>
      <c r="H10" s="228"/>
      <c r="O10" s="14"/>
      <c r="P10" s="14"/>
    </row>
    <row r="11" spans="1:16" ht="14.45" customHeight="1" thickBot="1" x14ac:dyDescent="0.3">
      <c r="A11" s="313"/>
      <c r="B11" s="228"/>
      <c r="C11" s="229"/>
      <c r="D11" s="229"/>
      <c r="E11" s="67" t="s">
        <v>57</v>
      </c>
      <c r="F11" s="177">
        <v>43449</v>
      </c>
      <c r="G11" s="177">
        <v>43550</v>
      </c>
      <c r="H11" s="229"/>
    </row>
    <row r="12" spans="1:16" ht="14.45" customHeight="1" thickBot="1" x14ac:dyDescent="0.3">
      <c r="A12" s="313"/>
      <c r="B12" s="228"/>
      <c r="C12" s="227" t="s">
        <v>27</v>
      </c>
      <c r="D12" s="230" t="s">
        <v>58</v>
      </c>
      <c r="E12" s="67" t="s">
        <v>59</v>
      </c>
      <c r="F12" s="177">
        <v>39407</v>
      </c>
      <c r="G12" s="177">
        <v>39407</v>
      </c>
      <c r="H12" s="227" t="s">
        <v>599</v>
      </c>
    </row>
    <row r="13" spans="1:16" ht="20.45" customHeight="1" thickBot="1" x14ac:dyDescent="0.3">
      <c r="A13" s="313"/>
      <c r="B13" s="228"/>
      <c r="C13" s="229"/>
      <c r="D13" s="231"/>
      <c r="E13" s="67" t="s">
        <v>60</v>
      </c>
      <c r="F13" s="177">
        <v>42872</v>
      </c>
      <c r="G13" s="177">
        <v>42872</v>
      </c>
      <c r="H13" s="229"/>
    </row>
    <row r="14" spans="1:16" ht="44.25" customHeight="1" thickBot="1" x14ac:dyDescent="0.3">
      <c r="A14" s="313"/>
      <c r="B14" s="228"/>
      <c r="C14" s="227" t="s">
        <v>28</v>
      </c>
      <c r="D14" s="230" t="s">
        <v>61</v>
      </c>
      <c r="E14" s="67" t="s">
        <v>62</v>
      </c>
      <c r="F14" s="177">
        <v>39919</v>
      </c>
      <c r="G14" s="177">
        <v>39919</v>
      </c>
      <c r="H14" s="227" t="s">
        <v>599</v>
      </c>
    </row>
    <row r="15" spans="1:16" ht="15.75" thickBot="1" x14ac:dyDescent="0.3">
      <c r="A15" s="313"/>
      <c r="B15" s="229"/>
      <c r="C15" s="229"/>
      <c r="D15" s="231"/>
      <c r="E15" s="67" t="s">
        <v>63</v>
      </c>
      <c r="F15" s="177">
        <v>43063</v>
      </c>
      <c r="G15" s="177">
        <v>43063</v>
      </c>
      <c r="H15" s="229"/>
    </row>
    <row r="16" spans="1:16" ht="30" customHeight="1" thickBot="1" x14ac:dyDescent="0.3">
      <c r="A16" s="313"/>
      <c r="B16" s="227" t="s">
        <v>188</v>
      </c>
      <c r="C16" s="167" t="s">
        <v>10</v>
      </c>
      <c r="D16" s="179" t="s">
        <v>64</v>
      </c>
      <c r="E16" s="67" t="s">
        <v>65</v>
      </c>
      <c r="F16" s="177">
        <v>42996</v>
      </c>
      <c r="G16" s="177">
        <v>43017</v>
      </c>
      <c r="H16" s="167" t="s">
        <v>52</v>
      </c>
    </row>
    <row r="17" spans="1:14" ht="27" customHeight="1" thickBot="1" x14ac:dyDescent="0.3">
      <c r="A17" s="313"/>
      <c r="B17" s="228"/>
      <c r="C17" s="167" t="s">
        <v>11</v>
      </c>
      <c r="D17" s="179" t="s">
        <v>64</v>
      </c>
      <c r="E17" s="67" t="s">
        <v>66</v>
      </c>
      <c r="F17" s="177">
        <v>42996</v>
      </c>
      <c r="G17" s="177">
        <v>43017</v>
      </c>
      <c r="H17" s="167" t="s">
        <v>52</v>
      </c>
    </row>
    <row r="18" spans="1:14" ht="30.75" customHeight="1" thickBot="1" x14ac:dyDescent="0.3">
      <c r="A18" s="313"/>
      <c r="B18" s="229"/>
      <c r="C18" s="167" t="s">
        <v>12</v>
      </c>
      <c r="D18" s="179" t="s">
        <v>64</v>
      </c>
      <c r="E18" s="67" t="s">
        <v>67</v>
      </c>
      <c r="F18" s="177">
        <v>42996</v>
      </c>
      <c r="G18" s="177">
        <v>43017</v>
      </c>
      <c r="H18" s="167" t="s">
        <v>52</v>
      </c>
    </row>
    <row r="19" spans="1:14" ht="15.75" thickBot="1" x14ac:dyDescent="0.3">
      <c r="A19" s="313"/>
      <c r="B19" s="224" t="s">
        <v>600</v>
      </c>
      <c r="C19" s="233"/>
      <c r="D19" s="225"/>
      <c r="E19" s="217">
        <v>6</v>
      </c>
      <c r="F19" s="218"/>
      <c r="G19" s="218"/>
      <c r="H19" s="219"/>
    </row>
    <row r="20" spans="1:14" x14ac:dyDescent="0.25">
      <c r="A20" s="312"/>
      <c r="B20" s="310"/>
      <c r="C20" s="312"/>
      <c r="D20" s="309"/>
      <c r="E20" s="309"/>
      <c r="F20" s="309"/>
      <c r="G20" s="309"/>
      <c r="H20" s="315"/>
    </row>
    <row r="21" spans="1:14" x14ac:dyDescent="0.25">
      <c r="A21" s="310"/>
      <c r="B21" s="310"/>
      <c r="C21" s="312"/>
      <c r="D21" s="309"/>
      <c r="E21" s="309"/>
      <c r="F21" s="309"/>
      <c r="G21" s="309"/>
      <c r="H21" s="315"/>
      <c r="J21" s="223"/>
      <c r="K21" s="223"/>
      <c r="L21" s="223"/>
      <c r="M21" s="223"/>
      <c r="N21" s="223"/>
    </row>
    <row r="22" spans="1:14" x14ac:dyDescent="0.25">
      <c r="A22" s="310"/>
      <c r="B22" s="312" t="s">
        <v>24</v>
      </c>
      <c r="C22" s="312"/>
      <c r="D22" s="309"/>
      <c r="E22" s="309"/>
      <c r="F22" s="309"/>
      <c r="G22" s="309"/>
      <c r="H22" s="315"/>
      <c r="J22" s="223"/>
      <c r="K22" s="223"/>
      <c r="L22" s="223"/>
      <c r="M22" s="223"/>
      <c r="N22" s="223"/>
    </row>
    <row r="23" spans="1:14" x14ac:dyDescent="0.25">
      <c r="A23" s="310"/>
      <c r="B23" s="310"/>
      <c r="C23" s="312"/>
      <c r="D23" s="309"/>
      <c r="E23" s="309"/>
      <c r="F23" s="309"/>
      <c r="G23" s="309"/>
      <c r="H23" s="315"/>
    </row>
    <row r="24" spans="1:14" x14ac:dyDescent="0.25">
      <c r="A24" s="310"/>
      <c r="B24" s="310"/>
      <c r="C24" s="312"/>
      <c r="D24" s="309"/>
      <c r="E24" s="309"/>
      <c r="F24" s="309"/>
      <c r="G24" s="309"/>
      <c r="H24" s="315"/>
    </row>
    <row r="25" spans="1:14" x14ac:dyDescent="0.25">
      <c r="A25" s="310"/>
      <c r="B25" s="310"/>
      <c r="C25" s="312"/>
      <c r="D25" s="309"/>
      <c r="E25" s="309"/>
      <c r="F25" s="309"/>
      <c r="G25" s="309"/>
      <c r="H25" s="315"/>
    </row>
  </sheetData>
  <mergeCells count="17">
    <mergeCell ref="A2:G2"/>
    <mergeCell ref="C14:C15"/>
    <mergeCell ref="B16:B18"/>
    <mergeCell ref="J21:N22"/>
    <mergeCell ref="J8:N9"/>
    <mergeCell ref="B19:D19"/>
    <mergeCell ref="E19:H19"/>
    <mergeCell ref="B4:H4"/>
    <mergeCell ref="B6:B15"/>
    <mergeCell ref="C6:C11"/>
    <mergeCell ref="D6:D11"/>
    <mergeCell ref="H6:H11"/>
    <mergeCell ref="C12:C13"/>
    <mergeCell ref="D12:D13"/>
    <mergeCell ref="H12:H13"/>
    <mergeCell ref="D14:D15"/>
    <mergeCell ref="H14:H1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  <pageSetUpPr fitToPage="1"/>
  </sheetPr>
  <dimension ref="B2:G17"/>
  <sheetViews>
    <sheetView showGridLines="0" workbookViewId="0">
      <selection activeCell="F13" sqref="F13"/>
    </sheetView>
  </sheetViews>
  <sheetFormatPr baseColWidth="10" defaultRowHeight="14.45" customHeight="1" x14ac:dyDescent="0.25"/>
  <cols>
    <col min="2" max="2" width="19.42578125" style="6" customWidth="1"/>
    <col min="3" max="3" width="12.140625" style="5" bestFit="1" customWidth="1"/>
    <col min="4" max="4" width="32" style="5" customWidth="1"/>
    <col min="5" max="5" width="9.5703125" style="5" customWidth="1"/>
    <col min="6" max="6" width="12" style="5" customWidth="1"/>
  </cols>
  <sheetData>
    <row r="2" spans="2:7" ht="14.45" customHeight="1" x14ac:dyDescent="0.25">
      <c r="B2" s="316" t="s">
        <v>602</v>
      </c>
      <c r="C2" s="316"/>
      <c r="D2" s="316"/>
      <c r="E2" s="316"/>
      <c r="F2" s="316"/>
    </row>
    <row r="3" spans="2:7" ht="14.45" customHeight="1" x14ac:dyDescent="0.25">
      <c r="B3" s="317"/>
      <c r="C3" s="318"/>
      <c r="D3" s="318"/>
      <c r="E3" s="318"/>
      <c r="F3" s="318"/>
    </row>
    <row r="4" spans="2:7" s="12" customFormat="1" ht="14.45" customHeight="1" thickBot="1" x14ac:dyDescent="0.3">
      <c r="B4" s="320"/>
      <c r="C4" s="320"/>
      <c r="D4" s="320"/>
      <c r="E4" s="321"/>
      <c r="F4" s="321"/>
      <c r="G4" s="322"/>
    </row>
    <row r="5" spans="2:7" s="12" customFormat="1" ht="15.75" thickBot="1" x14ac:dyDescent="0.3">
      <c r="B5" s="217" t="s">
        <v>601</v>
      </c>
      <c r="C5" s="218"/>
      <c r="D5" s="218"/>
      <c r="E5" s="218"/>
      <c r="F5" s="219"/>
      <c r="G5" s="322"/>
    </row>
    <row r="6" spans="2:7" ht="19.5" customHeight="1" thickBot="1" x14ac:dyDescent="0.3">
      <c r="B6" s="95" t="s">
        <v>69</v>
      </c>
      <c r="C6" s="91" t="s">
        <v>70</v>
      </c>
      <c r="D6" s="91" t="s">
        <v>71</v>
      </c>
      <c r="E6" s="91" t="s">
        <v>72</v>
      </c>
      <c r="F6" s="91" t="s">
        <v>73</v>
      </c>
      <c r="G6" s="323"/>
    </row>
    <row r="7" spans="2:7" ht="20.25" customHeight="1" thickBot="1" x14ac:dyDescent="0.3">
      <c r="B7" s="105" t="s">
        <v>707</v>
      </c>
      <c r="C7" s="167" t="s">
        <v>1</v>
      </c>
      <c r="D7" s="167" t="s">
        <v>708</v>
      </c>
      <c r="E7" s="181" t="s">
        <v>25</v>
      </c>
      <c r="F7" s="182">
        <v>44699</v>
      </c>
      <c r="G7" s="323"/>
    </row>
    <row r="8" spans="2:7" ht="20.25" customHeight="1" thickBot="1" x14ac:dyDescent="0.3">
      <c r="B8" s="92" t="s">
        <v>29</v>
      </c>
      <c r="C8" s="210">
        <v>1</v>
      </c>
      <c r="D8" s="327"/>
      <c r="E8" s="327"/>
      <c r="F8" s="327"/>
      <c r="G8" s="323"/>
    </row>
    <row r="9" spans="2:7" ht="20.25" customHeight="1" x14ac:dyDescent="0.25">
      <c r="B9" s="324"/>
      <c r="C9" s="321"/>
      <c r="D9" s="321"/>
      <c r="E9" s="321"/>
      <c r="F9" s="321"/>
      <c r="G9" s="323"/>
    </row>
    <row r="10" spans="2:7" ht="20.25" customHeight="1" x14ac:dyDescent="0.25">
      <c r="B10" s="321"/>
      <c r="C10" s="321"/>
      <c r="D10" s="321"/>
      <c r="E10" s="321"/>
      <c r="F10" s="321"/>
      <c r="G10" s="323"/>
    </row>
    <row r="11" spans="2:7" ht="20.25" customHeight="1" x14ac:dyDescent="0.25">
      <c r="B11" s="321"/>
      <c r="C11" s="321"/>
      <c r="D11" s="321"/>
      <c r="E11" s="321"/>
      <c r="F11" s="321"/>
      <c r="G11" s="323"/>
    </row>
    <row r="12" spans="2:7" ht="20.25" customHeight="1" x14ac:dyDescent="0.25">
      <c r="B12" s="321"/>
      <c r="C12" s="321"/>
      <c r="D12" s="321"/>
      <c r="E12" s="321"/>
      <c r="F12" s="321"/>
      <c r="G12" s="323"/>
    </row>
    <row r="13" spans="2:7" ht="14.45" customHeight="1" x14ac:dyDescent="0.25">
      <c r="B13" s="321"/>
      <c r="C13" s="321"/>
      <c r="D13" s="321"/>
      <c r="E13" s="321"/>
      <c r="F13" s="321"/>
      <c r="G13" s="323"/>
    </row>
    <row r="14" spans="2:7" ht="14.45" customHeight="1" x14ac:dyDescent="0.25">
      <c r="B14" s="325"/>
      <c r="C14" s="326"/>
      <c r="D14" s="326"/>
      <c r="E14" s="326"/>
      <c r="F14" s="326"/>
      <c r="G14" s="323"/>
    </row>
    <row r="15" spans="2:7" ht="14.45" customHeight="1" x14ac:dyDescent="0.25">
      <c r="B15" s="325"/>
      <c r="C15" s="326"/>
      <c r="D15" s="326"/>
      <c r="E15" s="326"/>
      <c r="F15" s="326"/>
      <c r="G15" s="323"/>
    </row>
    <row r="16" spans="2:7" ht="14.45" customHeight="1" x14ac:dyDescent="0.25">
      <c r="C16" s="318"/>
      <c r="D16" s="318"/>
      <c r="E16" s="318"/>
      <c r="F16" s="318"/>
    </row>
    <row r="17" spans="2:6" ht="14.45" customHeight="1" x14ac:dyDescent="0.25">
      <c r="B17" s="317"/>
      <c r="C17" s="318"/>
      <c r="D17" s="318"/>
      <c r="E17" s="318"/>
      <c r="F17" s="318"/>
    </row>
  </sheetData>
  <mergeCells count="3">
    <mergeCell ref="B2:F2"/>
    <mergeCell ref="B4:D4"/>
    <mergeCell ref="B5:F5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499984740745262"/>
    <pageSetUpPr fitToPage="1"/>
  </sheetPr>
  <dimension ref="A2:M31"/>
  <sheetViews>
    <sheetView showGridLines="0" zoomScaleNormal="100" workbookViewId="0">
      <selection activeCell="G30" sqref="G30"/>
    </sheetView>
  </sheetViews>
  <sheetFormatPr baseColWidth="10" defaultColWidth="9.5703125" defaultRowHeight="14.45" customHeight="1" x14ac:dyDescent="0.25"/>
  <cols>
    <col min="1" max="1" width="10.5703125" style="1" customWidth="1"/>
    <col min="2" max="2" width="9.5703125" style="3" customWidth="1"/>
    <col min="3" max="3" width="11.28515625" style="3" customWidth="1"/>
    <col min="4" max="11" width="9.5703125" style="3"/>
    <col min="12" max="12" width="10.42578125" style="3" customWidth="1"/>
    <col min="13" max="16384" width="9.5703125" style="3"/>
  </cols>
  <sheetData>
    <row r="2" spans="1:13" ht="14.45" customHeight="1" thickBot="1" x14ac:dyDescent="0.25">
      <c r="A2" s="316" t="s">
        <v>603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</row>
    <row r="3" spans="1:13" ht="12" thickBot="1" x14ac:dyDescent="0.3">
      <c r="A3" s="217" t="s">
        <v>605</v>
      </c>
      <c r="B3" s="218"/>
      <c r="C3" s="218"/>
      <c r="D3" s="218"/>
      <c r="E3" s="218"/>
      <c r="F3" s="218"/>
      <c r="G3" s="218"/>
      <c r="H3" s="218"/>
      <c r="I3" s="218"/>
      <c r="J3" s="218"/>
      <c r="K3" s="219"/>
    </row>
    <row r="4" spans="1:13" ht="12" thickBot="1" x14ac:dyDescent="0.3">
      <c r="A4" s="90" t="s">
        <v>586</v>
      </c>
      <c r="B4" s="91" t="s">
        <v>70</v>
      </c>
      <c r="C4" s="91">
        <v>2014</v>
      </c>
      <c r="D4" s="91">
        <v>2015</v>
      </c>
      <c r="E4" s="91">
        <v>2016</v>
      </c>
      <c r="F4" s="91">
        <v>2017</v>
      </c>
      <c r="G4" s="91">
        <v>2018</v>
      </c>
      <c r="H4" s="91">
        <v>2019</v>
      </c>
      <c r="I4" s="91">
        <v>2020</v>
      </c>
      <c r="J4" s="91">
        <v>2021</v>
      </c>
      <c r="K4" s="91">
        <v>2022</v>
      </c>
      <c r="L4" s="183"/>
    </row>
    <row r="5" spans="1:13" ht="23.25" thickBot="1" x14ac:dyDescent="0.3">
      <c r="A5" s="98" t="s">
        <v>531</v>
      </c>
      <c r="B5" s="67" t="s">
        <v>75</v>
      </c>
      <c r="C5" s="67">
        <v>25</v>
      </c>
      <c r="D5" s="67">
        <v>2</v>
      </c>
      <c r="E5" s="67" t="s">
        <v>2</v>
      </c>
      <c r="F5" s="67" t="s">
        <v>2</v>
      </c>
      <c r="G5" s="67" t="s">
        <v>2</v>
      </c>
      <c r="H5" s="67" t="s">
        <v>2</v>
      </c>
      <c r="I5" s="67" t="s">
        <v>2</v>
      </c>
      <c r="J5" s="67" t="s">
        <v>2</v>
      </c>
      <c r="K5" s="67" t="s">
        <v>2</v>
      </c>
      <c r="L5" s="183"/>
    </row>
    <row r="6" spans="1:13" ht="23.25" thickBot="1" x14ac:dyDescent="0.3">
      <c r="A6" s="98" t="s">
        <v>76</v>
      </c>
      <c r="B6" s="67" t="s">
        <v>77</v>
      </c>
      <c r="C6" s="67" t="s">
        <v>2</v>
      </c>
      <c r="D6" s="67" t="s">
        <v>2</v>
      </c>
      <c r="E6" s="67" t="s">
        <v>2</v>
      </c>
      <c r="F6" s="67" t="s">
        <v>2</v>
      </c>
      <c r="G6" s="67" t="s">
        <v>2</v>
      </c>
      <c r="H6" s="67">
        <v>4</v>
      </c>
      <c r="I6" s="67">
        <v>2</v>
      </c>
      <c r="J6" s="67">
        <v>3</v>
      </c>
      <c r="K6" s="67" t="s">
        <v>2</v>
      </c>
    </row>
    <row r="7" spans="1:13" ht="23.25" thickBot="1" x14ac:dyDescent="0.3">
      <c r="A7" s="98" t="s">
        <v>531</v>
      </c>
      <c r="B7" s="67" t="s">
        <v>36</v>
      </c>
      <c r="C7" s="67" t="s">
        <v>2</v>
      </c>
      <c r="D7" s="67" t="s">
        <v>2</v>
      </c>
      <c r="E7" s="67" t="s">
        <v>2</v>
      </c>
      <c r="F7" s="67" t="s">
        <v>2</v>
      </c>
      <c r="G7" s="67" t="s">
        <v>2</v>
      </c>
      <c r="H7" s="67" t="s">
        <v>2</v>
      </c>
      <c r="I7" s="67" t="s">
        <v>2</v>
      </c>
      <c r="J7" s="67" t="s">
        <v>2</v>
      </c>
      <c r="K7" s="67">
        <v>20</v>
      </c>
    </row>
    <row r="8" spans="1:13" ht="23.25" thickBot="1" x14ac:dyDescent="0.25">
      <c r="A8" s="98" t="s">
        <v>531</v>
      </c>
      <c r="B8" s="67" t="s">
        <v>35</v>
      </c>
      <c r="C8" s="67" t="s">
        <v>2</v>
      </c>
      <c r="D8" s="67" t="s">
        <v>2</v>
      </c>
      <c r="E8" s="67">
        <v>11</v>
      </c>
      <c r="F8" s="67">
        <v>22</v>
      </c>
      <c r="G8" s="67">
        <v>33</v>
      </c>
      <c r="H8" s="67">
        <v>33</v>
      </c>
      <c r="I8" s="67">
        <v>18</v>
      </c>
      <c r="J8" s="67">
        <v>15</v>
      </c>
      <c r="K8" s="67">
        <v>49</v>
      </c>
      <c r="L8" s="5"/>
    </row>
    <row r="9" spans="1:13" ht="23.25" thickBot="1" x14ac:dyDescent="0.3">
      <c r="A9" s="98" t="s">
        <v>531</v>
      </c>
      <c r="B9" s="67" t="s">
        <v>78</v>
      </c>
      <c r="C9" s="67">
        <v>1</v>
      </c>
      <c r="D9" s="67">
        <v>1</v>
      </c>
      <c r="E9" s="67" t="s">
        <v>2</v>
      </c>
      <c r="F9" s="67" t="s">
        <v>2</v>
      </c>
      <c r="G9" s="67" t="s">
        <v>2</v>
      </c>
      <c r="H9" s="67" t="s">
        <v>2</v>
      </c>
      <c r="I9" s="67" t="s">
        <v>2</v>
      </c>
      <c r="J9" s="67" t="s">
        <v>2</v>
      </c>
      <c r="K9" s="67" t="s">
        <v>2</v>
      </c>
      <c r="L9" s="14"/>
      <c r="M9" s="14"/>
    </row>
    <row r="10" spans="1:13" ht="12" thickBot="1" x14ac:dyDescent="0.25">
      <c r="A10" s="98" t="s">
        <v>79</v>
      </c>
      <c r="B10" s="67" t="s">
        <v>80</v>
      </c>
      <c r="C10" s="67" t="s">
        <v>2</v>
      </c>
      <c r="D10" s="67" t="s">
        <v>2</v>
      </c>
      <c r="E10" s="67">
        <v>23</v>
      </c>
      <c r="F10" s="67">
        <v>16</v>
      </c>
      <c r="G10" s="67">
        <v>18</v>
      </c>
      <c r="H10" s="67">
        <v>22</v>
      </c>
      <c r="I10" s="67" t="s">
        <v>2</v>
      </c>
      <c r="J10" s="67">
        <v>41</v>
      </c>
      <c r="K10" s="67" t="s">
        <v>2</v>
      </c>
      <c r="L10" s="5"/>
    </row>
    <row r="11" spans="1:13" ht="12" thickBot="1" x14ac:dyDescent="0.25">
      <c r="A11" s="98" t="s">
        <v>19</v>
      </c>
      <c r="B11" s="67" t="s">
        <v>37</v>
      </c>
      <c r="C11" s="67">
        <v>1</v>
      </c>
      <c r="D11" s="67">
        <v>62</v>
      </c>
      <c r="E11" s="67" t="s">
        <v>2</v>
      </c>
      <c r="F11" s="67">
        <v>92</v>
      </c>
      <c r="G11" s="67">
        <v>112</v>
      </c>
      <c r="H11" s="67">
        <v>118</v>
      </c>
      <c r="I11" s="67">
        <v>15</v>
      </c>
      <c r="J11" s="67">
        <v>44</v>
      </c>
      <c r="K11" s="67">
        <v>10</v>
      </c>
      <c r="L11" s="5"/>
    </row>
    <row r="12" spans="1:13" ht="12" thickBot="1" x14ac:dyDescent="0.25">
      <c r="A12" s="98" t="s">
        <v>38</v>
      </c>
      <c r="B12" s="67" t="s">
        <v>6</v>
      </c>
      <c r="C12" s="67">
        <v>43</v>
      </c>
      <c r="D12" s="67">
        <v>11</v>
      </c>
      <c r="E12" s="67">
        <v>8</v>
      </c>
      <c r="F12" s="67">
        <v>5</v>
      </c>
      <c r="G12" s="67">
        <v>6</v>
      </c>
      <c r="H12" s="67">
        <v>9</v>
      </c>
      <c r="I12" s="67">
        <v>2</v>
      </c>
      <c r="J12" s="67">
        <v>3</v>
      </c>
      <c r="K12" s="67">
        <v>8</v>
      </c>
      <c r="L12" s="5"/>
    </row>
    <row r="13" spans="1:13" ht="23.25" thickBot="1" x14ac:dyDescent="0.25">
      <c r="A13" s="98" t="s">
        <v>76</v>
      </c>
      <c r="B13" s="67" t="s">
        <v>81</v>
      </c>
      <c r="C13" s="67" t="s">
        <v>2</v>
      </c>
      <c r="D13" s="67" t="s">
        <v>2</v>
      </c>
      <c r="E13" s="67" t="s">
        <v>2</v>
      </c>
      <c r="F13" s="67" t="s">
        <v>2</v>
      </c>
      <c r="G13" s="67" t="s">
        <v>2</v>
      </c>
      <c r="H13" s="67">
        <v>1</v>
      </c>
      <c r="I13" s="67" t="s">
        <v>2</v>
      </c>
      <c r="J13" s="67" t="s">
        <v>2</v>
      </c>
      <c r="K13" s="67" t="s">
        <v>2</v>
      </c>
      <c r="L13" s="5"/>
    </row>
    <row r="14" spans="1:13" ht="12" thickBot="1" x14ac:dyDescent="0.25">
      <c r="A14" s="215" t="s">
        <v>587</v>
      </c>
      <c r="B14" s="216"/>
      <c r="C14" s="119">
        <v>70</v>
      </c>
      <c r="D14" s="119">
        <v>76</v>
      </c>
      <c r="E14" s="119">
        <v>42</v>
      </c>
      <c r="F14" s="119">
        <v>135</v>
      </c>
      <c r="G14" s="119">
        <v>169</v>
      </c>
      <c r="H14" s="119">
        <v>187</v>
      </c>
      <c r="I14" s="119">
        <v>37</v>
      </c>
      <c r="J14" s="119">
        <v>107</v>
      </c>
      <c r="K14" s="119">
        <v>87</v>
      </c>
      <c r="L14" s="5"/>
    </row>
    <row r="15" spans="1:13" ht="12" thickBot="1" x14ac:dyDescent="0.25">
      <c r="A15" s="98" t="s">
        <v>43</v>
      </c>
      <c r="B15" s="67" t="s">
        <v>44</v>
      </c>
      <c r="C15" s="67">
        <v>13</v>
      </c>
      <c r="D15" s="67" t="s">
        <v>2</v>
      </c>
      <c r="E15" s="67" t="s">
        <v>2</v>
      </c>
      <c r="F15" s="67" t="s">
        <v>2</v>
      </c>
      <c r="G15" s="67" t="s">
        <v>2</v>
      </c>
      <c r="H15" s="67" t="s">
        <v>2</v>
      </c>
      <c r="I15" s="67" t="s">
        <v>2</v>
      </c>
      <c r="J15" s="67" t="s">
        <v>2</v>
      </c>
      <c r="K15" s="67" t="s">
        <v>2</v>
      </c>
      <c r="L15" s="5"/>
    </row>
    <row r="16" spans="1:13" ht="12" thickBot="1" x14ac:dyDescent="0.25">
      <c r="A16" s="98" t="s">
        <v>30</v>
      </c>
      <c r="B16" s="67" t="s">
        <v>31</v>
      </c>
      <c r="C16" s="67">
        <v>9</v>
      </c>
      <c r="D16" s="67">
        <v>3</v>
      </c>
      <c r="E16" s="67" t="s">
        <v>2</v>
      </c>
      <c r="F16" s="67" t="s">
        <v>2</v>
      </c>
      <c r="G16" s="67" t="s">
        <v>2</v>
      </c>
      <c r="H16" s="67" t="s">
        <v>2</v>
      </c>
      <c r="I16" s="67" t="s">
        <v>2</v>
      </c>
      <c r="J16" s="67" t="s">
        <v>2</v>
      </c>
      <c r="K16" s="67" t="s">
        <v>2</v>
      </c>
      <c r="L16" s="5"/>
    </row>
    <row r="17" spans="1:12" ht="12" thickBot="1" x14ac:dyDescent="0.25">
      <c r="A17" s="215" t="s">
        <v>604</v>
      </c>
      <c r="B17" s="216"/>
      <c r="C17" s="119">
        <v>22</v>
      </c>
      <c r="D17" s="119">
        <v>3</v>
      </c>
      <c r="E17" s="119">
        <v>0</v>
      </c>
      <c r="F17" s="119">
        <v>0</v>
      </c>
      <c r="G17" s="119">
        <v>0</v>
      </c>
      <c r="H17" s="119">
        <v>0</v>
      </c>
      <c r="I17" s="119">
        <v>0</v>
      </c>
      <c r="J17" s="119">
        <v>0</v>
      </c>
      <c r="K17" s="119">
        <v>0</v>
      </c>
      <c r="L17" s="5"/>
    </row>
    <row r="18" spans="1:12" ht="12" thickBot="1" x14ac:dyDescent="0.25">
      <c r="A18" s="98" t="s">
        <v>22</v>
      </c>
      <c r="B18" s="67">
        <v>8</v>
      </c>
      <c r="C18" s="67">
        <v>3</v>
      </c>
      <c r="D18" s="67" t="s">
        <v>2</v>
      </c>
      <c r="E18" s="67" t="s">
        <v>2</v>
      </c>
      <c r="F18" s="67" t="s">
        <v>2</v>
      </c>
      <c r="G18" s="67" t="s">
        <v>2</v>
      </c>
      <c r="H18" s="67" t="s">
        <v>2</v>
      </c>
      <c r="I18" s="67" t="s">
        <v>2</v>
      </c>
      <c r="J18" s="67" t="s">
        <v>2</v>
      </c>
      <c r="K18" s="67" t="s">
        <v>2</v>
      </c>
      <c r="L18" s="5"/>
    </row>
    <row r="19" spans="1:12" ht="12" thickBot="1" x14ac:dyDescent="0.25">
      <c r="A19" s="98" t="s">
        <v>23</v>
      </c>
      <c r="B19" s="67">
        <v>57</v>
      </c>
      <c r="C19" s="67" t="s">
        <v>2</v>
      </c>
      <c r="D19" s="67" t="s">
        <v>2</v>
      </c>
      <c r="E19" s="67">
        <v>2</v>
      </c>
      <c r="F19" s="67" t="s">
        <v>2</v>
      </c>
      <c r="G19" s="67" t="s">
        <v>2</v>
      </c>
      <c r="H19" s="67" t="s">
        <v>2</v>
      </c>
      <c r="I19" s="67" t="s">
        <v>2</v>
      </c>
      <c r="J19" s="67" t="s">
        <v>2</v>
      </c>
      <c r="K19" s="67" t="s">
        <v>2</v>
      </c>
      <c r="L19" s="5"/>
    </row>
    <row r="20" spans="1:12" ht="12" thickBot="1" x14ac:dyDescent="0.25">
      <c r="A20" s="98" t="s">
        <v>86</v>
      </c>
      <c r="B20" s="67">
        <v>67</v>
      </c>
      <c r="C20" s="67">
        <v>4</v>
      </c>
      <c r="D20" s="67">
        <v>1</v>
      </c>
      <c r="E20" s="67" t="s">
        <v>2</v>
      </c>
      <c r="F20" s="67" t="s">
        <v>2</v>
      </c>
      <c r="G20" s="67" t="s">
        <v>2</v>
      </c>
      <c r="H20" s="67" t="s">
        <v>2</v>
      </c>
      <c r="I20" s="67" t="s">
        <v>2</v>
      </c>
      <c r="J20" s="67" t="s">
        <v>2</v>
      </c>
      <c r="K20" s="67" t="s">
        <v>2</v>
      </c>
      <c r="L20" s="5"/>
    </row>
    <row r="21" spans="1:12" ht="12" thickBot="1" x14ac:dyDescent="0.25">
      <c r="A21" s="98" t="s">
        <v>20</v>
      </c>
      <c r="B21" s="67">
        <v>131</v>
      </c>
      <c r="C21" s="67" t="s">
        <v>2</v>
      </c>
      <c r="D21" s="67" t="s">
        <v>2</v>
      </c>
      <c r="E21" s="67" t="s">
        <v>2</v>
      </c>
      <c r="F21" s="67" t="s">
        <v>2</v>
      </c>
      <c r="G21" s="67">
        <v>1</v>
      </c>
      <c r="H21" s="67" t="s">
        <v>2</v>
      </c>
      <c r="I21" s="67" t="s">
        <v>2</v>
      </c>
      <c r="J21" s="67" t="s">
        <v>2</v>
      </c>
      <c r="K21" s="67" t="s">
        <v>2</v>
      </c>
      <c r="L21" s="5"/>
    </row>
    <row r="22" spans="1:12" ht="12" thickBot="1" x14ac:dyDescent="0.25">
      <c r="A22" s="98" t="s">
        <v>49</v>
      </c>
      <c r="B22" s="67">
        <v>95</v>
      </c>
      <c r="C22" s="67">
        <v>1</v>
      </c>
      <c r="D22" s="67" t="s">
        <v>2</v>
      </c>
      <c r="E22" s="67" t="s">
        <v>2</v>
      </c>
      <c r="F22" s="67" t="s">
        <v>2</v>
      </c>
      <c r="G22" s="67" t="s">
        <v>2</v>
      </c>
      <c r="H22" s="67" t="s">
        <v>2</v>
      </c>
      <c r="I22" s="67">
        <v>1</v>
      </c>
      <c r="J22" s="67">
        <v>3</v>
      </c>
      <c r="K22" s="67">
        <v>4</v>
      </c>
      <c r="L22" s="5"/>
    </row>
    <row r="23" spans="1:12" ht="12" thickBot="1" x14ac:dyDescent="0.25">
      <c r="A23" s="215" t="s">
        <v>589</v>
      </c>
      <c r="B23" s="216"/>
      <c r="C23" s="119">
        <v>8</v>
      </c>
      <c r="D23" s="119">
        <v>1</v>
      </c>
      <c r="E23" s="119">
        <v>2</v>
      </c>
      <c r="F23" s="119">
        <v>0</v>
      </c>
      <c r="G23" s="119">
        <v>1</v>
      </c>
      <c r="H23" s="119">
        <v>0</v>
      </c>
      <c r="I23" s="119">
        <v>1</v>
      </c>
      <c r="J23" s="119">
        <v>3</v>
      </c>
      <c r="K23" s="119">
        <v>4</v>
      </c>
      <c r="L23" s="5"/>
    </row>
    <row r="24" spans="1:12" ht="12" thickBot="1" x14ac:dyDescent="0.25">
      <c r="A24" s="224" t="s">
        <v>590</v>
      </c>
      <c r="B24" s="225"/>
      <c r="C24" s="93">
        <v>100</v>
      </c>
      <c r="D24" s="93">
        <v>80</v>
      </c>
      <c r="E24" s="93">
        <v>44</v>
      </c>
      <c r="F24" s="93">
        <v>135</v>
      </c>
      <c r="G24" s="93">
        <v>170</v>
      </c>
      <c r="H24" s="93">
        <v>187</v>
      </c>
      <c r="I24" s="93">
        <v>38</v>
      </c>
      <c r="J24" s="93">
        <v>109</v>
      </c>
      <c r="K24" s="93">
        <v>91</v>
      </c>
      <c r="L24" s="5"/>
    </row>
    <row r="25" spans="1:12" ht="14.45" customHeight="1" x14ac:dyDescent="0.2">
      <c r="A25" s="328"/>
      <c r="B25" s="328"/>
      <c r="C25" s="309"/>
      <c r="D25" s="309"/>
      <c r="E25" s="309"/>
      <c r="F25" s="309"/>
      <c r="G25" s="309"/>
      <c r="H25" s="309"/>
      <c r="I25" s="329"/>
      <c r="J25" s="318"/>
      <c r="K25" s="318"/>
      <c r="L25" s="5"/>
    </row>
    <row r="26" spans="1:12" ht="14.45" customHeight="1" x14ac:dyDescent="0.2">
      <c r="A26" s="328"/>
      <c r="B26" s="328"/>
      <c r="C26" s="309"/>
      <c r="D26" s="312"/>
      <c r="E26" s="312"/>
      <c r="F26" s="309"/>
      <c r="G26" s="309"/>
      <c r="H26" s="309"/>
      <c r="I26" s="329"/>
      <c r="J26" s="318"/>
      <c r="K26" s="318"/>
      <c r="L26" s="5"/>
    </row>
    <row r="27" spans="1:12" ht="14.45" customHeight="1" x14ac:dyDescent="0.2">
      <c r="A27" s="312" t="s">
        <v>250</v>
      </c>
      <c r="B27" s="309"/>
      <c r="C27" s="309"/>
      <c r="D27" s="309"/>
      <c r="E27" s="330"/>
      <c r="F27" s="330"/>
      <c r="G27" s="330"/>
      <c r="H27" s="330"/>
      <c r="I27" s="330"/>
      <c r="J27" s="330"/>
      <c r="K27" s="330"/>
      <c r="L27" s="5"/>
    </row>
    <row r="28" spans="1:12" ht="14.45" customHeight="1" x14ac:dyDescent="0.2">
      <c r="A28" s="318"/>
      <c r="B28" s="318"/>
      <c r="C28" s="318"/>
      <c r="D28" s="318"/>
      <c r="E28" s="330"/>
      <c r="F28" s="330"/>
      <c r="G28" s="330"/>
      <c r="H28" s="330"/>
      <c r="I28" s="330"/>
      <c r="J28" s="330"/>
      <c r="K28" s="330"/>
      <c r="L28" s="5"/>
    </row>
    <row r="29" spans="1:12" ht="14.45" customHeight="1" x14ac:dyDescent="0.2">
      <c r="A29" s="329"/>
      <c r="B29" s="329"/>
      <c r="C29" s="318"/>
      <c r="D29" s="318"/>
      <c r="E29" s="330"/>
      <c r="F29" s="330"/>
      <c r="G29" s="330"/>
      <c r="H29" s="330"/>
      <c r="I29" s="330"/>
      <c r="J29" s="330"/>
      <c r="K29" s="330"/>
      <c r="L29" s="5"/>
    </row>
    <row r="30" spans="1:12" ht="14.45" customHeight="1" x14ac:dyDescent="0.25">
      <c r="A30" s="312"/>
      <c r="B30" s="309"/>
      <c r="C30" s="309"/>
      <c r="D30" s="309"/>
      <c r="E30" s="309"/>
      <c r="F30" s="309"/>
      <c r="G30" s="309"/>
      <c r="H30" s="309"/>
      <c r="I30" s="309"/>
      <c r="J30" s="309"/>
      <c r="K30" s="309"/>
    </row>
    <row r="31" spans="1:12" ht="14.45" customHeight="1" x14ac:dyDescent="0.25">
      <c r="A31" s="312"/>
      <c r="B31" s="309"/>
      <c r="C31" s="309"/>
      <c r="D31" s="309"/>
      <c r="E31" s="309"/>
      <c r="F31" s="309"/>
      <c r="G31" s="309"/>
      <c r="H31" s="309"/>
      <c r="I31" s="309"/>
      <c r="J31" s="309"/>
      <c r="K31" s="309"/>
    </row>
  </sheetData>
  <mergeCells count="7">
    <mergeCell ref="A2:K2"/>
    <mergeCell ref="E27:K29"/>
    <mergeCell ref="A3:K3"/>
    <mergeCell ref="A14:B14"/>
    <mergeCell ref="A17:B17"/>
    <mergeCell ref="A23:B23"/>
    <mergeCell ref="A24:B24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499984740745262"/>
    <pageSetUpPr fitToPage="1"/>
  </sheetPr>
  <dimension ref="B1:P135"/>
  <sheetViews>
    <sheetView showGridLines="0" topLeftCell="B100" zoomScale="80" zoomScaleNormal="80" workbookViewId="0">
      <selection activeCell="G27" sqref="G27:G28"/>
    </sheetView>
  </sheetViews>
  <sheetFormatPr baseColWidth="10" defaultColWidth="11.42578125" defaultRowHeight="14.45" customHeight="1" x14ac:dyDescent="0.25"/>
  <cols>
    <col min="1" max="1" width="11.42578125" style="3"/>
    <col min="2" max="2" width="11.42578125" style="2"/>
    <col min="3" max="3" width="39.85546875" style="1" customWidth="1"/>
    <col min="4" max="4" width="21.5703125" style="3" bestFit="1" customWidth="1"/>
    <col min="5" max="6" width="25.7109375" style="3" bestFit="1" customWidth="1"/>
    <col min="7" max="7" width="19" style="2" customWidth="1"/>
    <col min="8" max="13" width="11.42578125" style="3"/>
    <col min="14" max="14" width="14.28515625" style="3" customWidth="1"/>
    <col min="15" max="16384" width="11.42578125" style="3"/>
  </cols>
  <sheetData>
    <row r="1" spans="2:12" ht="14.45" customHeight="1" x14ac:dyDescent="0.25">
      <c r="B1" s="310"/>
      <c r="C1" s="312"/>
      <c r="D1" s="309"/>
      <c r="E1" s="309"/>
      <c r="F1" s="309"/>
      <c r="G1" s="310"/>
    </row>
    <row r="2" spans="2:12" ht="14.45" customHeight="1" x14ac:dyDescent="0.2">
      <c r="B2" s="316" t="s">
        <v>606</v>
      </c>
      <c r="C2" s="316"/>
      <c r="D2" s="316"/>
      <c r="E2" s="316"/>
      <c r="F2" s="316"/>
      <c r="G2" s="316"/>
    </row>
    <row r="3" spans="2:12" ht="14.45" customHeight="1" thickBot="1" x14ac:dyDescent="0.25">
      <c r="B3" s="332"/>
      <c r="C3" s="332"/>
      <c r="D3" s="332"/>
      <c r="E3" s="332"/>
      <c r="F3" s="332"/>
      <c r="G3" s="332"/>
    </row>
    <row r="4" spans="2:12" s="2" customFormat="1" ht="12" thickBot="1" x14ac:dyDescent="0.3">
      <c r="B4" s="217" t="s">
        <v>607</v>
      </c>
      <c r="C4" s="218"/>
      <c r="D4" s="218"/>
      <c r="E4" s="218"/>
      <c r="F4" s="218"/>
      <c r="G4" s="219"/>
    </row>
    <row r="5" spans="2:12" s="2" customFormat="1" ht="11.25" x14ac:dyDescent="0.25">
      <c r="B5" s="240" t="s">
        <v>70</v>
      </c>
      <c r="C5" s="242" t="s">
        <v>596</v>
      </c>
      <c r="D5" s="111" t="s">
        <v>608</v>
      </c>
      <c r="E5" s="240" t="s">
        <v>610</v>
      </c>
      <c r="F5" s="240" t="s">
        <v>611</v>
      </c>
      <c r="G5" s="240" t="s">
        <v>612</v>
      </c>
    </row>
    <row r="6" spans="2:12" s="2" customFormat="1" ht="12" thickBot="1" x14ac:dyDescent="0.3">
      <c r="B6" s="241"/>
      <c r="C6" s="243"/>
      <c r="D6" s="91" t="s">
        <v>609</v>
      </c>
      <c r="E6" s="241"/>
      <c r="F6" s="241"/>
      <c r="G6" s="241"/>
    </row>
    <row r="7" spans="2:12" s="2" customFormat="1" ht="23.25" thickBot="1" x14ac:dyDescent="0.3">
      <c r="B7" s="105" t="s">
        <v>613</v>
      </c>
      <c r="C7" s="179" t="s">
        <v>253</v>
      </c>
      <c r="D7" s="67" t="s">
        <v>254</v>
      </c>
      <c r="E7" s="177">
        <v>44555</v>
      </c>
      <c r="F7" s="177">
        <v>44554</v>
      </c>
      <c r="G7" s="182" t="s">
        <v>711</v>
      </c>
    </row>
    <row r="8" spans="2:12" s="2" customFormat="1" ht="12" thickBot="1" x14ac:dyDescent="0.3">
      <c r="B8" s="227" t="s">
        <v>77</v>
      </c>
      <c r="C8" s="230" t="s">
        <v>88</v>
      </c>
      <c r="D8" s="67" t="s">
        <v>286</v>
      </c>
      <c r="E8" s="177">
        <v>35044</v>
      </c>
      <c r="F8" s="177">
        <v>35069</v>
      </c>
      <c r="G8" s="227" t="s">
        <v>52</v>
      </c>
    </row>
    <row r="9" spans="2:12" s="2" customFormat="1" ht="12" thickBot="1" x14ac:dyDescent="0.3">
      <c r="B9" s="228"/>
      <c r="C9" s="244"/>
      <c r="D9" s="67" t="s">
        <v>285</v>
      </c>
      <c r="E9" s="177">
        <v>35676</v>
      </c>
      <c r="F9" s="177">
        <v>35704</v>
      </c>
      <c r="G9" s="228"/>
    </row>
    <row r="10" spans="2:12" s="2" customFormat="1" ht="12" thickBot="1" x14ac:dyDescent="0.3">
      <c r="B10" s="228"/>
      <c r="C10" s="244"/>
      <c r="D10" s="67" t="s">
        <v>284</v>
      </c>
      <c r="E10" s="177">
        <v>36393</v>
      </c>
      <c r="F10" s="177">
        <v>36467</v>
      </c>
      <c r="G10" s="228"/>
    </row>
    <row r="11" spans="2:12" s="2" customFormat="1" ht="12" thickBot="1" x14ac:dyDescent="0.3">
      <c r="B11" s="228"/>
      <c r="C11" s="244"/>
      <c r="D11" s="67" t="s">
        <v>287</v>
      </c>
      <c r="E11" s="177">
        <v>38141</v>
      </c>
      <c r="F11" s="177">
        <v>38154</v>
      </c>
      <c r="G11" s="228"/>
    </row>
    <row r="12" spans="2:12" s="2" customFormat="1" ht="12" thickBot="1" x14ac:dyDescent="0.3">
      <c r="B12" s="228"/>
      <c r="C12" s="244"/>
      <c r="D12" s="67" t="s">
        <v>288</v>
      </c>
      <c r="E12" s="177">
        <v>38386</v>
      </c>
      <c r="F12" s="177">
        <v>38412</v>
      </c>
      <c r="G12" s="228"/>
    </row>
    <row r="13" spans="2:12" s="2" customFormat="1" ht="12" thickBot="1" x14ac:dyDescent="0.3">
      <c r="B13" s="228"/>
      <c r="C13" s="244"/>
      <c r="D13" s="67" t="s">
        <v>89</v>
      </c>
      <c r="E13" s="177">
        <v>38575</v>
      </c>
      <c r="F13" s="177">
        <v>38589</v>
      </c>
      <c r="G13" s="228"/>
      <c r="L13" s="24"/>
    </row>
    <row r="14" spans="2:12" s="2" customFormat="1" ht="12" thickBot="1" x14ac:dyDescent="0.3">
      <c r="B14" s="229"/>
      <c r="C14" s="231"/>
      <c r="D14" s="67" t="s">
        <v>90</v>
      </c>
      <c r="E14" s="177">
        <v>42204</v>
      </c>
      <c r="F14" s="177">
        <v>42226</v>
      </c>
      <c r="G14" s="229"/>
      <c r="L14" s="24"/>
    </row>
    <row r="15" spans="2:12" s="2" customFormat="1" ht="12" thickBot="1" x14ac:dyDescent="0.3">
      <c r="B15" s="105" t="s">
        <v>36</v>
      </c>
      <c r="C15" s="179" t="s">
        <v>614</v>
      </c>
      <c r="D15" s="67" t="s">
        <v>91</v>
      </c>
      <c r="E15" s="177">
        <v>42094</v>
      </c>
      <c r="F15" s="177">
        <v>42095</v>
      </c>
      <c r="G15" s="167" t="s">
        <v>52</v>
      </c>
      <c r="L15" s="24"/>
    </row>
    <row r="16" spans="2:12" ht="12" thickBot="1" x14ac:dyDescent="0.3">
      <c r="B16" s="105" t="s">
        <v>35</v>
      </c>
      <c r="C16" s="179" t="s">
        <v>614</v>
      </c>
      <c r="D16" s="67" t="s">
        <v>92</v>
      </c>
      <c r="E16" s="177">
        <v>42094</v>
      </c>
      <c r="F16" s="177">
        <v>42095</v>
      </c>
      <c r="G16" s="167" t="s">
        <v>52</v>
      </c>
    </row>
    <row r="17" spans="2:16" ht="12.75" thickBot="1" x14ac:dyDescent="0.3">
      <c r="B17" s="227" t="s">
        <v>78</v>
      </c>
      <c r="C17" s="230" t="s">
        <v>255</v>
      </c>
      <c r="D17" s="67" t="s">
        <v>289</v>
      </c>
      <c r="E17" s="177">
        <v>34224</v>
      </c>
      <c r="F17" s="177">
        <v>34250</v>
      </c>
      <c r="G17" s="227" t="s">
        <v>87</v>
      </c>
      <c r="I17" s="221"/>
      <c r="J17" s="221"/>
      <c r="K17" s="221"/>
      <c r="L17" s="221"/>
      <c r="M17" s="221"/>
      <c r="N17" s="221"/>
      <c r="O17" s="14"/>
      <c r="P17" s="14"/>
    </row>
    <row r="18" spans="2:16" ht="12" thickBot="1" x14ac:dyDescent="0.3">
      <c r="B18" s="229"/>
      <c r="C18" s="231"/>
      <c r="D18" s="67" t="s">
        <v>93</v>
      </c>
      <c r="E18" s="177">
        <v>37526</v>
      </c>
      <c r="F18" s="177">
        <v>37550</v>
      </c>
      <c r="G18" s="229"/>
    </row>
    <row r="19" spans="2:16" ht="12" thickBot="1" x14ac:dyDescent="0.3">
      <c r="B19" s="227" t="s">
        <v>94</v>
      </c>
      <c r="C19" s="230" t="s">
        <v>615</v>
      </c>
      <c r="D19" s="67" t="s">
        <v>95</v>
      </c>
      <c r="E19" s="177">
        <v>34235</v>
      </c>
      <c r="F19" s="177">
        <v>34264</v>
      </c>
      <c r="G19" s="227" t="s">
        <v>52</v>
      </c>
    </row>
    <row r="20" spans="2:16" ht="12" thickBot="1" x14ac:dyDescent="0.3">
      <c r="B20" s="228"/>
      <c r="C20" s="244"/>
      <c r="D20" s="67" t="s">
        <v>290</v>
      </c>
      <c r="E20" s="177">
        <v>34900</v>
      </c>
      <c r="F20" s="177">
        <v>34905</v>
      </c>
      <c r="G20" s="228"/>
    </row>
    <row r="21" spans="2:16" ht="12" thickBot="1" x14ac:dyDescent="0.3">
      <c r="B21" s="228"/>
      <c r="C21" s="244"/>
      <c r="D21" s="67" t="s">
        <v>270</v>
      </c>
      <c r="E21" s="67"/>
      <c r="F21" s="177">
        <v>35419</v>
      </c>
      <c r="G21" s="228"/>
    </row>
    <row r="22" spans="2:16" ht="12" thickBot="1" x14ac:dyDescent="0.3">
      <c r="B22" s="228"/>
      <c r="C22" s="244"/>
      <c r="D22" s="67" t="s">
        <v>96</v>
      </c>
      <c r="E22" s="177">
        <v>35081</v>
      </c>
      <c r="F22" s="177">
        <v>35116</v>
      </c>
      <c r="G22" s="228"/>
    </row>
    <row r="23" spans="2:16" ht="12" thickBot="1" x14ac:dyDescent="0.3">
      <c r="B23" s="228"/>
      <c r="C23" s="244"/>
      <c r="D23" s="67" t="s">
        <v>97</v>
      </c>
      <c r="E23" s="177">
        <v>36627</v>
      </c>
      <c r="F23" s="177">
        <v>36647</v>
      </c>
      <c r="G23" s="228"/>
    </row>
    <row r="24" spans="2:16" ht="12" thickBot="1" x14ac:dyDescent="0.3">
      <c r="B24" s="228"/>
      <c r="C24" s="244"/>
      <c r="D24" s="67" t="s">
        <v>98</v>
      </c>
      <c r="E24" s="177">
        <v>37762</v>
      </c>
      <c r="F24" s="177">
        <v>37788</v>
      </c>
      <c r="G24" s="228"/>
    </row>
    <row r="25" spans="2:16" ht="12" thickBot="1" x14ac:dyDescent="0.3">
      <c r="B25" s="228"/>
      <c r="C25" s="244"/>
      <c r="D25" s="67" t="s">
        <v>99</v>
      </c>
      <c r="E25" s="177">
        <v>38723</v>
      </c>
      <c r="F25" s="177">
        <v>38779</v>
      </c>
      <c r="G25" s="228"/>
    </row>
    <row r="26" spans="2:16" ht="12" thickBot="1" x14ac:dyDescent="0.3">
      <c r="B26" s="229"/>
      <c r="C26" s="231"/>
      <c r="D26" s="67" t="s">
        <v>100</v>
      </c>
      <c r="E26" s="177">
        <v>42000</v>
      </c>
      <c r="F26" s="177">
        <v>42209</v>
      </c>
      <c r="G26" s="229"/>
    </row>
    <row r="27" spans="2:16" ht="12" thickBot="1" x14ac:dyDescent="0.3">
      <c r="B27" s="227" t="s">
        <v>42</v>
      </c>
      <c r="C27" s="230" t="s">
        <v>101</v>
      </c>
      <c r="D27" s="67" t="s">
        <v>102</v>
      </c>
      <c r="E27" s="177">
        <v>42171</v>
      </c>
      <c r="F27" s="177">
        <v>42171</v>
      </c>
      <c r="G27" s="227" t="s">
        <v>52</v>
      </c>
    </row>
    <row r="28" spans="2:16" ht="12" thickBot="1" x14ac:dyDescent="0.3">
      <c r="B28" s="229"/>
      <c r="C28" s="231"/>
      <c r="D28" s="67" t="s">
        <v>257</v>
      </c>
      <c r="E28" s="177">
        <v>42976</v>
      </c>
      <c r="F28" s="177">
        <v>43005</v>
      </c>
      <c r="G28" s="229"/>
    </row>
    <row r="29" spans="2:16" ht="12" thickBot="1" x14ac:dyDescent="0.3">
      <c r="B29" s="227" t="s">
        <v>37</v>
      </c>
      <c r="C29" s="230" t="s">
        <v>616</v>
      </c>
      <c r="D29" s="67" t="s">
        <v>291</v>
      </c>
      <c r="E29" s="177">
        <v>34409</v>
      </c>
      <c r="F29" s="177">
        <v>34474</v>
      </c>
      <c r="G29" s="227" t="s">
        <v>52</v>
      </c>
    </row>
    <row r="30" spans="2:16" ht="12" thickBot="1" x14ac:dyDescent="0.3">
      <c r="B30" s="228"/>
      <c r="C30" s="244"/>
      <c r="D30" s="67" t="s">
        <v>256</v>
      </c>
      <c r="E30" s="177">
        <v>35415</v>
      </c>
      <c r="F30" s="177">
        <v>35416</v>
      </c>
      <c r="G30" s="228"/>
    </row>
    <row r="31" spans="2:16" ht="12" thickBot="1" x14ac:dyDescent="0.3">
      <c r="B31" s="228"/>
      <c r="C31" s="244"/>
      <c r="D31" s="67" t="s">
        <v>292</v>
      </c>
      <c r="E31" s="177">
        <v>36627</v>
      </c>
      <c r="F31" s="177">
        <v>36654</v>
      </c>
      <c r="G31" s="228"/>
    </row>
    <row r="32" spans="2:16" ht="12" thickBot="1" x14ac:dyDescent="0.3">
      <c r="B32" s="228"/>
      <c r="C32" s="244"/>
      <c r="D32" s="67" t="s">
        <v>293</v>
      </c>
      <c r="E32" s="177">
        <v>37058</v>
      </c>
      <c r="F32" s="177">
        <v>37088</v>
      </c>
      <c r="G32" s="228"/>
    </row>
    <row r="33" spans="2:16" ht="12" thickBot="1" x14ac:dyDescent="0.3">
      <c r="B33" s="228"/>
      <c r="C33" s="244"/>
      <c r="D33" s="67" t="s">
        <v>294</v>
      </c>
      <c r="E33" s="177">
        <v>38163</v>
      </c>
      <c r="F33" s="177">
        <v>38189</v>
      </c>
      <c r="G33" s="228"/>
    </row>
    <row r="34" spans="2:16" ht="12" thickBot="1" x14ac:dyDescent="0.3">
      <c r="B34" s="228"/>
      <c r="C34" s="244"/>
      <c r="D34" s="67" t="s">
        <v>103</v>
      </c>
      <c r="E34" s="177">
        <v>38246</v>
      </c>
      <c r="F34" s="177">
        <v>38246</v>
      </c>
      <c r="G34" s="228"/>
    </row>
    <row r="35" spans="2:16" ht="12" thickBot="1" x14ac:dyDescent="0.3">
      <c r="B35" s="228"/>
      <c r="C35" s="244"/>
      <c r="D35" s="67" t="s">
        <v>104</v>
      </c>
      <c r="E35" s="177">
        <v>41790</v>
      </c>
      <c r="F35" s="177">
        <v>41949</v>
      </c>
      <c r="G35" s="228"/>
    </row>
    <row r="36" spans="2:16" ht="12" thickBot="1" x14ac:dyDescent="0.3">
      <c r="B36" s="229"/>
      <c r="C36" s="231"/>
      <c r="D36" s="67" t="s">
        <v>105</v>
      </c>
      <c r="E36" s="177">
        <v>43569</v>
      </c>
      <c r="F36" s="177">
        <v>43647</v>
      </c>
      <c r="G36" s="229"/>
    </row>
    <row r="37" spans="2:16" ht="12" thickBot="1" x14ac:dyDescent="0.3">
      <c r="B37" s="227" t="s">
        <v>6</v>
      </c>
      <c r="C37" s="230" t="s">
        <v>106</v>
      </c>
      <c r="D37" s="67" t="s">
        <v>107</v>
      </c>
      <c r="E37" s="177">
        <v>35148</v>
      </c>
      <c r="F37" s="177">
        <v>35215</v>
      </c>
      <c r="G37" s="227" t="s">
        <v>52</v>
      </c>
    </row>
    <row r="38" spans="2:16" ht="12" thickBot="1" x14ac:dyDescent="0.25">
      <c r="B38" s="228"/>
      <c r="C38" s="244"/>
      <c r="D38" s="67" t="s">
        <v>108</v>
      </c>
      <c r="E38" s="177">
        <v>39535</v>
      </c>
      <c r="F38" s="177">
        <v>40259</v>
      </c>
      <c r="G38" s="228"/>
      <c r="I38" s="1"/>
      <c r="N38" s="4"/>
      <c r="O38" s="5"/>
      <c r="P38" s="5"/>
    </row>
    <row r="39" spans="2:16" ht="12" thickBot="1" x14ac:dyDescent="0.3">
      <c r="B39" s="228"/>
      <c r="C39" s="244"/>
      <c r="D39" s="67" t="s">
        <v>109</v>
      </c>
      <c r="E39" s="177">
        <v>40909</v>
      </c>
      <c r="F39" s="177">
        <v>41649</v>
      </c>
      <c r="G39" s="228"/>
      <c r="I39" s="223"/>
      <c r="J39" s="223"/>
      <c r="K39" s="223"/>
      <c r="L39" s="223"/>
      <c r="M39" s="223"/>
      <c r="N39" s="223"/>
      <c r="O39" s="223"/>
    </row>
    <row r="40" spans="2:16" ht="12" thickBot="1" x14ac:dyDescent="0.3">
      <c r="B40" s="228"/>
      <c r="C40" s="244"/>
      <c r="D40" s="67" t="s">
        <v>258</v>
      </c>
      <c r="E40" s="177">
        <v>42894</v>
      </c>
      <c r="F40" s="177">
        <v>42936</v>
      </c>
      <c r="G40" s="228"/>
      <c r="I40" s="223"/>
      <c r="J40" s="223"/>
      <c r="K40" s="223"/>
      <c r="L40" s="223"/>
      <c r="M40" s="223"/>
      <c r="N40" s="223"/>
      <c r="O40" s="223"/>
    </row>
    <row r="41" spans="2:16" ht="12" thickBot="1" x14ac:dyDescent="0.3">
      <c r="B41" s="228"/>
      <c r="C41" s="244"/>
      <c r="D41" s="67" t="s">
        <v>259</v>
      </c>
      <c r="E41" s="177">
        <v>43543</v>
      </c>
      <c r="F41" s="177">
        <v>43557</v>
      </c>
      <c r="G41" s="228"/>
      <c r="I41" s="223"/>
      <c r="J41" s="223"/>
      <c r="K41" s="223"/>
      <c r="L41" s="223"/>
      <c r="M41" s="223"/>
      <c r="N41" s="223"/>
      <c r="O41" s="223"/>
    </row>
    <row r="42" spans="2:16" ht="12" thickBot="1" x14ac:dyDescent="0.3">
      <c r="B42" s="229"/>
      <c r="C42" s="231"/>
      <c r="D42" s="67" t="s">
        <v>260</v>
      </c>
      <c r="E42" s="177">
        <v>43988</v>
      </c>
      <c r="F42" s="177">
        <v>44006</v>
      </c>
      <c r="G42" s="229"/>
    </row>
    <row r="43" spans="2:16" ht="12" thickBot="1" x14ac:dyDescent="0.3">
      <c r="B43" s="227" t="s">
        <v>81</v>
      </c>
      <c r="C43" s="230" t="s">
        <v>88</v>
      </c>
      <c r="D43" s="67" t="s">
        <v>110</v>
      </c>
      <c r="E43" s="177">
        <v>35903</v>
      </c>
      <c r="F43" s="177">
        <v>35941</v>
      </c>
      <c r="G43" s="227" t="s">
        <v>52</v>
      </c>
    </row>
    <row r="44" spans="2:16" ht="12" thickBot="1" x14ac:dyDescent="0.3">
      <c r="B44" s="228"/>
      <c r="C44" s="244"/>
      <c r="D44" s="67" t="s">
        <v>111</v>
      </c>
      <c r="E44" s="177">
        <v>36533</v>
      </c>
      <c r="F44" s="177">
        <v>36581</v>
      </c>
      <c r="G44" s="228"/>
    </row>
    <row r="45" spans="2:16" ht="12" thickBot="1" x14ac:dyDescent="0.3">
      <c r="B45" s="228"/>
      <c r="C45" s="244"/>
      <c r="D45" s="67" t="s">
        <v>617</v>
      </c>
      <c r="E45" s="177">
        <v>41335</v>
      </c>
      <c r="F45" s="177">
        <v>41429</v>
      </c>
      <c r="G45" s="228"/>
    </row>
    <row r="46" spans="2:16" ht="12" thickBot="1" x14ac:dyDescent="0.3">
      <c r="B46" s="229"/>
      <c r="C46" s="231"/>
      <c r="D46" s="67" t="s">
        <v>295</v>
      </c>
      <c r="E46" s="177">
        <v>42000</v>
      </c>
      <c r="F46" s="177">
        <v>42033</v>
      </c>
      <c r="G46" s="229"/>
    </row>
    <row r="47" spans="2:16" ht="12" thickBot="1" x14ac:dyDescent="0.3">
      <c r="B47" s="227" t="s">
        <v>82</v>
      </c>
      <c r="C47" s="230" t="s">
        <v>88</v>
      </c>
      <c r="D47" s="67" t="s">
        <v>261</v>
      </c>
      <c r="E47" s="177">
        <v>38722</v>
      </c>
      <c r="F47" s="177">
        <v>38736</v>
      </c>
      <c r="G47" s="227" t="s">
        <v>52</v>
      </c>
    </row>
    <row r="48" spans="2:16" ht="12" thickBot="1" x14ac:dyDescent="0.3">
      <c r="B48" s="229"/>
      <c r="C48" s="231"/>
      <c r="D48" s="67" t="s">
        <v>112</v>
      </c>
      <c r="E48" s="177">
        <v>39721</v>
      </c>
      <c r="F48" s="177">
        <v>39791</v>
      </c>
      <c r="G48" s="229"/>
    </row>
    <row r="49" spans="2:7" ht="12" thickBot="1" x14ac:dyDescent="0.3">
      <c r="B49" s="105" t="s">
        <v>44</v>
      </c>
      <c r="C49" s="179" t="s">
        <v>113</v>
      </c>
      <c r="D49" s="67" t="s">
        <v>271</v>
      </c>
      <c r="E49" s="177">
        <v>34274</v>
      </c>
      <c r="F49" s="177">
        <v>34289</v>
      </c>
      <c r="G49" s="167" t="s">
        <v>114</v>
      </c>
    </row>
    <row r="50" spans="2:7" ht="12" thickBot="1" x14ac:dyDescent="0.3">
      <c r="B50" s="227" t="s">
        <v>31</v>
      </c>
      <c r="C50" s="178" t="s">
        <v>618</v>
      </c>
      <c r="D50" s="67" t="s">
        <v>296</v>
      </c>
      <c r="E50" s="177">
        <v>37209</v>
      </c>
      <c r="F50" s="177">
        <v>37225</v>
      </c>
      <c r="G50" s="227" t="s">
        <v>52</v>
      </c>
    </row>
    <row r="51" spans="2:7" ht="15.75" thickBot="1" x14ac:dyDescent="0.3">
      <c r="B51" s="228"/>
      <c r="C51" s="333"/>
      <c r="D51" s="67" t="s">
        <v>297</v>
      </c>
      <c r="E51" s="177">
        <v>37554</v>
      </c>
      <c r="F51" s="177">
        <v>37644</v>
      </c>
      <c r="G51" s="228"/>
    </row>
    <row r="52" spans="2:7" ht="12" thickBot="1" x14ac:dyDescent="0.3">
      <c r="B52" s="228"/>
      <c r="C52" s="178" t="s">
        <v>619</v>
      </c>
      <c r="D52" s="67" t="s">
        <v>298</v>
      </c>
      <c r="E52" s="177">
        <v>38030</v>
      </c>
      <c r="F52" s="177">
        <v>38064</v>
      </c>
      <c r="G52" s="228"/>
    </row>
    <row r="53" spans="2:7" ht="15.75" thickBot="1" x14ac:dyDescent="0.3">
      <c r="B53" s="228"/>
      <c r="C53" s="333"/>
      <c r="D53" s="67" t="s">
        <v>115</v>
      </c>
      <c r="E53" s="177">
        <v>38386</v>
      </c>
      <c r="F53" s="177">
        <v>38386</v>
      </c>
      <c r="G53" s="228"/>
    </row>
    <row r="54" spans="2:7" ht="15.75" thickBot="1" x14ac:dyDescent="0.3">
      <c r="B54" s="228"/>
      <c r="C54" s="333"/>
      <c r="D54" s="67" t="s">
        <v>116</v>
      </c>
      <c r="E54" s="177">
        <v>39780</v>
      </c>
      <c r="F54" s="177">
        <v>39799</v>
      </c>
      <c r="G54" s="228"/>
    </row>
    <row r="55" spans="2:7" ht="15.75" thickBot="1" x14ac:dyDescent="0.3">
      <c r="B55" s="228"/>
      <c r="C55" s="333"/>
      <c r="D55" s="67" t="s">
        <v>117</v>
      </c>
      <c r="E55" s="177">
        <v>41273</v>
      </c>
      <c r="F55" s="177">
        <v>41277</v>
      </c>
      <c r="G55" s="228"/>
    </row>
    <row r="56" spans="2:7" ht="15.75" thickBot="1" x14ac:dyDescent="0.3">
      <c r="B56" s="228"/>
      <c r="C56" s="333"/>
      <c r="D56" s="67" t="s">
        <v>262</v>
      </c>
      <c r="E56" s="177">
        <v>42575</v>
      </c>
      <c r="F56" s="177">
        <v>42681</v>
      </c>
      <c r="G56" s="228"/>
    </row>
    <row r="57" spans="2:7" ht="15.75" thickBot="1" x14ac:dyDescent="0.3">
      <c r="B57" s="229"/>
      <c r="C57" s="334"/>
      <c r="D57" s="67" t="s">
        <v>263</v>
      </c>
      <c r="E57" s="177">
        <v>42851</v>
      </c>
      <c r="F57" s="177">
        <v>42866</v>
      </c>
      <c r="G57" s="229"/>
    </row>
    <row r="58" spans="2:7" ht="12" thickBot="1" x14ac:dyDescent="0.3">
      <c r="B58" s="227" t="s">
        <v>85</v>
      </c>
      <c r="C58" s="230" t="s">
        <v>118</v>
      </c>
      <c r="D58" s="127" t="s">
        <v>119</v>
      </c>
      <c r="E58" s="184">
        <v>37307</v>
      </c>
      <c r="F58" s="184">
        <v>37335</v>
      </c>
      <c r="G58" s="227" t="s">
        <v>68</v>
      </c>
    </row>
    <row r="59" spans="2:7" ht="12" thickBot="1" x14ac:dyDescent="0.3">
      <c r="B59" s="229"/>
      <c r="C59" s="231"/>
      <c r="D59" s="67" t="s">
        <v>120</v>
      </c>
      <c r="E59" s="177">
        <v>38634</v>
      </c>
      <c r="F59" s="177">
        <v>38670</v>
      </c>
      <c r="G59" s="229"/>
    </row>
    <row r="60" spans="2:7" ht="12" thickBot="1" x14ac:dyDescent="0.3">
      <c r="B60" s="227">
        <v>8</v>
      </c>
      <c r="C60" s="178" t="s">
        <v>620</v>
      </c>
      <c r="D60" s="67" t="s">
        <v>121</v>
      </c>
      <c r="E60" s="177">
        <v>34409</v>
      </c>
      <c r="F60" s="177">
        <v>34474</v>
      </c>
      <c r="G60" s="227" t="s">
        <v>52</v>
      </c>
    </row>
    <row r="61" spans="2:7" ht="12" thickBot="1" x14ac:dyDescent="0.3">
      <c r="B61" s="228"/>
      <c r="C61" s="178" t="s">
        <v>621</v>
      </c>
      <c r="D61" s="67" t="s">
        <v>122</v>
      </c>
      <c r="E61" s="177">
        <v>35267</v>
      </c>
      <c r="F61" s="177">
        <v>35268</v>
      </c>
      <c r="G61" s="228"/>
    </row>
    <row r="62" spans="2:7" ht="23.25" thickBot="1" x14ac:dyDescent="0.3">
      <c r="B62" s="228"/>
      <c r="C62" s="178" t="s">
        <v>622</v>
      </c>
      <c r="D62" s="67" t="s">
        <v>123</v>
      </c>
      <c r="E62" s="177">
        <v>37505</v>
      </c>
      <c r="F62" s="177">
        <v>37608</v>
      </c>
      <c r="G62" s="228"/>
    </row>
    <row r="63" spans="2:7" ht="12" thickBot="1" x14ac:dyDescent="0.3">
      <c r="B63" s="228"/>
      <c r="C63" s="178" t="s">
        <v>623</v>
      </c>
      <c r="D63" s="67" t="s">
        <v>124</v>
      </c>
      <c r="E63" s="177">
        <v>37700</v>
      </c>
      <c r="F63" s="177">
        <v>37755</v>
      </c>
      <c r="G63" s="228"/>
    </row>
    <row r="64" spans="2:7" ht="15.75" thickBot="1" x14ac:dyDescent="0.3">
      <c r="B64" s="229"/>
      <c r="C64" s="334"/>
      <c r="D64" s="67" t="s">
        <v>272</v>
      </c>
      <c r="E64" s="177">
        <v>40242</v>
      </c>
      <c r="F64" s="177">
        <v>40359</v>
      </c>
      <c r="G64" s="229"/>
    </row>
    <row r="65" spans="2:7" ht="23.25" thickBot="1" x14ac:dyDescent="0.3">
      <c r="B65" s="227">
        <v>39</v>
      </c>
      <c r="C65" s="178" t="s">
        <v>624</v>
      </c>
      <c r="D65" s="67" t="s">
        <v>125</v>
      </c>
      <c r="E65" s="177">
        <v>36349</v>
      </c>
      <c r="F65" s="177">
        <v>36412</v>
      </c>
      <c r="G65" s="227" t="s">
        <v>52</v>
      </c>
    </row>
    <row r="66" spans="2:7" ht="23.25" thickBot="1" x14ac:dyDescent="0.3">
      <c r="B66" s="228"/>
      <c r="C66" s="178" t="s">
        <v>625</v>
      </c>
      <c r="D66" s="67" t="s">
        <v>126</v>
      </c>
      <c r="E66" s="177">
        <v>36931</v>
      </c>
      <c r="F66" s="177">
        <v>37004</v>
      </c>
      <c r="G66" s="228"/>
    </row>
    <row r="67" spans="2:7" ht="23.25" thickBot="1" x14ac:dyDescent="0.3">
      <c r="B67" s="228"/>
      <c r="C67" s="178" t="s">
        <v>626</v>
      </c>
      <c r="D67" s="67" t="s">
        <v>127</v>
      </c>
      <c r="E67" s="177">
        <v>37554</v>
      </c>
      <c r="F67" s="177">
        <v>37644</v>
      </c>
      <c r="G67" s="228"/>
    </row>
    <row r="68" spans="2:7" ht="12" thickBot="1" x14ac:dyDescent="0.3">
      <c r="B68" s="228"/>
      <c r="C68" s="178" t="s">
        <v>627</v>
      </c>
      <c r="D68" s="67" t="s">
        <v>128</v>
      </c>
      <c r="E68" s="177">
        <v>37748</v>
      </c>
      <c r="F68" s="177">
        <v>37770</v>
      </c>
      <c r="G68" s="228"/>
    </row>
    <row r="69" spans="2:7" ht="23.25" thickBot="1" x14ac:dyDescent="0.3">
      <c r="B69" s="228"/>
      <c r="C69" s="178" t="s">
        <v>628</v>
      </c>
      <c r="D69" s="67" t="s">
        <v>129</v>
      </c>
      <c r="E69" s="177">
        <v>37936</v>
      </c>
      <c r="F69" s="177">
        <v>37952</v>
      </c>
      <c r="G69" s="228"/>
    </row>
    <row r="70" spans="2:7" ht="15.75" thickBot="1" x14ac:dyDescent="0.3">
      <c r="B70" s="228"/>
      <c r="C70" s="333"/>
      <c r="D70" s="67" t="s">
        <v>130</v>
      </c>
      <c r="E70" s="177">
        <v>38526</v>
      </c>
      <c r="F70" s="177">
        <v>38589</v>
      </c>
      <c r="G70" s="228"/>
    </row>
    <row r="71" spans="2:7" ht="15.75" thickBot="1" x14ac:dyDescent="0.3">
      <c r="B71" s="228"/>
      <c r="C71" s="333"/>
      <c r="D71" s="67" t="s">
        <v>131</v>
      </c>
      <c r="E71" s="177">
        <v>38862</v>
      </c>
      <c r="F71" s="177">
        <v>38936</v>
      </c>
      <c r="G71" s="228"/>
    </row>
    <row r="72" spans="2:7" ht="15.75" thickBot="1" x14ac:dyDescent="0.3">
      <c r="B72" s="228"/>
      <c r="C72" s="333"/>
      <c r="D72" s="67" t="s">
        <v>273</v>
      </c>
      <c r="E72" s="177">
        <v>39919</v>
      </c>
      <c r="F72" s="177">
        <v>40319</v>
      </c>
      <c r="G72" s="228"/>
    </row>
    <row r="73" spans="2:7" ht="15.75" thickBot="1" x14ac:dyDescent="0.3">
      <c r="B73" s="228"/>
      <c r="C73" s="333"/>
      <c r="D73" s="67" t="s">
        <v>274</v>
      </c>
      <c r="E73" s="177">
        <v>41088</v>
      </c>
      <c r="F73" s="177">
        <v>41148</v>
      </c>
      <c r="G73" s="228"/>
    </row>
    <row r="74" spans="2:7" ht="15.75" thickBot="1" x14ac:dyDescent="0.3">
      <c r="B74" s="228"/>
      <c r="C74" s="333"/>
      <c r="D74" s="67" t="s">
        <v>276</v>
      </c>
      <c r="E74" s="177">
        <v>41867</v>
      </c>
      <c r="F74" s="177">
        <v>41911</v>
      </c>
      <c r="G74" s="228"/>
    </row>
    <row r="75" spans="2:7" ht="15.75" thickBot="1" x14ac:dyDescent="0.3">
      <c r="B75" s="229"/>
      <c r="C75" s="334"/>
      <c r="D75" s="67" t="s">
        <v>275</v>
      </c>
      <c r="E75" s="177">
        <v>43468</v>
      </c>
      <c r="F75" s="177">
        <v>43656</v>
      </c>
      <c r="G75" s="229"/>
    </row>
    <row r="76" spans="2:7" ht="12" thickBot="1" x14ac:dyDescent="0.3">
      <c r="B76" s="234">
        <v>64</v>
      </c>
      <c r="C76" s="227" t="s">
        <v>132</v>
      </c>
      <c r="D76" s="66" t="s">
        <v>133</v>
      </c>
      <c r="E76" s="185">
        <v>35008</v>
      </c>
      <c r="F76" s="185">
        <v>35040</v>
      </c>
      <c r="G76" s="234" t="s">
        <v>52</v>
      </c>
    </row>
    <row r="77" spans="2:7" ht="12" thickBot="1" x14ac:dyDescent="0.3">
      <c r="B77" s="235"/>
      <c r="C77" s="228"/>
      <c r="D77" s="66" t="s">
        <v>134</v>
      </c>
      <c r="E77" s="185">
        <v>36422</v>
      </c>
      <c r="F77" s="185">
        <v>36459</v>
      </c>
      <c r="G77" s="235"/>
    </row>
    <row r="78" spans="2:7" ht="12" thickBot="1" x14ac:dyDescent="0.3">
      <c r="B78" s="235"/>
      <c r="C78" s="228"/>
      <c r="D78" s="66" t="s">
        <v>135</v>
      </c>
      <c r="E78" s="185">
        <v>36926</v>
      </c>
      <c r="F78" s="185">
        <v>37021</v>
      </c>
      <c r="G78" s="235"/>
    </row>
    <row r="79" spans="2:7" ht="12" thickBot="1" x14ac:dyDescent="0.3">
      <c r="B79" s="235"/>
      <c r="C79" s="228"/>
      <c r="D79" s="66" t="s">
        <v>136</v>
      </c>
      <c r="E79" s="185">
        <v>38061</v>
      </c>
      <c r="F79" s="185">
        <v>38063</v>
      </c>
      <c r="G79" s="235"/>
    </row>
    <row r="80" spans="2:7" ht="12" thickBot="1" x14ac:dyDescent="0.3">
      <c r="B80" s="235"/>
      <c r="C80" s="228"/>
      <c r="D80" s="66" t="s">
        <v>137</v>
      </c>
      <c r="E80" s="185">
        <v>38190</v>
      </c>
      <c r="F80" s="185">
        <v>38208</v>
      </c>
      <c r="G80" s="235"/>
    </row>
    <row r="81" spans="2:7" ht="12" thickBot="1" x14ac:dyDescent="0.3">
      <c r="B81" s="235"/>
      <c r="C81" s="228"/>
      <c r="D81" s="66" t="s">
        <v>138</v>
      </c>
      <c r="E81" s="185">
        <v>39407</v>
      </c>
      <c r="F81" s="185">
        <v>39421</v>
      </c>
      <c r="G81" s="235"/>
    </row>
    <row r="82" spans="2:7" ht="12" thickBot="1" x14ac:dyDescent="0.3">
      <c r="B82" s="235"/>
      <c r="C82" s="228"/>
      <c r="D82" s="66" t="s">
        <v>139</v>
      </c>
      <c r="E82" s="185">
        <v>40220</v>
      </c>
      <c r="F82" s="185">
        <v>40273</v>
      </c>
      <c r="G82" s="235"/>
    </row>
    <row r="83" spans="2:7" ht="12" thickBot="1" x14ac:dyDescent="0.3">
      <c r="B83" s="235"/>
      <c r="C83" s="228"/>
      <c r="D83" s="66" t="s">
        <v>140</v>
      </c>
      <c r="E83" s="185">
        <v>40298</v>
      </c>
      <c r="F83" s="185">
        <v>40309</v>
      </c>
      <c r="G83" s="235"/>
    </row>
    <row r="84" spans="2:7" ht="12" thickBot="1" x14ac:dyDescent="0.3">
      <c r="B84" s="235"/>
      <c r="C84" s="228"/>
      <c r="D84" s="66" t="s">
        <v>141</v>
      </c>
      <c r="E84" s="185">
        <v>41391</v>
      </c>
      <c r="F84" s="185">
        <v>41393</v>
      </c>
      <c r="G84" s="235"/>
    </row>
    <row r="85" spans="2:7" ht="12" thickBot="1" x14ac:dyDescent="0.3">
      <c r="B85" s="235"/>
      <c r="C85" s="228"/>
      <c r="D85" s="66" t="s">
        <v>299</v>
      </c>
      <c r="E85" s="185">
        <v>42705</v>
      </c>
      <c r="F85" s="185">
        <v>42706</v>
      </c>
      <c r="G85" s="235"/>
    </row>
    <row r="86" spans="2:7" ht="12" thickBot="1" x14ac:dyDescent="0.3">
      <c r="B86" s="236"/>
      <c r="C86" s="229"/>
      <c r="D86" s="66" t="s">
        <v>277</v>
      </c>
      <c r="E86" s="185">
        <v>44467</v>
      </c>
      <c r="F86" s="185">
        <v>44522</v>
      </c>
      <c r="G86" s="236"/>
    </row>
    <row r="87" spans="2:7" ht="12" thickBot="1" x14ac:dyDescent="0.3">
      <c r="B87" s="234">
        <v>67</v>
      </c>
      <c r="C87" s="230" t="s">
        <v>629</v>
      </c>
      <c r="D87" s="66" t="s">
        <v>142</v>
      </c>
      <c r="E87" s="185">
        <v>35043</v>
      </c>
      <c r="F87" s="185">
        <v>35046</v>
      </c>
      <c r="G87" s="234" t="s">
        <v>52</v>
      </c>
    </row>
    <row r="88" spans="2:7" ht="12" thickBot="1" x14ac:dyDescent="0.3">
      <c r="B88" s="235"/>
      <c r="C88" s="244"/>
      <c r="D88" s="66" t="s">
        <v>300</v>
      </c>
      <c r="E88" s="185">
        <v>35790</v>
      </c>
      <c r="F88" s="185">
        <v>35852</v>
      </c>
      <c r="G88" s="235"/>
    </row>
    <row r="89" spans="2:7" ht="12" thickBot="1" x14ac:dyDescent="0.3">
      <c r="B89" s="235"/>
      <c r="C89" s="244"/>
      <c r="D89" s="66" t="s">
        <v>143</v>
      </c>
      <c r="E89" s="185">
        <v>36421</v>
      </c>
      <c r="F89" s="185">
        <v>36549</v>
      </c>
      <c r="G89" s="235"/>
    </row>
    <row r="90" spans="2:7" ht="12" thickBot="1" x14ac:dyDescent="0.3">
      <c r="B90" s="235"/>
      <c r="C90" s="244"/>
      <c r="D90" s="66" t="s">
        <v>144</v>
      </c>
      <c r="E90" s="185">
        <v>36928</v>
      </c>
      <c r="F90" s="185">
        <v>37004</v>
      </c>
      <c r="G90" s="235"/>
    </row>
    <row r="91" spans="2:7" ht="12" thickBot="1" x14ac:dyDescent="0.3">
      <c r="B91" s="235"/>
      <c r="C91" s="244"/>
      <c r="D91" s="66" t="s">
        <v>145</v>
      </c>
      <c r="E91" s="185">
        <v>37700</v>
      </c>
      <c r="F91" s="185">
        <v>37712</v>
      </c>
      <c r="G91" s="235"/>
    </row>
    <row r="92" spans="2:7" ht="12" thickBot="1" x14ac:dyDescent="0.3">
      <c r="B92" s="235"/>
      <c r="C92" s="244"/>
      <c r="D92" s="66" t="s">
        <v>146</v>
      </c>
      <c r="E92" s="185">
        <v>38645</v>
      </c>
      <c r="F92" s="185">
        <v>38684</v>
      </c>
      <c r="G92" s="235"/>
    </row>
    <row r="93" spans="2:7" ht="12" thickBot="1" x14ac:dyDescent="0.3">
      <c r="B93" s="235"/>
      <c r="C93" s="244"/>
      <c r="D93" s="66" t="s">
        <v>147</v>
      </c>
      <c r="E93" s="185">
        <v>39403</v>
      </c>
      <c r="F93" s="185">
        <v>39413</v>
      </c>
      <c r="G93" s="235"/>
    </row>
    <row r="94" spans="2:7" ht="12" thickBot="1" x14ac:dyDescent="0.3">
      <c r="B94" s="235"/>
      <c r="C94" s="244"/>
      <c r="D94" s="66" t="s">
        <v>148</v>
      </c>
      <c r="E94" s="185">
        <v>40380</v>
      </c>
      <c r="F94" s="185">
        <v>40422</v>
      </c>
      <c r="G94" s="235"/>
    </row>
    <row r="95" spans="2:7" ht="12" thickBot="1" x14ac:dyDescent="0.3">
      <c r="B95" s="236"/>
      <c r="C95" s="231"/>
      <c r="D95" s="66" t="s">
        <v>174</v>
      </c>
      <c r="E95" s="185">
        <v>41588</v>
      </c>
      <c r="F95" s="185">
        <v>41592</v>
      </c>
      <c r="G95" s="236"/>
    </row>
    <row r="96" spans="2:7" ht="12" thickBot="1" x14ac:dyDescent="0.3">
      <c r="B96" s="234">
        <v>95</v>
      </c>
      <c r="C96" s="237" t="s">
        <v>149</v>
      </c>
      <c r="D96" s="66" t="s">
        <v>150</v>
      </c>
      <c r="E96" s="185">
        <v>38429</v>
      </c>
      <c r="F96" s="185">
        <v>38449</v>
      </c>
      <c r="G96" s="234" t="s">
        <v>52</v>
      </c>
    </row>
    <row r="97" spans="2:7" ht="12" thickBot="1" x14ac:dyDescent="0.3">
      <c r="B97" s="235"/>
      <c r="C97" s="238"/>
      <c r="D97" s="66" t="s">
        <v>278</v>
      </c>
      <c r="E97" s="185">
        <v>40906</v>
      </c>
      <c r="F97" s="185">
        <v>40924</v>
      </c>
      <c r="G97" s="235"/>
    </row>
    <row r="98" spans="2:7" ht="12" thickBot="1" x14ac:dyDescent="0.3">
      <c r="B98" s="235"/>
      <c r="C98" s="238"/>
      <c r="D98" s="66" t="s">
        <v>279</v>
      </c>
      <c r="E98" s="185">
        <v>41297</v>
      </c>
      <c r="F98" s="185">
        <v>41316</v>
      </c>
      <c r="G98" s="235"/>
    </row>
    <row r="99" spans="2:7" ht="12" thickBot="1" x14ac:dyDescent="0.3">
      <c r="B99" s="235"/>
      <c r="C99" s="238"/>
      <c r="D99" s="66" t="s">
        <v>178</v>
      </c>
      <c r="E99" s="185">
        <v>43099</v>
      </c>
      <c r="F99" s="185">
        <v>43132</v>
      </c>
      <c r="G99" s="235"/>
    </row>
    <row r="100" spans="2:7" ht="12" thickBot="1" x14ac:dyDescent="0.3">
      <c r="B100" s="236"/>
      <c r="C100" s="239"/>
      <c r="D100" s="66" t="s">
        <v>280</v>
      </c>
      <c r="E100" s="185">
        <v>43433</v>
      </c>
      <c r="F100" s="185">
        <v>43550</v>
      </c>
      <c r="G100" s="236"/>
    </row>
    <row r="101" spans="2:7" ht="12" thickBot="1" x14ac:dyDescent="0.3">
      <c r="B101" s="234" t="s">
        <v>84</v>
      </c>
      <c r="C101" s="237" t="s">
        <v>151</v>
      </c>
      <c r="D101" s="66" t="s">
        <v>152</v>
      </c>
      <c r="E101" s="185">
        <v>34424</v>
      </c>
      <c r="F101" s="185">
        <v>34424</v>
      </c>
      <c r="G101" s="234" t="s">
        <v>52</v>
      </c>
    </row>
    <row r="102" spans="2:7" ht="12" thickBot="1" x14ac:dyDescent="0.3">
      <c r="B102" s="235"/>
      <c r="C102" s="238"/>
      <c r="D102" s="66" t="s">
        <v>301</v>
      </c>
      <c r="E102" s="185">
        <v>35263</v>
      </c>
      <c r="F102" s="185">
        <v>35271</v>
      </c>
      <c r="G102" s="235"/>
    </row>
    <row r="103" spans="2:7" ht="12" thickBot="1" x14ac:dyDescent="0.3">
      <c r="B103" s="235"/>
      <c r="C103" s="238"/>
      <c r="D103" s="66" t="s">
        <v>153</v>
      </c>
      <c r="E103" s="185">
        <v>36327</v>
      </c>
      <c r="F103" s="185">
        <v>36413</v>
      </c>
      <c r="G103" s="235"/>
    </row>
    <row r="104" spans="2:7" ht="12" thickBot="1" x14ac:dyDescent="0.3">
      <c r="B104" s="235"/>
      <c r="C104" s="238"/>
      <c r="D104" s="66" t="s">
        <v>154</v>
      </c>
      <c r="E104" s="185">
        <v>37085</v>
      </c>
      <c r="F104" s="185">
        <v>37092</v>
      </c>
      <c r="G104" s="235"/>
    </row>
    <row r="105" spans="2:7" ht="12" thickBot="1" x14ac:dyDescent="0.3">
      <c r="B105" s="236"/>
      <c r="C105" s="239"/>
      <c r="D105" s="66" t="s">
        <v>281</v>
      </c>
      <c r="E105" s="185">
        <v>43992</v>
      </c>
      <c r="F105" s="185">
        <v>44013</v>
      </c>
      <c r="G105" s="236"/>
    </row>
    <row r="106" spans="2:7" ht="12" thickBot="1" x14ac:dyDescent="0.3">
      <c r="B106" s="234">
        <v>131</v>
      </c>
      <c r="C106" s="230" t="s">
        <v>251</v>
      </c>
      <c r="D106" s="66" t="s">
        <v>175</v>
      </c>
      <c r="E106" s="185">
        <v>39407</v>
      </c>
      <c r="F106" s="185">
        <v>39407</v>
      </c>
      <c r="G106" s="227" t="s">
        <v>52</v>
      </c>
    </row>
    <row r="107" spans="2:7" ht="12" thickBot="1" x14ac:dyDescent="0.3">
      <c r="B107" s="235"/>
      <c r="C107" s="244"/>
      <c r="D107" s="66" t="s">
        <v>176</v>
      </c>
      <c r="E107" s="185">
        <v>39674</v>
      </c>
      <c r="F107" s="185">
        <v>39703</v>
      </c>
      <c r="G107" s="228"/>
    </row>
    <row r="108" spans="2:7" ht="12" thickBot="1" x14ac:dyDescent="0.3">
      <c r="B108" s="236"/>
      <c r="C108" s="231"/>
      <c r="D108" s="66" t="s">
        <v>177</v>
      </c>
      <c r="E108" s="185">
        <v>42851</v>
      </c>
      <c r="F108" s="185">
        <v>42867</v>
      </c>
      <c r="G108" s="229"/>
    </row>
    <row r="109" spans="2:7" ht="12" thickBot="1" x14ac:dyDescent="0.3">
      <c r="B109" s="234">
        <v>56</v>
      </c>
      <c r="C109" s="245" t="s">
        <v>709</v>
      </c>
      <c r="D109" s="131" t="s">
        <v>155</v>
      </c>
      <c r="E109" s="186">
        <v>38226</v>
      </c>
      <c r="F109" s="186">
        <v>38237</v>
      </c>
      <c r="G109" s="234" t="s">
        <v>52</v>
      </c>
    </row>
    <row r="110" spans="2:7" ht="12" thickBot="1" x14ac:dyDescent="0.3">
      <c r="B110" s="235"/>
      <c r="C110" s="246"/>
      <c r="D110" s="66" t="s">
        <v>156</v>
      </c>
      <c r="E110" s="185">
        <v>38699</v>
      </c>
      <c r="F110" s="185">
        <v>38702</v>
      </c>
      <c r="G110" s="235"/>
    </row>
    <row r="111" spans="2:7" ht="12" thickBot="1" x14ac:dyDescent="0.3">
      <c r="B111" s="235"/>
      <c r="C111" s="246"/>
      <c r="D111" s="66" t="s">
        <v>157</v>
      </c>
      <c r="E111" s="185">
        <v>38926</v>
      </c>
      <c r="F111" s="185">
        <v>38957</v>
      </c>
      <c r="G111" s="235"/>
    </row>
    <row r="112" spans="2:7" ht="12" thickBot="1" x14ac:dyDescent="0.3">
      <c r="B112" s="235"/>
      <c r="C112" s="246"/>
      <c r="D112" s="66" t="s">
        <v>302</v>
      </c>
      <c r="E112" s="185">
        <v>39070</v>
      </c>
      <c r="F112" s="185">
        <v>39175</v>
      </c>
      <c r="G112" s="235"/>
    </row>
    <row r="113" spans="2:7" ht="43.5" customHeight="1" thickBot="1" x14ac:dyDescent="0.3">
      <c r="B113" s="236"/>
      <c r="C113" s="247"/>
      <c r="D113" s="66" t="s">
        <v>158</v>
      </c>
      <c r="E113" s="185">
        <v>40067</v>
      </c>
      <c r="F113" s="185">
        <v>40198</v>
      </c>
      <c r="G113" s="236"/>
    </row>
    <row r="114" spans="2:7" ht="12" thickBot="1" x14ac:dyDescent="0.3">
      <c r="B114" s="234">
        <v>88</v>
      </c>
      <c r="C114" s="230" t="s">
        <v>710</v>
      </c>
      <c r="D114" s="66" t="s">
        <v>159</v>
      </c>
      <c r="E114" s="185">
        <v>36867</v>
      </c>
      <c r="F114" s="185">
        <v>36869</v>
      </c>
      <c r="G114" s="234" t="s">
        <v>52</v>
      </c>
    </row>
    <row r="115" spans="2:7" ht="12" thickBot="1" x14ac:dyDescent="0.3">
      <c r="B115" s="235"/>
      <c r="C115" s="244"/>
      <c r="D115" s="66" t="s">
        <v>282</v>
      </c>
      <c r="E115" s="185">
        <v>37063</v>
      </c>
      <c r="F115" s="185">
        <v>37078</v>
      </c>
      <c r="G115" s="235"/>
    </row>
    <row r="116" spans="2:7" ht="12" thickBot="1" x14ac:dyDescent="0.3">
      <c r="B116" s="235"/>
      <c r="C116" s="244"/>
      <c r="D116" s="66" t="s">
        <v>160</v>
      </c>
      <c r="E116" s="185">
        <v>37923</v>
      </c>
      <c r="F116" s="185">
        <v>37925</v>
      </c>
      <c r="G116" s="235"/>
    </row>
    <row r="117" spans="2:7" ht="12" thickBot="1" x14ac:dyDescent="0.3">
      <c r="B117" s="235"/>
      <c r="C117" s="244"/>
      <c r="D117" s="66" t="s">
        <v>161</v>
      </c>
      <c r="E117" s="185">
        <v>38163</v>
      </c>
      <c r="F117" s="185">
        <v>38218</v>
      </c>
      <c r="G117" s="235"/>
    </row>
    <row r="118" spans="2:7" ht="12" thickBot="1" x14ac:dyDescent="0.3">
      <c r="B118" s="235"/>
      <c r="C118" s="244"/>
      <c r="D118" s="66" t="s">
        <v>162</v>
      </c>
      <c r="E118" s="185">
        <v>38699</v>
      </c>
      <c r="F118" s="185">
        <v>38702</v>
      </c>
      <c r="G118" s="235"/>
    </row>
    <row r="119" spans="2:7" ht="12" thickBot="1" x14ac:dyDescent="0.3">
      <c r="B119" s="235"/>
      <c r="C119" s="244"/>
      <c r="D119" s="66" t="s">
        <v>163</v>
      </c>
      <c r="E119" s="185">
        <v>38730</v>
      </c>
      <c r="F119" s="185">
        <v>38736</v>
      </c>
      <c r="G119" s="235"/>
    </row>
    <row r="120" spans="2:7" ht="11.25" x14ac:dyDescent="0.25">
      <c r="B120" s="235"/>
      <c r="C120" s="244"/>
      <c r="D120" s="101" t="s">
        <v>630</v>
      </c>
      <c r="E120" s="248">
        <v>39024</v>
      </c>
      <c r="F120" s="248">
        <v>39042</v>
      </c>
      <c r="G120" s="235"/>
    </row>
    <row r="121" spans="2:7" ht="12" thickBot="1" x14ac:dyDescent="0.3">
      <c r="B121" s="235"/>
      <c r="C121" s="244"/>
      <c r="D121" s="67" t="s">
        <v>631</v>
      </c>
      <c r="E121" s="249"/>
      <c r="F121" s="249"/>
      <c r="G121" s="235"/>
    </row>
    <row r="122" spans="2:7" ht="12" thickBot="1" x14ac:dyDescent="0.3">
      <c r="B122" s="235"/>
      <c r="C122" s="244"/>
      <c r="D122" s="66" t="s">
        <v>164</v>
      </c>
      <c r="E122" s="185">
        <v>39024</v>
      </c>
      <c r="F122" s="185">
        <v>39070</v>
      </c>
      <c r="G122" s="235"/>
    </row>
    <row r="123" spans="2:7" ht="12" thickBot="1" x14ac:dyDescent="0.3">
      <c r="B123" s="235"/>
      <c r="C123" s="244"/>
      <c r="D123" s="66" t="s">
        <v>165</v>
      </c>
      <c r="E123" s="185">
        <v>40064</v>
      </c>
      <c r="F123" s="185">
        <v>40157</v>
      </c>
      <c r="G123" s="235"/>
    </row>
    <row r="124" spans="2:7" ht="12" thickBot="1" x14ac:dyDescent="0.3">
      <c r="B124" s="235"/>
      <c r="C124" s="244"/>
      <c r="D124" s="66" t="s">
        <v>166</v>
      </c>
      <c r="E124" s="185">
        <v>41847</v>
      </c>
      <c r="F124" s="185">
        <v>41857</v>
      </c>
      <c r="G124" s="235"/>
    </row>
    <row r="125" spans="2:7" ht="12" thickBot="1" x14ac:dyDescent="0.3">
      <c r="B125" s="236"/>
      <c r="C125" s="231"/>
      <c r="D125" s="66" t="s">
        <v>283</v>
      </c>
      <c r="E125" s="185">
        <v>41847</v>
      </c>
      <c r="F125" s="185">
        <v>41857</v>
      </c>
      <c r="G125" s="236"/>
    </row>
    <row r="126" spans="2:7" ht="12" thickBot="1" x14ac:dyDescent="0.3">
      <c r="B126" s="234">
        <v>57</v>
      </c>
      <c r="C126" s="230" t="s">
        <v>632</v>
      </c>
      <c r="D126" s="66" t="s">
        <v>167</v>
      </c>
      <c r="E126" s="185">
        <v>37974</v>
      </c>
      <c r="F126" s="185">
        <v>38013</v>
      </c>
      <c r="G126" s="234" t="s">
        <v>52</v>
      </c>
    </row>
    <row r="127" spans="2:7" ht="12" thickBot="1" x14ac:dyDescent="0.3">
      <c r="B127" s="235"/>
      <c r="C127" s="244"/>
      <c r="D127" s="66" t="s">
        <v>168</v>
      </c>
      <c r="E127" s="185">
        <v>38948</v>
      </c>
      <c r="F127" s="185">
        <v>39118</v>
      </c>
      <c r="G127" s="235"/>
    </row>
    <row r="128" spans="2:7" ht="12" thickBot="1" x14ac:dyDescent="0.3">
      <c r="B128" s="235"/>
      <c r="C128" s="244"/>
      <c r="D128" s="66" t="s">
        <v>169</v>
      </c>
      <c r="E128" s="185">
        <v>39387</v>
      </c>
      <c r="F128" s="185">
        <v>39469</v>
      </c>
      <c r="G128" s="235"/>
    </row>
    <row r="129" spans="2:7" ht="12" thickBot="1" x14ac:dyDescent="0.3">
      <c r="B129" s="236"/>
      <c r="C129" s="231"/>
      <c r="D129" s="66" t="s">
        <v>170</v>
      </c>
      <c r="E129" s="185">
        <v>41790</v>
      </c>
      <c r="F129" s="185">
        <v>41949</v>
      </c>
      <c r="G129" s="236"/>
    </row>
    <row r="130" spans="2:7" ht="12" thickBot="1" x14ac:dyDescent="0.3">
      <c r="B130" s="234">
        <v>58</v>
      </c>
      <c r="C130" s="237" t="s">
        <v>616</v>
      </c>
      <c r="D130" s="66" t="s">
        <v>171</v>
      </c>
      <c r="E130" s="185">
        <v>38526</v>
      </c>
      <c r="F130" s="185">
        <v>38545</v>
      </c>
      <c r="G130" s="234" t="s">
        <v>52</v>
      </c>
    </row>
    <row r="131" spans="2:7" ht="12" thickBot="1" x14ac:dyDescent="0.3">
      <c r="B131" s="235"/>
      <c r="C131" s="238"/>
      <c r="D131" s="66" t="s">
        <v>172</v>
      </c>
      <c r="E131" s="185">
        <v>41352</v>
      </c>
      <c r="F131" s="185">
        <v>41365</v>
      </c>
      <c r="G131" s="235"/>
    </row>
    <row r="132" spans="2:7" ht="12" thickBot="1" x14ac:dyDescent="0.3">
      <c r="B132" s="236"/>
      <c r="C132" s="239"/>
      <c r="D132" s="66" t="s">
        <v>173</v>
      </c>
      <c r="E132" s="185">
        <v>41790</v>
      </c>
      <c r="F132" s="185">
        <v>41949</v>
      </c>
      <c r="G132" s="236"/>
    </row>
    <row r="133" spans="2:7" ht="15" x14ac:dyDescent="0.25">
      <c r="B133" s="331"/>
      <c r="C133" s="315"/>
      <c r="D133" s="315"/>
      <c r="E133" s="315"/>
      <c r="F133" s="315"/>
      <c r="G133" s="336"/>
    </row>
    <row r="134" spans="2:7" ht="11.25" x14ac:dyDescent="0.25"/>
    <row r="135" spans="2:7" ht="11.25" x14ac:dyDescent="0.25"/>
  </sheetData>
  <mergeCells count="71">
    <mergeCell ref="B126:B129"/>
    <mergeCell ref="C126:C129"/>
    <mergeCell ref="B109:B113"/>
    <mergeCell ref="C109:C113"/>
    <mergeCell ref="G109:G113"/>
    <mergeCell ref="B114:B125"/>
    <mergeCell ref="C114:C125"/>
    <mergeCell ref="G114:G125"/>
    <mergeCell ref="E120:E121"/>
    <mergeCell ref="F120:F121"/>
    <mergeCell ref="B101:B105"/>
    <mergeCell ref="C101:C105"/>
    <mergeCell ref="G101:G105"/>
    <mergeCell ref="B106:B108"/>
    <mergeCell ref="C106:C108"/>
    <mergeCell ref="G106:G108"/>
    <mergeCell ref="B87:B95"/>
    <mergeCell ref="C87:C95"/>
    <mergeCell ref="G87:G95"/>
    <mergeCell ref="B96:B100"/>
    <mergeCell ref="C96:C100"/>
    <mergeCell ref="G96:G100"/>
    <mergeCell ref="B65:B75"/>
    <mergeCell ref="G65:G75"/>
    <mergeCell ref="B76:B86"/>
    <mergeCell ref="C76:C86"/>
    <mergeCell ref="G76:G86"/>
    <mergeCell ref="B58:B59"/>
    <mergeCell ref="C58:C59"/>
    <mergeCell ref="G58:G59"/>
    <mergeCell ref="B60:B64"/>
    <mergeCell ref="G60:G64"/>
    <mergeCell ref="B47:B48"/>
    <mergeCell ref="C47:C48"/>
    <mergeCell ref="G47:G48"/>
    <mergeCell ref="B50:B57"/>
    <mergeCell ref="G50:G57"/>
    <mergeCell ref="B37:B42"/>
    <mergeCell ref="C37:C42"/>
    <mergeCell ref="G37:G42"/>
    <mergeCell ref="I39:O41"/>
    <mergeCell ref="B43:B46"/>
    <mergeCell ref="C43:C46"/>
    <mergeCell ref="G43:G46"/>
    <mergeCell ref="B27:B28"/>
    <mergeCell ref="C27:C28"/>
    <mergeCell ref="G27:G28"/>
    <mergeCell ref="B29:B36"/>
    <mergeCell ref="C29:C36"/>
    <mergeCell ref="G29:G36"/>
    <mergeCell ref="G17:G18"/>
    <mergeCell ref="I17:N17"/>
    <mergeCell ref="B19:B26"/>
    <mergeCell ref="C19:C26"/>
    <mergeCell ref="G19:G26"/>
    <mergeCell ref="G126:G129"/>
    <mergeCell ref="B130:B132"/>
    <mergeCell ref="C130:C132"/>
    <mergeCell ref="G130:G132"/>
    <mergeCell ref="B2:G2"/>
    <mergeCell ref="B4:G4"/>
    <mergeCell ref="B5:B6"/>
    <mergeCell ref="C5:C6"/>
    <mergeCell ref="E5:E6"/>
    <mergeCell ref="F5:F6"/>
    <mergeCell ref="G5:G6"/>
    <mergeCell ref="B8:B14"/>
    <mergeCell ref="C8:C14"/>
    <mergeCell ref="G8:G14"/>
    <mergeCell ref="B17:B18"/>
    <mergeCell ref="C17:C18"/>
  </mergeCells>
  <pageMargins left="0.7" right="0.7" top="0.75" bottom="0.75" header="0.3" footer="0.3"/>
  <pageSetup scale="67"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499984740745262"/>
    <pageSetUpPr fitToPage="1"/>
  </sheetPr>
  <dimension ref="A2:O49"/>
  <sheetViews>
    <sheetView showGridLines="0" topLeftCell="D5" zoomScale="90" zoomScaleNormal="90" workbookViewId="0">
      <selection activeCell="O47" sqref="O47"/>
    </sheetView>
  </sheetViews>
  <sheetFormatPr baseColWidth="10" defaultColWidth="9.5703125" defaultRowHeight="11.25" x14ac:dyDescent="0.2"/>
  <cols>
    <col min="1" max="1" width="15.5703125" style="15" customWidth="1"/>
    <col min="2" max="2" width="9.5703125" style="15"/>
    <col min="3" max="3" width="11.140625" style="15" customWidth="1"/>
    <col min="4" max="4" width="11.42578125" style="15" customWidth="1"/>
    <col min="5" max="5" width="12" style="15" customWidth="1"/>
    <col min="6" max="6" width="11.42578125" style="15" customWidth="1"/>
    <col min="7" max="10" width="12" style="15" customWidth="1"/>
    <col min="11" max="11" width="11.5703125" style="15" customWidth="1"/>
    <col min="12" max="12" width="12.140625" style="15" customWidth="1"/>
    <col min="13" max="13" width="11.85546875" style="15" customWidth="1"/>
    <col min="14" max="14" width="11.28515625" style="15" customWidth="1"/>
    <col min="15" max="15" width="12.28515625" style="15" customWidth="1"/>
    <col min="16" max="16384" width="9.5703125" style="15"/>
  </cols>
  <sheetData>
    <row r="2" spans="1:15" ht="12" x14ac:dyDescent="0.2">
      <c r="A2" s="316" t="s">
        <v>633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</row>
    <row r="3" spans="1:15" x14ac:dyDescent="0.2">
      <c r="A3" s="337"/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</row>
    <row r="4" spans="1:15" ht="12" thickBot="1" x14ac:dyDescent="0.25">
      <c r="A4" s="337"/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</row>
    <row r="5" spans="1:15" ht="12" thickBot="1" x14ac:dyDescent="0.25">
      <c r="A5" s="217" t="s">
        <v>634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9"/>
    </row>
    <row r="6" spans="1:15" ht="12" thickBot="1" x14ac:dyDescent="0.25">
      <c r="A6" s="90" t="s">
        <v>586</v>
      </c>
      <c r="B6" s="91" t="s">
        <v>70</v>
      </c>
      <c r="C6" s="91" t="s">
        <v>426</v>
      </c>
      <c r="D6" s="91" t="s">
        <v>427</v>
      </c>
      <c r="E6" s="91" t="s">
        <v>428</v>
      </c>
      <c r="F6" s="91" t="s">
        <v>429</v>
      </c>
      <c r="G6" s="91" t="s">
        <v>430</v>
      </c>
      <c r="H6" s="91" t="s">
        <v>431</v>
      </c>
      <c r="I6" s="91" t="s">
        <v>432</v>
      </c>
      <c r="J6" s="91" t="s">
        <v>433</v>
      </c>
      <c r="K6" s="91" t="s">
        <v>434</v>
      </c>
      <c r="L6" s="91" t="s">
        <v>435</v>
      </c>
      <c r="M6" s="91" t="s">
        <v>436</v>
      </c>
      <c r="N6" s="91" t="s">
        <v>437</v>
      </c>
      <c r="O6" s="91" t="s">
        <v>29</v>
      </c>
    </row>
    <row r="7" spans="1:15" ht="12" thickBot="1" x14ac:dyDescent="0.25">
      <c r="A7" s="250" t="s">
        <v>635</v>
      </c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2"/>
    </row>
    <row r="8" spans="1:15" ht="12" thickBot="1" x14ac:dyDescent="0.25">
      <c r="A8" s="98" t="s">
        <v>265</v>
      </c>
      <c r="B8" s="167" t="s">
        <v>75</v>
      </c>
      <c r="C8" s="188">
        <v>15537</v>
      </c>
      <c r="D8" s="99">
        <v>14144</v>
      </c>
      <c r="E8" s="99">
        <v>15713</v>
      </c>
      <c r="F8" s="99">
        <v>15391</v>
      </c>
      <c r="G8" s="99">
        <v>15761</v>
      </c>
      <c r="H8" s="99">
        <v>14961</v>
      </c>
      <c r="I8" s="99">
        <v>14885</v>
      </c>
      <c r="J8" s="99">
        <v>14417</v>
      </c>
      <c r="K8" s="99">
        <v>15333</v>
      </c>
      <c r="L8" s="99">
        <v>15643</v>
      </c>
      <c r="M8" s="99">
        <v>15196</v>
      </c>
      <c r="N8" s="99">
        <v>16535</v>
      </c>
      <c r="O8" s="99">
        <v>183516</v>
      </c>
    </row>
    <row r="9" spans="1:15" ht="12" thickBot="1" x14ac:dyDescent="0.25">
      <c r="A9" s="98" t="s">
        <v>179</v>
      </c>
      <c r="B9" s="167" t="s">
        <v>77</v>
      </c>
      <c r="C9" s="188">
        <v>22878</v>
      </c>
      <c r="D9" s="99">
        <v>14283</v>
      </c>
      <c r="E9" s="99">
        <v>13852</v>
      </c>
      <c r="F9" s="99">
        <v>14381</v>
      </c>
      <c r="G9" s="99">
        <v>12735</v>
      </c>
      <c r="H9" s="99">
        <v>13603</v>
      </c>
      <c r="I9" s="99">
        <v>12041</v>
      </c>
      <c r="J9" s="99">
        <v>10571</v>
      </c>
      <c r="K9" s="99">
        <v>9696</v>
      </c>
      <c r="L9" s="99">
        <v>9712</v>
      </c>
      <c r="M9" s="99">
        <v>9676</v>
      </c>
      <c r="N9" s="99">
        <v>10285</v>
      </c>
      <c r="O9" s="99">
        <v>153713</v>
      </c>
    </row>
    <row r="10" spans="1:15" ht="12" thickBot="1" x14ac:dyDescent="0.25">
      <c r="A10" s="98" t="s">
        <v>264</v>
      </c>
      <c r="B10" s="167" t="s">
        <v>36</v>
      </c>
      <c r="C10" s="188">
        <v>14206</v>
      </c>
      <c r="D10" s="99">
        <v>12843</v>
      </c>
      <c r="E10" s="99">
        <v>13795</v>
      </c>
      <c r="F10" s="99">
        <v>13337</v>
      </c>
      <c r="G10" s="99">
        <v>14456</v>
      </c>
      <c r="H10" s="99">
        <v>15470</v>
      </c>
      <c r="I10" s="99">
        <v>16114</v>
      </c>
      <c r="J10" s="99">
        <v>20246</v>
      </c>
      <c r="K10" s="99">
        <v>20230</v>
      </c>
      <c r="L10" s="99">
        <v>22536</v>
      </c>
      <c r="M10" s="99">
        <v>23372</v>
      </c>
      <c r="N10" s="99">
        <v>42162</v>
      </c>
      <c r="O10" s="99">
        <v>228767</v>
      </c>
    </row>
    <row r="11" spans="1:15" ht="12" thickBot="1" x14ac:dyDescent="0.25">
      <c r="A11" s="98" t="s">
        <v>264</v>
      </c>
      <c r="B11" s="167" t="s">
        <v>35</v>
      </c>
      <c r="C11" s="188">
        <v>63248</v>
      </c>
      <c r="D11" s="99">
        <v>56884</v>
      </c>
      <c r="E11" s="99">
        <v>61369</v>
      </c>
      <c r="F11" s="99">
        <v>60127</v>
      </c>
      <c r="G11" s="99">
        <v>67620</v>
      </c>
      <c r="H11" s="99">
        <v>70285</v>
      </c>
      <c r="I11" s="99">
        <v>79354</v>
      </c>
      <c r="J11" s="99">
        <v>78381</v>
      </c>
      <c r="K11" s="99">
        <v>74077</v>
      </c>
      <c r="L11" s="99">
        <v>79221</v>
      </c>
      <c r="M11" s="99">
        <v>79912</v>
      </c>
      <c r="N11" s="99">
        <v>81585</v>
      </c>
      <c r="O11" s="99">
        <v>852063</v>
      </c>
    </row>
    <row r="12" spans="1:15" ht="12" thickBot="1" x14ac:dyDescent="0.25">
      <c r="A12" s="98" t="s">
        <v>264</v>
      </c>
      <c r="B12" s="167" t="s">
        <v>78</v>
      </c>
      <c r="C12" s="188">
        <v>2388</v>
      </c>
      <c r="D12" s="99">
        <v>1703</v>
      </c>
      <c r="E12" s="99">
        <v>2740</v>
      </c>
      <c r="F12" s="99">
        <v>3761</v>
      </c>
      <c r="G12" s="99">
        <v>4255</v>
      </c>
      <c r="H12" s="99">
        <v>3582</v>
      </c>
      <c r="I12" s="99">
        <v>3282</v>
      </c>
      <c r="J12" s="99">
        <v>3542</v>
      </c>
      <c r="K12" s="99">
        <v>3236</v>
      </c>
      <c r="L12" s="99">
        <v>3303</v>
      </c>
      <c r="M12" s="99">
        <v>3178</v>
      </c>
      <c r="N12" s="99">
        <v>3344</v>
      </c>
      <c r="O12" s="99">
        <v>38314</v>
      </c>
    </row>
    <row r="13" spans="1:15" ht="12" thickBot="1" x14ac:dyDescent="0.25">
      <c r="A13" s="98" t="s">
        <v>79</v>
      </c>
      <c r="B13" s="167" t="s">
        <v>180</v>
      </c>
      <c r="C13" s="99">
        <v>119155</v>
      </c>
      <c r="D13" s="99">
        <v>102338</v>
      </c>
      <c r="E13" s="99">
        <v>112879</v>
      </c>
      <c r="F13" s="99">
        <v>111294</v>
      </c>
      <c r="G13" s="99">
        <v>115544</v>
      </c>
      <c r="H13" s="99">
        <v>109680</v>
      </c>
      <c r="I13" s="99">
        <v>111685</v>
      </c>
      <c r="J13" s="99">
        <v>108978</v>
      </c>
      <c r="K13" s="99">
        <v>103422</v>
      </c>
      <c r="L13" s="99">
        <v>104739</v>
      </c>
      <c r="M13" s="99">
        <v>99964</v>
      </c>
      <c r="N13" s="99">
        <v>100926</v>
      </c>
      <c r="O13" s="99">
        <v>1300604</v>
      </c>
    </row>
    <row r="14" spans="1:15" ht="12" thickBot="1" x14ac:dyDescent="0.25">
      <c r="A14" s="98" t="s">
        <v>181</v>
      </c>
      <c r="B14" s="167" t="s">
        <v>42</v>
      </c>
      <c r="C14" s="188">
        <v>4814</v>
      </c>
      <c r="D14" s="99">
        <v>4442</v>
      </c>
      <c r="E14" s="99">
        <v>4838</v>
      </c>
      <c r="F14" s="99">
        <v>4601</v>
      </c>
      <c r="G14" s="99">
        <v>4734</v>
      </c>
      <c r="H14" s="99">
        <v>4489</v>
      </c>
      <c r="I14" s="99">
        <v>4678</v>
      </c>
      <c r="J14" s="99">
        <v>4654</v>
      </c>
      <c r="K14" s="99">
        <v>4571</v>
      </c>
      <c r="L14" s="99">
        <v>4599</v>
      </c>
      <c r="M14" s="99">
        <v>4528</v>
      </c>
      <c r="N14" s="99">
        <v>4998</v>
      </c>
      <c r="O14" s="99">
        <v>55946</v>
      </c>
    </row>
    <row r="15" spans="1:15" ht="12" thickBot="1" x14ac:dyDescent="0.25">
      <c r="A15" s="98" t="s">
        <v>19</v>
      </c>
      <c r="B15" s="167" t="s">
        <v>37</v>
      </c>
      <c r="C15" s="188">
        <v>372785</v>
      </c>
      <c r="D15" s="99">
        <v>330468</v>
      </c>
      <c r="E15" s="99">
        <v>365048</v>
      </c>
      <c r="F15" s="99">
        <v>347343</v>
      </c>
      <c r="G15" s="99">
        <v>351879</v>
      </c>
      <c r="H15" s="99">
        <v>334047</v>
      </c>
      <c r="I15" s="99">
        <v>342351</v>
      </c>
      <c r="J15" s="99">
        <v>345992</v>
      </c>
      <c r="K15" s="99">
        <v>341120</v>
      </c>
      <c r="L15" s="99">
        <v>347017</v>
      </c>
      <c r="M15" s="99">
        <v>331693</v>
      </c>
      <c r="N15" s="99">
        <v>340091</v>
      </c>
      <c r="O15" s="99">
        <v>4149834</v>
      </c>
    </row>
    <row r="16" spans="1:15" ht="12" thickBot="1" x14ac:dyDescent="0.25">
      <c r="A16" s="98" t="s">
        <v>5</v>
      </c>
      <c r="B16" s="167" t="s">
        <v>6</v>
      </c>
      <c r="C16" s="188">
        <v>48417</v>
      </c>
      <c r="D16" s="99">
        <v>39780</v>
      </c>
      <c r="E16" s="99">
        <v>58113</v>
      </c>
      <c r="F16" s="99">
        <v>74769</v>
      </c>
      <c r="G16" s="99">
        <v>74039</v>
      </c>
      <c r="H16" s="99">
        <v>62136</v>
      </c>
      <c r="I16" s="99">
        <v>57300</v>
      </c>
      <c r="J16" s="99">
        <v>50181</v>
      </c>
      <c r="K16" s="99">
        <v>47942</v>
      </c>
      <c r="L16" s="99">
        <v>48620</v>
      </c>
      <c r="M16" s="99">
        <v>44903</v>
      </c>
      <c r="N16" s="99">
        <v>48410</v>
      </c>
      <c r="O16" s="99">
        <v>654610</v>
      </c>
    </row>
    <row r="17" spans="1:15" ht="12" thickBot="1" x14ac:dyDescent="0.25">
      <c r="A17" s="98" t="s">
        <v>179</v>
      </c>
      <c r="B17" s="167" t="s">
        <v>81</v>
      </c>
      <c r="C17" s="66">
        <v>911</v>
      </c>
      <c r="D17" s="67">
        <v>793</v>
      </c>
      <c r="E17" s="67">
        <v>885</v>
      </c>
      <c r="F17" s="67">
        <v>871</v>
      </c>
      <c r="G17" s="67">
        <v>889</v>
      </c>
      <c r="H17" s="67">
        <v>817</v>
      </c>
      <c r="I17" s="67">
        <v>869</v>
      </c>
      <c r="J17" s="67">
        <v>927</v>
      </c>
      <c r="K17" s="67">
        <v>764</v>
      </c>
      <c r="L17" s="67">
        <v>882</v>
      </c>
      <c r="M17" s="67">
        <v>841</v>
      </c>
      <c r="N17" s="67">
        <v>815</v>
      </c>
      <c r="O17" s="99">
        <v>10264</v>
      </c>
    </row>
    <row r="18" spans="1:15" ht="12" thickBot="1" x14ac:dyDescent="0.25">
      <c r="A18" s="98" t="s">
        <v>179</v>
      </c>
      <c r="B18" s="167" t="s">
        <v>82</v>
      </c>
      <c r="C18" s="66">
        <v>291</v>
      </c>
      <c r="D18" s="67">
        <v>310</v>
      </c>
      <c r="E18" s="67">
        <v>330</v>
      </c>
      <c r="F18" s="67">
        <v>300</v>
      </c>
      <c r="G18" s="67">
        <v>289</v>
      </c>
      <c r="H18" s="67">
        <v>299</v>
      </c>
      <c r="I18" s="67">
        <v>310</v>
      </c>
      <c r="J18" s="67">
        <v>335</v>
      </c>
      <c r="K18" s="67">
        <v>407</v>
      </c>
      <c r="L18" s="67">
        <v>303</v>
      </c>
      <c r="M18" s="67">
        <v>292</v>
      </c>
      <c r="N18" s="67">
        <v>381</v>
      </c>
      <c r="O18" s="99">
        <v>3847</v>
      </c>
    </row>
    <row r="19" spans="1:15" ht="12" thickBot="1" x14ac:dyDescent="0.25">
      <c r="A19" s="215" t="s">
        <v>636</v>
      </c>
      <c r="B19" s="216"/>
      <c r="C19" s="168">
        <v>664630</v>
      </c>
      <c r="D19" s="168">
        <v>577988</v>
      </c>
      <c r="E19" s="168">
        <v>649562</v>
      </c>
      <c r="F19" s="168">
        <v>646175</v>
      </c>
      <c r="G19" s="168">
        <v>662201</v>
      </c>
      <c r="H19" s="168">
        <v>629369</v>
      </c>
      <c r="I19" s="168">
        <v>642869</v>
      </c>
      <c r="J19" s="168">
        <v>638224</v>
      </c>
      <c r="K19" s="168">
        <v>620798</v>
      </c>
      <c r="L19" s="168">
        <v>636575</v>
      </c>
      <c r="M19" s="168">
        <v>613555</v>
      </c>
      <c r="N19" s="168">
        <v>649532</v>
      </c>
      <c r="O19" s="168">
        <v>7631478</v>
      </c>
    </row>
    <row r="20" spans="1:15" ht="15.75" thickBot="1" x14ac:dyDescent="0.25">
      <c r="A20" s="338"/>
      <c r="B20" s="334"/>
      <c r="C20" s="334"/>
      <c r="D20" s="334"/>
      <c r="E20" s="334"/>
      <c r="F20" s="334"/>
      <c r="G20" s="334"/>
      <c r="H20" s="334"/>
      <c r="I20" s="334"/>
      <c r="J20" s="334"/>
      <c r="K20" s="334"/>
      <c r="L20" s="334"/>
      <c r="M20" s="334"/>
      <c r="N20" s="334"/>
      <c r="O20" s="334"/>
    </row>
    <row r="21" spans="1:15" ht="12" thickBot="1" x14ac:dyDescent="0.25">
      <c r="A21" s="98" t="s">
        <v>43</v>
      </c>
      <c r="B21" s="167" t="s">
        <v>44</v>
      </c>
      <c r="C21" s="188">
        <v>172371</v>
      </c>
      <c r="D21" s="99">
        <v>159846</v>
      </c>
      <c r="E21" s="99">
        <v>166905</v>
      </c>
      <c r="F21" s="99">
        <v>160288</v>
      </c>
      <c r="G21" s="99">
        <v>155802</v>
      </c>
      <c r="H21" s="99">
        <v>170949</v>
      </c>
      <c r="I21" s="99">
        <v>165440</v>
      </c>
      <c r="J21" s="99">
        <v>160495</v>
      </c>
      <c r="K21" s="99">
        <v>146527</v>
      </c>
      <c r="L21" s="99">
        <v>157793</v>
      </c>
      <c r="M21" s="99">
        <v>155428</v>
      </c>
      <c r="N21" s="99">
        <v>165145</v>
      </c>
      <c r="O21" s="99">
        <v>1936989</v>
      </c>
    </row>
    <row r="22" spans="1:15" ht="23.25" thickBot="1" x14ac:dyDescent="0.25">
      <c r="A22" s="98" t="s">
        <v>182</v>
      </c>
      <c r="B22" s="167" t="s">
        <v>31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</row>
    <row r="23" spans="1:15" ht="12" thickBot="1" x14ac:dyDescent="0.25">
      <c r="A23" s="98" t="s">
        <v>43</v>
      </c>
      <c r="B23" s="167" t="s">
        <v>85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7" t="s">
        <v>460</v>
      </c>
      <c r="O23" s="67">
        <v>0</v>
      </c>
    </row>
    <row r="24" spans="1:15" ht="12" thickBot="1" x14ac:dyDescent="0.25">
      <c r="A24" s="215" t="s">
        <v>637</v>
      </c>
      <c r="B24" s="216"/>
      <c r="C24" s="168">
        <v>172371</v>
      </c>
      <c r="D24" s="168">
        <v>159846</v>
      </c>
      <c r="E24" s="168">
        <v>166905</v>
      </c>
      <c r="F24" s="168">
        <v>160288</v>
      </c>
      <c r="G24" s="168">
        <v>155802</v>
      </c>
      <c r="H24" s="168">
        <v>170949</v>
      </c>
      <c r="I24" s="168">
        <v>165440</v>
      </c>
      <c r="J24" s="168">
        <v>160495</v>
      </c>
      <c r="K24" s="168">
        <v>146527</v>
      </c>
      <c r="L24" s="168">
        <v>157793</v>
      </c>
      <c r="M24" s="168">
        <v>155428</v>
      </c>
      <c r="N24" s="168">
        <v>165145</v>
      </c>
      <c r="O24" s="168">
        <v>1936989</v>
      </c>
    </row>
    <row r="25" spans="1:15" ht="15.75" thickBot="1" x14ac:dyDescent="0.25">
      <c r="A25" s="338"/>
      <c r="B25" s="334"/>
      <c r="C25" s="334"/>
      <c r="D25" s="334"/>
      <c r="E25" s="334"/>
      <c r="F25" s="334"/>
      <c r="G25" s="334"/>
      <c r="H25" s="334"/>
      <c r="I25" s="334"/>
      <c r="J25" s="334"/>
      <c r="K25" s="334"/>
      <c r="L25" s="334"/>
      <c r="M25" s="334"/>
      <c r="N25" s="334"/>
      <c r="O25" s="334"/>
    </row>
    <row r="26" spans="1:15" ht="12" thickBot="1" x14ac:dyDescent="0.25">
      <c r="A26" s="98" t="s">
        <v>183</v>
      </c>
      <c r="B26" s="167">
        <v>192</v>
      </c>
      <c r="C26" s="188">
        <v>0</v>
      </c>
      <c r="D26" s="188">
        <v>0</v>
      </c>
      <c r="E26" s="188">
        <v>0</v>
      </c>
      <c r="F26" s="188">
        <v>0</v>
      </c>
      <c r="G26" s="188">
        <v>0</v>
      </c>
      <c r="H26" s="188">
        <v>0</v>
      </c>
      <c r="I26" s="188">
        <v>0</v>
      </c>
      <c r="J26" s="188">
        <v>0</v>
      </c>
      <c r="K26" s="188">
        <v>0</v>
      </c>
      <c r="L26" s="188">
        <v>0</v>
      </c>
      <c r="M26" s="188">
        <v>0</v>
      </c>
      <c r="N26" s="188">
        <v>0</v>
      </c>
      <c r="O26" s="188">
        <f>SUM(C26:N26)</f>
        <v>0</v>
      </c>
    </row>
    <row r="27" spans="1:15" ht="23.25" thickBot="1" x14ac:dyDescent="0.25">
      <c r="A27" s="98" t="s">
        <v>184</v>
      </c>
      <c r="B27" s="167">
        <v>8</v>
      </c>
      <c r="C27" s="188">
        <v>0</v>
      </c>
      <c r="D27" s="188">
        <v>0</v>
      </c>
      <c r="E27" s="188">
        <v>0</v>
      </c>
      <c r="F27" s="188">
        <v>0</v>
      </c>
      <c r="G27" s="188">
        <v>0</v>
      </c>
      <c r="H27" s="188">
        <v>0</v>
      </c>
      <c r="I27" s="188">
        <v>0</v>
      </c>
      <c r="J27" s="188">
        <v>0</v>
      </c>
      <c r="K27" s="188">
        <v>0</v>
      </c>
      <c r="L27" s="188">
        <v>0</v>
      </c>
      <c r="M27" s="188">
        <v>0</v>
      </c>
      <c r="N27" s="188">
        <v>0</v>
      </c>
      <c r="O27" s="188">
        <f>SUM(C27:N27)</f>
        <v>0</v>
      </c>
    </row>
    <row r="28" spans="1:15" ht="12" thickBot="1" x14ac:dyDescent="0.25">
      <c r="A28" s="98" t="s">
        <v>86</v>
      </c>
      <c r="B28" s="167">
        <v>67</v>
      </c>
      <c r="C28" s="188">
        <v>0</v>
      </c>
      <c r="D28" s="188">
        <v>9023</v>
      </c>
      <c r="E28" s="188">
        <v>38226</v>
      </c>
      <c r="F28" s="188">
        <v>0</v>
      </c>
      <c r="G28" s="188">
        <v>92905</v>
      </c>
      <c r="H28" s="188">
        <v>64943</v>
      </c>
      <c r="I28" s="188">
        <v>64712</v>
      </c>
      <c r="J28" s="188">
        <v>40127</v>
      </c>
      <c r="K28" s="188">
        <v>40338</v>
      </c>
      <c r="L28" s="188">
        <v>0</v>
      </c>
      <c r="M28" s="188">
        <v>0</v>
      </c>
      <c r="N28" s="188">
        <v>16345</v>
      </c>
      <c r="O28" s="188">
        <f>SUM(C28:N28)</f>
        <v>366619</v>
      </c>
    </row>
    <row r="29" spans="1:15" ht="12" thickBot="1" x14ac:dyDescent="0.25">
      <c r="A29" s="98" t="s">
        <v>49</v>
      </c>
      <c r="B29" s="167">
        <v>95</v>
      </c>
      <c r="C29" s="188">
        <v>430120</v>
      </c>
      <c r="D29" s="188">
        <v>591397</v>
      </c>
      <c r="E29" s="188">
        <v>0</v>
      </c>
      <c r="F29" s="188">
        <v>409794</v>
      </c>
      <c r="G29" s="188">
        <v>454850</v>
      </c>
      <c r="H29" s="188">
        <v>469638</v>
      </c>
      <c r="I29" s="188">
        <v>325041</v>
      </c>
      <c r="J29" s="188">
        <v>459363</v>
      </c>
      <c r="K29" s="188">
        <v>336671</v>
      </c>
      <c r="L29" s="188">
        <v>207542</v>
      </c>
      <c r="M29" s="188">
        <v>336533</v>
      </c>
      <c r="N29" s="188">
        <v>386513</v>
      </c>
      <c r="O29" s="188">
        <f>SUM(C29:N29)</f>
        <v>4407462</v>
      </c>
    </row>
    <row r="30" spans="1:15" ht="12" thickBot="1" x14ac:dyDescent="0.25">
      <c r="A30" s="98" t="s">
        <v>20</v>
      </c>
      <c r="B30" s="167">
        <v>131</v>
      </c>
      <c r="C30" s="188">
        <v>51148</v>
      </c>
      <c r="D30" s="188">
        <v>40625</v>
      </c>
      <c r="E30" s="188">
        <v>43576</v>
      </c>
      <c r="F30" s="188">
        <v>40735</v>
      </c>
      <c r="G30" s="188">
        <v>41344</v>
      </c>
      <c r="H30" s="188">
        <v>38624</v>
      </c>
      <c r="I30" s="188">
        <v>37712</v>
      </c>
      <c r="J30" s="188">
        <v>35723</v>
      </c>
      <c r="K30" s="188">
        <v>33386</v>
      </c>
      <c r="L30" s="188">
        <v>32844</v>
      </c>
      <c r="M30" s="188">
        <v>30736</v>
      </c>
      <c r="N30" s="188">
        <v>27463</v>
      </c>
      <c r="O30" s="188">
        <f>SUM(C30:N30)</f>
        <v>453916</v>
      </c>
    </row>
    <row r="31" spans="1:15" ht="12" thickBot="1" x14ac:dyDescent="0.25">
      <c r="A31" s="215" t="s">
        <v>638</v>
      </c>
      <c r="B31" s="216"/>
      <c r="C31" s="168">
        <f t="shared" ref="C31:N31" si="0">SUM(C26:C30)</f>
        <v>481268</v>
      </c>
      <c r="D31" s="168">
        <f t="shared" si="0"/>
        <v>641045</v>
      </c>
      <c r="E31" s="168">
        <f t="shared" si="0"/>
        <v>81802</v>
      </c>
      <c r="F31" s="168">
        <f t="shared" si="0"/>
        <v>450529</v>
      </c>
      <c r="G31" s="168">
        <f t="shared" si="0"/>
        <v>589099</v>
      </c>
      <c r="H31" s="168">
        <f t="shared" si="0"/>
        <v>573205</v>
      </c>
      <c r="I31" s="168">
        <f t="shared" si="0"/>
        <v>427465</v>
      </c>
      <c r="J31" s="168">
        <f t="shared" si="0"/>
        <v>535213</v>
      </c>
      <c r="K31" s="168">
        <f t="shared" si="0"/>
        <v>410395</v>
      </c>
      <c r="L31" s="168">
        <f t="shared" si="0"/>
        <v>240386</v>
      </c>
      <c r="M31" s="168">
        <f t="shared" si="0"/>
        <v>367269</v>
      </c>
      <c r="N31" s="168">
        <f t="shared" si="0"/>
        <v>430321</v>
      </c>
      <c r="O31" s="168">
        <f>SUM(O26:O30)</f>
        <v>5227997</v>
      </c>
    </row>
    <row r="32" spans="1:15" ht="12" thickBot="1" x14ac:dyDescent="0.25">
      <c r="A32" s="255" t="s">
        <v>639</v>
      </c>
      <c r="B32" s="256"/>
      <c r="C32" s="189">
        <v>1318269</v>
      </c>
      <c r="D32" s="189">
        <v>1378879</v>
      </c>
      <c r="E32" s="189">
        <v>898269</v>
      </c>
      <c r="F32" s="189">
        <v>1256992</v>
      </c>
      <c r="G32" s="189">
        <v>1407102</v>
      </c>
      <c r="H32" s="189">
        <v>1373523</v>
      </c>
      <c r="I32" s="189">
        <v>1235774</v>
      </c>
      <c r="J32" s="189">
        <v>1333932</v>
      </c>
      <c r="K32" s="189">
        <v>1177720</v>
      </c>
      <c r="L32" s="189">
        <v>1034754</v>
      </c>
      <c r="M32" s="189">
        <v>1136252</v>
      </c>
      <c r="N32" s="189">
        <v>1244998</v>
      </c>
      <c r="O32" s="189">
        <v>14796464</v>
      </c>
    </row>
    <row r="33" spans="1:15" ht="15.75" thickBot="1" x14ac:dyDescent="0.25">
      <c r="A33" s="338"/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</row>
    <row r="34" spans="1:15" ht="12" thickBot="1" x14ac:dyDescent="0.25">
      <c r="A34" s="250" t="s">
        <v>186</v>
      </c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2"/>
    </row>
    <row r="35" spans="1:15" ht="12" thickBot="1" x14ac:dyDescent="0.25">
      <c r="A35" s="98" t="s">
        <v>43</v>
      </c>
      <c r="B35" s="167" t="s">
        <v>44</v>
      </c>
      <c r="C35" s="99">
        <v>24491</v>
      </c>
      <c r="D35" s="99">
        <v>24070</v>
      </c>
      <c r="E35" s="99">
        <v>27307</v>
      </c>
      <c r="F35" s="99">
        <v>18906</v>
      </c>
      <c r="G35" s="99">
        <v>17716</v>
      </c>
      <c r="H35" s="99">
        <v>17511</v>
      </c>
      <c r="I35" s="99">
        <v>18316</v>
      </c>
      <c r="J35" s="99">
        <v>16484</v>
      </c>
      <c r="K35" s="99">
        <v>15416</v>
      </c>
      <c r="L35" s="99">
        <v>16309</v>
      </c>
      <c r="M35" s="99">
        <v>13179</v>
      </c>
      <c r="N35" s="99">
        <v>15993</v>
      </c>
      <c r="O35" s="99">
        <v>225698</v>
      </c>
    </row>
    <row r="36" spans="1:15" ht="12" thickBot="1" x14ac:dyDescent="0.25">
      <c r="A36" s="215" t="s">
        <v>637</v>
      </c>
      <c r="B36" s="216"/>
      <c r="C36" s="168">
        <v>24491</v>
      </c>
      <c r="D36" s="168">
        <v>24070</v>
      </c>
      <c r="E36" s="168">
        <v>27307</v>
      </c>
      <c r="F36" s="168">
        <v>18906</v>
      </c>
      <c r="G36" s="168">
        <v>17716</v>
      </c>
      <c r="H36" s="168">
        <v>17511</v>
      </c>
      <c r="I36" s="168">
        <v>18316</v>
      </c>
      <c r="J36" s="168">
        <v>16484</v>
      </c>
      <c r="K36" s="168">
        <v>15416</v>
      </c>
      <c r="L36" s="168">
        <v>16309</v>
      </c>
      <c r="M36" s="168">
        <v>13179</v>
      </c>
      <c r="N36" s="168">
        <v>15993</v>
      </c>
      <c r="O36" s="168">
        <v>225698</v>
      </c>
    </row>
    <row r="37" spans="1:15" ht="15.75" thickBot="1" x14ac:dyDescent="0.25">
      <c r="A37" s="338"/>
      <c r="B37" s="334"/>
      <c r="C37" s="334"/>
      <c r="D37" s="334"/>
      <c r="E37" s="334"/>
      <c r="F37" s="334"/>
      <c r="G37" s="334"/>
      <c r="H37" s="334"/>
      <c r="I37" s="334"/>
      <c r="J37" s="334"/>
      <c r="K37" s="334"/>
      <c r="L37" s="334"/>
      <c r="M37" s="334"/>
      <c r="N37" s="334"/>
      <c r="O37" s="334"/>
    </row>
    <row r="38" spans="1:15" ht="12" thickBot="1" x14ac:dyDescent="0.25">
      <c r="A38" s="98" t="s">
        <v>187</v>
      </c>
      <c r="B38" s="167" t="s">
        <v>84</v>
      </c>
      <c r="C38" s="99">
        <v>6105</v>
      </c>
      <c r="D38" s="99">
        <v>8114</v>
      </c>
      <c r="E38" s="99">
        <v>7610</v>
      </c>
      <c r="F38" s="99">
        <v>7130</v>
      </c>
      <c r="G38" s="99">
        <v>7757</v>
      </c>
      <c r="H38" s="99">
        <v>7144</v>
      </c>
      <c r="I38" s="99">
        <v>8666</v>
      </c>
      <c r="J38" s="99">
        <v>8186</v>
      </c>
      <c r="K38" s="99">
        <v>7345</v>
      </c>
      <c r="L38" s="99">
        <v>2960</v>
      </c>
      <c r="M38" s="99">
        <v>5693</v>
      </c>
      <c r="N38" s="99">
        <v>6305</v>
      </c>
      <c r="O38" s="99">
        <v>83015</v>
      </c>
    </row>
    <row r="39" spans="1:15" ht="12" thickBot="1" x14ac:dyDescent="0.25">
      <c r="A39" s="98" t="s">
        <v>22</v>
      </c>
      <c r="B39" s="167">
        <v>88</v>
      </c>
      <c r="C39" s="99">
        <v>1604336</v>
      </c>
      <c r="D39" s="99">
        <v>1451188</v>
      </c>
      <c r="E39" s="99">
        <v>1648238</v>
      </c>
      <c r="F39" s="99">
        <v>1547075</v>
      </c>
      <c r="G39" s="99">
        <v>1656920</v>
      </c>
      <c r="H39" s="99">
        <v>1583893</v>
      </c>
      <c r="I39" s="99">
        <v>1407516</v>
      </c>
      <c r="J39" s="99">
        <v>1296932</v>
      </c>
      <c r="K39" s="99">
        <v>1226206</v>
      </c>
      <c r="L39" s="99">
        <v>1481889</v>
      </c>
      <c r="M39" s="99">
        <v>1488094</v>
      </c>
      <c r="N39" s="99">
        <v>1697654</v>
      </c>
      <c r="O39" s="99">
        <v>18089941</v>
      </c>
    </row>
    <row r="40" spans="1:15" ht="12" thickBot="1" x14ac:dyDescent="0.25">
      <c r="A40" s="98" t="s">
        <v>23</v>
      </c>
      <c r="B40" s="167">
        <v>57</v>
      </c>
      <c r="C40" s="99">
        <v>436684</v>
      </c>
      <c r="D40" s="99">
        <v>383300</v>
      </c>
      <c r="E40" s="99">
        <v>399180</v>
      </c>
      <c r="F40" s="99">
        <v>386764</v>
      </c>
      <c r="G40" s="99">
        <v>476871</v>
      </c>
      <c r="H40" s="99">
        <v>302931</v>
      </c>
      <c r="I40" s="99">
        <v>71663</v>
      </c>
      <c r="J40" s="99">
        <v>134578</v>
      </c>
      <c r="K40" s="99">
        <v>210086</v>
      </c>
      <c r="L40" s="99">
        <v>365482</v>
      </c>
      <c r="M40" s="99">
        <v>391012</v>
      </c>
      <c r="N40" s="99">
        <v>293220</v>
      </c>
      <c r="O40" s="99">
        <v>3851771</v>
      </c>
    </row>
    <row r="41" spans="1:15" ht="12" thickBot="1" x14ac:dyDescent="0.25">
      <c r="A41" s="98" t="s">
        <v>22</v>
      </c>
      <c r="B41" s="167">
        <v>56</v>
      </c>
      <c r="C41" s="99">
        <v>585529</v>
      </c>
      <c r="D41" s="99">
        <v>515081</v>
      </c>
      <c r="E41" s="99">
        <v>537895</v>
      </c>
      <c r="F41" s="99">
        <v>549590</v>
      </c>
      <c r="G41" s="99">
        <v>417065</v>
      </c>
      <c r="H41" s="99">
        <v>591447</v>
      </c>
      <c r="I41" s="99">
        <v>575421</v>
      </c>
      <c r="J41" s="99">
        <v>160022</v>
      </c>
      <c r="K41" s="99">
        <v>414693</v>
      </c>
      <c r="L41" s="99">
        <v>470238</v>
      </c>
      <c r="M41" s="99">
        <v>450141</v>
      </c>
      <c r="N41" s="99">
        <v>465627</v>
      </c>
      <c r="O41" s="99">
        <v>5732749</v>
      </c>
    </row>
    <row r="42" spans="1:15" ht="12" thickBot="1" x14ac:dyDescent="0.25">
      <c r="A42" s="215" t="s">
        <v>640</v>
      </c>
      <c r="B42" s="216"/>
      <c r="C42" s="168">
        <v>2632654</v>
      </c>
      <c r="D42" s="168">
        <v>2357683</v>
      </c>
      <c r="E42" s="168">
        <v>2592923</v>
      </c>
      <c r="F42" s="168">
        <v>2490559</v>
      </c>
      <c r="G42" s="168">
        <v>2558613</v>
      </c>
      <c r="H42" s="168">
        <v>2485415</v>
      </c>
      <c r="I42" s="168">
        <v>2063266</v>
      </c>
      <c r="J42" s="168">
        <v>1599718</v>
      </c>
      <c r="K42" s="168">
        <v>1858330</v>
      </c>
      <c r="L42" s="168">
        <v>2320569</v>
      </c>
      <c r="M42" s="168">
        <v>2334940</v>
      </c>
      <c r="N42" s="168">
        <v>2462806</v>
      </c>
      <c r="O42" s="168">
        <v>27757476</v>
      </c>
    </row>
    <row r="43" spans="1:15" ht="22.5" customHeight="1" thickBot="1" x14ac:dyDescent="0.25">
      <c r="A43" s="255" t="s">
        <v>641</v>
      </c>
      <c r="B43" s="256"/>
      <c r="C43" s="189">
        <v>2657145</v>
      </c>
      <c r="D43" s="189">
        <v>2381753</v>
      </c>
      <c r="E43" s="189">
        <v>2620230</v>
      </c>
      <c r="F43" s="189">
        <v>2509465</v>
      </c>
      <c r="G43" s="189">
        <v>2576329</v>
      </c>
      <c r="H43" s="189">
        <v>2502926</v>
      </c>
      <c r="I43" s="189">
        <v>2081582</v>
      </c>
      <c r="J43" s="189">
        <v>1616202</v>
      </c>
      <c r="K43" s="189">
        <v>1873746</v>
      </c>
      <c r="L43" s="189">
        <v>2336878</v>
      </c>
      <c r="M43" s="189">
        <v>2348119</v>
      </c>
      <c r="N43" s="189">
        <v>2478799</v>
      </c>
      <c r="O43" s="189">
        <v>27983174</v>
      </c>
    </row>
    <row r="44" spans="1:15" ht="15.75" thickBot="1" x14ac:dyDescent="0.25">
      <c r="A44" s="338"/>
      <c r="B44" s="334"/>
      <c r="C44" s="334"/>
      <c r="D44" s="334"/>
      <c r="E44" s="334"/>
      <c r="F44" s="334"/>
      <c r="G44" s="334"/>
      <c r="H44" s="334"/>
      <c r="I44" s="334"/>
      <c r="J44" s="334"/>
      <c r="K44" s="334"/>
      <c r="L44" s="334"/>
      <c r="M44" s="334"/>
      <c r="N44" s="334"/>
      <c r="O44" s="334"/>
    </row>
    <row r="45" spans="1:15" ht="22.5" customHeight="1" thickBot="1" x14ac:dyDescent="0.25">
      <c r="A45" s="253" t="s">
        <v>642</v>
      </c>
      <c r="B45" s="254"/>
      <c r="C45" s="158">
        <v>3975414</v>
      </c>
      <c r="D45" s="158">
        <v>3760632</v>
      </c>
      <c r="E45" s="158">
        <v>3518499</v>
      </c>
      <c r="F45" s="158">
        <v>3766457</v>
      </c>
      <c r="G45" s="158">
        <v>3983431</v>
      </c>
      <c r="H45" s="158">
        <v>3876449</v>
      </c>
      <c r="I45" s="158">
        <v>3317356</v>
      </c>
      <c r="J45" s="158">
        <v>2950134</v>
      </c>
      <c r="K45" s="158">
        <v>3051466</v>
      </c>
      <c r="L45" s="158">
        <v>3371632</v>
      </c>
      <c r="M45" s="158">
        <v>3484371</v>
      </c>
      <c r="N45" s="158">
        <v>3723797</v>
      </c>
      <c r="O45" s="158">
        <v>42779638</v>
      </c>
    </row>
    <row r="46" spans="1:15" x14ac:dyDescent="0.2">
      <c r="A46" s="337"/>
      <c r="B46" s="337"/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</row>
    <row r="47" spans="1:15" x14ac:dyDescent="0.2">
      <c r="A47" s="337"/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</row>
    <row r="48" spans="1:15" x14ac:dyDescent="0.2">
      <c r="A48" s="337"/>
      <c r="B48" s="337"/>
      <c r="C48" s="337"/>
      <c r="D48" s="337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7"/>
    </row>
    <row r="49" spans="1:15" x14ac:dyDescent="0.2">
      <c r="A49" s="337"/>
      <c r="B49" s="337"/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7"/>
    </row>
  </sheetData>
  <mergeCells count="12">
    <mergeCell ref="A2:O2"/>
    <mergeCell ref="A45:B45"/>
    <mergeCell ref="A32:B32"/>
    <mergeCell ref="A34:O34"/>
    <mergeCell ref="A36:B36"/>
    <mergeCell ref="A42:B42"/>
    <mergeCell ref="A43:B43"/>
    <mergeCell ref="A5:O5"/>
    <mergeCell ref="A7:O7"/>
    <mergeCell ref="A19:B19"/>
    <mergeCell ref="A24:B24"/>
    <mergeCell ref="A31:B31"/>
  </mergeCells>
  <pageMargins left="0.7" right="0.7" top="0.75" bottom="0.75" header="0.3" footer="0.3"/>
  <pageSetup scale="6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499984740745262"/>
    <pageSetUpPr fitToPage="1"/>
  </sheetPr>
  <dimension ref="A2:K51"/>
  <sheetViews>
    <sheetView showGridLines="0" topLeftCell="A4" zoomScale="80" zoomScaleNormal="80" workbookViewId="0">
      <selection activeCell="A2" sqref="A2:G2"/>
    </sheetView>
  </sheetViews>
  <sheetFormatPr baseColWidth="10" defaultColWidth="11.42578125" defaultRowHeight="14.45" customHeight="1" x14ac:dyDescent="0.2"/>
  <cols>
    <col min="1" max="1" width="15.28515625" style="16" customWidth="1"/>
    <col min="2" max="2" width="11.42578125" style="348"/>
    <col min="3" max="3" width="11.42578125" style="16" customWidth="1"/>
    <col min="4" max="7" width="11.42578125" style="16"/>
    <col min="8" max="8" width="10.140625" style="16" bestFit="1" customWidth="1"/>
    <col min="9" max="9" width="9.42578125" style="16" bestFit="1" customWidth="1"/>
    <col min="10" max="11" width="11.42578125" style="16"/>
    <col min="12" max="12" width="7.5703125" style="16" customWidth="1"/>
    <col min="13" max="16384" width="11.42578125" style="16"/>
  </cols>
  <sheetData>
    <row r="2" spans="1:11" ht="14.45" customHeight="1" x14ac:dyDescent="0.2">
      <c r="A2" s="316" t="s">
        <v>643</v>
      </c>
      <c r="B2" s="316"/>
      <c r="C2" s="316"/>
      <c r="D2" s="316"/>
      <c r="E2" s="316"/>
      <c r="F2" s="316"/>
      <c r="G2" s="316"/>
      <c r="H2" s="339"/>
      <c r="I2" s="339"/>
      <c r="J2" s="339"/>
      <c r="K2" s="337"/>
    </row>
    <row r="3" spans="1:11" ht="14.45" customHeight="1" thickBot="1" x14ac:dyDescent="0.25">
      <c r="A3" s="337"/>
      <c r="B3" s="317"/>
      <c r="C3" s="337"/>
      <c r="D3" s="337"/>
      <c r="E3" s="337"/>
      <c r="F3" s="337"/>
      <c r="G3" s="337"/>
      <c r="H3" s="337"/>
      <c r="I3" s="337"/>
      <c r="J3" s="337"/>
      <c r="K3" s="337"/>
    </row>
    <row r="4" spans="1:11" ht="14.45" customHeight="1" thickBot="1" x14ac:dyDescent="0.25">
      <c r="A4" s="217" t="s">
        <v>644</v>
      </c>
      <c r="B4" s="218"/>
      <c r="C4" s="218"/>
      <c r="D4" s="218"/>
      <c r="E4" s="218"/>
      <c r="F4" s="218"/>
      <c r="G4" s="218"/>
      <c r="H4" s="218"/>
      <c r="I4" s="218"/>
      <c r="J4" s="218"/>
      <c r="K4" s="219"/>
    </row>
    <row r="5" spans="1:11" ht="14.45" customHeight="1" thickBot="1" x14ac:dyDescent="0.25">
      <c r="A5" s="263" t="s">
        <v>635</v>
      </c>
      <c r="B5" s="264"/>
      <c r="C5" s="264"/>
      <c r="D5" s="264"/>
      <c r="E5" s="264"/>
      <c r="F5" s="264"/>
      <c r="G5" s="264"/>
      <c r="H5" s="264"/>
      <c r="I5" s="264"/>
      <c r="J5" s="264"/>
      <c r="K5" s="265"/>
    </row>
    <row r="6" spans="1:11" ht="14.45" customHeight="1" thickBot="1" x14ac:dyDescent="0.25">
      <c r="A6" s="191" t="s">
        <v>586</v>
      </c>
      <c r="B6" s="347" t="s">
        <v>70</v>
      </c>
      <c r="C6" s="349">
        <v>2014</v>
      </c>
      <c r="D6" s="349">
        <v>2015</v>
      </c>
      <c r="E6" s="349">
        <v>2016</v>
      </c>
      <c r="F6" s="349">
        <v>2017</v>
      </c>
      <c r="G6" s="350">
        <v>2018</v>
      </c>
      <c r="H6" s="349">
        <v>2019</v>
      </c>
      <c r="I6" s="349">
        <v>2020</v>
      </c>
      <c r="J6" s="349">
        <v>2021</v>
      </c>
      <c r="K6" s="350">
        <v>2022</v>
      </c>
    </row>
    <row r="7" spans="1:11" ht="14.45" customHeight="1" thickBot="1" x14ac:dyDescent="0.25">
      <c r="A7" s="98" t="s">
        <v>265</v>
      </c>
      <c r="B7" s="167" t="s">
        <v>75</v>
      </c>
      <c r="C7" s="341">
        <v>592.5</v>
      </c>
      <c r="D7" s="341">
        <v>506.9</v>
      </c>
      <c r="E7" s="341">
        <v>381.3</v>
      </c>
      <c r="F7" s="341">
        <v>310.39999999999998</v>
      </c>
      <c r="G7" s="106">
        <v>263.3</v>
      </c>
      <c r="H7" s="341">
        <v>236.24</v>
      </c>
      <c r="I7" s="341">
        <v>219.62</v>
      </c>
      <c r="J7" s="341">
        <v>195.9</v>
      </c>
      <c r="K7" s="106">
        <v>183.52</v>
      </c>
    </row>
    <row r="8" spans="1:11" ht="14.45" customHeight="1" thickBot="1" x14ac:dyDescent="0.25">
      <c r="A8" s="98" t="s">
        <v>179</v>
      </c>
      <c r="B8" s="167" t="s">
        <v>189</v>
      </c>
      <c r="C8" s="341">
        <v>142.30000000000001</v>
      </c>
      <c r="D8" s="341">
        <v>129.9</v>
      </c>
      <c r="E8" s="341">
        <v>116.1</v>
      </c>
      <c r="F8" s="341">
        <v>104.2</v>
      </c>
      <c r="G8" s="341">
        <v>112.5</v>
      </c>
      <c r="H8" s="341">
        <v>120</v>
      </c>
      <c r="I8" s="341">
        <v>144.4</v>
      </c>
      <c r="J8" s="341">
        <v>140.21</v>
      </c>
      <c r="K8" s="341">
        <v>153.71</v>
      </c>
    </row>
    <row r="9" spans="1:11" ht="14.45" customHeight="1" thickBot="1" x14ac:dyDescent="0.25">
      <c r="A9" s="98" t="s">
        <v>264</v>
      </c>
      <c r="B9" s="167" t="s">
        <v>36</v>
      </c>
      <c r="C9" s="341">
        <v>569.29999999999995</v>
      </c>
      <c r="D9" s="341">
        <v>450.2</v>
      </c>
      <c r="E9" s="341">
        <v>347.7</v>
      </c>
      <c r="F9" s="341">
        <v>268.2</v>
      </c>
      <c r="G9" s="341">
        <v>275.3</v>
      </c>
      <c r="H9" s="341">
        <v>263.86</v>
      </c>
      <c r="I9" s="341">
        <v>247.74</v>
      </c>
      <c r="J9" s="341">
        <v>192.38</v>
      </c>
      <c r="K9" s="341">
        <v>228.77</v>
      </c>
    </row>
    <row r="10" spans="1:11" ht="14.45" customHeight="1" thickBot="1" x14ac:dyDescent="0.25">
      <c r="A10" s="98" t="s">
        <v>264</v>
      </c>
      <c r="B10" s="167" t="s">
        <v>35</v>
      </c>
      <c r="C10" s="341">
        <v>244.5</v>
      </c>
      <c r="D10" s="341">
        <v>233</v>
      </c>
      <c r="E10" s="341">
        <v>232.7</v>
      </c>
      <c r="F10" s="341">
        <v>531.20000000000005</v>
      </c>
      <c r="G10" s="341">
        <v>754.5</v>
      </c>
      <c r="H10" s="341">
        <v>946.48</v>
      </c>
      <c r="I10" s="341">
        <v>785.45</v>
      </c>
      <c r="J10" s="341">
        <v>690.68</v>
      </c>
      <c r="K10" s="341">
        <v>852.06</v>
      </c>
    </row>
    <row r="11" spans="1:11" ht="14.45" customHeight="1" thickBot="1" x14ac:dyDescent="0.25">
      <c r="A11" s="98" t="s">
        <v>264</v>
      </c>
      <c r="B11" s="167" t="s">
        <v>78</v>
      </c>
      <c r="C11" s="341">
        <v>48.3</v>
      </c>
      <c r="D11" s="341">
        <v>59.1</v>
      </c>
      <c r="E11" s="341">
        <v>46.9</v>
      </c>
      <c r="F11" s="341">
        <v>36.200000000000003</v>
      </c>
      <c r="G11" s="341">
        <v>39.9</v>
      </c>
      <c r="H11" s="341">
        <v>38.35</v>
      </c>
      <c r="I11" s="341">
        <v>34.57</v>
      </c>
      <c r="J11" s="341">
        <v>34.090000000000003</v>
      </c>
      <c r="K11" s="341">
        <v>38.31</v>
      </c>
    </row>
    <row r="12" spans="1:11" ht="14.45" customHeight="1" thickBot="1" x14ac:dyDescent="0.25">
      <c r="A12" s="98" t="s">
        <v>79</v>
      </c>
      <c r="B12" s="167" t="s">
        <v>190</v>
      </c>
      <c r="C12" s="341">
        <v>1306.5999999999999</v>
      </c>
      <c r="D12" s="341">
        <v>1246.9000000000001</v>
      </c>
      <c r="E12" s="341">
        <v>1172.4000000000001</v>
      </c>
      <c r="F12" s="341">
        <v>1132.7</v>
      </c>
      <c r="G12" s="341">
        <v>1377.2</v>
      </c>
      <c r="H12" s="341">
        <v>1422.47</v>
      </c>
      <c r="I12" s="341">
        <v>1273</v>
      </c>
      <c r="J12" s="341">
        <v>1436.59</v>
      </c>
      <c r="K12" s="341">
        <v>1300.5999999999999</v>
      </c>
    </row>
    <row r="13" spans="1:11" ht="14.45" customHeight="1" thickBot="1" x14ac:dyDescent="0.25">
      <c r="A13" s="98" t="s">
        <v>181</v>
      </c>
      <c r="B13" s="167" t="s">
        <v>42</v>
      </c>
      <c r="C13" s="341">
        <v>71.599999999999994</v>
      </c>
      <c r="D13" s="341">
        <v>65.599999999999994</v>
      </c>
      <c r="E13" s="341">
        <v>69.3</v>
      </c>
      <c r="F13" s="341">
        <v>63.6</v>
      </c>
      <c r="G13" s="341">
        <v>63</v>
      </c>
      <c r="H13" s="341">
        <v>61.78</v>
      </c>
      <c r="I13" s="341">
        <v>59.18</v>
      </c>
      <c r="J13" s="341">
        <v>56.58</v>
      </c>
      <c r="K13" s="341">
        <v>55.95</v>
      </c>
    </row>
    <row r="14" spans="1:11" ht="14.45" customHeight="1" thickBot="1" x14ac:dyDescent="0.25">
      <c r="A14" s="98" t="s">
        <v>19</v>
      </c>
      <c r="B14" s="167" t="s">
        <v>37</v>
      </c>
      <c r="C14" s="341">
        <v>3790.9</v>
      </c>
      <c r="D14" s="341">
        <v>3900.5</v>
      </c>
      <c r="E14" s="341">
        <v>3941.7</v>
      </c>
      <c r="F14" s="341">
        <v>4085.3</v>
      </c>
      <c r="G14" s="341">
        <v>4827.2</v>
      </c>
      <c r="H14" s="341">
        <v>5227.63</v>
      </c>
      <c r="I14" s="341">
        <v>4798.01</v>
      </c>
      <c r="J14" s="341">
        <v>4407.63</v>
      </c>
      <c r="K14" s="341">
        <v>4149.83</v>
      </c>
    </row>
    <row r="15" spans="1:11" ht="14.45" customHeight="1" thickBot="1" x14ac:dyDescent="0.25">
      <c r="A15" s="98" t="s">
        <v>38</v>
      </c>
      <c r="B15" s="167" t="s">
        <v>6</v>
      </c>
      <c r="C15" s="341">
        <v>2312.3000000000002</v>
      </c>
      <c r="D15" s="341">
        <v>1488.1</v>
      </c>
      <c r="E15" s="341">
        <v>1338.7</v>
      </c>
      <c r="F15" s="341">
        <v>989.1</v>
      </c>
      <c r="G15" s="341">
        <v>715.7</v>
      </c>
      <c r="H15" s="341">
        <v>717.74</v>
      </c>
      <c r="I15" s="341">
        <v>509.15</v>
      </c>
      <c r="J15" s="341">
        <v>430.73</v>
      </c>
      <c r="K15" s="341">
        <v>654.61</v>
      </c>
    </row>
    <row r="16" spans="1:11" ht="14.45" customHeight="1" thickBot="1" x14ac:dyDescent="0.25">
      <c r="A16" s="98" t="s">
        <v>179</v>
      </c>
      <c r="B16" s="167" t="s">
        <v>81</v>
      </c>
      <c r="C16" s="341">
        <v>24.6</v>
      </c>
      <c r="D16" s="341">
        <v>21.5</v>
      </c>
      <c r="E16" s="341">
        <v>17.600000000000001</v>
      </c>
      <c r="F16" s="341">
        <v>14.4</v>
      </c>
      <c r="G16" s="341">
        <v>13</v>
      </c>
      <c r="H16" s="341">
        <v>13.39</v>
      </c>
      <c r="I16" s="341">
        <v>12.89</v>
      </c>
      <c r="J16" s="341">
        <v>10.8</v>
      </c>
      <c r="K16" s="341">
        <v>10.26</v>
      </c>
    </row>
    <row r="17" spans="1:11" ht="14.45" customHeight="1" thickBot="1" x14ac:dyDescent="0.25">
      <c r="A17" s="98" t="s">
        <v>179</v>
      </c>
      <c r="B17" s="167" t="s">
        <v>82</v>
      </c>
      <c r="C17" s="341">
        <v>9</v>
      </c>
      <c r="D17" s="341">
        <v>7</v>
      </c>
      <c r="E17" s="341">
        <v>5.4</v>
      </c>
      <c r="F17" s="341">
        <v>4.5</v>
      </c>
      <c r="G17" s="341">
        <v>8.1999999999999993</v>
      </c>
      <c r="H17" s="341">
        <v>5.75</v>
      </c>
      <c r="I17" s="341">
        <v>5.05</v>
      </c>
      <c r="J17" s="341">
        <v>4.32</v>
      </c>
      <c r="K17" s="341">
        <v>3.85</v>
      </c>
    </row>
    <row r="18" spans="1:11" ht="14.45" customHeight="1" thickBot="1" x14ac:dyDescent="0.25">
      <c r="A18" s="215" t="s">
        <v>636</v>
      </c>
      <c r="B18" s="216"/>
      <c r="C18" s="342">
        <v>9112</v>
      </c>
      <c r="D18" s="342">
        <v>8108.6</v>
      </c>
      <c r="E18" s="342">
        <v>7669.9</v>
      </c>
      <c r="F18" s="342">
        <v>7539.8</v>
      </c>
      <c r="G18" s="342">
        <v>8449.7000000000007</v>
      </c>
      <c r="H18" s="342">
        <v>9053.69</v>
      </c>
      <c r="I18" s="342">
        <v>8089.06</v>
      </c>
      <c r="J18" s="342">
        <v>7599.93</v>
      </c>
      <c r="K18" s="342">
        <v>7631.48</v>
      </c>
    </row>
    <row r="19" spans="1:11" ht="14.45" customHeight="1" thickBot="1" x14ac:dyDescent="0.25">
      <c r="A19" s="98" t="s">
        <v>43</v>
      </c>
      <c r="B19" s="167" t="s">
        <v>191</v>
      </c>
      <c r="C19" s="341">
        <v>3905.7</v>
      </c>
      <c r="D19" s="341">
        <v>3507.4</v>
      </c>
      <c r="E19" s="341">
        <v>3060.5</v>
      </c>
      <c r="F19" s="341">
        <v>2866.8</v>
      </c>
      <c r="G19" s="341">
        <v>2795.4</v>
      </c>
      <c r="H19" s="341">
        <v>2611.7800000000002</v>
      </c>
      <c r="I19" s="341">
        <v>2272.88</v>
      </c>
      <c r="J19" s="341">
        <v>2130.44</v>
      </c>
      <c r="K19" s="341" t="s">
        <v>2</v>
      </c>
    </row>
    <row r="20" spans="1:11" ht="14.45" customHeight="1" thickBot="1" x14ac:dyDescent="0.25">
      <c r="A20" s="98" t="s">
        <v>43</v>
      </c>
      <c r="B20" s="167" t="s">
        <v>85</v>
      </c>
      <c r="C20" s="341" t="s">
        <v>645</v>
      </c>
      <c r="D20" s="341" t="s">
        <v>645</v>
      </c>
      <c r="E20" s="341" t="s">
        <v>645</v>
      </c>
      <c r="F20" s="341" t="s">
        <v>645</v>
      </c>
      <c r="G20" s="341" t="s">
        <v>645</v>
      </c>
      <c r="H20" s="341">
        <v>3.44</v>
      </c>
      <c r="I20" s="341" t="s">
        <v>203</v>
      </c>
      <c r="J20" s="341" t="s">
        <v>203</v>
      </c>
      <c r="K20" s="341">
        <v>1936.99</v>
      </c>
    </row>
    <row r="21" spans="1:11" ht="14.45" customHeight="1" thickBot="1" x14ac:dyDescent="0.25">
      <c r="A21" s="98" t="s">
        <v>30</v>
      </c>
      <c r="B21" s="167" t="s">
        <v>31</v>
      </c>
      <c r="C21" s="341">
        <v>1811</v>
      </c>
      <c r="D21" s="341">
        <v>1422.1</v>
      </c>
      <c r="E21" s="341">
        <v>1019.8</v>
      </c>
      <c r="F21" s="341">
        <v>850.7</v>
      </c>
      <c r="G21" s="341">
        <v>574.20000000000005</v>
      </c>
      <c r="H21" s="341">
        <v>476.95</v>
      </c>
      <c r="I21" s="341">
        <v>32.49</v>
      </c>
      <c r="J21" s="341" t="s">
        <v>203</v>
      </c>
      <c r="K21" s="341" t="s">
        <v>2</v>
      </c>
    </row>
    <row r="22" spans="1:11" ht="14.45" customHeight="1" thickBot="1" x14ac:dyDescent="0.25">
      <c r="A22" s="215" t="s">
        <v>646</v>
      </c>
      <c r="B22" s="216"/>
      <c r="C22" s="342">
        <v>5716.7</v>
      </c>
      <c r="D22" s="342">
        <v>4929.5</v>
      </c>
      <c r="E22" s="342">
        <v>4080.3</v>
      </c>
      <c r="F22" s="342">
        <v>3717.4</v>
      </c>
      <c r="G22" s="342">
        <v>3369.5</v>
      </c>
      <c r="H22" s="342">
        <v>3092.17</v>
      </c>
      <c r="I22" s="342">
        <v>2305.37</v>
      </c>
      <c r="J22" s="342">
        <v>2130.44</v>
      </c>
      <c r="K22" s="342">
        <v>1936.99</v>
      </c>
    </row>
    <row r="23" spans="1:11" ht="14.45" customHeight="1" thickBot="1" x14ac:dyDescent="0.25">
      <c r="A23" s="98" t="s">
        <v>22</v>
      </c>
      <c r="B23" s="167" t="s">
        <v>192</v>
      </c>
      <c r="C23" s="341">
        <v>4734.8999999999996</v>
      </c>
      <c r="D23" s="341">
        <v>2594.6</v>
      </c>
      <c r="E23" s="341" t="s">
        <v>645</v>
      </c>
      <c r="F23" s="341" t="s">
        <v>645</v>
      </c>
      <c r="G23" s="341" t="s">
        <v>645</v>
      </c>
      <c r="H23" s="341" t="s">
        <v>645</v>
      </c>
      <c r="I23" s="341" t="s">
        <v>203</v>
      </c>
      <c r="J23" s="341" t="s">
        <v>203</v>
      </c>
      <c r="K23" s="341" t="s">
        <v>2</v>
      </c>
    </row>
    <row r="24" spans="1:11" ht="14.45" customHeight="1" thickBot="1" x14ac:dyDescent="0.25">
      <c r="A24" s="98" t="s">
        <v>183</v>
      </c>
      <c r="B24" s="167">
        <v>192</v>
      </c>
      <c r="C24" s="341" t="s">
        <v>645</v>
      </c>
      <c r="D24" s="341">
        <v>877.7</v>
      </c>
      <c r="E24" s="341">
        <v>414.9</v>
      </c>
      <c r="F24" s="341">
        <v>1387.7</v>
      </c>
      <c r="G24" s="341">
        <v>2642</v>
      </c>
      <c r="H24" s="341">
        <v>2458.98</v>
      </c>
      <c r="I24" s="341">
        <v>475.54</v>
      </c>
      <c r="J24" s="341" t="s">
        <v>203</v>
      </c>
      <c r="K24" s="341" t="s">
        <v>2</v>
      </c>
    </row>
    <row r="25" spans="1:11" ht="14.45" customHeight="1" thickBot="1" x14ac:dyDescent="0.25">
      <c r="A25" s="98" t="s">
        <v>22</v>
      </c>
      <c r="B25" s="167">
        <v>8</v>
      </c>
      <c r="C25" s="341">
        <v>3489.1</v>
      </c>
      <c r="D25" s="341">
        <v>2806.4</v>
      </c>
      <c r="E25" s="341">
        <v>1601.3</v>
      </c>
      <c r="F25" s="341">
        <v>2132</v>
      </c>
      <c r="G25" s="341">
        <v>2058.4</v>
      </c>
      <c r="H25" s="341">
        <v>1611</v>
      </c>
      <c r="I25" s="341">
        <v>593.92999999999995</v>
      </c>
      <c r="J25" s="341" t="s">
        <v>203</v>
      </c>
      <c r="K25" s="341" t="s">
        <v>2</v>
      </c>
    </row>
    <row r="26" spans="1:11" ht="14.45" customHeight="1" thickBot="1" x14ac:dyDescent="0.25">
      <c r="A26" s="98" t="s">
        <v>86</v>
      </c>
      <c r="B26" s="167">
        <v>67</v>
      </c>
      <c r="C26" s="341">
        <v>1846.5</v>
      </c>
      <c r="D26" s="341">
        <v>555.1</v>
      </c>
      <c r="E26" s="341">
        <v>131.6</v>
      </c>
      <c r="F26" s="341" t="s">
        <v>645</v>
      </c>
      <c r="G26" s="341">
        <v>134.80000000000001</v>
      </c>
      <c r="H26" s="341">
        <v>504.67</v>
      </c>
      <c r="I26" s="341">
        <v>246.73</v>
      </c>
      <c r="J26" s="341">
        <v>516.71</v>
      </c>
      <c r="K26" s="341">
        <v>366.62</v>
      </c>
    </row>
    <row r="27" spans="1:11" ht="14.45" customHeight="1" thickBot="1" x14ac:dyDescent="0.25">
      <c r="A27" s="98" t="s">
        <v>18</v>
      </c>
      <c r="B27" s="167">
        <v>95</v>
      </c>
      <c r="C27" s="341" t="s">
        <v>645</v>
      </c>
      <c r="D27" s="341" t="s">
        <v>645</v>
      </c>
      <c r="E27" s="341" t="s">
        <v>645</v>
      </c>
      <c r="F27" s="341" t="s">
        <v>645</v>
      </c>
      <c r="G27" s="341">
        <v>170.4</v>
      </c>
      <c r="H27" s="341">
        <v>1498.83</v>
      </c>
      <c r="I27" s="341">
        <v>2065.44</v>
      </c>
      <c r="J27" s="341">
        <v>3229.12</v>
      </c>
      <c r="K27" s="341">
        <v>4407.46</v>
      </c>
    </row>
    <row r="28" spans="1:11" ht="14.45" customHeight="1" thickBot="1" x14ac:dyDescent="0.25">
      <c r="A28" s="98" t="s">
        <v>193</v>
      </c>
      <c r="B28" s="167">
        <v>102</v>
      </c>
      <c r="C28" s="341" t="s">
        <v>645</v>
      </c>
      <c r="D28" s="341" t="s">
        <v>645</v>
      </c>
      <c r="E28" s="341" t="s">
        <v>645</v>
      </c>
      <c r="F28" s="341" t="s">
        <v>645</v>
      </c>
      <c r="G28" s="341" t="s">
        <v>645</v>
      </c>
      <c r="H28" s="341" t="s">
        <v>645</v>
      </c>
      <c r="I28" s="341" t="s">
        <v>203</v>
      </c>
      <c r="J28" s="341" t="s">
        <v>203</v>
      </c>
      <c r="K28" s="341" t="s">
        <v>2</v>
      </c>
    </row>
    <row r="29" spans="1:11" ht="14.45" customHeight="1" thickBot="1" x14ac:dyDescent="0.25">
      <c r="A29" s="98" t="s">
        <v>185</v>
      </c>
      <c r="B29" s="167" t="s">
        <v>194</v>
      </c>
      <c r="C29" s="341">
        <v>107.6</v>
      </c>
      <c r="D29" s="341">
        <v>96.7</v>
      </c>
      <c r="E29" s="341">
        <v>38.5</v>
      </c>
      <c r="F29" s="341">
        <v>27.4</v>
      </c>
      <c r="G29" s="341">
        <v>7.4</v>
      </c>
      <c r="H29" s="341" t="s">
        <v>645</v>
      </c>
      <c r="I29" s="341" t="s">
        <v>203</v>
      </c>
      <c r="J29" s="341" t="s">
        <v>203</v>
      </c>
      <c r="K29" s="341" t="s">
        <v>2</v>
      </c>
    </row>
    <row r="30" spans="1:11" ht="14.45" customHeight="1" thickBot="1" x14ac:dyDescent="0.25">
      <c r="A30" s="98" t="s">
        <v>185</v>
      </c>
      <c r="B30" s="167" t="s">
        <v>195</v>
      </c>
      <c r="C30" s="341">
        <v>30.6</v>
      </c>
      <c r="D30" s="341">
        <v>24.9</v>
      </c>
      <c r="E30" s="341">
        <v>15.9</v>
      </c>
      <c r="F30" s="341">
        <v>10.5</v>
      </c>
      <c r="G30" s="341">
        <v>2.7</v>
      </c>
      <c r="H30" s="341" t="s">
        <v>645</v>
      </c>
      <c r="I30" s="341" t="s">
        <v>203</v>
      </c>
      <c r="J30" s="341" t="s">
        <v>203</v>
      </c>
      <c r="K30" s="341" t="s">
        <v>2</v>
      </c>
    </row>
    <row r="31" spans="1:11" ht="14.45" customHeight="1" thickBot="1" x14ac:dyDescent="0.25">
      <c r="A31" s="98" t="s">
        <v>20</v>
      </c>
      <c r="B31" s="167">
        <v>131</v>
      </c>
      <c r="C31" s="341">
        <v>258.3</v>
      </c>
      <c r="D31" s="341">
        <v>1179.3</v>
      </c>
      <c r="E31" s="341">
        <v>820.7</v>
      </c>
      <c r="F31" s="341">
        <v>1085.5</v>
      </c>
      <c r="G31" s="341">
        <v>1002.2</v>
      </c>
      <c r="H31" s="341">
        <v>1119.74</v>
      </c>
      <c r="I31" s="341">
        <v>745.76</v>
      </c>
      <c r="J31" s="341">
        <v>536.45000000000005</v>
      </c>
      <c r="K31" s="341">
        <v>453.92</v>
      </c>
    </row>
    <row r="32" spans="1:11" ht="14.45" customHeight="1" thickBot="1" x14ac:dyDescent="0.25">
      <c r="A32" s="215" t="s">
        <v>638</v>
      </c>
      <c r="B32" s="216"/>
      <c r="C32" s="342">
        <v>10467.1</v>
      </c>
      <c r="D32" s="342">
        <v>8134.7</v>
      </c>
      <c r="E32" s="342">
        <v>3022.8</v>
      </c>
      <c r="F32" s="342">
        <v>4643.1000000000004</v>
      </c>
      <c r="G32" s="115">
        <v>6017.8</v>
      </c>
      <c r="H32" s="342">
        <v>7193.21</v>
      </c>
      <c r="I32" s="342">
        <v>4127.3999999999996</v>
      </c>
      <c r="J32" s="342">
        <v>4282.29</v>
      </c>
      <c r="K32" s="115">
        <v>5228</v>
      </c>
    </row>
    <row r="33" spans="1:11" ht="14.45" customHeight="1" thickBot="1" x14ac:dyDescent="0.25">
      <c r="A33" s="259" t="s">
        <v>647</v>
      </c>
      <c r="B33" s="260"/>
      <c r="C33" s="343">
        <v>25295.8</v>
      </c>
      <c r="D33" s="343">
        <v>21172.799999999999</v>
      </c>
      <c r="E33" s="343">
        <v>14773</v>
      </c>
      <c r="F33" s="343">
        <v>15900.3</v>
      </c>
      <c r="G33" s="193">
        <v>17837</v>
      </c>
      <c r="H33" s="343">
        <v>19339.07</v>
      </c>
      <c r="I33" s="343">
        <v>14521.84</v>
      </c>
      <c r="J33" s="343">
        <v>14012.65</v>
      </c>
      <c r="K33" s="193">
        <v>14796.46</v>
      </c>
    </row>
    <row r="34" spans="1:11" ht="14.45" customHeight="1" thickBot="1" x14ac:dyDescent="0.25">
      <c r="A34" s="259" t="s">
        <v>648</v>
      </c>
      <c r="B34" s="260"/>
      <c r="C34" s="343">
        <v>69.3</v>
      </c>
      <c r="D34" s="343">
        <v>58</v>
      </c>
      <c r="E34" s="343">
        <v>40.5</v>
      </c>
      <c r="F34" s="343">
        <v>43.6</v>
      </c>
      <c r="G34" s="193">
        <v>48.9</v>
      </c>
      <c r="H34" s="343">
        <v>53</v>
      </c>
      <c r="I34" s="343">
        <v>39.700000000000003</v>
      </c>
      <c r="J34" s="343">
        <v>38.4</v>
      </c>
      <c r="K34" s="193">
        <v>40.5</v>
      </c>
    </row>
    <row r="35" spans="1:11" ht="14.45" customHeight="1" thickBot="1" x14ac:dyDescent="0.25">
      <c r="A35" s="261"/>
      <c r="B35" s="262"/>
      <c r="C35" s="262"/>
      <c r="D35" s="262"/>
      <c r="E35" s="262"/>
      <c r="F35" s="262"/>
      <c r="G35" s="262"/>
      <c r="H35" s="262"/>
      <c r="I35" s="262"/>
      <c r="J35" s="262"/>
      <c r="K35" s="195"/>
    </row>
    <row r="36" spans="1:11" ht="14.45" customHeight="1" thickBot="1" x14ac:dyDescent="0.25">
      <c r="A36" s="263" t="s">
        <v>196</v>
      </c>
      <c r="B36" s="264"/>
      <c r="C36" s="264"/>
      <c r="D36" s="264"/>
      <c r="E36" s="264"/>
      <c r="F36" s="264"/>
      <c r="G36" s="264"/>
      <c r="H36" s="264"/>
      <c r="I36" s="264"/>
      <c r="J36" s="264"/>
      <c r="K36" s="265"/>
    </row>
    <row r="37" spans="1:11" ht="14.45" customHeight="1" thickBot="1" x14ac:dyDescent="0.25">
      <c r="A37" s="90" t="s">
        <v>586</v>
      </c>
      <c r="B37" s="91" t="s">
        <v>70</v>
      </c>
      <c r="C37" s="345">
        <v>2014</v>
      </c>
      <c r="D37" s="346">
        <v>2015</v>
      </c>
      <c r="E37" s="346">
        <v>2016</v>
      </c>
      <c r="F37" s="346">
        <v>2017</v>
      </c>
      <c r="G37" s="346">
        <v>2018</v>
      </c>
      <c r="H37" s="346">
        <v>2019</v>
      </c>
      <c r="I37" s="346">
        <v>2020</v>
      </c>
      <c r="J37" s="345">
        <v>2021</v>
      </c>
      <c r="K37" s="345">
        <v>2022</v>
      </c>
    </row>
    <row r="38" spans="1:11" ht="14.45" customHeight="1" thickBot="1" x14ac:dyDescent="0.25">
      <c r="A38" s="98" t="s">
        <v>43</v>
      </c>
      <c r="B38" s="167" t="s">
        <v>191</v>
      </c>
      <c r="C38" s="106">
        <v>466.4</v>
      </c>
      <c r="D38" s="341">
        <v>470.5</v>
      </c>
      <c r="E38" s="341">
        <v>429.7</v>
      </c>
      <c r="F38" s="341">
        <v>374.7</v>
      </c>
      <c r="G38" s="341">
        <v>374</v>
      </c>
      <c r="H38" s="341">
        <v>349.29</v>
      </c>
      <c r="I38" s="341">
        <v>351.2</v>
      </c>
      <c r="J38" s="341">
        <v>280.02999999999997</v>
      </c>
      <c r="K38" s="341">
        <v>225.7</v>
      </c>
    </row>
    <row r="39" spans="1:11" ht="14.45" customHeight="1" thickBot="1" x14ac:dyDescent="0.25">
      <c r="A39" s="215" t="s">
        <v>637</v>
      </c>
      <c r="B39" s="216"/>
      <c r="C39" s="115">
        <v>466.4</v>
      </c>
      <c r="D39" s="342">
        <v>470.5</v>
      </c>
      <c r="E39" s="342">
        <v>429.7</v>
      </c>
      <c r="F39" s="342">
        <v>374.7</v>
      </c>
      <c r="G39" s="342">
        <v>374</v>
      </c>
      <c r="H39" s="342">
        <v>349.29</v>
      </c>
      <c r="I39" s="342">
        <v>351.2</v>
      </c>
      <c r="J39" s="342">
        <v>280.02999999999997</v>
      </c>
      <c r="K39" s="342">
        <v>225.7</v>
      </c>
    </row>
    <row r="40" spans="1:11" ht="14.45" customHeight="1" thickBot="1" x14ac:dyDescent="0.25">
      <c r="A40" s="98" t="s">
        <v>83</v>
      </c>
      <c r="B40" s="167" t="s">
        <v>197</v>
      </c>
      <c r="C40" s="106">
        <v>784.4</v>
      </c>
      <c r="D40" s="341">
        <v>720.5</v>
      </c>
      <c r="E40" s="341">
        <v>471.5</v>
      </c>
      <c r="F40" s="341">
        <v>410</v>
      </c>
      <c r="G40" s="341">
        <v>382.1</v>
      </c>
      <c r="H40" s="341">
        <v>275.7</v>
      </c>
      <c r="I40" s="341">
        <v>168.13</v>
      </c>
      <c r="J40" s="341">
        <v>83.04</v>
      </c>
      <c r="K40" s="341">
        <v>83.02</v>
      </c>
    </row>
    <row r="41" spans="1:11" ht="14.45" customHeight="1" thickBot="1" x14ac:dyDescent="0.25">
      <c r="A41" s="98" t="s">
        <v>22</v>
      </c>
      <c r="B41" s="167">
        <v>88</v>
      </c>
      <c r="C41" s="106">
        <v>21194.1</v>
      </c>
      <c r="D41" s="341">
        <v>18818.400000000001</v>
      </c>
      <c r="E41" s="341">
        <v>18371.8</v>
      </c>
      <c r="F41" s="341">
        <v>17865</v>
      </c>
      <c r="G41" s="341">
        <v>16975.599999999999</v>
      </c>
      <c r="H41" s="341">
        <v>17338.599999999999</v>
      </c>
      <c r="I41" s="341">
        <v>17833.25</v>
      </c>
      <c r="J41" s="341">
        <v>18092.48</v>
      </c>
      <c r="K41" s="341">
        <v>18089.939999999999</v>
      </c>
    </row>
    <row r="42" spans="1:11" ht="14.45" customHeight="1" thickBot="1" x14ac:dyDescent="0.25">
      <c r="A42" s="98" t="s">
        <v>23</v>
      </c>
      <c r="B42" s="167">
        <v>57</v>
      </c>
      <c r="C42" s="106">
        <v>1609.9</v>
      </c>
      <c r="D42" s="341">
        <v>1755.2</v>
      </c>
      <c r="E42" s="341">
        <v>3214.3</v>
      </c>
      <c r="F42" s="341">
        <v>3700</v>
      </c>
      <c r="G42" s="341">
        <v>4493.6000000000004</v>
      </c>
      <c r="H42" s="341">
        <v>4459.26</v>
      </c>
      <c r="I42" s="341">
        <v>4362.83</v>
      </c>
      <c r="J42" s="341">
        <v>2837.41</v>
      </c>
      <c r="K42" s="341">
        <v>3851.77</v>
      </c>
    </row>
    <row r="43" spans="1:11" ht="14.45" customHeight="1" thickBot="1" x14ac:dyDescent="0.25">
      <c r="A43" s="98" t="s">
        <v>22</v>
      </c>
      <c r="B43" s="167">
        <v>56</v>
      </c>
      <c r="C43" s="106">
        <v>13696</v>
      </c>
      <c r="D43" s="341">
        <v>11595.3</v>
      </c>
      <c r="E43" s="341">
        <v>12184.4</v>
      </c>
      <c r="F43" s="341">
        <v>10784.5</v>
      </c>
      <c r="G43" s="341">
        <v>8973.6</v>
      </c>
      <c r="H43" s="341">
        <v>9236.31</v>
      </c>
      <c r="I43" s="341">
        <v>8374.34</v>
      </c>
      <c r="J43" s="341">
        <v>8314.75</v>
      </c>
      <c r="K43" s="341">
        <v>5732.75</v>
      </c>
    </row>
    <row r="44" spans="1:11" ht="14.45" customHeight="1" thickBot="1" x14ac:dyDescent="0.25">
      <c r="A44" s="215" t="s">
        <v>589</v>
      </c>
      <c r="B44" s="216"/>
      <c r="C44" s="115">
        <v>37284.5</v>
      </c>
      <c r="D44" s="342">
        <v>32889.5</v>
      </c>
      <c r="E44" s="342">
        <v>34242</v>
      </c>
      <c r="F44" s="342">
        <v>32759.5</v>
      </c>
      <c r="G44" s="342">
        <v>30825</v>
      </c>
      <c r="H44" s="342">
        <v>31309.87</v>
      </c>
      <c r="I44" s="342">
        <v>30738.54</v>
      </c>
      <c r="J44" s="342">
        <v>29327.68</v>
      </c>
      <c r="K44" s="342">
        <v>27757.48</v>
      </c>
    </row>
    <row r="45" spans="1:11" ht="22.5" customHeight="1" thickBot="1" x14ac:dyDescent="0.25">
      <c r="A45" s="259" t="s">
        <v>649</v>
      </c>
      <c r="B45" s="260"/>
      <c r="C45" s="193">
        <v>37750.800000000003</v>
      </c>
      <c r="D45" s="343">
        <v>33360</v>
      </c>
      <c r="E45" s="343">
        <v>34671.699999999997</v>
      </c>
      <c r="F45" s="343">
        <v>33134.199999999997</v>
      </c>
      <c r="G45" s="343">
        <v>31199</v>
      </c>
      <c r="H45" s="343">
        <v>31659.16</v>
      </c>
      <c r="I45" s="343">
        <v>31089.74</v>
      </c>
      <c r="J45" s="343">
        <v>29607.7</v>
      </c>
      <c r="K45" s="343">
        <v>27983.17</v>
      </c>
    </row>
    <row r="46" spans="1:11" ht="22.5" customHeight="1" thickBot="1" x14ac:dyDescent="0.25">
      <c r="A46" s="259" t="s">
        <v>650</v>
      </c>
      <c r="B46" s="260"/>
      <c r="C46" s="193">
        <v>103.4</v>
      </c>
      <c r="D46" s="343">
        <v>91.4</v>
      </c>
      <c r="E46" s="343">
        <v>95</v>
      </c>
      <c r="F46" s="343">
        <v>90.8</v>
      </c>
      <c r="G46" s="343">
        <v>85.5</v>
      </c>
      <c r="H46" s="343">
        <v>86.7</v>
      </c>
      <c r="I46" s="343">
        <v>84.9</v>
      </c>
      <c r="J46" s="343">
        <v>81.099999999999994</v>
      </c>
      <c r="K46" s="343">
        <v>76.67</v>
      </c>
    </row>
    <row r="47" spans="1:11" ht="14.45" customHeight="1" thickBot="1" x14ac:dyDescent="0.25">
      <c r="A47" s="257"/>
      <c r="B47" s="258"/>
      <c r="C47" s="106"/>
      <c r="D47" s="341"/>
      <c r="E47" s="341"/>
      <c r="F47" s="341"/>
      <c r="G47" s="341"/>
      <c r="H47" s="341"/>
      <c r="I47" s="341"/>
      <c r="J47" s="106"/>
      <c r="K47" s="106"/>
    </row>
    <row r="48" spans="1:11" ht="22.5" customHeight="1" thickBot="1" x14ac:dyDescent="0.25">
      <c r="A48" s="224" t="s">
        <v>651</v>
      </c>
      <c r="B48" s="225"/>
      <c r="C48" s="196">
        <v>63046.6</v>
      </c>
      <c r="D48" s="340">
        <v>54532.800000000003</v>
      </c>
      <c r="E48" s="344">
        <v>49444.7</v>
      </c>
      <c r="F48" s="344">
        <v>49034.5</v>
      </c>
      <c r="G48" s="344">
        <v>49036</v>
      </c>
      <c r="H48" s="344">
        <v>50998.23</v>
      </c>
      <c r="I48" s="344">
        <v>45611.58</v>
      </c>
      <c r="J48" s="344">
        <v>43620.35</v>
      </c>
      <c r="K48" s="344">
        <v>42779.64</v>
      </c>
    </row>
    <row r="49" spans="1:11" ht="22.5" customHeight="1" thickBot="1" x14ac:dyDescent="0.25">
      <c r="A49" s="224" t="s">
        <v>652</v>
      </c>
      <c r="B49" s="225"/>
      <c r="C49" s="112">
        <v>172.7</v>
      </c>
      <c r="D49" s="344">
        <v>149.4</v>
      </c>
      <c r="E49" s="344">
        <v>135.5</v>
      </c>
      <c r="F49" s="344">
        <v>134.30000000000001</v>
      </c>
      <c r="G49" s="344">
        <v>134.30000000000001</v>
      </c>
      <c r="H49" s="344">
        <v>139.72</v>
      </c>
      <c r="I49" s="344">
        <v>124.62</v>
      </c>
      <c r="J49" s="344">
        <v>119.51</v>
      </c>
      <c r="K49" s="344">
        <v>117.2</v>
      </c>
    </row>
    <row r="50" spans="1:11" ht="14.45" customHeight="1" x14ac:dyDescent="0.2">
      <c r="A50" s="337"/>
      <c r="B50" s="317"/>
      <c r="C50" s="337"/>
      <c r="D50" s="337"/>
      <c r="E50" s="337"/>
      <c r="F50" s="337"/>
      <c r="G50" s="337"/>
      <c r="H50" s="337"/>
      <c r="I50" s="337"/>
      <c r="J50" s="337"/>
      <c r="K50" s="337"/>
    </row>
    <row r="51" spans="1:11" ht="14.45" customHeight="1" x14ac:dyDescent="0.2">
      <c r="A51" s="337"/>
      <c r="B51" s="317"/>
      <c r="C51" s="337"/>
      <c r="D51" s="337"/>
      <c r="E51" s="337"/>
      <c r="F51" s="337"/>
      <c r="G51" s="337"/>
      <c r="H51" s="337"/>
      <c r="I51" s="337"/>
      <c r="J51" s="337"/>
      <c r="K51" s="337"/>
    </row>
  </sheetData>
  <mergeCells count="17">
    <mergeCell ref="A49:B49"/>
    <mergeCell ref="A2:G2"/>
    <mergeCell ref="A4:K4"/>
    <mergeCell ref="A5:K5"/>
    <mergeCell ref="A48:B48"/>
    <mergeCell ref="A18:B18"/>
    <mergeCell ref="A22:B22"/>
    <mergeCell ref="A33:B33"/>
    <mergeCell ref="A32:B32"/>
    <mergeCell ref="A35:J35"/>
    <mergeCell ref="A36:K36"/>
    <mergeCell ref="A34:B34"/>
    <mergeCell ref="A39:B39"/>
    <mergeCell ref="A44:B44"/>
    <mergeCell ref="A47:B47"/>
    <mergeCell ref="A46:B46"/>
    <mergeCell ref="A45:B45"/>
  </mergeCells>
  <pageMargins left="0.7" right="0.7" top="0.75" bottom="0.75" header="0.3" footer="0.3"/>
  <pageSetup scale="94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499984740745262"/>
    <pageSetUpPr fitToPage="1"/>
  </sheetPr>
  <dimension ref="A2:Q29"/>
  <sheetViews>
    <sheetView showGridLines="0" topLeftCell="H1" zoomScaleNormal="100" workbookViewId="0">
      <selection activeCell="P49" sqref="P49"/>
    </sheetView>
  </sheetViews>
  <sheetFormatPr baseColWidth="10" defaultColWidth="13.7109375" defaultRowHeight="14.45" customHeight="1" x14ac:dyDescent="0.25"/>
  <cols>
    <col min="1" max="1" width="13.7109375" style="1"/>
    <col min="2" max="2" width="18.42578125" style="2" customWidth="1"/>
    <col min="3" max="14" width="13.7109375" style="3"/>
    <col min="15" max="15" width="15" style="3" bestFit="1" customWidth="1"/>
    <col min="16" max="16384" width="13.7109375" style="3"/>
  </cols>
  <sheetData>
    <row r="2" spans="1:17" ht="14.45" customHeight="1" x14ac:dyDescent="0.2">
      <c r="A2" s="316" t="s">
        <v>653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</row>
    <row r="3" spans="1:17" ht="14.45" customHeight="1" thickBot="1" x14ac:dyDescent="0.3">
      <c r="A3" s="312"/>
      <c r="B3" s="310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</row>
    <row r="4" spans="1:17" ht="14.45" customHeight="1" thickBot="1" x14ac:dyDescent="0.3">
      <c r="A4" s="266" t="s">
        <v>654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7"/>
    </row>
    <row r="5" spans="1:17" ht="14.45" customHeight="1" thickBot="1" x14ac:dyDescent="0.3">
      <c r="A5" s="197" t="s">
        <v>586</v>
      </c>
      <c r="B5" s="198" t="s">
        <v>70</v>
      </c>
      <c r="C5" s="198" t="s">
        <v>426</v>
      </c>
      <c r="D5" s="198" t="s">
        <v>427</v>
      </c>
      <c r="E5" s="198" t="s">
        <v>428</v>
      </c>
      <c r="F5" s="198" t="s">
        <v>429</v>
      </c>
      <c r="G5" s="198" t="s">
        <v>430</v>
      </c>
      <c r="H5" s="198" t="s">
        <v>431</v>
      </c>
      <c r="I5" s="198" t="s">
        <v>432</v>
      </c>
      <c r="J5" s="198" t="s">
        <v>433</v>
      </c>
      <c r="K5" s="198" t="s">
        <v>434</v>
      </c>
      <c r="L5" s="198" t="s">
        <v>435</v>
      </c>
      <c r="M5" s="198" t="s">
        <v>436</v>
      </c>
      <c r="N5" s="198" t="s">
        <v>437</v>
      </c>
      <c r="O5" s="198" t="s">
        <v>29</v>
      </c>
    </row>
    <row r="6" spans="1:17" ht="14.45" customHeight="1" thickBot="1" x14ac:dyDescent="0.3">
      <c r="A6" s="355" t="s">
        <v>265</v>
      </c>
      <c r="B6" s="356" t="s">
        <v>613</v>
      </c>
      <c r="C6" s="357">
        <v>79466</v>
      </c>
      <c r="D6" s="357">
        <v>70789</v>
      </c>
      <c r="E6" s="357">
        <v>85879</v>
      </c>
      <c r="F6" s="357">
        <v>83097</v>
      </c>
      <c r="G6" s="357">
        <v>86961</v>
      </c>
      <c r="H6" s="357">
        <v>80638</v>
      </c>
      <c r="I6" s="357">
        <v>78770</v>
      </c>
      <c r="J6" s="357">
        <v>80770</v>
      </c>
      <c r="K6" s="357">
        <v>84723</v>
      </c>
      <c r="L6" s="357">
        <v>88541</v>
      </c>
      <c r="M6" s="357">
        <v>80696</v>
      </c>
      <c r="N6" s="357">
        <v>88152</v>
      </c>
      <c r="O6" s="357">
        <v>988482</v>
      </c>
      <c r="P6" s="351"/>
      <c r="Q6" s="351"/>
    </row>
    <row r="7" spans="1:17" ht="14.45" customHeight="1" thickBot="1" x14ac:dyDescent="0.3">
      <c r="A7" s="199" t="s">
        <v>76</v>
      </c>
      <c r="B7" s="200" t="s">
        <v>77</v>
      </c>
      <c r="C7" s="201">
        <v>25716</v>
      </c>
      <c r="D7" s="201">
        <v>30792</v>
      </c>
      <c r="E7" s="201">
        <v>33658</v>
      </c>
      <c r="F7" s="201">
        <v>32313</v>
      </c>
      <c r="G7" s="201">
        <v>74243</v>
      </c>
      <c r="H7" s="201">
        <v>54306</v>
      </c>
      <c r="I7" s="201">
        <v>39266</v>
      </c>
      <c r="J7" s="201">
        <v>35178</v>
      </c>
      <c r="K7" s="201">
        <v>11438</v>
      </c>
      <c r="L7" s="201">
        <v>34694</v>
      </c>
      <c r="M7" s="201">
        <v>55632</v>
      </c>
      <c r="N7" s="201">
        <v>60605</v>
      </c>
      <c r="O7" s="201">
        <v>487841</v>
      </c>
      <c r="P7" s="351"/>
      <c r="Q7" s="351"/>
    </row>
    <row r="8" spans="1:17" ht="14.45" customHeight="1" thickBot="1" x14ac:dyDescent="0.3">
      <c r="A8" s="199" t="s">
        <v>264</v>
      </c>
      <c r="B8" s="200" t="s">
        <v>35</v>
      </c>
      <c r="C8" s="201">
        <v>8065</v>
      </c>
      <c r="D8" s="201">
        <v>6360</v>
      </c>
      <c r="E8" s="201">
        <v>6292</v>
      </c>
      <c r="F8" s="201">
        <v>51913</v>
      </c>
      <c r="G8" s="201">
        <v>67804</v>
      </c>
      <c r="H8" s="201">
        <v>72414</v>
      </c>
      <c r="I8" s="201">
        <v>91580</v>
      </c>
      <c r="J8" s="201">
        <v>100034</v>
      </c>
      <c r="K8" s="201">
        <v>52472</v>
      </c>
      <c r="L8" s="201">
        <v>75208</v>
      </c>
      <c r="M8" s="201">
        <v>81408</v>
      </c>
      <c r="N8" s="201">
        <v>82530</v>
      </c>
      <c r="O8" s="201">
        <v>696079</v>
      </c>
      <c r="P8" s="351"/>
      <c r="Q8" s="351"/>
    </row>
    <row r="9" spans="1:17" ht="14.45" customHeight="1" thickBot="1" x14ac:dyDescent="0.3">
      <c r="A9" s="199" t="s">
        <v>79</v>
      </c>
      <c r="B9" s="200" t="s">
        <v>180</v>
      </c>
      <c r="C9" s="201">
        <v>121917</v>
      </c>
      <c r="D9" s="201">
        <v>121663</v>
      </c>
      <c r="E9" s="201">
        <v>131609</v>
      </c>
      <c r="F9" s="201">
        <v>120962</v>
      </c>
      <c r="G9" s="201">
        <v>130464</v>
      </c>
      <c r="H9" s="201">
        <v>128010</v>
      </c>
      <c r="I9" s="201">
        <v>131830</v>
      </c>
      <c r="J9" s="201">
        <v>96723</v>
      </c>
      <c r="K9" s="201">
        <v>70231</v>
      </c>
      <c r="L9" s="201">
        <v>81559</v>
      </c>
      <c r="M9" s="201">
        <v>111019</v>
      </c>
      <c r="N9" s="201">
        <v>71333</v>
      </c>
      <c r="O9" s="201">
        <v>1317320</v>
      </c>
      <c r="P9" s="351"/>
      <c r="Q9" s="351"/>
    </row>
    <row r="10" spans="1:17" ht="14.45" customHeight="1" thickBot="1" x14ac:dyDescent="0.3">
      <c r="A10" s="199" t="s">
        <v>19</v>
      </c>
      <c r="B10" s="200" t="s">
        <v>37</v>
      </c>
      <c r="C10" s="201">
        <v>459814</v>
      </c>
      <c r="D10" s="201">
        <v>405065</v>
      </c>
      <c r="E10" s="201">
        <v>444051</v>
      </c>
      <c r="F10" s="201">
        <v>435329</v>
      </c>
      <c r="G10" s="201">
        <v>455476</v>
      </c>
      <c r="H10" s="201">
        <v>436083</v>
      </c>
      <c r="I10" s="201">
        <v>448276</v>
      </c>
      <c r="J10" s="201">
        <v>464696</v>
      </c>
      <c r="K10" s="201">
        <v>466223</v>
      </c>
      <c r="L10" s="201">
        <v>459676</v>
      </c>
      <c r="M10" s="201">
        <v>433986</v>
      </c>
      <c r="N10" s="201">
        <v>461334</v>
      </c>
      <c r="O10" s="201">
        <v>5370009</v>
      </c>
      <c r="P10" s="351"/>
      <c r="Q10" s="351"/>
    </row>
    <row r="11" spans="1:17" ht="14.45" customHeight="1" thickBot="1" x14ac:dyDescent="0.3">
      <c r="A11" s="199" t="s">
        <v>38</v>
      </c>
      <c r="B11" s="200" t="s">
        <v>6</v>
      </c>
      <c r="C11" s="201">
        <v>515672</v>
      </c>
      <c r="D11" s="201">
        <v>517870</v>
      </c>
      <c r="E11" s="201">
        <v>563674</v>
      </c>
      <c r="F11" s="201">
        <v>541522</v>
      </c>
      <c r="G11" s="201">
        <v>525240</v>
      </c>
      <c r="H11" s="201">
        <v>574795</v>
      </c>
      <c r="I11" s="201">
        <v>474649</v>
      </c>
      <c r="J11" s="201">
        <v>596525</v>
      </c>
      <c r="K11" s="201">
        <v>594098</v>
      </c>
      <c r="L11" s="201">
        <v>569657</v>
      </c>
      <c r="M11" s="201">
        <v>563873</v>
      </c>
      <c r="N11" s="201">
        <v>868626</v>
      </c>
      <c r="O11" s="201">
        <v>6906201</v>
      </c>
      <c r="P11" s="351"/>
      <c r="Q11" s="351"/>
    </row>
    <row r="12" spans="1:17" ht="14.45" customHeight="1" thickBot="1" x14ac:dyDescent="0.3">
      <c r="A12" s="269" t="s">
        <v>655</v>
      </c>
      <c r="B12" s="270"/>
      <c r="C12" s="202">
        <v>1210651</v>
      </c>
      <c r="D12" s="202">
        <v>1152539</v>
      </c>
      <c r="E12" s="202">
        <v>1265162</v>
      </c>
      <c r="F12" s="202">
        <v>1265136</v>
      </c>
      <c r="G12" s="202">
        <v>1340189</v>
      </c>
      <c r="H12" s="202">
        <v>1346247</v>
      </c>
      <c r="I12" s="202">
        <v>1264371</v>
      </c>
      <c r="J12" s="202">
        <v>1373925</v>
      </c>
      <c r="K12" s="202">
        <v>1279186</v>
      </c>
      <c r="L12" s="202">
        <v>1309334</v>
      </c>
      <c r="M12" s="202">
        <v>1326614</v>
      </c>
      <c r="N12" s="202">
        <v>1632580</v>
      </c>
      <c r="O12" s="202">
        <v>15765933</v>
      </c>
      <c r="P12" s="351"/>
      <c r="Q12" s="351"/>
    </row>
    <row r="13" spans="1:17" ht="14.45" customHeight="1" thickBot="1" x14ac:dyDescent="0.3">
      <c r="A13" s="199" t="s">
        <v>43</v>
      </c>
      <c r="B13" s="200" t="s">
        <v>44</v>
      </c>
      <c r="C13" s="201">
        <v>313917</v>
      </c>
      <c r="D13" s="201">
        <v>168196</v>
      </c>
      <c r="E13" s="201">
        <v>163198</v>
      </c>
      <c r="F13" s="201">
        <v>296816</v>
      </c>
      <c r="G13" s="201">
        <v>345984</v>
      </c>
      <c r="H13" s="201">
        <v>382020</v>
      </c>
      <c r="I13" s="201">
        <v>419879</v>
      </c>
      <c r="J13" s="201">
        <v>399532</v>
      </c>
      <c r="K13" s="201">
        <v>370233</v>
      </c>
      <c r="L13" s="201">
        <v>411686</v>
      </c>
      <c r="M13" s="201">
        <v>360530</v>
      </c>
      <c r="N13" s="201">
        <v>382077</v>
      </c>
      <c r="O13" s="201">
        <v>4014068</v>
      </c>
      <c r="P13" s="351"/>
      <c r="Q13" s="351"/>
    </row>
    <row r="14" spans="1:17" ht="14.45" customHeight="1" thickBot="1" x14ac:dyDescent="0.3">
      <c r="A14" s="269" t="s">
        <v>604</v>
      </c>
      <c r="B14" s="270"/>
      <c r="C14" s="202">
        <v>313917</v>
      </c>
      <c r="D14" s="202">
        <v>168196</v>
      </c>
      <c r="E14" s="202">
        <v>163198</v>
      </c>
      <c r="F14" s="202">
        <v>296816</v>
      </c>
      <c r="G14" s="202">
        <v>345984</v>
      </c>
      <c r="H14" s="202">
        <v>382020</v>
      </c>
      <c r="I14" s="202">
        <v>419879</v>
      </c>
      <c r="J14" s="202">
        <v>399532</v>
      </c>
      <c r="K14" s="202">
        <v>370233</v>
      </c>
      <c r="L14" s="202">
        <v>411686</v>
      </c>
      <c r="M14" s="202">
        <v>360530</v>
      </c>
      <c r="N14" s="202">
        <v>382077</v>
      </c>
      <c r="O14" s="202">
        <v>4014068</v>
      </c>
      <c r="P14" s="351"/>
      <c r="Q14" s="351"/>
    </row>
    <row r="15" spans="1:17" ht="14.45" customHeight="1" thickBot="1" x14ac:dyDescent="0.3">
      <c r="A15" s="199" t="s">
        <v>83</v>
      </c>
      <c r="B15" s="200" t="s">
        <v>197</v>
      </c>
      <c r="C15" s="153">
        <v>186</v>
      </c>
      <c r="D15" s="201">
        <v>95355</v>
      </c>
      <c r="E15" s="201">
        <v>132267</v>
      </c>
      <c r="F15" s="201">
        <v>150790</v>
      </c>
      <c r="G15" s="201">
        <v>126718</v>
      </c>
      <c r="H15" s="201">
        <v>437537</v>
      </c>
      <c r="I15" s="201">
        <v>509137</v>
      </c>
      <c r="J15" s="201">
        <v>397327</v>
      </c>
      <c r="K15" s="201">
        <v>575735</v>
      </c>
      <c r="L15" s="201">
        <v>118965</v>
      </c>
      <c r="M15" s="201">
        <v>694349</v>
      </c>
      <c r="N15" s="201">
        <v>504584</v>
      </c>
      <c r="O15" s="201">
        <v>3742949</v>
      </c>
      <c r="P15" s="351"/>
      <c r="Q15" s="351"/>
    </row>
    <row r="16" spans="1:17" ht="14.45" customHeight="1" thickBot="1" x14ac:dyDescent="0.3">
      <c r="A16" s="199" t="s">
        <v>23</v>
      </c>
      <c r="B16" s="200">
        <v>57</v>
      </c>
      <c r="C16" s="201">
        <v>6432292</v>
      </c>
      <c r="D16" s="201">
        <v>5635830</v>
      </c>
      <c r="E16" s="201">
        <v>5890702</v>
      </c>
      <c r="F16" s="201">
        <v>5777572</v>
      </c>
      <c r="G16" s="201">
        <v>7101938</v>
      </c>
      <c r="H16" s="201">
        <v>4493497</v>
      </c>
      <c r="I16" s="201">
        <v>1092306</v>
      </c>
      <c r="J16" s="201">
        <v>2031546</v>
      </c>
      <c r="K16" s="201">
        <v>3139085</v>
      </c>
      <c r="L16" s="201">
        <v>5596950</v>
      </c>
      <c r="M16" s="201">
        <v>5905437</v>
      </c>
      <c r="N16" s="201">
        <v>4413132</v>
      </c>
      <c r="O16" s="201">
        <v>57510287</v>
      </c>
      <c r="P16" s="351"/>
      <c r="Q16" s="351"/>
    </row>
    <row r="17" spans="1:17" ht="14.45" customHeight="1" thickBot="1" x14ac:dyDescent="0.3">
      <c r="A17" s="271" t="s">
        <v>22</v>
      </c>
      <c r="B17" s="200">
        <v>56</v>
      </c>
      <c r="C17" s="201">
        <v>13948508</v>
      </c>
      <c r="D17" s="201">
        <v>12347337</v>
      </c>
      <c r="E17" s="201">
        <v>12276679</v>
      </c>
      <c r="F17" s="201">
        <v>13080652</v>
      </c>
      <c r="G17" s="201">
        <v>11536929</v>
      </c>
      <c r="H17" s="201">
        <v>11827290</v>
      </c>
      <c r="I17" s="201">
        <v>1352574</v>
      </c>
      <c r="J17" s="201">
        <v>3448725</v>
      </c>
      <c r="K17" s="201">
        <v>5904348</v>
      </c>
      <c r="L17" s="201">
        <v>10932928</v>
      </c>
      <c r="M17" s="201">
        <v>11600687</v>
      </c>
      <c r="N17" s="201">
        <v>8127635</v>
      </c>
      <c r="O17" s="201">
        <v>116384292</v>
      </c>
      <c r="P17" s="351"/>
      <c r="Q17" s="351"/>
    </row>
    <row r="18" spans="1:17" ht="14.45" customHeight="1" thickBot="1" x14ac:dyDescent="0.3">
      <c r="A18" s="272"/>
      <c r="B18" s="200">
        <v>88</v>
      </c>
      <c r="C18" s="201">
        <v>20142911</v>
      </c>
      <c r="D18" s="201">
        <v>18246872</v>
      </c>
      <c r="E18" s="201">
        <v>19329332</v>
      </c>
      <c r="F18" s="201">
        <v>18164163</v>
      </c>
      <c r="G18" s="201">
        <v>23269453</v>
      </c>
      <c r="H18" s="201">
        <v>25398611</v>
      </c>
      <c r="I18" s="201">
        <v>25863045</v>
      </c>
      <c r="J18" s="201">
        <v>26248339</v>
      </c>
      <c r="K18" s="201">
        <v>26351050</v>
      </c>
      <c r="L18" s="201">
        <v>27894424</v>
      </c>
      <c r="M18" s="201">
        <v>27927205</v>
      </c>
      <c r="N18" s="201">
        <v>27744473</v>
      </c>
      <c r="O18" s="201">
        <v>286579879</v>
      </c>
      <c r="P18" s="351"/>
      <c r="Q18" s="351"/>
    </row>
    <row r="19" spans="1:17" ht="14.45" customHeight="1" thickBot="1" x14ac:dyDescent="0.3">
      <c r="A19" s="269" t="s">
        <v>589</v>
      </c>
      <c r="B19" s="270"/>
      <c r="C19" s="202">
        <v>40523897</v>
      </c>
      <c r="D19" s="202">
        <v>36325394</v>
      </c>
      <c r="E19" s="202">
        <v>37628980</v>
      </c>
      <c r="F19" s="202">
        <v>37173177</v>
      </c>
      <c r="G19" s="202">
        <v>42035038</v>
      </c>
      <c r="H19" s="202">
        <v>42156936</v>
      </c>
      <c r="I19" s="202">
        <v>28817061</v>
      </c>
      <c r="J19" s="202">
        <v>32125937</v>
      </c>
      <c r="K19" s="202">
        <v>35970218</v>
      </c>
      <c r="L19" s="202">
        <v>44543267</v>
      </c>
      <c r="M19" s="202">
        <v>46127677</v>
      </c>
      <c r="N19" s="202">
        <v>40789823</v>
      </c>
      <c r="O19" s="202">
        <v>464217406</v>
      </c>
      <c r="P19" s="351"/>
      <c r="Q19" s="351"/>
    </row>
    <row r="20" spans="1:17" ht="14.45" customHeight="1" thickBot="1" x14ac:dyDescent="0.3">
      <c r="A20" s="360"/>
      <c r="B20" s="361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  <c r="P20" s="351"/>
      <c r="Q20" s="351"/>
    </row>
    <row r="21" spans="1:17" ht="14.45" customHeight="1" thickBot="1" x14ac:dyDescent="0.3">
      <c r="A21" s="266" t="s">
        <v>590</v>
      </c>
      <c r="B21" s="267"/>
      <c r="C21" s="359">
        <v>42048465</v>
      </c>
      <c r="D21" s="359">
        <v>37646129</v>
      </c>
      <c r="E21" s="359">
        <v>39057340</v>
      </c>
      <c r="F21" s="359">
        <v>38735127</v>
      </c>
      <c r="G21" s="359">
        <v>43721211</v>
      </c>
      <c r="H21" s="359">
        <v>43885202</v>
      </c>
      <c r="I21" s="359">
        <v>30501312</v>
      </c>
      <c r="J21" s="359">
        <v>33899394</v>
      </c>
      <c r="K21" s="359">
        <v>37619636</v>
      </c>
      <c r="L21" s="359">
        <v>46264288</v>
      </c>
      <c r="M21" s="359">
        <v>47814821</v>
      </c>
      <c r="N21" s="359">
        <v>42804480</v>
      </c>
      <c r="O21" s="359">
        <v>483997406</v>
      </c>
      <c r="P21" s="351"/>
      <c r="Q21" s="351"/>
    </row>
    <row r="22" spans="1:17" ht="14.45" customHeight="1" thickBot="1" x14ac:dyDescent="0.3">
      <c r="A22" s="352"/>
      <c r="B22" s="353"/>
      <c r="C22" s="354"/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1"/>
      <c r="Q22" s="351"/>
    </row>
    <row r="23" spans="1:17" ht="14.45" customHeight="1" x14ac:dyDescent="0.25">
      <c r="A23" s="362"/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51"/>
      <c r="Q23" s="351"/>
    </row>
    <row r="24" spans="1:17" ht="14.45" customHeight="1" x14ac:dyDescent="0.25">
      <c r="A24" s="362"/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4"/>
      <c r="M24" s="364"/>
      <c r="N24" s="364"/>
      <c r="O24" s="364"/>
      <c r="P24" s="351"/>
      <c r="Q24" s="351"/>
    </row>
    <row r="25" spans="1:17" ht="14.45" customHeight="1" x14ac:dyDescent="0.25">
      <c r="A25" s="362"/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364"/>
      <c r="P25" s="351"/>
      <c r="Q25" s="351"/>
    </row>
    <row r="26" spans="1:17" ht="14.45" customHeight="1" x14ac:dyDescent="0.25">
      <c r="A26" s="362"/>
      <c r="B26" s="363"/>
      <c r="C26" s="364"/>
      <c r="D26" s="364"/>
      <c r="E26" s="364"/>
      <c r="F26" s="364"/>
      <c r="G26" s="364"/>
      <c r="H26" s="364"/>
      <c r="I26" s="364"/>
      <c r="J26" s="364"/>
      <c r="K26" s="364"/>
      <c r="L26" s="364"/>
      <c r="M26" s="364"/>
      <c r="N26" s="364"/>
      <c r="O26" s="364"/>
      <c r="P26" s="351"/>
      <c r="Q26" s="351"/>
    </row>
    <row r="27" spans="1:17" ht="14.45" customHeight="1" x14ac:dyDescent="0.25">
      <c r="A27" s="362"/>
      <c r="B27" s="363"/>
      <c r="C27" s="364"/>
      <c r="D27" s="364"/>
      <c r="E27" s="364"/>
      <c r="F27" s="364"/>
      <c r="G27" s="364"/>
      <c r="H27" s="364"/>
      <c r="I27" s="364"/>
      <c r="J27" s="364"/>
      <c r="K27" s="364"/>
      <c r="L27" s="364"/>
      <c r="M27" s="364"/>
      <c r="N27" s="364"/>
      <c r="O27" s="364"/>
      <c r="P27" s="351"/>
      <c r="Q27" s="351"/>
    </row>
    <row r="28" spans="1:17" ht="14.45" customHeight="1" x14ac:dyDescent="0.25">
      <c r="A28" s="362"/>
      <c r="B28" s="363"/>
      <c r="C28" s="364"/>
      <c r="D28" s="364"/>
      <c r="E28" s="364"/>
      <c r="F28" s="364"/>
      <c r="G28" s="364"/>
      <c r="H28" s="364"/>
      <c r="I28" s="364"/>
      <c r="J28" s="364"/>
      <c r="K28" s="364"/>
      <c r="L28" s="364"/>
      <c r="M28" s="364"/>
      <c r="N28" s="364"/>
      <c r="O28" s="364"/>
      <c r="P28" s="351"/>
      <c r="Q28" s="351"/>
    </row>
    <row r="29" spans="1:17" ht="14.45" customHeight="1" x14ac:dyDescent="0.25">
      <c r="A29" s="362"/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4"/>
      <c r="M29" s="364"/>
      <c r="N29" s="364"/>
      <c r="O29" s="364"/>
      <c r="P29" s="351"/>
      <c r="Q29" s="351"/>
    </row>
  </sheetData>
  <mergeCells count="9">
    <mergeCell ref="A22:B22"/>
    <mergeCell ref="A21:B21"/>
    <mergeCell ref="A2:O2"/>
    <mergeCell ref="A4:O4"/>
    <mergeCell ref="A20:B20"/>
    <mergeCell ref="A12:B12"/>
    <mergeCell ref="A14:B14"/>
    <mergeCell ref="A17:A18"/>
    <mergeCell ref="A19:B19"/>
  </mergeCells>
  <pageMargins left="0.7" right="0.7" top="0.75" bottom="0.75" header="0.3" footer="0.3"/>
  <pageSetup scale="43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499984740745262"/>
    <pageSetUpPr fitToPage="1"/>
  </sheetPr>
  <dimension ref="A2:K37"/>
  <sheetViews>
    <sheetView showGridLines="0" zoomScaleNormal="100" workbookViewId="0">
      <selection activeCell="A2" sqref="A2:J2"/>
    </sheetView>
  </sheetViews>
  <sheetFormatPr baseColWidth="10" defaultColWidth="9.42578125" defaultRowHeight="11.25" x14ac:dyDescent="0.25"/>
  <cols>
    <col min="1" max="1" width="18.42578125" style="20" customWidth="1"/>
    <col min="2" max="2" width="9.42578125" style="18"/>
    <col min="3" max="3" width="8.7109375" style="19" bestFit="1" customWidth="1"/>
    <col min="4" max="16384" width="9.42578125" style="19"/>
  </cols>
  <sheetData>
    <row r="2" spans="1:11" ht="12" x14ac:dyDescent="0.2">
      <c r="A2" s="316" t="s">
        <v>656</v>
      </c>
      <c r="B2" s="316"/>
      <c r="C2" s="316"/>
      <c r="D2" s="316"/>
      <c r="E2" s="316"/>
      <c r="F2" s="316"/>
      <c r="G2" s="316"/>
      <c r="H2" s="316"/>
      <c r="I2" s="316"/>
      <c r="J2" s="316"/>
      <c r="K2" s="9"/>
    </row>
    <row r="4" spans="1:11" ht="12" thickBot="1" x14ac:dyDescent="0.3"/>
    <row r="5" spans="1:11" ht="12" thickBot="1" x14ac:dyDescent="0.3">
      <c r="A5" s="217" t="s">
        <v>657</v>
      </c>
      <c r="B5" s="218"/>
      <c r="C5" s="218"/>
      <c r="D5" s="218"/>
      <c r="E5" s="218"/>
      <c r="F5" s="218"/>
      <c r="G5" s="218"/>
      <c r="H5" s="218"/>
      <c r="I5" s="218"/>
      <c r="J5" s="219"/>
    </row>
    <row r="6" spans="1:11" ht="12" thickBot="1" x14ac:dyDescent="0.3">
      <c r="A6" s="90" t="s">
        <v>586</v>
      </c>
      <c r="B6" s="91" t="s">
        <v>70</v>
      </c>
      <c r="C6" s="91">
        <v>2015</v>
      </c>
      <c r="D6" s="91">
        <v>2016</v>
      </c>
      <c r="E6" s="91">
        <v>2017</v>
      </c>
      <c r="F6" s="91">
        <v>2018</v>
      </c>
      <c r="G6" s="91">
        <v>2019</v>
      </c>
      <c r="H6" s="91">
        <v>2020</v>
      </c>
      <c r="I6" s="91">
        <v>2021</v>
      </c>
      <c r="J6" s="91">
        <v>2022</v>
      </c>
    </row>
    <row r="7" spans="1:11" ht="12" thickBot="1" x14ac:dyDescent="0.3">
      <c r="A7" s="98" t="s">
        <v>264</v>
      </c>
      <c r="B7" s="167" t="s">
        <v>75</v>
      </c>
      <c r="C7" s="106">
        <v>3461.3</v>
      </c>
      <c r="D7" s="106">
        <v>3028.3</v>
      </c>
      <c r="E7" s="106">
        <v>2661.1</v>
      </c>
      <c r="F7" s="106">
        <v>2228.8000000000002</v>
      </c>
      <c r="G7" s="106">
        <v>1770.74</v>
      </c>
      <c r="H7" s="106">
        <v>1337.33</v>
      </c>
      <c r="I7" s="106">
        <v>1139.48</v>
      </c>
      <c r="J7" s="106">
        <v>0</v>
      </c>
    </row>
    <row r="8" spans="1:11" ht="12" thickBot="1" x14ac:dyDescent="0.3">
      <c r="A8" s="98" t="s">
        <v>265</v>
      </c>
      <c r="B8" s="167" t="s">
        <v>266</v>
      </c>
      <c r="C8" s="106" t="s">
        <v>2</v>
      </c>
      <c r="D8" s="106" t="s">
        <v>2</v>
      </c>
      <c r="E8" s="106" t="s">
        <v>2</v>
      </c>
      <c r="F8" s="106" t="s">
        <v>2</v>
      </c>
      <c r="G8" s="106" t="s">
        <v>2</v>
      </c>
      <c r="H8" s="106" t="s">
        <v>2</v>
      </c>
      <c r="I8" s="106">
        <v>10.41</v>
      </c>
      <c r="J8" s="106">
        <v>988.48</v>
      </c>
    </row>
    <row r="9" spans="1:11" ht="12" thickBot="1" x14ac:dyDescent="0.3">
      <c r="A9" s="98" t="s">
        <v>179</v>
      </c>
      <c r="B9" s="167" t="s">
        <v>77</v>
      </c>
      <c r="C9" s="106">
        <v>764.6</v>
      </c>
      <c r="D9" s="106">
        <v>856.3</v>
      </c>
      <c r="E9" s="106">
        <v>844.4</v>
      </c>
      <c r="F9" s="106">
        <v>886.8</v>
      </c>
      <c r="G9" s="106">
        <v>773.56</v>
      </c>
      <c r="H9" s="106">
        <v>528.79</v>
      </c>
      <c r="I9" s="106">
        <v>294.37</v>
      </c>
      <c r="J9" s="106">
        <v>487.84</v>
      </c>
    </row>
    <row r="10" spans="1:11" ht="12" thickBot="1" x14ac:dyDescent="0.3">
      <c r="A10" s="98" t="s">
        <v>34</v>
      </c>
      <c r="B10" s="167" t="s">
        <v>35</v>
      </c>
      <c r="C10" s="106" t="s">
        <v>2</v>
      </c>
      <c r="D10" s="106" t="s">
        <v>2</v>
      </c>
      <c r="E10" s="106" t="s">
        <v>2</v>
      </c>
      <c r="F10" s="106" t="s">
        <v>2</v>
      </c>
      <c r="G10" s="106">
        <v>15.904999999999999</v>
      </c>
      <c r="H10" s="106">
        <v>202.85</v>
      </c>
      <c r="I10" s="106">
        <v>293.26</v>
      </c>
      <c r="J10" s="106">
        <v>696.08</v>
      </c>
    </row>
    <row r="11" spans="1:11" ht="12" thickBot="1" x14ac:dyDescent="0.3">
      <c r="A11" s="98" t="s">
        <v>79</v>
      </c>
      <c r="B11" s="167" t="s">
        <v>94</v>
      </c>
      <c r="C11" s="106">
        <v>1127.3</v>
      </c>
      <c r="D11" s="106">
        <v>1156.7</v>
      </c>
      <c r="E11" s="106">
        <v>1055.8</v>
      </c>
      <c r="F11" s="106">
        <v>1055.5</v>
      </c>
      <c r="G11" s="106">
        <v>1254.96</v>
      </c>
      <c r="H11" s="106">
        <v>1277.56</v>
      </c>
      <c r="I11" s="106">
        <v>1349.77</v>
      </c>
      <c r="J11" s="106">
        <v>1317.32</v>
      </c>
    </row>
    <row r="12" spans="1:11" ht="12" thickBot="1" x14ac:dyDescent="0.3">
      <c r="A12" s="98" t="s">
        <v>19</v>
      </c>
      <c r="B12" s="167" t="s">
        <v>37</v>
      </c>
      <c r="C12" s="106">
        <v>4827.3</v>
      </c>
      <c r="D12" s="106">
        <v>5344.6</v>
      </c>
      <c r="E12" s="106">
        <v>5189.8</v>
      </c>
      <c r="F12" s="106">
        <v>5474.5</v>
      </c>
      <c r="G12" s="106">
        <v>5679.24</v>
      </c>
      <c r="H12" s="106">
        <v>5593.74</v>
      </c>
      <c r="I12" s="106">
        <v>5319.18</v>
      </c>
      <c r="J12" s="106">
        <v>5370.01</v>
      </c>
    </row>
    <row r="13" spans="1:11" ht="12" thickBot="1" x14ac:dyDescent="0.3">
      <c r="A13" s="98" t="s">
        <v>199</v>
      </c>
      <c r="B13" s="167" t="s">
        <v>6</v>
      </c>
      <c r="C13" s="106">
        <v>3880.9</v>
      </c>
      <c r="D13" s="106">
        <v>3749.5</v>
      </c>
      <c r="E13" s="106">
        <v>3588.1</v>
      </c>
      <c r="F13" s="106">
        <v>4594.3</v>
      </c>
      <c r="G13" s="106">
        <v>6342.92</v>
      </c>
      <c r="H13" s="106">
        <v>4858.83</v>
      </c>
      <c r="I13" s="106">
        <v>4412.4399999999996</v>
      </c>
      <c r="J13" s="106">
        <v>6906.2</v>
      </c>
    </row>
    <row r="14" spans="1:11" ht="12" thickBot="1" x14ac:dyDescent="0.3">
      <c r="A14" s="215" t="s">
        <v>636</v>
      </c>
      <c r="B14" s="216"/>
      <c r="C14" s="115">
        <v>14061.4</v>
      </c>
      <c r="D14" s="115">
        <v>14135.4</v>
      </c>
      <c r="E14" s="115">
        <v>13339.2</v>
      </c>
      <c r="F14" s="115">
        <v>14239.9</v>
      </c>
      <c r="G14" s="115">
        <v>15837.33</v>
      </c>
      <c r="H14" s="115">
        <v>13799.09</v>
      </c>
      <c r="I14" s="115">
        <v>12818.92</v>
      </c>
      <c r="J14" s="115">
        <v>15765.93</v>
      </c>
    </row>
    <row r="15" spans="1:11" ht="12" thickBot="1" x14ac:dyDescent="0.3">
      <c r="A15" s="98" t="s">
        <v>43</v>
      </c>
      <c r="B15" s="167" t="s">
        <v>44</v>
      </c>
      <c r="C15" s="106">
        <v>2281.1</v>
      </c>
      <c r="D15" s="106">
        <v>2804.3</v>
      </c>
      <c r="E15" s="106">
        <v>2585</v>
      </c>
      <c r="F15" s="106">
        <v>2693.9</v>
      </c>
      <c r="G15" s="106">
        <v>2828.91</v>
      </c>
      <c r="H15" s="106">
        <v>1799.28</v>
      </c>
      <c r="I15" s="106">
        <v>3443.35</v>
      </c>
      <c r="J15" s="106">
        <v>4014.07</v>
      </c>
    </row>
    <row r="16" spans="1:11" ht="12" thickBot="1" x14ac:dyDescent="0.3">
      <c r="A16" s="215" t="s">
        <v>646</v>
      </c>
      <c r="B16" s="216"/>
      <c r="C16" s="115">
        <v>2281.1</v>
      </c>
      <c r="D16" s="115">
        <v>2804.3</v>
      </c>
      <c r="E16" s="115">
        <v>2585</v>
      </c>
      <c r="F16" s="115">
        <v>2693.9</v>
      </c>
      <c r="G16" s="115">
        <v>2828.91</v>
      </c>
      <c r="H16" s="115">
        <v>1799.28</v>
      </c>
      <c r="I16" s="115">
        <v>3443.35</v>
      </c>
      <c r="J16" s="115">
        <v>4014.07</v>
      </c>
    </row>
    <row r="17" spans="1:10" ht="12" thickBot="1" x14ac:dyDescent="0.3">
      <c r="A17" s="98" t="s">
        <v>83</v>
      </c>
      <c r="B17" s="167" t="s">
        <v>197</v>
      </c>
      <c r="C17" s="106">
        <v>6141.6</v>
      </c>
      <c r="D17" s="106">
        <v>4599.6000000000004</v>
      </c>
      <c r="E17" s="106">
        <v>1585</v>
      </c>
      <c r="F17" s="106">
        <v>4538.3999999999996</v>
      </c>
      <c r="G17" s="106">
        <v>4004.68</v>
      </c>
      <c r="H17" s="106">
        <v>959.84</v>
      </c>
      <c r="I17" s="106">
        <v>2558.46</v>
      </c>
      <c r="J17" s="106">
        <v>3742.95</v>
      </c>
    </row>
    <row r="18" spans="1:10" ht="12" thickBot="1" x14ac:dyDescent="0.3">
      <c r="A18" s="98" t="s">
        <v>23</v>
      </c>
      <c r="B18" s="167">
        <v>57</v>
      </c>
      <c r="C18" s="106">
        <v>26776.400000000001</v>
      </c>
      <c r="D18" s="106">
        <v>49525.599999999999</v>
      </c>
      <c r="E18" s="106">
        <v>55007.199999999997</v>
      </c>
      <c r="F18" s="106">
        <v>60877.5</v>
      </c>
      <c r="G18" s="106">
        <v>64709.84</v>
      </c>
      <c r="H18" s="106">
        <v>64318.559999999998</v>
      </c>
      <c r="I18" s="106">
        <v>42693.95</v>
      </c>
      <c r="J18" s="106">
        <v>57510.29</v>
      </c>
    </row>
    <row r="19" spans="1:10" ht="12" thickBot="1" x14ac:dyDescent="0.3">
      <c r="A19" s="230" t="s">
        <v>22</v>
      </c>
      <c r="B19" s="167">
        <v>56</v>
      </c>
      <c r="C19" s="106">
        <v>154238.39999999999</v>
      </c>
      <c r="D19" s="106">
        <v>164978</v>
      </c>
      <c r="E19" s="106">
        <v>151765.20000000001</v>
      </c>
      <c r="F19" s="106">
        <v>130059</v>
      </c>
      <c r="G19" s="106">
        <v>137796.09</v>
      </c>
      <c r="H19" s="106">
        <v>133134.84</v>
      </c>
      <c r="I19" s="106">
        <v>88336.09</v>
      </c>
      <c r="J19" s="106">
        <v>116384.29</v>
      </c>
    </row>
    <row r="20" spans="1:10" ht="12" thickBot="1" x14ac:dyDescent="0.3">
      <c r="A20" s="231"/>
      <c r="B20" s="167">
        <v>88</v>
      </c>
      <c r="C20" s="106">
        <v>237744.7</v>
      </c>
      <c r="D20" s="106">
        <v>258388</v>
      </c>
      <c r="E20" s="106">
        <v>232768.6</v>
      </c>
      <c r="F20" s="106">
        <v>236835.4</v>
      </c>
      <c r="G20" s="106">
        <v>249058.03</v>
      </c>
      <c r="H20" s="106">
        <v>210815.73</v>
      </c>
      <c r="I20" s="106">
        <v>251839.74</v>
      </c>
      <c r="J20" s="106">
        <v>286579.88</v>
      </c>
    </row>
    <row r="21" spans="1:10" ht="12" thickBot="1" x14ac:dyDescent="0.3">
      <c r="A21" s="215" t="s">
        <v>638</v>
      </c>
      <c r="B21" s="216"/>
      <c r="C21" s="115">
        <v>424901.2</v>
      </c>
      <c r="D21" s="115">
        <v>477491.20000000001</v>
      </c>
      <c r="E21" s="115">
        <v>441126</v>
      </c>
      <c r="F21" s="115">
        <v>432310.3</v>
      </c>
      <c r="G21" s="115">
        <v>455568.64000000001</v>
      </c>
      <c r="H21" s="115">
        <v>409228.97</v>
      </c>
      <c r="I21" s="115">
        <v>385428.24</v>
      </c>
      <c r="J21" s="115">
        <v>464217.41</v>
      </c>
    </row>
    <row r="22" spans="1:10" ht="12" thickBot="1" x14ac:dyDescent="0.3">
      <c r="A22" s="206"/>
      <c r="B22" s="207"/>
      <c r="C22" s="302"/>
      <c r="D22" s="302"/>
      <c r="E22" s="302"/>
      <c r="F22" s="302"/>
      <c r="G22" s="302"/>
      <c r="H22" s="302"/>
      <c r="I22" s="302"/>
      <c r="J22" s="302"/>
    </row>
    <row r="23" spans="1:10" ht="12" thickBot="1" x14ac:dyDescent="0.3">
      <c r="A23" s="259" t="s">
        <v>658</v>
      </c>
      <c r="B23" s="260"/>
      <c r="C23" s="193">
        <v>441243.8</v>
      </c>
      <c r="D23" s="193">
        <v>494430.9</v>
      </c>
      <c r="E23" s="193">
        <v>457050.1</v>
      </c>
      <c r="F23" s="193">
        <v>449244.1</v>
      </c>
      <c r="G23" s="193">
        <v>474234.88</v>
      </c>
      <c r="H23" s="193">
        <v>424827.35</v>
      </c>
      <c r="I23" s="193">
        <v>401690.51</v>
      </c>
      <c r="J23" s="193">
        <v>483997.41</v>
      </c>
    </row>
    <row r="24" spans="1:10" ht="12" thickBot="1" x14ac:dyDescent="0.3">
      <c r="A24" s="224" t="s">
        <v>659</v>
      </c>
      <c r="B24" s="225"/>
      <c r="C24" s="112">
        <v>1208.9000000000001</v>
      </c>
      <c r="D24" s="112">
        <v>1354.6</v>
      </c>
      <c r="E24" s="112">
        <v>1252.2</v>
      </c>
      <c r="F24" s="112">
        <v>1230.8</v>
      </c>
      <c r="G24" s="112">
        <v>1299.27</v>
      </c>
      <c r="H24" s="112">
        <v>1160.73</v>
      </c>
      <c r="I24" s="112">
        <v>1100.52</v>
      </c>
      <c r="J24" s="112">
        <v>1326.02</v>
      </c>
    </row>
    <row r="32" spans="1:10" x14ac:dyDescent="0.25">
      <c r="B32" s="1"/>
    </row>
    <row r="34" spans="1:7" x14ac:dyDescent="0.25">
      <c r="B34" s="1"/>
    </row>
    <row r="35" spans="1:7" x14ac:dyDescent="0.25">
      <c r="B35" s="1"/>
    </row>
    <row r="36" spans="1:7" ht="12.75" x14ac:dyDescent="0.2">
      <c r="A36" s="203"/>
      <c r="B36" s="204"/>
      <c r="C36" s="204"/>
      <c r="D36" s="204"/>
      <c r="E36" s="204"/>
      <c r="F36" s="204"/>
      <c r="G36" s="204"/>
    </row>
    <row r="37" spans="1:7" ht="12.75" x14ac:dyDescent="0.2">
      <c r="A37" s="203"/>
      <c r="B37" s="205"/>
      <c r="C37" s="205"/>
      <c r="D37" s="205"/>
      <c r="E37" s="205"/>
      <c r="F37" s="205"/>
      <c r="G37" s="205"/>
    </row>
  </sheetData>
  <mergeCells count="8">
    <mergeCell ref="A21:B21"/>
    <mergeCell ref="A23:B23"/>
    <mergeCell ref="A24:B24"/>
    <mergeCell ref="A19:A20"/>
    <mergeCell ref="A2:J2"/>
    <mergeCell ref="A5:J5"/>
    <mergeCell ref="A14:B14"/>
    <mergeCell ref="A16:B16"/>
  </mergeCell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-0.499984740745262"/>
    <pageSetUpPr fitToPage="1"/>
  </sheetPr>
  <dimension ref="A1:P16"/>
  <sheetViews>
    <sheetView showGridLines="0" workbookViewId="0">
      <selection activeCell="F24" sqref="F24"/>
    </sheetView>
  </sheetViews>
  <sheetFormatPr baseColWidth="10" defaultColWidth="11.42578125" defaultRowHeight="11.25" x14ac:dyDescent="0.25"/>
  <cols>
    <col min="1" max="1" width="11.42578125" style="19"/>
    <col min="2" max="2" width="12.140625" style="19" customWidth="1"/>
    <col min="3" max="8" width="11.42578125" style="19"/>
    <col min="9" max="10" width="10.7109375" style="19" customWidth="1"/>
    <col min="11" max="16384" width="11.42578125" style="19"/>
  </cols>
  <sheetData>
    <row r="1" spans="1:16" x14ac:dyDescent="0.25">
      <c r="A1" s="309"/>
      <c r="B1" s="309"/>
      <c r="C1" s="309"/>
      <c r="D1" s="309"/>
      <c r="E1" s="309"/>
      <c r="F1" s="309"/>
      <c r="G1" s="309"/>
      <c r="H1" s="309"/>
      <c r="I1" s="309"/>
      <c r="J1" s="309"/>
    </row>
    <row r="2" spans="1:16" ht="12" x14ac:dyDescent="0.2">
      <c r="A2" s="316" t="s">
        <v>660</v>
      </c>
      <c r="B2" s="316"/>
      <c r="C2" s="316"/>
      <c r="D2" s="316"/>
      <c r="E2" s="316"/>
      <c r="F2" s="316"/>
      <c r="G2" s="316"/>
      <c r="H2" s="316"/>
      <c r="I2" s="316"/>
      <c r="J2" s="316"/>
      <c r="K2" s="7"/>
      <c r="L2" s="7"/>
      <c r="M2" s="7"/>
      <c r="N2" s="7"/>
      <c r="O2" s="7"/>
      <c r="P2" s="7"/>
    </row>
    <row r="3" spans="1:16" ht="12" thickBot="1" x14ac:dyDescent="0.3">
      <c r="A3" s="309"/>
      <c r="B3" s="309"/>
      <c r="C3" s="309"/>
      <c r="D3" s="309"/>
      <c r="E3" s="309"/>
      <c r="F3" s="309"/>
      <c r="G3" s="309"/>
      <c r="H3" s="309"/>
      <c r="I3" s="309"/>
      <c r="J3" s="309"/>
    </row>
    <row r="4" spans="1:16" ht="12" thickBot="1" x14ac:dyDescent="0.3">
      <c r="A4" s="309"/>
      <c r="B4" s="217" t="s">
        <v>712</v>
      </c>
      <c r="C4" s="218"/>
      <c r="D4" s="218"/>
      <c r="E4" s="218"/>
      <c r="F4" s="218"/>
      <c r="G4" s="218"/>
      <c r="H4" s="218"/>
      <c r="I4" s="218"/>
      <c r="J4" s="219"/>
    </row>
    <row r="5" spans="1:16" ht="12" thickBot="1" x14ac:dyDescent="0.3">
      <c r="A5" s="309"/>
      <c r="B5" s="208"/>
      <c r="C5" s="91">
        <v>2015</v>
      </c>
      <c r="D5" s="91">
        <v>2016</v>
      </c>
      <c r="E5" s="91">
        <v>2017</v>
      </c>
      <c r="F5" s="91">
        <v>2018</v>
      </c>
      <c r="G5" s="91">
        <v>2019</v>
      </c>
      <c r="H5" s="91">
        <v>2020</v>
      </c>
      <c r="I5" s="91">
        <v>2021</v>
      </c>
      <c r="J5" s="91">
        <v>2022</v>
      </c>
    </row>
    <row r="6" spans="1:16" ht="12" thickBot="1" x14ac:dyDescent="0.3">
      <c r="A6" s="309"/>
      <c r="B6" s="103" t="s">
        <v>25</v>
      </c>
      <c r="C6" s="67">
        <v>316.69</v>
      </c>
      <c r="D6" s="67">
        <v>46.95</v>
      </c>
      <c r="E6" s="67">
        <v>17.079999999999998</v>
      </c>
      <c r="F6" s="67">
        <v>40.76</v>
      </c>
      <c r="G6" s="67">
        <v>57.73</v>
      </c>
      <c r="H6" s="67">
        <v>61.1</v>
      </c>
      <c r="I6" s="67">
        <v>3.2</v>
      </c>
      <c r="J6" s="67">
        <v>2.29</v>
      </c>
    </row>
    <row r="7" spans="1:16" ht="12" thickBot="1" x14ac:dyDescent="0.3">
      <c r="A7" s="309"/>
      <c r="B7" s="103" t="s">
        <v>217</v>
      </c>
      <c r="C7" s="67">
        <v>438.23</v>
      </c>
      <c r="D7" s="67">
        <v>285.69</v>
      </c>
      <c r="E7" s="67">
        <v>469.79</v>
      </c>
      <c r="F7" s="67">
        <v>561.16999999999996</v>
      </c>
      <c r="G7" s="67">
        <v>562</v>
      </c>
      <c r="H7" s="67">
        <v>184.55</v>
      </c>
      <c r="I7" s="67">
        <v>309.61</v>
      </c>
      <c r="J7" s="67">
        <v>323.49</v>
      </c>
    </row>
    <row r="8" spans="1:16" ht="12" thickBot="1" x14ac:dyDescent="0.3">
      <c r="A8" s="309"/>
      <c r="B8" s="139" t="s">
        <v>29</v>
      </c>
      <c r="C8" s="93">
        <v>754.92</v>
      </c>
      <c r="D8" s="93">
        <v>332.64</v>
      </c>
      <c r="E8" s="93">
        <v>486.87</v>
      </c>
      <c r="F8" s="93">
        <v>601.92999999999995</v>
      </c>
      <c r="G8" s="93">
        <v>619.72</v>
      </c>
      <c r="H8" s="93">
        <v>245.65</v>
      </c>
      <c r="I8" s="93">
        <v>312.81</v>
      </c>
      <c r="J8" s="93">
        <v>325.77</v>
      </c>
    </row>
    <row r="9" spans="1:16" x14ac:dyDescent="0.25">
      <c r="A9" s="309"/>
      <c r="B9" s="309"/>
      <c r="C9" s="309"/>
      <c r="D9" s="309"/>
      <c r="E9" s="309"/>
      <c r="F9" s="309"/>
      <c r="G9" s="309"/>
      <c r="H9" s="309"/>
      <c r="I9" s="309"/>
      <c r="J9" s="309"/>
    </row>
    <row r="10" spans="1:16" x14ac:dyDescent="0.25">
      <c r="A10" s="309"/>
      <c r="B10" s="309"/>
      <c r="C10" s="309"/>
      <c r="D10" s="309"/>
      <c r="E10" s="309"/>
      <c r="F10" s="309"/>
      <c r="G10" s="309"/>
      <c r="H10" s="309"/>
      <c r="I10" s="309"/>
      <c r="J10" s="309"/>
    </row>
    <row r="11" spans="1:16" x14ac:dyDescent="0.25">
      <c r="A11" s="309"/>
      <c r="B11" s="309"/>
      <c r="C11" s="309"/>
      <c r="D11" s="309"/>
      <c r="E11" s="309"/>
      <c r="F11" s="309"/>
      <c r="G11" s="309"/>
      <c r="H11" s="309"/>
      <c r="I11" s="309"/>
      <c r="J11" s="309"/>
    </row>
    <row r="12" spans="1:16" x14ac:dyDescent="0.25">
      <c r="A12" s="309"/>
      <c r="B12" s="309"/>
      <c r="C12" s="309"/>
      <c r="D12" s="309"/>
      <c r="E12" s="309"/>
      <c r="F12" s="309"/>
      <c r="G12" s="309"/>
      <c r="H12" s="309"/>
      <c r="I12" s="309"/>
      <c r="J12" s="309"/>
    </row>
    <row r="13" spans="1:16" x14ac:dyDescent="0.25">
      <c r="A13" s="309"/>
      <c r="B13" s="309"/>
      <c r="C13" s="309"/>
      <c r="D13" s="309"/>
      <c r="E13" s="309"/>
      <c r="F13" s="309"/>
      <c r="G13" s="309"/>
      <c r="H13" s="309"/>
      <c r="I13" s="309"/>
      <c r="J13" s="309"/>
    </row>
    <row r="14" spans="1:16" x14ac:dyDescent="0.25">
      <c r="A14" s="309"/>
      <c r="B14" s="309"/>
      <c r="C14" s="309"/>
      <c r="D14" s="309"/>
      <c r="E14" s="309"/>
      <c r="F14" s="309"/>
      <c r="G14" s="309"/>
      <c r="H14" s="309"/>
      <c r="I14" s="309"/>
      <c r="J14" s="309"/>
    </row>
    <row r="15" spans="1:16" x14ac:dyDescent="0.25">
      <c r="A15" s="309"/>
      <c r="B15" s="309"/>
      <c r="C15" s="309"/>
      <c r="D15" s="309"/>
      <c r="E15" s="309"/>
      <c r="F15" s="309"/>
      <c r="G15" s="309"/>
      <c r="H15" s="309"/>
      <c r="I15" s="309"/>
      <c r="J15" s="309"/>
    </row>
    <row r="16" spans="1:16" x14ac:dyDescent="0.25">
      <c r="A16" s="309"/>
      <c r="B16" s="309"/>
      <c r="C16" s="309"/>
      <c r="D16" s="309"/>
      <c r="E16" s="309"/>
      <c r="F16" s="309"/>
      <c r="G16" s="309"/>
      <c r="H16" s="309"/>
      <c r="I16" s="309"/>
      <c r="J16" s="309"/>
    </row>
  </sheetData>
  <mergeCells count="2">
    <mergeCell ref="A2:J2"/>
    <mergeCell ref="B4:J4"/>
  </mergeCells>
  <pageMargins left="0.7" right="0.7" top="0.75" bottom="0.75" header="0.3" footer="0.3"/>
  <pageSetup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499984740745262"/>
    <pageSetUpPr fitToPage="1"/>
  </sheetPr>
  <dimension ref="A1:O31"/>
  <sheetViews>
    <sheetView showGridLines="0" zoomScale="70" zoomScaleNormal="70" workbookViewId="0">
      <selection activeCell="L37" sqref="L37"/>
    </sheetView>
  </sheetViews>
  <sheetFormatPr baseColWidth="10" defaultColWidth="9.5703125" defaultRowHeight="14.45" customHeight="1" x14ac:dyDescent="0.25"/>
  <cols>
    <col min="1" max="1" width="32.7109375" style="1" customWidth="1"/>
    <col min="2" max="2" width="9.5703125" style="2"/>
    <col min="3" max="3" width="11" style="3" bestFit="1" customWidth="1"/>
    <col min="4" max="7" width="10.7109375" style="3" bestFit="1" customWidth="1"/>
    <col min="8" max="9" width="10.28515625" style="3" bestFit="1" customWidth="1"/>
    <col min="10" max="12" width="10" style="3" bestFit="1" customWidth="1"/>
    <col min="13" max="14" width="10.7109375" style="3" bestFit="1" customWidth="1"/>
    <col min="15" max="15" width="11.7109375" style="27" bestFit="1" customWidth="1"/>
    <col min="16" max="16" width="2.5703125" style="3" customWidth="1"/>
    <col min="17" max="16384" width="9.5703125" style="3"/>
  </cols>
  <sheetData>
    <row r="1" spans="1:15" ht="14.25" customHeight="1" x14ac:dyDescent="0.25"/>
    <row r="2" spans="1:15" ht="14.25" customHeight="1" thickBot="1" x14ac:dyDescent="0.25">
      <c r="A2" s="220" t="s">
        <v>713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</row>
    <row r="3" spans="1:15" ht="14.25" customHeight="1" thickBot="1" x14ac:dyDescent="0.3">
      <c r="A3" s="217" t="s">
        <v>697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</row>
    <row r="4" spans="1:15" ht="12" thickBot="1" x14ac:dyDescent="0.3">
      <c r="A4" s="209"/>
      <c r="B4" s="91" t="s">
        <v>70</v>
      </c>
      <c r="C4" s="91" t="s">
        <v>426</v>
      </c>
      <c r="D4" s="91" t="s">
        <v>427</v>
      </c>
      <c r="E4" s="91" t="s">
        <v>428</v>
      </c>
      <c r="F4" s="91" t="s">
        <v>429</v>
      </c>
      <c r="G4" s="91" t="s">
        <v>430</v>
      </c>
      <c r="H4" s="91" t="s">
        <v>431</v>
      </c>
      <c r="I4" s="91" t="s">
        <v>432</v>
      </c>
      <c r="J4" s="91" t="s">
        <v>433</v>
      </c>
      <c r="K4" s="91" t="s">
        <v>434</v>
      </c>
      <c r="L4" s="91" t="s">
        <v>435</v>
      </c>
      <c r="M4" s="91" t="s">
        <v>436</v>
      </c>
      <c r="N4" s="91" t="s">
        <v>437</v>
      </c>
      <c r="O4" s="91" t="s">
        <v>29</v>
      </c>
    </row>
    <row r="5" spans="1:15" ht="12" thickBot="1" x14ac:dyDescent="0.3">
      <c r="A5" s="98" t="s">
        <v>200</v>
      </c>
      <c r="B5" s="167" t="s">
        <v>84</v>
      </c>
      <c r="C5" s="67">
        <v>0.66</v>
      </c>
      <c r="D5" s="67">
        <v>0.05</v>
      </c>
      <c r="E5" s="67">
        <v>0.14000000000000001</v>
      </c>
      <c r="F5" s="67">
        <v>0.33</v>
      </c>
      <c r="G5" s="67">
        <v>0.09</v>
      </c>
      <c r="H5" s="67">
        <v>0.2</v>
      </c>
      <c r="I5" s="67">
        <v>0.19</v>
      </c>
      <c r="J5" s="67">
        <v>0.3</v>
      </c>
      <c r="K5" s="67">
        <v>0.47</v>
      </c>
      <c r="L5" s="67">
        <v>2.23</v>
      </c>
      <c r="M5" s="67">
        <v>0.54</v>
      </c>
      <c r="N5" s="67">
        <v>0.85</v>
      </c>
      <c r="O5" s="67">
        <v>6.05</v>
      </c>
    </row>
    <row r="6" spans="1:15" ht="12" thickBot="1" x14ac:dyDescent="0.3">
      <c r="A6" s="98" t="s">
        <v>201</v>
      </c>
      <c r="B6" s="167" t="s">
        <v>31</v>
      </c>
      <c r="C6" s="67">
        <v>0</v>
      </c>
      <c r="D6" s="67">
        <v>0</v>
      </c>
      <c r="E6" s="67">
        <v>0</v>
      </c>
      <c r="F6" s="67">
        <v>0</v>
      </c>
      <c r="G6" s="67">
        <v>0.02</v>
      </c>
      <c r="H6" s="67">
        <v>0.01</v>
      </c>
      <c r="I6" s="67">
        <v>0.01</v>
      </c>
      <c r="J6" s="67">
        <v>0.01</v>
      </c>
      <c r="K6" s="67">
        <v>0.01</v>
      </c>
      <c r="L6" s="67">
        <v>0.03</v>
      </c>
      <c r="M6" s="67">
        <v>0.01</v>
      </c>
      <c r="N6" s="67">
        <v>0.03</v>
      </c>
      <c r="O6" s="67">
        <v>0.14000000000000001</v>
      </c>
    </row>
    <row r="7" spans="1:15" ht="12" thickBot="1" x14ac:dyDescent="0.3">
      <c r="A7" s="98" t="s">
        <v>202</v>
      </c>
      <c r="B7" s="167">
        <v>58</v>
      </c>
      <c r="C7" s="67">
        <v>0.28000000000000003</v>
      </c>
      <c r="D7" s="67">
        <v>0.33</v>
      </c>
      <c r="E7" s="67">
        <v>0.64</v>
      </c>
      <c r="F7" s="67">
        <v>0.59</v>
      </c>
      <c r="G7" s="67">
        <v>0.6</v>
      </c>
      <c r="H7" s="67">
        <v>0.57999999999999996</v>
      </c>
      <c r="I7" s="67">
        <v>0.88</v>
      </c>
      <c r="J7" s="67">
        <v>0.76</v>
      </c>
      <c r="K7" s="67">
        <v>1.59</v>
      </c>
      <c r="L7" s="67">
        <v>0.76</v>
      </c>
      <c r="M7" s="67">
        <v>1.59</v>
      </c>
      <c r="N7" s="67">
        <v>2.0099999999999998</v>
      </c>
      <c r="O7" s="67">
        <v>10.61</v>
      </c>
    </row>
    <row r="8" spans="1:15" ht="12" thickBot="1" x14ac:dyDescent="0.3">
      <c r="A8" s="98" t="s">
        <v>698</v>
      </c>
      <c r="B8" s="167" t="s">
        <v>37</v>
      </c>
      <c r="C8" s="67">
        <v>0.86</v>
      </c>
      <c r="D8" s="67">
        <v>1.68</v>
      </c>
      <c r="E8" s="67">
        <v>1.1499999999999999</v>
      </c>
      <c r="F8" s="67">
        <v>2.08</v>
      </c>
      <c r="G8" s="67">
        <v>1.74</v>
      </c>
      <c r="H8" s="67">
        <v>1.7</v>
      </c>
      <c r="I8" s="67">
        <v>3.65</v>
      </c>
      <c r="J8" s="67">
        <v>4</v>
      </c>
      <c r="K8" s="67">
        <v>2.48</v>
      </c>
      <c r="L8" s="67">
        <v>1.8</v>
      </c>
      <c r="M8" s="67">
        <v>2.04</v>
      </c>
      <c r="N8" s="67">
        <v>2.13</v>
      </c>
      <c r="O8" s="67">
        <v>25.3</v>
      </c>
    </row>
    <row r="9" spans="1:15" ht="23.25" thickBot="1" x14ac:dyDescent="0.3">
      <c r="A9" s="98" t="s">
        <v>699</v>
      </c>
      <c r="B9" s="167" t="s">
        <v>42</v>
      </c>
      <c r="C9" s="67">
        <v>0</v>
      </c>
      <c r="D9" s="67">
        <v>0</v>
      </c>
      <c r="E9" s="67">
        <v>0</v>
      </c>
      <c r="F9" s="67">
        <v>0</v>
      </c>
      <c r="G9" s="67">
        <v>0</v>
      </c>
      <c r="H9" s="67">
        <v>0</v>
      </c>
      <c r="I9" s="67">
        <v>0.01</v>
      </c>
      <c r="J9" s="67">
        <v>0.01</v>
      </c>
      <c r="K9" s="67">
        <v>0</v>
      </c>
      <c r="L9" s="67">
        <v>0.01</v>
      </c>
      <c r="M9" s="67">
        <v>0.04</v>
      </c>
      <c r="N9" s="67">
        <v>0.01</v>
      </c>
      <c r="O9" s="67">
        <v>0.08</v>
      </c>
    </row>
    <row r="10" spans="1:15" ht="12" thickBot="1" x14ac:dyDescent="0.3">
      <c r="A10" s="98" t="s">
        <v>700</v>
      </c>
      <c r="B10" s="167" t="s">
        <v>613</v>
      </c>
      <c r="C10" s="67">
        <v>0</v>
      </c>
      <c r="D10" s="67">
        <v>0</v>
      </c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</row>
    <row r="11" spans="1:15" ht="12" thickBot="1" x14ac:dyDescent="0.3">
      <c r="A11" s="230" t="s">
        <v>267</v>
      </c>
      <c r="B11" s="167" t="s">
        <v>36</v>
      </c>
      <c r="C11" s="67">
        <v>0.16</v>
      </c>
      <c r="D11" s="67">
        <v>7.0000000000000007E-2</v>
      </c>
      <c r="E11" s="67">
        <v>0.16</v>
      </c>
      <c r="F11" s="67">
        <v>1.07</v>
      </c>
      <c r="G11" s="67">
        <v>0.14000000000000001</v>
      </c>
      <c r="H11" s="67">
        <v>0.64</v>
      </c>
      <c r="I11" s="67">
        <v>1.59</v>
      </c>
      <c r="J11" s="67">
        <v>3.77</v>
      </c>
      <c r="K11" s="67">
        <v>1.92</v>
      </c>
      <c r="L11" s="67">
        <v>1.69</v>
      </c>
      <c r="M11" s="67">
        <v>2.29</v>
      </c>
      <c r="N11" s="67">
        <v>6.07</v>
      </c>
      <c r="O11" s="67">
        <v>19.559999999999999</v>
      </c>
    </row>
    <row r="12" spans="1:15" ht="12" thickBot="1" x14ac:dyDescent="0.3">
      <c r="A12" s="231"/>
      <c r="B12" s="167" t="s">
        <v>35</v>
      </c>
      <c r="C12" s="67">
        <v>0.12</v>
      </c>
      <c r="D12" s="67">
        <v>-0.09</v>
      </c>
      <c r="E12" s="67">
        <v>2.61</v>
      </c>
      <c r="F12" s="67">
        <v>2</v>
      </c>
      <c r="G12" s="67">
        <v>2.85</v>
      </c>
      <c r="H12" s="67">
        <v>2.39</v>
      </c>
      <c r="I12" s="67">
        <v>3.14</v>
      </c>
      <c r="J12" s="67">
        <v>3.62</v>
      </c>
      <c r="K12" s="67">
        <v>2.79</v>
      </c>
      <c r="L12" s="67">
        <v>1.87</v>
      </c>
      <c r="M12" s="67">
        <v>2.99</v>
      </c>
      <c r="N12" s="67">
        <v>3.71</v>
      </c>
      <c r="O12" s="67">
        <v>27.99</v>
      </c>
    </row>
    <row r="13" spans="1:15" ht="12" thickBot="1" x14ac:dyDescent="0.3">
      <c r="A13" s="98" t="s">
        <v>204</v>
      </c>
      <c r="B13" s="167">
        <v>64</v>
      </c>
      <c r="C13" s="67">
        <v>0.08</v>
      </c>
      <c r="D13" s="67">
        <v>7.0000000000000007E-2</v>
      </c>
      <c r="E13" s="67">
        <v>0.1</v>
      </c>
      <c r="F13" s="67">
        <v>0.05</v>
      </c>
      <c r="G13" s="67">
        <v>0.03</v>
      </c>
      <c r="H13" s="67">
        <v>0.05</v>
      </c>
      <c r="I13" s="67">
        <v>0.05</v>
      </c>
      <c r="J13" s="67">
        <v>0.03</v>
      </c>
      <c r="K13" s="67">
        <v>0.03</v>
      </c>
      <c r="L13" s="67">
        <v>0.03</v>
      </c>
      <c r="M13" s="67">
        <v>0.09</v>
      </c>
      <c r="N13" s="67">
        <v>0.06</v>
      </c>
      <c r="O13" s="67">
        <v>0.65</v>
      </c>
    </row>
    <row r="14" spans="1:15" ht="12" thickBot="1" x14ac:dyDescent="0.3">
      <c r="A14" s="98" t="s">
        <v>205</v>
      </c>
      <c r="B14" s="167" t="s">
        <v>1</v>
      </c>
      <c r="C14" s="67">
        <v>0.01</v>
      </c>
      <c r="D14" s="67">
        <v>0.01</v>
      </c>
      <c r="E14" s="67">
        <v>0.02</v>
      </c>
      <c r="F14" s="67">
        <v>0.02</v>
      </c>
      <c r="G14" s="67">
        <v>0.01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7.0000000000000007E-2</v>
      </c>
    </row>
    <row r="15" spans="1:15" ht="12" thickBot="1" x14ac:dyDescent="0.3">
      <c r="A15" s="98" t="s">
        <v>701</v>
      </c>
      <c r="B15" s="167">
        <v>95</v>
      </c>
      <c r="C15" s="67">
        <v>8</v>
      </c>
      <c r="D15" s="67">
        <v>3.72</v>
      </c>
      <c r="E15" s="67">
        <v>5.0599999999999996</v>
      </c>
      <c r="F15" s="67">
        <v>5</v>
      </c>
      <c r="G15" s="67">
        <v>7.54</v>
      </c>
      <c r="H15" s="67">
        <v>11.13</v>
      </c>
      <c r="I15" s="67">
        <v>6.18</v>
      </c>
      <c r="J15" s="67">
        <v>6.11</v>
      </c>
      <c r="K15" s="67">
        <v>9.0299999999999994</v>
      </c>
      <c r="L15" s="67">
        <v>11.41</v>
      </c>
      <c r="M15" s="67">
        <v>10.34</v>
      </c>
      <c r="N15" s="67">
        <v>9.58</v>
      </c>
      <c r="O15" s="67">
        <v>93.08</v>
      </c>
    </row>
    <row r="16" spans="1:15" ht="23.25" thickBot="1" x14ac:dyDescent="0.3">
      <c r="A16" s="98" t="s">
        <v>206</v>
      </c>
      <c r="B16" s="167">
        <v>67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</row>
    <row r="17" spans="1:15" ht="12" thickBot="1" x14ac:dyDescent="0.3">
      <c r="A17" s="98" t="s">
        <v>267</v>
      </c>
      <c r="B17" s="167" t="s">
        <v>78</v>
      </c>
      <c r="C17" s="67">
        <v>0</v>
      </c>
      <c r="D17" s="67">
        <v>0</v>
      </c>
      <c r="E17" s="67">
        <v>0.01</v>
      </c>
      <c r="F17" s="67">
        <v>0.06</v>
      </c>
      <c r="G17" s="67">
        <v>0.01</v>
      </c>
      <c r="H17" s="67">
        <v>0.03</v>
      </c>
      <c r="I17" s="67">
        <v>0.01</v>
      </c>
      <c r="J17" s="67">
        <v>0</v>
      </c>
      <c r="K17" s="67">
        <v>0</v>
      </c>
      <c r="L17" s="67">
        <v>0</v>
      </c>
      <c r="M17" s="67">
        <v>0.01</v>
      </c>
      <c r="N17" s="67">
        <v>0.08</v>
      </c>
      <c r="O17" s="67">
        <v>0.22</v>
      </c>
    </row>
    <row r="18" spans="1:15" ht="23.25" thickBot="1" x14ac:dyDescent="0.3">
      <c r="A18" s="98" t="s">
        <v>207</v>
      </c>
      <c r="B18" s="167" t="s">
        <v>6</v>
      </c>
      <c r="C18" s="67">
        <v>0.24</v>
      </c>
      <c r="D18" s="67">
        <v>0.88</v>
      </c>
      <c r="E18" s="67">
        <v>2.91</v>
      </c>
      <c r="F18" s="67">
        <v>1.27</v>
      </c>
      <c r="G18" s="67">
        <v>0.89</v>
      </c>
      <c r="H18" s="67">
        <v>0.67</v>
      </c>
      <c r="I18" s="67">
        <v>1.27</v>
      </c>
      <c r="J18" s="67">
        <v>2.41</v>
      </c>
      <c r="K18" s="67">
        <v>-0.51</v>
      </c>
      <c r="L18" s="67">
        <v>1.0900000000000001</v>
      </c>
      <c r="M18" s="67">
        <v>2</v>
      </c>
      <c r="N18" s="67">
        <v>3.41</v>
      </c>
      <c r="O18" s="67">
        <v>16.53</v>
      </c>
    </row>
    <row r="19" spans="1:15" ht="23.25" thickBot="1" x14ac:dyDescent="0.3">
      <c r="A19" s="98" t="s">
        <v>208</v>
      </c>
      <c r="B19" s="167">
        <v>107</v>
      </c>
      <c r="C19" s="67">
        <v>0.13</v>
      </c>
      <c r="D19" s="67">
        <v>0.12</v>
      </c>
      <c r="E19" s="67">
        <v>0.3</v>
      </c>
      <c r="F19" s="67">
        <v>0.03</v>
      </c>
      <c r="G19" s="67">
        <v>0.06</v>
      </c>
      <c r="H19" s="67">
        <v>0.09</v>
      </c>
      <c r="I19" s="67">
        <v>0.11</v>
      </c>
      <c r="J19" s="67">
        <v>0.08</v>
      </c>
      <c r="K19" s="67">
        <v>0.12</v>
      </c>
      <c r="L19" s="67">
        <v>0.08</v>
      </c>
      <c r="M19" s="67">
        <v>0.09</v>
      </c>
      <c r="N19" s="67">
        <v>0.11</v>
      </c>
      <c r="O19" s="67">
        <v>1.32</v>
      </c>
    </row>
    <row r="20" spans="1:15" ht="12" thickBot="1" x14ac:dyDescent="0.3">
      <c r="A20" s="98" t="s">
        <v>209</v>
      </c>
      <c r="B20" s="167">
        <v>8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</row>
    <row r="21" spans="1:15" ht="12" thickBot="1" x14ac:dyDescent="0.3">
      <c r="A21" s="230" t="s">
        <v>210</v>
      </c>
      <c r="B21" s="167">
        <v>56</v>
      </c>
      <c r="C21" s="67">
        <v>2.2400000000000002</v>
      </c>
      <c r="D21" s="67">
        <v>1.1000000000000001</v>
      </c>
      <c r="E21" s="67">
        <v>1.22</v>
      </c>
      <c r="F21" s="67">
        <v>0.88</v>
      </c>
      <c r="G21" s="67">
        <v>0.27</v>
      </c>
      <c r="H21" s="67">
        <v>2.4</v>
      </c>
      <c r="I21" s="67">
        <v>2.44</v>
      </c>
      <c r="J21" s="67">
        <v>2.14</v>
      </c>
      <c r="K21" s="67">
        <v>4.76</v>
      </c>
      <c r="L21" s="67">
        <v>1.94</v>
      </c>
      <c r="M21" s="67">
        <v>2.86</v>
      </c>
      <c r="N21" s="67">
        <v>3.81</v>
      </c>
      <c r="O21" s="67">
        <v>26.06</v>
      </c>
    </row>
    <row r="22" spans="1:15" ht="12" thickBot="1" x14ac:dyDescent="0.3">
      <c r="A22" s="231"/>
      <c r="B22" s="167">
        <v>88</v>
      </c>
      <c r="C22" s="67">
        <v>1.73</v>
      </c>
      <c r="D22" s="67">
        <v>2.5299999999999998</v>
      </c>
      <c r="E22" s="67">
        <v>3.97</v>
      </c>
      <c r="F22" s="67">
        <v>2.71</v>
      </c>
      <c r="G22" s="67">
        <v>5.71</v>
      </c>
      <c r="H22" s="67">
        <v>3.62</v>
      </c>
      <c r="I22" s="67">
        <v>2.6</v>
      </c>
      <c r="J22" s="67">
        <v>5.47</v>
      </c>
      <c r="K22" s="67">
        <v>4.72</v>
      </c>
      <c r="L22" s="67">
        <v>5.13</v>
      </c>
      <c r="M22" s="67">
        <v>5.03</v>
      </c>
      <c r="N22" s="67">
        <v>12.21</v>
      </c>
      <c r="O22" s="67">
        <v>55.44</v>
      </c>
    </row>
    <row r="23" spans="1:15" ht="23.25" thickBot="1" x14ac:dyDescent="0.3">
      <c r="A23" s="98" t="s">
        <v>211</v>
      </c>
      <c r="B23" s="167">
        <v>57</v>
      </c>
      <c r="C23" s="67">
        <v>0.04</v>
      </c>
      <c r="D23" s="67">
        <v>0.18</v>
      </c>
      <c r="E23" s="67">
        <v>0.09</v>
      </c>
      <c r="F23" s="67">
        <v>0.19</v>
      </c>
      <c r="G23" s="67">
        <v>20.79</v>
      </c>
      <c r="H23" s="67">
        <v>1.34</v>
      </c>
      <c r="I23" s="67">
        <v>0.57999999999999996</v>
      </c>
      <c r="J23" s="67">
        <v>0.44</v>
      </c>
      <c r="K23" s="67">
        <v>0.37</v>
      </c>
      <c r="L23" s="67">
        <v>0.52</v>
      </c>
      <c r="M23" s="67">
        <v>0.5</v>
      </c>
      <c r="N23" s="67">
        <v>0.76</v>
      </c>
      <c r="O23" s="67">
        <v>25.81</v>
      </c>
    </row>
    <row r="24" spans="1:15" ht="23.25" thickBot="1" x14ac:dyDescent="0.3">
      <c r="A24" s="98" t="s">
        <v>212</v>
      </c>
      <c r="B24" s="167" t="s">
        <v>213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7">
        <v>0.3</v>
      </c>
      <c r="O24" s="67">
        <v>0.3</v>
      </c>
    </row>
    <row r="25" spans="1:15" ht="12" thickBot="1" x14ac:dyDescent="0.3">
      <c r="A25" s="230" t="s">
        <v>214</v>
      </c>
      <c r="B25" s="167" t="s">
        <v>44</v>
      </c>
      <c r="C25" s="67">
        <v>0.34</v>
      </c>
      <c r="D25" s="67">
        <v>1.22</v>
      </c>
      <c r="E25" s="67">
        <v>0.68</v>
      </c>
      <c r="F25" s="67">
        <v>0.61</v>
      </c>
      <c r="G25" s="67">
        <v>0.62</v>
      </c>
      <c r="H25" s="67">
        <v>-0.06</v>
      </c>
      <c r="I25" s="67">
        <v>0.96</v>
      </c>
      <c r="J25" s="67">
        <v>2.5299999999999998</v>
      </c>
      <c r="K25" s="67">
        <v>1.53</v>
      </c>
      <c r="L25" s="67">
        <v>1.46</v>
      </c>
      <c r="M25" s="67">
        <v>1.97</v>
      </c>
      <c r="N25" s="67">
        <v>3.82</v>
      </c>
      <c r="O25" s="67">
        <v>15.68</v>
      </c>
    </row>
    <row r="26" spans="1:15" ht="12" thickBot="1" x14ac:dyDescent="0.3">
      <c r="A26" s="231"/>
      <c r="B26" s="167" t="s">
        <v>85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7">
        <v>0</v>
      </c>
      <c r="O26" s="67">
        <v>0</v>
      </c>
    </row>
    <row r="27" spans="1:15" ht="12" thickBot="1" x14ac:dyDescent="0.3">
      <c r="A27" s="230" t="s">
        <v>215</v>
      </c>
      <c r="B27" s="167" t="s">
        <v>10</v>
      </c>
      <c r="C27" s="67">
        <v>0.06</v>
      </c>
      <c r="D27" s="67">
        <v>0.01</v>
      </c>
      <c r="E27" s="67">
        <v>0</v>
      </c>
      <c r="F27" s="67">
        <v>0.01</v>
      </c>
      <c r="G27" s="67">
        <v>0</v>
      </c>
      <c r="H27" s="67">
        <v>0.04</v>
      </c>
      <c r="I27" s="67">
        <v>0</v>
      </c>
      <c r="J27" s="67">
        <v>0.01</v>
      </c>
      <c r="K27" s="67">
        <v>0.02</v>
      </c>
      <c r="L27" s="67">
        <v>0.01</v>
      </c>
      <c r="M27" s="67">
        <v>0.01</v>
      </c>
      <c r="N27" s="67">
        <v>0.12</v>
      </c>
      <c r="O27" s="67">
        <v>0.28000000000000003</v>
      </c>
    </row>
    <row r="28" spans="1:15" ht="12" thickBot="1" x14ac:dyDescent="0.3">
      <c r="A28" s="244"/>
      <c r="B28" s="167" t="s">
        <v>11</v>
      </c>
      <c r="C28" s="67">
        <v>0.06</v>
      </c>
      <c r="D28" s="67">
        <v>0.01</v>
      </c>
      <c r="E28" s="67">
        <v>0</v>
      </c>
      <c r="F28" s="67">
        <v>0.01</v>
      </c>
      <c r="G28" s="67">
        <v>0</v>
      </c>
      <c r="H28" s="67">
        <v>0.04</v>
      </c>
      <c r="I28" s="67">
        <v>0</v>
      </c>
      <c r="J28" s="67">
        <v>0.01</v>
      </c>
      <c r="K28" s="67">
        <v>0.02</v>
      </c>
      <c r="L28" s="67">
        <v>0.01</v>
      </c>
      <c r="M28" s="67">
        <v>0.01</v>
      </c>
      <c r="N28" s="67">
        <v>0.12</v>
      </c>
      <c r="O28" s="67">
        <v>0.28000000000000003</v>
      </c>
    </row>
    <row r="29" spans="1:15" ht="12" thickBot="1" x14ac:dyDescent="0.3">
      <c r="A29" s="231"/>
      <c r="B29" s="167" t="s">
        <v>12</v>
      </c>
      <c r="C29" s="67">
        <v>0.06</v>
      </c>
      <c r="D29" s="67">
        <v>0.01</v>
      </c>
      <c r="E29" s="67">
        <v>0</v>
      </c>
      <c r="F29" s="67">
        <v>0.01</v>
      </c>
      <c r="G29" s="67">
        <v>0</v>
      </c>
      <c r="H29" s="67">
        <v>0.04</v>
      </c>
      <c r="I29" s="67">
        <v>0</v>
      </c>
      <c r="J29" s="67">
        <v>0.01</v>
      </c>
      <c r="K29" s="67">
        <v>0.02</v>
      </c>
      <c r="L29" s="67">
        <v>0.01</v>
      </c>
      <c r="M29" s="67">
        <v>0.01</v>
      </c>
      <c r="N29" s="67">
        <v>0.12</v>
      </c>
      <c r="O29" s="67">
        <v>0.28000000000000003</v>
      </c>
    </row>
    <row r="30" spans="1:15" ht="23.25" thickBot="1" x14ac:dyDescent="0.3">
      <c r="A30" s="98" t="s">
        <v>216</v>
      </c>
      <c r="B30" s="167" t="s">
        <v>27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7">
        <v>0</v>
      </c>
      <c r="O30" s="67">
        <v>0.04</v>
      </c>
    </row>
    <row r="31" spans="1:15" ht="12" thickBot="1" x14ac:dyDescent="0.3">
      <c r="A31" s="304" t="s">
        <v>29</v>
      </c>
      <c r="B31" s="305"/>
      <c r="C31" s="303">
        <v>15.06</v>
      </c>
      <c r="D31" s="303">
        <v>11.9</v>
      </c>
      <c r="E31" s="303">
        <v>19.079999999999998</v>
      </c>
      <c r="F31" s="303">
        <v>16.920000000000002</v>
      </c>
      <c r="G31" s="303">
        <v>41.38</v>
      </c>
      <c r="H31" s="303">
        <v>24.93</v>
      </c>
      <c r="I31" s="303">
        <v>23.68</v>
      </c>
      <c r="J31" s="303">
        <v>31.67</v>
      </c>
      <c r="K31" s="303">
        <v>29.38</v>
      </c>
      <c r="L31" s="303">
        <v>30.07</v>
      </c>
      <c r="M31" s="303">
        <v>32.4</v>
      </c>
      <c r="N31" s="303">
        <v>49.31</v>
      </c>
      <c r="O31" s="303">
        <v>325.77</v>
      </c>
    </row>
  </sheetData>
  <mergeCells count="7">
    <mergeCell ref="A31:B31"/>
    <mergeCell ref="A3:O3"/>
    <mergeCell ref="A11:A12"/>
    <mergeCell ref="A21:A22"/>
    <mergeCell ref="A25:A26"/>
    <mergeCell ref="A27:A29"/>
    <mergeCell ref="A2:O2"/>
  </mergeCells>
  <pageMargins left="0.7" right="0.7" top="0.75" bottom="0.75" header="0.3" footer="0.3"/>
  <pageSetup scale="5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499984740745262"/>
    <pageSetUpPr fitToPage="1"/>
  </sheetPr>
  <dimension ref="A1:I14"/>
  <sheetViews>
    <sheetView showGridLines="0" zoomScaleNormal="100" workbookViewId="0">
      <selection activeCell="F18" sqref="F18"/>
    </sheetView>
  </sheetViews>
  <sheetFormatPr baseColWidth="10" defaultColWidth="11.42578125" defaultRowHeight="11.25" x14ac:dyDescent="0.2"/>
  <cols>
    <col min="1" max="1" width="15.140625" style="15" customWidth="1"/>
    <col min="2" max="16384" width="11.42578125" style="15"/>
  </cols>
  <sheetData>
    <row r="1" spans="1:9" x14ac:dyDescent="0.2">
      <c r="A1" s="337"/>
      <c r="B1" s="337"/>
      <c r="C1" s="337"/>
      <c r="D1" s="337"/>
      <c r="E1" s="337"/>
      <c r="F1" s="337"/>
    </row>
    <row r="2" spans="1:9" ht="12" x14ac:dyDescent="0.2">
      <c r="A2" s="316" t="s">
        <v>661</v>
      </c>
      <c r="B2" s="316"/>
      <c r="C2" s="316"/>
      <c r="D2" s="316"/>
      <c r="E2" s="316"/>
      <c r="F2" s="316"/>
      <c r="G2" s="7"/>
      <c r="H2" s="7"/>
      <c r="I2" s="7"/>
    </row>
    <row r="3" spans="1:9" x14ac:dyDescent="0.2">
      <c r="A3" s="337"/>
      <c r="B3" s="337"/>
      <c r="C3" s="337"/>
      <c r="D3" s="337"/>
      <c r="E3" s="337"/>
      <c r="F3" s="337"/>
    </row>
    <row r="4" spans="1:9" ht="12" thickBot="1" x14ac:dyDescent="0.25">
      <c r="A4" s="337"/>
      <c r="B4" s="337"/>
      <c r="C4" s="337"/>
      <c r="D4" s="337"/>
      <c r="E4" s="337"/>
      <c r="F4" s="337"/>
    </row>
    <row r="5" spans="1:9" ht="12" thickBot="1" x14ac:dyDescent="0.25">
      <c r="A5" s="217" t="s">
        <v>662</v>
      </c>
      <c r="B5" s="218"/>
      <c r="C5" s="218"/>
      <c r="D5" s="218"/>
      <c r="E5" s="218"/>
      <c r="F5" s="219"/>
    </row>
    <row r="6" spans="1:9" ht="12" thickBot="1" x14ac:dyDescent="0.25">
      <c r="A6" s="95" t="s">
        <v>72</v>
      </c>
      <c r="B6" s="91">
        <v>2023</v>
      </c>
      <c r="C6" s="91">
        <v>2024</v>
      </c>
      <c r="D6" s="91">
        <v>2025</v>
      </c>
      <c r="E6" s="91">
        <v>2026</v>
      </c>
      <c r="F6" s="91">
        <v>2027</v>
      </c>
    </row>
    <row r="7" spans="1:9" ht="23.25" thickBot="1" x14ac:dyDescent="0.25">
      <c r="A7" s="105" t="s">
        <v>25</v>
      </c>
      <c r="B7" s="167">
        <v>6</v>
      </c>
      <c r="C7" s="167">
        <v>18</v>
      </c>
      <c r="D7" s="167">
        <v>32</v>
      </c>
      <c r="E7" s="167">
        <v>7</v>
      </c>
      <c r="F7" s="167">
        <v>0</v>
      </c>
    </row>
    <row r="8" spans="1:9" ht="23.25" thickBot="1" x14ac:dyDescent="0.25">
      <c r="A8" s="105" t="s">
        <v>217</v>
      </c>
      <c r="B8" s="167">
        <v>348</v>
      </c>
      <c r="C8" s="167">
        <v>600</v>
      </c>
      <c r="D8" s="167">
        <v>716</v>
      </c>
      <c r="E8" s="167">
        <v>524</v>
      </c>
      <c r="F8" s="167">
        <v>318</v>
      </c>
    </row>
    <row r="9" spans="1:9" ht="12" thickBot="1" x14ac:dyDescent="0.25">
      <c r="A9" s="92" t="s">
        <v>29</v>
      </c>
      <c r="B9" s="210">
        <v>353</v>
      </c>
      <c r="C9" s="210">
        <v>618</v>
      </c>
      <c r="D9" s="210">
        <v>747</v>
      </c>
      <c r="E9" s="210">
        <v>532</v>
      </c>
      <c r="F9" s="210">
        <v>318</v>
      </c>
    </row>
    <row r="10" spans="1:9" x14ac:dyDescent="0.2">
      <c r="A10" s="337"/>
      <c r="B10" s="337"/>
      <c r="C10" s="337"/>
      <c r="D10" s="337"/>
      <c r="E10" s="337"/>
      <c r="F10" s="337"/>
    </row>
    <row r="11" spans="1:9" x14ac:dyDescent="0.2">
      <c r="A11" s="337"/>
      <c r="B11" s="337"/>
      <c r="C11" s="337"/>
      <c r="D11" s="337"/>
      <c r="E11" s="337"/>
      <c r="F11" s="337"/>
    </row>
    <row r="12" spans="1:9" x14ac:dyDescent="0.2">
      <c r="A12" s="337"/>
      <c r="B12" s="337"/>
      <c r="C12" s="337"/>
      <c r="D12" s="337"/>
      <c r="E12" s="337"/>
      <c r="F12" s="337"/>
    </row>
    <row r="13" spans="1:9" x14ac:dyDescent="0.2">
      <c r="A13" s="337"/>
      <c r="B13" s="337"/>
      <c r="C13" s="337"/>
      <c r="D13" s="337"/>
      <c r="E13" s="337"/>
      <c r="F13" s="337"/>
    </row>
    <row r="14" spans="1:9" x14ac:dyDescent="0.2">
      <c r="A14" s="337"/>
      <c r="B14" s="337"/>
      <c r="C14" s="337"/>
      <c r="D14" s="337"/>
      <c r="E14" s="337"/>
      <c r="F14" s="337"/>
    </row>
  </sheetData>
  <mergeCells count="2">
    <mergeCell ref="A2:F2"/>
    <mergeCell ref="A5:F5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F5F6-DACE-48FE-9912-74226EA837A5}">
  <sheetPr>
    <tabColor theme="4" tint="-0.499984740745262"/>
  </sheetPr>
  <dimension ref="A2:F19"/>
  <sheetViews>
    <sheetView workbookViewId="0">
      <selection activeCell="F29" sqref="F29"/>
    </sheetView>
  </sheetViews>
  <sheetFormatPr baseColWidth="10" defaultRowHeight="15" x14ac:dyDescent="0.25"/>
  <cols>
    <col min="1" max="1" width="38.42578125" customWidth="1"/>
  </cols>
  <sheetData>
    <row r="2" spans="1:6" x14ac:dyDescent="0.25">
      <c r="A2" s="370" t="s">
        <v>481</v>
      </c>
      <c r="B2" s="315"/>
      <c r="C2" s="315"/>
    </row>
    <row r="3" spans="1:6" ht="15.75" thickBot="1" x14ac:dyDescent="0.3">
      <c r="A3" s="367"/>
      <c r="B3" s="365"/>
      <c r="C3" s="365"/>
      <c r="D3" s="366"/>
      <c r="E3" s="366"/>
      <c r="F3" s="366"/>
    </row>
    <row r="4" spans="1:6" ht="23.25" thickBot="1" x14ac:dyDescent="0.3">
      <c r="A4" s="369" t="s">
        <v>525</v>
      </c>
      <c r="B4" s="94" t="s">
        <v>461</v>
      </c>
      <c r="C4" s="94" t="s">
        <v>477</v>
      </c>
      <c r="D4" s="366"/>
      <c r="E4" s="366"/>
      <c r="F4" s="366"/>
    </row>
    <row r="5" spans="1:6" ht="15.75" thickBot="1" x14ac:dyDescent="0.3">
      <c r="A5" s="98" t="s">
        <v>714</v>
      </c>
      <c r="B5" s="371">
        <v>30.7</v>
      </c>
      <c r="C5" s="371">
        <v>11.4</v>
      </c>
      <c r="D5" s="366"/>
      <c r="E5" s="366"/>
      <c r="F5" s="366"/>
    </row>
    <row r="6" spans="1:6" ht="15.75" thickBot="1" x14ac:dyDescent="0.3">
      <c r="A6" s="98" t="s">
        <v>715</v>
      </c>
      <c r="B6" s="371">
        <v>213.1</v>
      </c>
      <c r="C6" s="371">
        <v>134.11000000000001</v>
      </c>
      <c r="D6" s="366"/>
      <c r="E6" s="366"/>
      <c r="F6" s="366"/>
    </row>
    <row r="7" spans="1:6" ht="15.75" thickBot="1" x14ac:dyDescent="0.3">
      <c r="A7" s="98" t="s">
        <v>716</v>
      </c>
      <c r="B7" s="371">
        <v>4.1500000000000004</v>
      </c>
      <c r="C7" s="371">
        <v>2.2599999999999998</v>
      </c>
      <c r="D7" s="366"/>
      <c r="E7" s="366"/>
      <c r="F7" s="366"/>
    </row>
    <row r="8" spans="1:6" ht="15.75" thickBot="1" x14ac:dyDescent="0.3">
      <c r="A8" s="98" t="s">
        <v>717</v>
      </c>
      <c r="B8" s="371">
        <v>30.48</v>
      </c>
      <c r="C8" s="371">
        <v>18.88</v>
      </c>
      <c r="D8" s="366"/>
      <c r="E8" s="366"/>
      <c r="F8" s="366"/>
    </row>
    <row r="9" spans="1:6" ht="15.75" thickBot="1" x14ac:dyDescent="0.3">
      <c r="A9" s="98" t="s">
        <v>718</v>
      </c>
      <c r="B9" s="371" t="s">
        <v>311</v>
      </c>
      <c r="C9" s="371" t="s">
        <v>311</v>
      </c>
      <c r="D9" s="366"/>
      <c r="E9" s="366"/>
      <c r="F9" s="366"/>
    </row>
    <row r="10" spans="1:6" ht="15.75" thickBot="1" x14ac:dyDescent="0.3">
      <c r="A10" s="98" t="s">
        <v>719</v>
      </c>
      <c r="B10" s="371">
        <v>80.760000000000005</v>
      </c>
      <c r="C10" s="371">
        <v>49.69</v>
      </c>
      <c r="D10" s="366"/>
      <c r="E10" s="366"/>
      <c r="F10" s="366"/>
    </row>
    <row r="11" spans="1:6" ht="15.75" thickBot="1" x14ac:dyDescent="0.3">
      <c r="A11" s="98" t="s">
        <v>720</v>
      </c>
      <c r="B11" s="371">
        <v>4.9800000000000004</v>
      </c>
      <c r="C11" s="371">
        <v>22.67</v>
      </c>
      <c r="D11" s="366"/>
      <c r="E11" s="366"/>
      <c r="F11" s="366"/>
    </row>
    <row r="12" spans="1:6" ht="15.75" thickBot="1" x14ac:dyDescent="0.3">
      <c r="A12" s="151" t="s">
        <v>29</v>
      </c>
      <c r="B12" s="112">
        <v>364.17</v>
      </c>
      <c r="C12" s="112">
        <v>239.01</v>
      </c>
      <c r="D12" s="366"/>
      <c r="E12" s="366"/>
      <c r="F12" s="366"/>
    </row>
    <row r="13" spans="1:6" x14ac:dyDescent="0.25">
      <c r="A13" s="368"/>
      <c r="B13" s="368"/>
      <c r="C13" s="368"/>
      <c r="D13" s="366"/>
      <c r="E13" s="366"/>
      <c r="F13" s="366"/>
    </row>
    <row r="14" spans="1:6" x14ac:dyDescent="0.25">
      <c r="A14" s="368"/>
      <c r="B14" s="368"/>
      <c r="C14" s="368"/>
      <c r="D14" s="366"/>
      <c r="E14" s="366"/>
      <c r="F14" s="366"/>
    </row>
    <row r="15" spans="1:6" x14ac:dyDescent="0.25">
      <c r="A15" s="315"/>
      <c r="B15" s="315"/>
      <c r="C15" s="315"/>
    </row>
    <row r="19" spans="3:5" x14ac:dyDescent="0.25">
      <c r="C19" s="85"/>
      <c r="D19" s="85"/>
      <c r="E19" s="8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499984740745262"/>
    <pageSetUpPr fitToPage="1"/>
  </sheetPr>
  <dimension ref="A2:O52"/>
  <sheetViews>
    <sheetView showGridLines="0" topLeftCell="D1" zoomScale="90" zoomScaleNormal="90" workbookViewId="0">
      <pane ySplit="3" topLeftCell="A4" activePane="bottomLeft" state="frozen"/>
      <selection activeCell="Q43" sqref="Q43"/>
      <selection pane="bottomLeft" activeCell="P23" sqref="P23"/>
    </sheetView>
  </sheetViews>
  <sheetFormatPr baseColWidth="10" defaultColWidth="11.28515625" defaultRowHeight="11.25" x14ac:dyDescent="0.2"/>
  <cols>
    <col min="1" max="1" width="28.7109375" style="22" customWidth="1"/>
    <col min="2" max="2" width="13.42578125" style="21" customWidth="1"/>
    <col min="3" max="13" width="10.140625" style="21" customWidth="1"/>
    <col min="14" max="14" width="11.42578125" style="21" customWidth="1"/>
    <col min="15" max="16" width="11.28515625" style="21"/>
    <col min="17" max="17" width="8.42578125" style="21" bestFit="1" customWidth="1"/>
    <col min="18" max="18" width="11.28515625" style="21"/>
    <col min="19" max="19" width="5.85546875" style="21" bestFit="1" customWidth="1"/>
    <col min="20" max="24" width="11.28515625" style="21"/>
    <col min="25" max="25" width="8.42578125" style="21" bestFit="1" customWidth="1"/>
    <col min="26" max="26" width="11.28515625" style="21" customWidth="1"/>
    <col min="27" max="27" width="8.7109375" style="21" bestFit="1" customWidth="1"/>
    <col min="28" max="16384" width="11.28515625" style="21"/>
  </cols>
  <sheetData>
    <row r="2" spans="1:15" ht="12" x14ac:dyDescent="0.2">
      <c r="A2" s="316" t="s">
        <v>663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8"/>
    </row>
    <row r="3" spans="1:15" x14ac:dyDescent="0.2">
      <c r="A3" s="372"/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</row>
    <row r="4" spans="1:15" ht="12" thickBot="1" x14ac:dyDescent="0.25">
      <c r="A4" s="372"/>
      <c r="B4" s="318"/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</row>
    <row r="5" spans="1:15" ht="12" thickBot="1" x14ac:dyDescent="0.25">
      <c r="A5" s="217" t="s">
        <v>664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</row>
    <row r="6" spans="1:15" ht="12" thickBot="1" x14ac:dyDescent="0.25">
      <c r="A6" s="90" t="s">
        <v>586</v>
      </c>
      <c r="B6" s="91" t="s">
        <v>70</v>
      </c>
      <c r="C6" s="91" t="s">
        <v>426</v>
      </c>
      <c r="D6" s="91" t="s">
        <v>427</v>
      </c>
      <c r="E6" s="91" t="s">
        <v>428</v>
      </c>
      <c r="F6" s="91" t="s">
        <v>429</v>
      </c>
      <c r="G6" s="91" t="s">
        <v>430</v>
      </c>
      <c r="H6" s="91" t="s">
        <v>431</v>
      </c>
      <c r="I6" s="91" t="s">
        <v>432</v>
      </c>
      <c r="J6" s="91" t="s">
        <v>433</v>
      </c>
      <c r="K6" s="91" t="s">
        <v>434</v>
      </c>
      <c r="L6" s="91" t="s">
        <v>435</v>
      </c>
      <c r="M6" s="91" t="s">
        <v>436</v>
      </c>
      <c r="N6" s="91" t="s">
        <v>437</v>
      </c>
      <c r="O6" s="91" t="s">
        <v>29</v>
      </c>
    </row>
    <row r="7" spans="1:15" ht="12" thickBot="1" x14ac:dyDescent="0.25">
      <c r="A7" s="250" t="s">
        <v>218</v>
      </c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</row>
    <row r="8" spans="1:15" ht="12" thickBot="1" x14ac:dyDescent="0.25">
      <c r="A8" s="105" t="s">
        <v>265</v>
      </c>
      <c r="B8" s="167" t="s">
        <v>266</v>
      </c>
      <c r="C8" s="67">
        <v>0.24</v>
      </c>
      <c r="D8" s="67">
        <v>0.25</v>
      </c>
      <c r="E8" s="67">
        <v>0.31</v>
      </c>
      <c r="F8" s="67">
        <v>0.26</v>
      </c>
      <c r="G8" s="67">
        <v>0.28999999999999998</v>
      </c>
      <c r="H8" s="67">
        <v>0.3</v>
      </c>
      <c r="I8" s="67">
        <v>0.28000000000000003</v>
      </c>
      <c r="J8" s="67">
        <v>0.26</v>
      </c>
      <c r="K8" s="67">
        <v>0.25</v>
      </c>
      <c r="L8" s="67">
        <v>0.27</v>
      </c>
      <c r="M8" s="67">
        <v>0.25</v>
      </c>
      <c r="N8" s="67">
        <v>0.24</v>
      </c>
      <c r="O8" s="67">
        <v>3.19</v>
      </c>
    </row>
    <row r="9" spans="1:15" ht="12" thickBot="1" x14ac:dyDescent="0.25">
      <c r="A9" s="98" t="s">
        <v>179</v>
      </c>
      <c r="B9" s="167" t="s">
        <v>77</v>
      </c>
      <c r="C9" s="67">
        <v>0.73</v>
      </c>
      <c r="D9" s="67">
        <v>0.54</v>
      </c>
      <c r="E9" s="67">
        <v>0.64</v>
      </c>
      <c r="F9" s="67">
        <v>0.62</v>
      </c>
      <c r="G9" s="67">
        <v>0.61</v>
      </c>
      <c r="H9" s="67">
        <v>0.67</v>
      </c>
      <c r="I9" s="67">
        <v>0.54</v>
      </c>
      <c r="J9" s="67">
        <v>0.43</v>
      </c>
      <c r="K9" s="67">
        <v>0.36</v>
      </c>
      <c r="L9" s="67">
        <v>0.37</v>
      </c>
      <c r="M9" s="67">
        <v>0.36</v>
      </c>
      <c r="N9" s="67">
        <v>0.34</v>
      </c>
      <c r="O9" s="67">
        <v>6.22</v>
      </c>
    </row>
    <row r="10" spans="1:15" ht="12" thickBot="1" x14ac:dyDescent="0.25">
      <c r="A10" s="98" t="s">
        <v>264</v>
      </c>
      <c r="B10" s="167" t="s">
        <v>36</v>
      </c>
      <c r="C10" s="67">
        <v>0.59</v>
      </c>
      <c r="D10" s="67">
        <v>0.59</v>
      </c>
      <c r="E10" s="67">
        <v>0.71</v>
      </c>
      <c r="F10" s="67">
        <v>0.46</v>
      </c>
      <c r="G10" s="67">
        <v>0.7</v>
      </c>
      <c r="H10" s="67">
        <v>0.81</v>
      </c>
      <c r="I10" s="67">
        <v>0.78</v>
      </c>
      <c r="J10" s="67">
        <v>0.96</v>
      </c>
      <c r="K10" s="67">
        <v>0.88</v>
      </c>
      <c r="L10" s="67">
        <v>1</v>
      </c>
      <c r="M10" s="67">
        <v>1</v>
      </c>
      <c r="N10" s="67">
        <v>1.54</v>
      </c>
      <c r="O10" s="67">
        <v>10.01</v>
      </c>
    </row>
    <row r="11" spans="1:15" ht="12" thickBot="1" x14ac:dyDescent="0.25">
      <c r="A11" s="98" t="s">
        <v>264</v>
      </c>
      <c r="B11" s="167" t="s">
        <v>35</v>
      </c>
      <c r="C11" s="67">
        <v>2.64</v>
      </c>
      <c r="D11" s="67">
        <v>2.62</v>
      </c>
      <c r="E11" s="67">
        <v>3.11</v>
      </c>
      <c r="F11" s="67">
        <v>2.71</v>
      </c>
      <c r="G11" s="67">
        <v>3.3</v>
      </c>
      <c r="H11" s="67">
        <v>3.7</v>
      </c>
      <c r="I11" s="67">
        <v>3.9</v>
      </c>
      <c r="J11" s="67">
        <v>3.76</v>
      </c>
      <c r="K11" s="67">
        <v>3.25</v>
      </c>
      <c r="L11" s="67">
        <v>3.56</v>
      </c>
      <c r="M11" s="67">
        <v>3.47</v>
      </c>
      <c r="N11" s="67">
        <v>3.02</v>
      </c>
      <c r="O11" s="67">
        <v>39.06</v>
      </c>
    </row>
    <row r="12" spans="1:15" ht="12" thickBot="1" x14ac:dyDescent="0.25">
      <c r="A12" s="98" t="s">
        <v>79</v>
      </c>
      <c r="B12" s="167" t="s">
        <v>219</v>
      </c>
      <c r="C12" s="67">
        <v>3.19</v>
      </c>
      <c r="D12" s="67">
        <v>3.24</v>
      </c>
      <c r="E12" s="67">
        <v>4.22</v>
      </c>
      <c r="F12" s="67">
        <v>3.4</v>
      </c>
      <c r="G12" s="67">
        <v>4.03</v>
      </c>
      <c r="H12" s="67">
        <v>4.17</v>
      </c>
      <c r="I12" s="67">
        <v>3.91</v>
      </c>
      <c r="J12" s="67">
        <v>3.71</v>
      </c>
      <c r="K12" s="67">
        <v>3.04</v>
      </c>
      <c r="L12" s="67">
        <v>3.21</v>
      </c>
      <c r="M12" s="67">
        <v>2.9</v>
      </c>
      <c r="N12" s="67">
        <v>2.34</v>
      </c>
      <c r="O12" s="67">
        <v>41.37</v>
      </c>
    </row>
    <row r="13" spans="1:15" ht="12" thickBot="1" x14ac:dyDescent="0.25">
      <c r="A13" s="98" t="s">
        <v>181</v>
      </c>
      <c r="B13" s="167" t="s">
        <v>42</v>
      </c>
      <c r="C13" s="67">
        <v>0.18</v>
      </c>
      <c r="D13" s="67">
        <v>0.18</v>
      </c>
      <c r="E13" s="67">
        <v>0.22</v>
      </c>
      <c r="F13" s="67">
        <v>0.18</v>
      </c>
      <c r="G13" s="67">
        <v>0.2</v>
      </c>
      <c r="H13" s="67">
        <v>0.21</v>
      </c>
      <c r="I13" s="67">
        <v>0.2</v>
      </c>
      <c r="J13" s="67">
        <v>0.2</v>
      </c>
      <c r="K13" s="67">
        <v>0.18</v>
      </c>
      <c r="L13" s="67">
        <v>0.18</v>
      </c>
      <c r="M13" s="67">
        <v>0.17</v>
      </c>
      <c r="N13" s="67">
        <v>0.16</v>
      </c>
      <c r="O13" s="67">
        <v>2.27</v>
      </c>
    </row>
    <row r="14" spans="1:15" ht="12" thickBot="1" x14ac:dyDescent="0.25">
      <c r="A14" s="98" t="s">
        <v>19</v>
      </c>
      <c r="B14" s="167" t="s">
        <v>37</v>
      </c>
      <c r="C14" s="67">
        <v>9.8800000000000008</v>
      </c>
      <c r="D14" s="67">
        <v>11.27</v>
      </c>
      <c r="E14" s="67">
        <v>16.13</v>
      </c>
      <c r="F14" s="67">
        <v>11.27</v>
      </c>
      <c r="G14" s="67">
        <v>13.73</v>
      </c>
      <c r="H14" s="67">
        <v>15.15</v>
      </c>
      <c r="I14" s="67">
        <v>13.44</v>
      </c>
      <c r="J14" s="67">
        <v>13.02</v>
      </c>
      <c r="K14" s="67">
        <v>10.46</v>
      </c>
      <c r="L14" s="67">
        <v>11.24</v>
      </c>
      <c r="M14" s="67">
        <v>9.9700000000000006</v>
      </c>
      <c r="N14" s="67">
        <v>7.6</v>
      </c>
      <c r="O14" s="67">
        <v>143.16</v>
      </c>
    </row>
    <row r="15" spans="1:15" ht="12" thickBot="1" x14ac:dyDescent="0.25">
      <c r="A15" s="98" t="s">
        <v>38</v>
      </c>
      <c r="B15" s="167" t="s">
        <v>6</v>
      </c>
      <c r="C15" s="67">
        <v>1.1299999999999999</v>
      </c>
      <c r="D15" s="67">
        <v>1.1000000000000001</v>
      </c>
      <c r="E15" s="67">
        <v>1.89</v>
      </c>
      <c r="F15" s="67">
        <v>2</v>
      </c>
      <c r="G15" s="67">
        <v>2.27</v>
      </c>
      <c r="H15" s="67">
        <v>2.08</v>
      </c>
      <c r="I15" s="67">
        <v>1.74</v>
      </c>
      <c r="J15" s="67">
        <v>1.48</v>
      </c>
      <c r="K15" s="67">
        <v>1.23</v>
      </c>
      <c r="L15" s="67">
        <v>1.31</v>
      </c>
      <c r="M15" s="67">
        <v>1.1399999999999999</v>
      </c>
      <c r="N15" s="67">
        <v>1.01</v>
      </c>
      <c r="O15" s="67">
        <v>18.399999999999999</v>
      </c>
    </row>
    <row r="16" spans="1:15" ht="12" thickBot="1" x14ac:dyDescent="0.25">
      <c r="A16" s="98" t="s">
        <v>179</v>
      </c>
      <c r="B16" s="167" t="s">
        <v>81</v>
      </c>
      <c r="C16" s="67">
        <v>0.03</v>
      </c>
      <c r="D16" s="67">
        <v>0.03</v>
      </c>
      <c r="E16" s="67">
        <v>0.04</v>
      </c>
      <c r="F16" s="67">
        <v>0.04</v>
      </c>
      <c r="G16" s="67">
        <v>0.04</v>
      </c>
      <c r="H16" s="67">
        <v>0.04</v>
      </c>
      <c r="I16" s="67">
        <v>0.03</v>
      </c>
      <c r="J16" s="67">
        <v>0.03</v>
      </c>
      <c r="K16" s="67">
        <v>0.03</v>
      </c>
      <c r="L16" s="67">
        <v>0.03</v>
      </c>
      <c r="M16" s="67">
        <v>0.03</v>
      </c>
      <c r="N16" s="67">
        <v>0.02</v>
      </c>
      <c r="O16" s="67">
        <v>0.39</v>
      </c>
    </row>
    <row r="17" spans="1:15" ht="12" thickBot="1" x14ac:dyDescent="0.25">
      <c r="A17" s="98" t="s">
        <v>179</v>
      </c>
      <c r="B17" s="167" t="s">
        <v>82</v>
      </c>
      <c r="C17" s="67">
        <v>0.01</v>
      </c>
      <c r="D17" s="67">
        <v>0.01</v>
      </c>
      <c r="E17" s="67">
        <v>0.01</v>
      </c>
      <c r="F17" s="67">
        <v>0.01</v>
      </c>
      <c r="G17" s="67">
        <v>0.01</v>
      </c>
      <c r="H17" s="67">
        <v>0.01</v>
      </c>
      <c r="I17" s="67">
        <v>0.01</v>
      </c>
      <c r="J17" s="67">
        <v>0.01</v>
      </c>
      <c r="K17" s="67">
        <v>0.01</v>
      </c>
      <c r="L17" s="67">
        <v>0.01</v>
      </c>
      <c r="M17" s="67">
        <v>0.01</v>
      </c>
      <c r="N17" s="67">
        <v>0.01</v>
      </c>
      <c r="O17" s="67">
        <v>0.08</v>
      </c>
    </row>
    <row r="18" spans="1:15" ht="12" thickBot="1" x14ac:dyDescent="0.25">
      <c r="A18" s="215" t="s">
        <v>665</v>
      </c>
      <c r="B18" s="216"/>
      <c r="C18" s="119">
        <v>18.61</v>
      </c>
      <c r="D18" s="119">
        <v>19.82</v>
      </c>
      <c r="E18" s="119">
        <v>27.27</v>
      </c>
      <c r="F18" s="119">
        <v>20.95</v>
      </c>
      <c r="G18" s="119">
        <v>25.19</v>
      </c>
      <c r="H18" s="119">
        <v>27.13</v>
      </c>
      <c r="I18" s="119">
        <v>24.85</v>
      </c>
      <c r="J18" s="119">
        <v>23.87</v>
      </c>
      <c r="K18" s="119">
        <v>19.690000000000001</v>
      </c>
      <c r="L18" s="119">
        <v>21.17</v>
      </c>
      <c r="M18" s="119">
        <v>19.3</v>
      </c>
      <c r="N18" s="119">
        <v>16.28</v>
      </c>
      <c r="O18" s="119">
        <v>264.12</v>
      </c>
    </row>
    <row r="19" spans="1:15" ht="12" thickBot="1" x14ac:dyDescent="0.25">
      <c r="A19" s="98" t="s">
        <v>22</v>
      </c>
      <c r="B19" s="167">
        <v>8</v>
      </c>
      <c r="C19" s="67" t="s">
        <v>491</v>
      </c>
      <c r="D19" s="67" t="s">
        <v>491</v>
      </c>
      <c r="E19" s="67" t="s">
        <v>491</v>
      </c>
      <c r="F19" s="67" t="s">
        <v>491</v>
      </c>
      <c r="G19" s="67" t="s">
        <v>491</v>
      </c>
      <c r="H19" s="67" t="s">
        <v>491</v>
      </c>
      <c r="I19" s="67" t="s">
        <v>491</v>
      </c>
      <c r="J19" s="67" t="s">
        <v>491</v>
      </c>
      <c r="K19" s="67" t="s">
        <v>491</v>
      </c>
      <c r="L19" s="67" t="s">
        <v>491</v>
      </c>
      <c r="M19" s="67" t="s">
        <v>491</v>
      </c>
      <c r="N19" s="67" t="s">
        <v>491</v>
      </c>
      <c r="O19" s="67" t="s">
        <v>491</v>
      </c>
    </row>
    <row r="20" spans="1:15" ht="12" thickBot="1" x14ac:dyDescent="0.25">
      <c r="A20" s="98" t="s">
        <v>86</v>
      </c>
      <c r="B20" s="167">
        <v>67</v>
      </c>
      <c r="C20" s="67" t="s">
        <v>491</v>
      </c>
      <c r="D20" s="67">
        <v>0.09</v>
      </c>
      <c r="E20" s="67">
        <v>0.49</v>
      </c>
      <c r="F20" s="67" t="s">
        <v>491</v>
      </c>
      <c r="G20" s="67">
        <v>1.19</v>
      </c>
      <c r="H20" s="67">
        <v>0.87</v>
      </c>
      <c r="I20" s="67">
        <v>0.73</v>
      </c>
      <c r="J20" s="67">
        <v>0.42</v>
      </c>
      <c r="K20" s="67">
        <v>0.35</v>
      </c>
      <c r="L20" s="67" t="s">
        <v>491</v>
      </c>
      <c r="M20" s="67" t="s">
        <v>491</v>
      </c>
      <c r="N20" s="67">
        <v>0.1</v>
      </c>
      <c r="O20" s="67">
        <v>4.24</v>
      </c>
    </row>
    <row r="21" spans="1:15" ht="12" thickBot="1" x14ac:dyDescent="0.25">
      <c r="A21" s="98" t="s">
        <v>49</v>
      </c>
      <c r="B21" s="167">
        <v>95</v>
      </c>
      <c r="C21" s="67">
        <v>2</v>
      </c>
      <c r="D21" s="67">
        <v>3.37</v>
      </c>
      <c r="E21" s="67" t="s">
        <v>491</v>
      </c>
      <c r="F21" s="67">
        <v>2.37</v>
      </c>
      <c r="G21" s="67">
        <v>2.73</v>
      </c>
      <c r="H21" s="67">
        <v>3.03</v>
      </c>
      <c r="I21" s="67">
        <v>1.64</v>
      </c>
      <c r="J21" s="67">
        <v>2.44</v>
      </c>
      <c r="K21" s="67">
        <v>1.45</v>
      </c>
      <c r="L21" s="67">
        <v>0.81</v>
      </c>
      <c r="M21" s="67">
        <v>1.41</v>
      </c>
      <c r="N21" s="67">
        <v>1.61</v>
      </c>
      <c r="O21" s="67">
        <v>22.86</v>
      </c>
    </row>
    <row r="22" spans="1:15" ht="12" thickBot="1" x14ac:dyDescent="0.25">
      <c r="A22" s="98" t="s">
        <v>83</v>
      </c>
      <c r="B22" s="167" t="s">
        <v>197</v>
      </c>
      <c r="C22" s="67">
        <v>0.15</v>
      </c>
      <c r="D22" s="67">
        <v>0.26</v>
      </c>
      <c r="E22" s="67">
        <v>0.34</v>
      </c>
      <c r="F22" s="67">
        <v>0.26</v>
      </c>
      <c r="G22" s="67">
        <v>0.32</v>
      </c>
      <c r="H22" s="67">
        <v>0.33</v>
      </c>
      <c r="I22" s="67">
        <v>0.34</v>
      </c>
      <c r="J22" s="67">
        <v>0.27</v>
      </c>
      <c r="K22" s="67">
        <v>0.21</v>
      </c>
      <c r="L22" s="67">
        <v>0.09</v>
      </c>
      <c r="M22" s="67">
        <v>0.15</v>
      </c>
      <c r="N22" s="67">
        <v>0.13</v>
      </c>
      <c r="O22" s="67">
        <v>2.85</v>
      </c>
    </row>
    <row r="23" spans="1:15" ht="12" thickBot="1" x14ac:dyDescent="0.25">
      <c r="A23" s="98" t="s">
        <v>20</v>
      </c>
      <c r="B23" s="167">
        <v>131</v>
      </c>
      <c r="C23" s="67">
        <v>0.91</v>
      </c>
      <c r="D23" s="67">
        <v>0.81</v>
      </c>
      <c r="E23" s="67">
        <v>1.07</v>
      </c>
      <c r="F23" s="67">
        <v>0.91</v>
      </c>
      <c r="G23" s="67">
        <v>1</v>
      </c>
      <c r="H23" s="67">
        <v>1</v>
      </c>
      <c r="I23" s="67">
        <v>0.86</v>
      </c>
      <c r="J23" s="67">
        <v>0.73</v>
      </c>
      <c r="K23" s="67">
        <v>0.62</v>
      </c>
      <c r="L23" s="67">
        <v>0.63</v>
      </c>
      <c r="M23" s="67">
        <v>0.56999999999999995</v>
      </c>
      <c r="N23" s="67">
        <v>0.44</v>
      </c>
      <c r="O23" s="67">
        <v>9.5500000000000007</v>
      </c>
    </row>
    <row r="24" spans="1:15" ht="12" thickBot="1" x14ac:dyDescent="0.25">
      <c r="A24" s="98" t="s">
        <v>22</v>
      </c>
      <c r="B24" s="167">
        <v>88</v>
      </c>
      <c r="C24" s="67">
        <v>35.799999999999997</v>
      </c>
      <c r="D24" s="67">
        <v>35.31</v>
      </c>
      <c r="E24" s="67">
        <v>47.92</v>
      </c>
      <c r="F24" s="67">
        <v>41.63</v>
      </c>
      <c r="G24" s="67">
        <v>42.92</v>
      </c>
      <c r="H24" s="67">
        <v>39.75</v>
      </c>
      <c r="I24" s="67">
        <v>31.29</v>
      </c>
      <c r="J24" s="67">
        <v>27.16</v>
      </c>
      <c r="K24" s="67">
        <v>23.04</v>
      </c>
      <c r="L24" s="67">
        <v>27.29</v>
      </c>
      <c r="M24" s="67">
        <v>26.29</v>
      </c>
      <c r="N24" s="67">
        <v>26.75</v>
      </c>
      <c r="O24" s="67">
        <v>405.16</v>
      </c>
    </row>
    <row r="25" spans="1:15" ht="12" thickBot="1" x14ac:dyDescent="0.25">
      <c r="A25" s="98" t="s">
        <v>23</v>
      </c>
      <c r="B25" s="167">
        <v>57</v>
      </c>
      <c r="C25" s="67">
        <v>1.56</v>
      </c>
      <c r="D25" s="67">
        <v>1.48</v>
      </c>
      <c r="E25" s="67">
        <v>1.82</v>
      </c>
      <c r="F25" s="67">
        <v>1.63</v>
      </c>
      <c r="G25" s="67">
        <v>2</v>
      </c>
      <c r="H25" s="67">
        <v>1.17</v>
      </c>
      <c r="I25" s="67">
        <v>0.2</v>
      </c>
      <c r="J25" s="67">
        <v>0.39</v>
      </c>
      <c r="K25" s="67">
        <v>0.51</v>
      </c>
      <c r="L25" s="67">
        <v>1.02</v>
      </c>
      <c r="M25" s="67">
        <v>1.07</v>
      </c>
      <c r="N25" s="67">
        <v>0.7</v>
      </c>
      <c r="O25" s="67">
        <v>13.55</v>
      </c>
    </row>
    <row r="26" spans="1:15" ht="12" thickBot="1" x14ac:dyDescent="0.25">
      <c r="A26" s="98" t="s">
        <v>22</v>
      </c>
      <c r="B26" s="167">
        <v>56</v>
      </c>
      <c r="C26" s="67">
        <v>14.06</v>
      </c>
      <c r="D26" s="67">
        <v>13.43</v>
      </c>
      <c r="E26" s="67">
        <v>16.78</v>
      </c>
      <c r="F26" s="67">
        <v>15.88</v>
      </c>
      <c r="G26" s="67">
        <v>11.59</v>
      </c>
      <c r="H26" s="67">
        <v>15.93</v>
      </c>
      <c r="I26" s="67">
        <v>13.7</v>
      </c>
      <c r="J26" s="67">
        <v>3.6</v>
      </c>
      <c r="K26" s="67">
        <v>8.33</v>
      </c>
      <c r="L26" s="67">
        <v>9.32</v>
      </c>
      <c r="M26" s="67">
        <v>8.5500000000000007</v>
      </c>
      <c r="N26" s="67">
        <v>7.89</v>
      </c>
      <c r="O26" s="67">
        <v>139.07</v>
      </c>
    </row>
    <row r="27" spans="1:15" ht="12" thickBot="1" x14ac:dyDescent="0.25">
      <c r="A27" s="215" t="s">
        <v>589</v>
      </c>
      <c r="B27" s="216"/>
      <c r="C27" s="119">
        <v>54.49</v>
      </c>
      <c r="D27" s="119">
        <v>54.75</v>
      </c>
      <c r="E27" s="119">
        <v>68.430000000000007</v>
      </c>
      <c r="F27" s="119">
        <v>62.68</v>
      </c>
      <c r="G27" s="119">
        <v>61.74</v>
      </c>
      <c r="H27" s="119">
        <v>62.09</v>
      </c>
      <c r="I27" s="119">
        <v>48.77</v>
      </c>
      <c r="J27" s="119">
        <v>35.020000000000003</v>
      </c>
      <c r="K27" s="119">
        <v>34.51</v>
      </c>
      <c r="L27" s="119">
        <v>39.15</v>
      </c>
      <c r="M27" s="119">
        <v>38.03</v>
      </c>
      <c r="N27" s="119">
        <v>37.619999999999997</v>
      </c>
      <c r="O27" s="119">
        <v>597.28</v>
      </c>
    </row>
    <row r="28" spans="1:15" ht="12" thickBot="1" x14ac:dyDescent="0.25">
      <c r="A28" s="98" t="s">
        <v>201</v>
      </c>
      <c r="B28" s="167" t="s">
        <v>31</v>
      </c>
      <c r="C28" s="67" t="s">
        <v>203</v>
      </c>
      <c r="D28" s="67" t="s">
        <v>203</v>
      </c>
      <c r="E28" s="67" t="s">
        <v>203</v>
      </c>
      <c r="F28" s="67" t="s">
        <v>203</v>
      </c>
      <c r="G28" s="67" t="s">
        <v>203</v>
      </c>
      <c r="H28" s="67" t="s">
        <v>203</v>
      </c>
      <c r="I28" s="67" t="s">
        <v>203</v>
      </c>
      <c r="J28" s="67" t="s">
        <v>203</v>
      </c>
      <c r="K28" s="67" t="s">
        <v>203</v>
      </c>
      <c r="L28" s="67" t="s">
        <v>203</v>
      </c>
      <c r="M28" s="67" t="s">
        <v>203</v>
      </c>
      <c r="N28" s="67" t="s">
        <v>203</v>
      </c>
      <c r="O28" s="67" t="s">
        <v>203</v>
      </c>
    </row>
    <row r="29" spans="1:15" ht="12" thickBot="1" x14ac:dyDescent="0.25">
      <c r="A29" s="98" t="s">
        <v>214</v>
      </c>
      <c r="B29" s="167" t="s">
        <v>85</v>
      </c>
      <c r="C29" s="67" t="s">
        <v>203</v>
      </c>
      <c r="D29" s="67" t="s">
        <v>203</v>
      </c>
      <c r="E29" s="67" t="s">
        <v>203</v>
      </c>
      <c r="F29" s="67" t="s">
        <v>203</v>
      </c>
      <c r="G29" s="67" t="s">
        <v>203</v>
      </c>
      <c r="H29" s="67" t="s">
        <v>203</v>
      </c>
      <c r="I29" s="67" t="s">
        <v>203</v>
      </c>
      <c r="J29" s="67" t="s">
        <v>203</v>
      </c>
      <c r="K29" s="67" t="s">
        <v>203</v>
      </c>
      <c r="L29" s="67" t="s">
        <v>203</v>
      </c>
      <c r="M29" s="67" t="s">
        <v>203</v>
      </c>
      <c r="N29" s="67" t="s">
        <v>203</v>
      </c>
      <c r="O29" s="67" t="s">
        <v>203</v>
      </c>
    </row>
    <row r="30" spans="1:15" ht="12" thickBot="1" x14ac:dyDescent="0.25">
      <c r="A30" s="215" t="s">
        <v>604</v>
      </c>
      <c r="B30" s="216"/>
      <c r="C30" s="119" t="s">
        <v>203</v>
      </c>
      <c r="D30" s="119" t="s">
        <v>203</v>
      </c>
      <c r="E30" s="119" t="s">
        <v>203</v>
      </c>
      <c r="F30" s="119" t="s">
        <v>203</v>
      </c>
      <c r="G30" s="119" t="s">
        <v>203</v>
      </c>
      <c r="H30" s="119" t="s">
        <v>203</v>
      </c>
      <c r="I30" s="119" t="s">
        <v>203</v>
      </c>
      <c r="J30" s="119" t="s">
        <v>203</v>
      </c>
      <c r="K30" s="119" t="s">
        <v>203</v>
      </c>
      <c r="L30" s="119" t="s">
        <v>203</v>
      </c>
      <c r="M30" s="119" t="s">
        <v>203</v>
      </c>
      <c r="N30" s="119" t="s">
        <v>203</v>
      </c>
      <c r="O30" s="119" t="s">
        <v>203</v>
      </c>
    </row>
    <row r="31" spans="1:15" ht="12" thickBot="1" x14ac:dyDescent="0.25">
      <c r="A31" s="259" t="s">
        <v>666</v>
      </c>
      <c r="B31" s="260"/>
      <c r="C31" s="194">
        <v>73.09</v>
      </c>
      <c r="D31" s="194">
        <v>74.569999999999993</v>
      </c>
      <c r="E31" s="194">
        <v>95.7</v>
      </c>
      <c r="F31" s="194">
        <v>83.63</v>
      </c>
      <c r="G31" s="194">
        <v>86.93</v>
      </c>
      <c r="H31" s="194">
        <v>89.22</v>
      </c>
      <c r="I31" s="194">
        <v>73.61</v>
      </c>
      <c r="J31" s="194">
        <v>58.89</v>
      </c>
      <c r="K31" s="194">
        <v>54.2</v>
      </c>
      <c r="L31" s="194">
        <v>60.32</v>
      </c>
      <c r="M31" s="194">
        <v>57.33</v>
      </c>
      <c r="N31" s="194">
        <v>53.9</v>
      </c>
      <c r="O31" s="194">
        <v>861.4</v>
      </c>
    </row>
    <row r="32" spans="1:15" ht="12" thickBot="1" x14ac:dyDescent="0.25">
      <c r="A32" s="372"/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</row>
    <row r="33" spans="1:15" ht="12" thickBot="1" x14ac:dyDescent="0.25">
      <c r="A33" s="250" t="s">
        <v>496</v>
      </c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</row>
    <row r="34" spans="1:15" ht="12" thickBot="1" x14ac:dyDescent="0.25">
      <c r="A34" s="98" t="s">
        <v>79</v>
      </c>
      <c r="B34" s="167" t="s">
        <v>219</v>
      </c>
      <c r="C34" s="67">
        <v>0.02</v>
      </c>
      <c r="D34" s="67">
        <v>0.02</v>
      </c>
      <c r="E34" s="67">
        <v>0.03</v>
      </c>
      <c r="F34" s="67">
        <v>0.02</v>
      </c>
      <c r="G34" s="67">
        <v>0.03</v>
      </c>
      <c r="H34" s="67">
        <v>0.03</v>
      </c>
      <c r="I34" s="67">
        <v>7.0000000000000007E-2</v>
      </c>
      <c r="J34" s="67">
        <v>7.0000000000000007E-2</v>
      </c>
      <c r="K34" s="67">
        <v>0.05</v>
      </c>
      <c r="L34" s="67">
        <v>0.06</v>
      </c>
      <c r="M34" s="67">
        <v>0.08</v>
      </c>
      <c r="N34" s="67">
        <v>0.05</v>
      </c>
      <c r="O34" s="67">
        <v>0.52</v>
      </c>
    </row>
    <row r="35" spans="1:15" ht="12" thickBot="1" x14ac:dyDescent="0.25">
      <c r="A35" s="98" t="s">
        <v>264</v>
      </c>
      <c r="B35" s="167" t="s">
        <v>35</v>
      </c>
      <c r="C35" s="67">
        <v>0.03</v>
      </c>
      <c r="D35" s="67">
        <v>0.03</v>
      </c>
      <c r="E35" s="67">
        <v>0.03</v>
      </c>
      <c r="F35" s="67">
        <v>0.09</v>
      </c>
      <c r="G35" s="67">
        <v>0.11</v>
      </c>
      <c r="H35" s="67">
        <v>0.09</v>
      </c>
      <c r="I35" s="67">
        <v>0.12</v>
      </c>
      <c r="J35" s="67">
        <v>0.13</v>
      </c>
      <c r="K35" s="67">
        <v>7.0000000000000007E-2</v>
      </c>
      <c r="L35" s="67">
        <v>0.09</v>
      </c>
      <c r="M35" s="67">
        <v>0.09</v>
      </c>
      <c r="N35" s="67">
        <v>0.09</v>
      </c>
      <c r="O35" s="67">
        <v>0.96</v>
      </c>
    </row>
    <row r="36" spans="1:15" ht="12" thickBot="1" x14ac:dyDescent="0.25">
      <c r="A36" s="98" t="s">
        <v>19</v>
      </c>
      <c r="B36" s="167" t="s">
        <v>37</v>
      </c>
      <c r="C36" s="67">
        <v>0.3</v>
      </c>
      <c r="D36" s="67">
        <v>0.25</v>
      </c>
      <c r="E36" s="67">
        <v>0.28000000000000003</v>
      </c>
      <c r="F36" s="67">
        <v>0.28000000000000003</v>
      </c>
      <c r="G36" s="67">
        <v>0.31</v>
      </c>
      <c r="H36" s="67">
        <v>0.3</v>
      </c>
      <c r="I36" s="67">
        <v>0.31</v>
      </c>
      <c r="J36" s="67">
        <v>0.32</v>
      </c>
      <c r="K36" s="67">
        <v>0.32</v>
      </c>
      <c r="L36" s="67">
        <v>0.32</v>
      </c>
      <c r="M36" s="67">
        <v>0.3</v>
      </c>
      <c r="N36" s="67">
        <v>0.32</v>
      </c>
      <c r="O36" s="67">
        <v>3.61</v>
      </c>
    </row>
    <row r="37" spans="1:15" ht="12" thickBot="1" x14ac:dyDescent="0.25">
      <c r="A37" s="98" t="s">
        <v>265</v>
      </c>
      <c r="B37" s="167" t="s">
        <v>266</v>
      </c>
      <c r="C37" s="67">
        <v>0.05</v>
      </c>
      <c r="D37" s="67">
        <v>0.05</v>
      </c>
      <c r="E37" s="67">
        <v>0.06</v>
      </c>
      <c r="F37" s="67">
        <v>0.06</v>
      </c>
      <c r="G37" s="67">
        <v>0.06</v>
      </c>
      <c r="H37" s="67">
        <v>0.06</v>
      </c>
      <c r="I37" s="67">
        <v>0.05</v>
      </c>
      <c r="J37" s="67">
        <v>0.06</v>
      </c>
      <c r="K37" s="67">
        <v>0.06</v>
      </c>
      <c r="L37" s="67">
        <v>0.06</v>
      </c>
      <c r="M37" s="67">
        <v>0.05</v>
      </c>
      <c r="N37" s="67">
        <v>0.06</v>
      </c>
      <c r="O37" s="67">
        <v>0.67</v>
      </c>
    </row>
    <row r="38" spans="1:15" ht="12" thickBot="1" x14ac:dyDescent="0.25">
      <c r="A38" s="98" t="s">
        <v>179</v>
      </c>
      <c r="B38" s="167" t="s">
        <v>77</v>
      </c>
      <c r="C38" s="67">
        <v>0.01</v>
      </c>
      <c r="D38" s="67">
        <v>0.02</v>
      </c>
      <c r="E38" s="67">
        <v>0.02</v>
      </c>
      <c r="F38" s="67">
        <v>0.02</v>
      </c>
      <c r="G38" s="67">
        <v>0.04</v>
      </c>
      <c r="H38" s="67">
        <v>0.03</v>
      </c>
      <c r="I38" s="67">
        <v>0.02</v>
      </c>
      <c r="J38" s="67">
        <v>0.02</v>
      </c>
      <c r="K38" s="67">
        <v>0.01</v>
      </c>
      <c r="L38" s="67">
        <v>0.02</v>
      </c>
      <c r="M38" s="67">
        <v>0.03</v>
      </c>
      <c r="N38" s="67">
        <v>0.03</v>
      </c>
      <c r="O38" s="67">
        <v>0.28000000000000003</v>
      </c>
    </row>
    <row r="39" spans="1:15" ht="12" thickBot="1" x14ac:dyDescent="0.25">
      <c r="A39" s="98" t="s">
        <v>38</v>
      </c>
      <c r="B39" s="167" t="s">
        <v>6</v>
      </c>
      <c r="C39" s="67">
        <v>0.27</v>
      </c>
      <c r="D39" s="67">
        <v>0.27</v>
      </c>
      <c r="E39" s="67">
        <v>0.3</v>
      </c>
      <c r="F39" s="67">
        <v>0.28999999999999998</v>
      </c>
      <c r="G39" s="67">
        <v>0.27</v>
      </c>
      <c r="H39" s="67">
        <v>0.3</v>
      </c>
      <c r="I39" s="67">
        <v>0.27</v>
      </c>
      <c r="J39" s="67">
        <v>0.33</v>
      </c>
      <c r="K39" s="67">
        <v>0.34</v>
      </c>
      <c r="L39" s="67">
        <v>0.39</v>
      </c>
      <c r="M39" s="67">
        <v>0.39</v>
      </c>
      <c r="N39" s="67">
        <v>0.55000000000000004</v>
      </c>
      <c r="O39" s="67">
        <v>3.97</v>
      </c>
    </row>
    <row r="40" spans="1:15" ht="12" thickBot="1" x14ac:dyDescent="0.25">
      <c r="A40" s="215" t="s">
        <v>665</v>
      </c>
      <c r="B40" s="216"/>
      <c r="C40" s="119">
        <v>0.54</v>
      </c>
      <c r="D40" s="119">
        <v>0.69</v>
      </c>
      <c r="E40" s="119">
        <v>0.63</v>
      </c>
      <c r="F40" s="119">
        <v>0.72</v>
      </c>
      <c r="G40" s="119">
        <v>0.75</v>
      </c>
      <c r="H40" s="119">
        <v>0.81</v>
      </c>
      <c r="I40" s="119">
        <v>0.81</v>
      </c>
      <c r="J40" s="119">
        <v>0.85</v>
      </c>
      <c r="K40" s="119">
        <v>0.92</v>
      </c>
      <c r="L40" s="119">
        <v>0.85</v>
      </c>
      <c r="M40" s="119">
        <v>0.93</v>
      </c>
      <c r="N40" s="119">
        <v>0.95</v>
      </c>
      <c r="O40" s="119">
        <v>1.1100000000000001</v>
      </c>
    </row>
    <row r="41" spans="1:15" ht="12" thickBot="1" x14ac:dyDescent="0.25">
      <c r="A41" s="98" t="s">
        <v>220</v>
      </c>
      <c r="B41" s="167" t="s">
        <v>84</v>
      </c>
      <c r="C41" s="67">
        <v>0</v>
      </c>
      <c r="D41" s="67">
        <v>0.16</v>
      </c>
      <c r="E41" s="67">
        <v>0.22</v>
      </c>
      <c r="F41" s="67">
        <v>0.25</v>
      </c>
      <c r="G41" s="67">
        <v>0.21</v>
      </c>
      <c r="H41" s="67">
        <v>0.72</v>
      </c>
      <c r="I41" s="67">
        <v>0.84</v>
      </c>
      <c r="J41" s="67">
        <v>0.66</v>
      </c>
      <c r="K41" s="67">
        <v>0.96</v>
      </c>
      <c r="L41" s="67">
        <v>0.2</v>
      </c>
      <c r="M41" s="67">
        <v>1.1499999999999999</v>
      </c>
      <c r="N41" s="67">
        <v>0.84</v>
      </c>
      <c r="O41" s="67">
        <v>6.19</v>
      </c>
    </row>
    <row r="42" spans="1:15" ht="12" thickBot="1" x14ac:dyDescent="0.25">
      <c r="A42" s="98" t="s">
        <v>22</v>
      </c>
      <c r="B42" s="167">
        <v>88</v>
      </c>
      <c r="C42" s="67">
        <v>16.809999999999999</v>
      </c>
      <c r="D42" s="67">
        <v>15.56</v>
      </c>
      <c r="E42" s="67">
        <v>16.57</v>
      </c>
      <c r="F42" s="67">
        <v>15.71</v>
      </c>
      <c r="G42" s="67">
        <v>20.010000000000002</v>
      </c>
      <c r="H42" s="67">
        <v>21.6</v>
      </c>
      <c r="I42" s="67">
        <v>22.47</v>
      </c>
      <c r="J42" s="67">
        <v>22.93</v>
      </c>
      <c r="K42" s="67">
        <v>22.63</v>
      </c>
      <c r="L42" s="67">
        <v>23.42</v>
      </c>
      <c r="M42" s="67">
        <v>23.44</v>
      </c>
      <c r="N42" s="67">
        <v>23.58</v>
      </c>
      <c r="O42" s="67">
        <v>244.74</v>
      </c>
    </row>
    <row r="43" spans="1:15" ht="12" thickBot="1" x14ac:dyDescent="0.25">
      <c r="A43" s="98" t="s">
        <v>22</v>
      </c>
      <c r="B43" s="167" t="s">
        <v>268</v>
      </c>
      <c r="C43" s="67">
        <v>9.89</v>
      </c>
      <c r="D43" s="67">
        <v>9</v>
      </c>
      <c r="E43" s="67">
        <v>14.97</v>
      </c>
      <c r="F43" s="67">
        <v>8.25</v>
      </c>
      <c r="G43" s="67">
        <v>4.9800000000000004</v>
      </c>
      <c r="H43" s="67">
        <v>7.05</v>
      </c>
      <c r="I43" s="67">
        <v>6.28</v>
      </c>
      <c r="J43" s="67">
        <v>7.02</v>
      </c>
      <c r="K43" s="67">
        <v>7.8</v>
      </c>
      <c r="L43" s="67">
        <v>2.14</v>
      </c>
      <c r="M43" s="67">
        <v>4.74</v>
      </c>
      <c r="N43" s="67">
        <v>9.5</v>
      </c>
      <c r="O43" s="67">
        <v>91.6</v>
      </c>
    </row>
    <row r="44" spans="1:15" ht="12" thickBot="1" x14ac:dyDescent="0.25">
      <c r="A44" s="98" t="s">
        <v>22</v>
      </c>
      <c r="B44" s="167" t="s">
        <v>269</v>
      </c>
      <c r="C44" s="67">
        <v>7.0000000000000007E-2</v>
      </c>
      <c r="D44" s="67">
        <v>0.06</v>
      </c>
      <c r="E44" s="67">
        <v>0.06</v>
      </c>
      <c r="F44" s="67">
        <v>0.06</v>
      </c>
      <c r="G44" s="67">
        <v>7.0000000000000007E-2</v>
      </c>
      <c r="H44" s="67">
        <v>0.05</v>
      </c>
      <c r="I44" s="67">
        <v>0.01</v>
      </c>
      <c r="J44" s="67">
        <v>0.02</v>
      </c>
      <c r="K44" s="67">
        <v>0.03</v>
      </c>
      <c r="L44" s="67">
        <v>0.06</v>
      </c>
      <c r="M44" s="67">
        <v>0.06</v>
      </c>
      <c r="N44" s="67">
        <v>0.04</v>
      </c>
      <c r="O44" s="67">
        <v>0.61</v>
      </c>
    </row>
    <row r="45" spans="1:15" ht="12" thickBot="1" x14ac:dyDescent="0.25">
      <c r="A45" s="98" t="s">
        <v>23</v>
      </c>
      <c r="B45" s="167">
        <v>57</v>
      </c>
      <c r="C45" s="67">
        <v>9.25</v>
      </c>
      <c r="D45" s="67">
        <v>8.1999999999999993</v>
      </c>
      <c r="E45" s="67">
        <v>13.04</v>
      </c>
      <c r="F45" s="67">
        <v>7.45</v>
      </c>
      <c r="G45" s="67">
        <v>5.8</v>
      </c>
      <c r="H45" s="67">
        <v>4.84</v>
      </c>
      <c r="I45" s="67">
        <v>1.57</v>
      </c>
      <c r="J45" s="67">
        <v>3.94</v>
      </c>
      <c r="K45" s="67">
        <v>4.1100000000000003</v>
      </c>
      <c r="L45" s="67">
        <v>1.73</v>
      </c>
      <c r="M45" s="67">
        <v>4.62</v>
      </c>
      <c r="N45" s="67">
        <v>7.55</v>
      </c>
      <c r="O45" s="67">
        <v>72.11</v>
      </c>
    </row>
    <row r="46" spans="1:15" ht="12" thickBot="1" x14ac:dyDescent="0.25">
      <c r="A46" s="98" t="s">
        <v>22</v>
      </c>
      <c r="B46" s="167">
        <v>56</v>
      </c>
      <c r="C46" s="67">
        <v>0.44</v>
      </c>
      <c r="D46" s="67">
        <v>0.39</v>
      </c>
      <c r="E46" s="67">
        <v>0.4</v>
      </c>
      <c r="F46" s="67">
        <v>0.43</v>
      </c>
      <c r="G46" s="67">
        <v>0.41</v>
      </c>
      <c r="H46" s="67">
        <v>0.37</v>
      </c>
      <c r="I46" s="67">
        <v>0.06</v>
      </c>
      <c r="J46" s="67">
        <v>0.13</v>
      </c>
      <c r="K46" s="67">
        <v>0.21</v>
      </c>
      <c r="L46" s="67">
        <v>0.38</v>
      </c>
      <c r="M46" s="67">
        <v>0.41</v>
      </c>
      <c r="N46" s="67" t="s">
        <v>491</v>
      </c>
      <c r="O46" s="67">
        <v>3.63</v>
      </c>
    </row>
    <row r="47" spans="1:15" ht="12" thickBot="1" x14ac:dyDescent="0.25">
      <c r="A47" s="98" t="s">
        <v>22</v>
      </c>
      <c r="B47" s="167" t="s">
        <v>221</v>
      </c>
      <c r="C47" s="67">
        <v>72.25</v>
      </c>
      <c r="D47" s="67">
        <v>65.37</v>
      </c>
      <c r="E47" s="67">
        <v>103.16</v>
      </c>
      <c r="F47" s="67">
        <v>59.83</v>
      </c>
      <c r="G47" s="67">
        <v>32.450000000000003</v>
      </c>
      <c r="H47" s="67">
        <v>48.82</v>
      </c>
      <c r="I47" s="67">
        <v>8.5</v>
      </c>
      <c r="J47" s="67">
        <v>25.81</v>
      </c>
      <c r="K47" s="67">
        <v>35.68</v>
      </c>
      <c r="L47" s="67">
        <v>12.54</v>
      </c>
      <c r="M47" s="67">
        <v>33.369999999999997</v>
      </c>
      <c r="N47" s="67">
        <v>55.02</v>
      </c>
      <c r="O47" s="67">
        <v>552.79</v>
      </c>
    </row>
    <row r="48" spans="1:15" ht="12" thickBot="1" x14ac:dyDescent="0.25">
      <c r="A48" s="215" t="s">
        <v>589</v>
      </c>
      <c r="B48" s="216"/>
      <c r="C48" s="119">
        <v>108.7</v>
      </c>
      <c r="D48" s="119">
        <v>98.74</v>
      </c>
      <c r="E48" s="119">
        <v>148.41999999999999</v>
      </c>
      <c r="F48" s="119">
        <v>91.98</v>
      </c>
      <c r="G48" s="119">
        <v>63.93</v>
      </c>
      <c r="H48" s="119">
        <v>83.44</v>
      </c>
      <c r="I48" s="119">
        <v>39.729999999999997</v>
      </c>
      <c r="J48" s="119">
        <v>60.51</v>
      </c>
      <c r="K48" s="119">
        <v>71.42</v>
      </c>
      <c r="L48" s="119">
        <v>40.47</v>
      </c>
      <c r="M48" s="119">
        <v>67.8</v>
      </c>
      <c r="N48" s="119">
        <v>96.53</v>
      </c>
      <c r="O48" s="119">
        <v>971.66</v>
      </c>
    </row>
    <row r="49" spans="1:15" ht="12" thickBot="1" x14ac:dyDescent="0.25">
      <c r="A49" s="259" t="s">
        <v>667</v>
      </c>
      <c r="B49" s="260"/>
      <c r="C49" s="194">
        <v>109.38</v>
      </c>
      <c r="D49" s="194">
        <v>99.37</v>
      </c>
      <c r="E49" s="194">
        <v>149.13999999999999</v>
      </c>
      <c r="F49" s="194">
        <v>92.73</v>
      </c>
      <c r="G49" s="194">
        <v>64.75</v>
      </c>
      <c r="H49" s="194">
        <v>84.25</v>
      </c>
      <c r="I49" s="194">
        <v>40.58</v>
      </c>
      <c r="J49" s="194">
        <v>61.43</v>
      </c>
      <c r="K49" s="194">
        <v>72.27</v>
      </c>
      <c r="L49" s="194">
        <v>41.4</v>
      </c>
      <c r="M49" s="194">
        <v>68.75</v>
      </c>
      <c r="N49" s="194">
        <v>97.64</v>
      </c>
      <c r="O49" s="194">
        <v>981.68</v>
      </c>
    </row>
    <row r="50" spans="1:15" ht="12" thickBot="1" x14ac:dyDescent="0.25">
      <c r="A50" s="257"/>
      <c r="B50" s="258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</row>
    <row r="51" spans="1:15" ht="12" thickBot="1" x14ac:dyDescent="0.25">
      <c r="A51" s="224" t="s">
        <v>668</v>
      </c>
      <c r="B51" s="225"/>
      <c r="C51" s="93">
        <v>182.48</v>
      </c>
      <c r="D51" s="93">
        <v>173.94</v>
      </c>
      <c r="E51" s="93">
        <v>244.83</v>
      </c>
      <c r="F51" s="93">
        <v>176.36</v>
      </c>
      <c r="G51" s="93">
        <v>151.68</v>
      </c>
      <c r="H51" s="93">
        <v>173.47</v>
      </c>
      <c r="I51" s="93">
        <v>114.19</v>
      </c>
      <c r="J51" s="93">
        <v>120.32</v>
      </c>
      <c r="K51" s="93">
        <v>126.47</v>
      </c>
      <c r="L51" s="93">
        <v>101.72</v>
      </c>
      <c r="M51" s="93">
        <v>126.08</v>
      </c>
      <c r="N51" s="93">
        <v>151.54</v>
      </c>
      <c r="O51" s="112">
        <v>1843.08</v>
      </c>
    </row>
    <row r="52" spans="1:15" x14ac:dyDescent="0.2">
      <c r="A52" s="372"/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</row>
  </sheetData>
  <mergeCells count="13">
    <mergeCell ref="A2:N2"/>
    <mergeCell ref="A51:B51"/>
    <mergeCell ref="A30:B30"/>
    <mergeCell ref="A27:B27"/>
    <mergeCell ref="A18:B18"/>
    <mergeCell ref="A31:B31"/>
    <mergeCell ref="A49:B49"/>
    <mergeCell ref="A50:B50"/>
    <mergeCell ref="A5:O5"/>
    <mergeCell ref="A7:O7"/>
    <mergeCell ref="A33:O33"/>
    <mergeCell ref="A40:B40"/>
    <mergeCell ref="A48:B48"/>
  </mergeCells>
  <pageMargins left="0.7" right="0.7" top="0.75" bottom="0.75" header="0.3" footer="0.3"/>
  <pageSetup scale="62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499984740745262"/>
  </sheetPr>
  <dimension ref="A2:K33"/>
  <sheetViews>
    <sheetView showGridLines="0" workbookViewId="0">
      <pane ySplit="3" topLeftCell="A4" activePane="bottomLeft" state="frozen"/>
      <selection pane="bottomLeft" activeCell="K16" sqref="K16"/>
    </sheetView>
  </sheetViews>
  <sheetFormatPr baseColWidth="10" defaultRowHeight="15" x14ac:dyDescent="0.25"/>
  <cols>
    <col min="1" max="1" width="14.42578125" bestFit="1" customWidth="1"/>
  </cols>
  <sheetData>
    <row r="2" spans="1:11" x14ac:dyDescent="0.25">
      <c r="A2" s="316" t="s">
        <v>669</v>
      </c>
      <c r="B2" s="316"/>
      <c r="C2" s="316"/>
      <c r="D2" s="316"/>
      <c r="E2" s="316"/>
      <c r="F2" s="316"/>
      <c r="G2" s="316"/>
      <c r="H2" s="316"/>
      <c r="I2" s="316"/>
      <c r="J2" s="316"/>
      <c r="K2" s="315"/>
    </row>
    <row r="3" spans="1:11" ht="15.75" thickBot="1" x14ac:dyDescent="0.3">
      <c r="A3" s="332"/>
      <c r="B3" s="332"/>
      <c r="C3" s="332"/>
      <c r="D3" s="332"/>
      <c r="E3" s="332"/>
      <c r="F3" s="332"/>
      <c r="G3" s="332"/>
      <c r="H3" s="332"/>
      <c r="I3" s="332"/>
      <c r="J3" s="332"/>
      <c r="K3" s="315"/>
    </row>
    <row r="4" spans="1:11" ht="15.75" thickBot="1" x14ac:dyDescent="0.3">
      <c r="A4" s="217" t="s">
        <v>670</v>
      </c>
      <c r="B4" s="218"/>
      <c r="C4" s="218"/>
      <c r="D4" s="218"/>
      <c r="E4" s="218"/>
      <c r="F4" s="218"/>
      <c r="G4" s="218"/>
      <c r="H4" s="218"/>
      <c r="I4" s="218"/>
      <c r="J4" s="218"/>
      <c r="K4" s="219"/>
    </row>
    <row r="5" spans="1:11" ht="16.5" thickBot="1" x14ac:dyDescent="0.3">
      <c r="A5" s="95" t="s">
        <v>303</v>
      </c>
      <c r="B5" s="91">
        <v>2013</v>
      </c>
      <c r="C5" s="91">
        <v>2014</v>
      </c>
      <c r="D5" s="91">
        <v>2015</v>
      </c>
      <c r="E5" s="91">
        <v>2016</v>
      </c>
      <c r="F5" s="91">
        <v>2017</v>
      </c>
      <c r="G5" s="91">
        <v>2018</v>
      </c>
      <c r="H5" s="91">
        <v>2019</v>
      </c>
      <c r="I5" s="91">
        <v>2020</v>
      </c>
      <c r="J5" s="91">
        <v>2021</v>
      </c>
      <c r="K5" s="319"/>
    </row>
    <row r="6" spans="1:11" ht="16.5" thickBot="1" x14ac:dyDescent="0.3">
      <c r="A6" s="105" t="s">
        <v>266</v>
      </c>
      <c r="B6" s="66">
        <v>0</v>
      </c>
      <c r="C6" s="66">
        <v>0</v>
      </c>
      <c r="D6" s="66">
        <v>0</v>
      </c>
      <c r="E6" s="66">
        <v>0</v>
      </c>
      <c r="F6" s="66">
        <v>0</v>
      </c>
      <c r="G6" s="66">
        <v>0</v>
      </c>
      <c r="H6" s="66">
        <v>0</v>
      </c>
      <c r="I6" s="66">
        <v>0</v>
      </c>
      <c r="J6" s="66">
        <v>3.86</v>
      </c>
      <c r="K6" s="319"/>
    </row>
    <row r="7" spans="1:11" ht="16.5" thickBot="1" x14ac:dyDescent="0.3">
      <c r="A7" s="105" t="s">
        <v>304</v>
      </c>
      <c r="B7" s="66">
        <v>7.46</v>
      </c>
      <c r="C7" s="66">
        <v>3.59</v>
      </c>
      <c r="D7" s="66">
        <v>2.62</v>
      </c>
      <c r="E7" s="66">
        <v>3.13</v>
      </c>
      <c r="F7" s="66">
        <v>4.2300000000000004</v>
      </c>
      <c r="G7" s="66">
        <v>3.88</v>
      </c>
      <c r="H7" s="66">
        <v>2.72</v>
      </c>
      <c r="I7" s="66">
        <v>4.3600000000000003</v>
      </c>
      <c r="J7" s="66">
        <v>6.49</v>
      </c>
      <c r="K7" s="319"/>
    </row>
    <row r="8" spans="1:11" ht="16.5" thickBot="1" x14ac:dyDescent="0.3">
      <c r="A8" s="105" t="s">
        <v>305</v>
      </c>
      <c r="B8" s="66">
        <v>27.33</v>
      </c>
      <c r="C8" s="66">
        <v>8.9700000000000006</v>
      </c>
      <c r="D8" s="66">
        <v>4.43</v>
      </c>
      <c r="E8" s="66">
        <v>5.18</v>
      </c>
      <c r="F8" s="66">
        <v>8.49</v>
      </c>
      <c r="G8" s="66">
        <v>6.83</v>
      </c>
      <c r="H8" s="66">
        <v>3.24</v>
      </c>
      <c r="I8" s="66">
        <v>5.72</v>
      </c>
      <c r="J8" s="66">
        <v>10.01</v>
      </c>
      <c r="K8" s="319"/>
    </row>
    <row r="9" spans="1:11" ht="16.5" thickBot="1" x14ac:dyDescent="0.3">
      <c r="A9" s="105" t="s">
        <v>306</v>
      </c>
      <c r="B9" s="66">
        <v>11.59</v>
      </c>
      <c r="C9" s="66">
        <v>4.47</v>
      </c>
      <c r="D9" s="66">
        <v>2.99</v>
      </c>
      <c r="E9" s="66">
        <v>9.81</v>
      </c>
      <c r="F9" s="66">
        <v>23.27</v>
      </c>
      <c r="G9" s="66">
        <v>24.38</v>
      </c>
      <c r="H9" s="66">
        <v>10.210000000000001</v>
      </c>
      <c r="I9" s="66">
        <v>21.64</v>
      </c>
      <c r="J9" s="66">
        <v>40.020000000000003</v>
      </c>
      <c r="K9" s="319"/>
    </row>
    <row r="10" spans="1:11" ht="16.5" thickBot="1" x14ac:dyDescent="0.3">
      <c r="A10" s="105" t="s">
        <v>671</v>
      </c>
      <c r="B10" s="66" t="s">
        <v>203</v>
      </c>
      <c r="C10" s="66">
        <v>0.39</v>
      </c>
      <c r="D10" s="66">
        <v>0.75</v>
      </c>
      <c r="E10" s="66">
        <v>1.04</v>
      </c>
      <c r="F10" s="66">
        <v>1.7</v>
      </c>
      <c r="G10" s="66">
        <v>1.38</v>
      </c>
      <c r="H10" s="66">
        <v>0.63</v>
      </c>
      <c r="I10" s="66">
        <v>1.48</v>
      </c>
      <c r="J10" s="66">
        <v>2.27</v>
      </c>
      <c r="K10" s="319"/>
    </row>
    <row r="11" spans="1:11" ht="16.5" thickBot="1" x14ac:dyDescent="0.3">
      <c r="A11" s="105" t="s">
        <v>307</v>
      </c>
      <c r="B11" s="66">
        <v>15.58</v>
      </c>
      <c r="C11" s="66">
        <v>10.75</v>
      </c>
      <c r="D11" s="66">
        <v>11.99</v>
      </c>
      <c r="E11" s="66">
        <v>16.059999999999999</v>
      </c>
      <c r="F11" s="66">
        <v>28.36</v>
      </c>
      <c r="G11" s="66">
        <v>24.79</v>
      </c>
      <c r="H11" s="66">
        <v>12.49</v>
      </c>
      <c r="I11" s="66">
        <v>28.34</v>
      </c>
      <c r="J11" s="66">
        <v>41.89</v>
      </c>
      <c r="K11" s="319"/>
    </row>
    <row r="12" spans="1:11" ht="16.5" thickBot="1" x14ac:dyDescent="0.3">
      <c r="A12" s="105" t="s">
        <v>308</v>
      </c>
      <c r="B12" s="66">
        <v>150.37</v>
      </c>
      <c r="C12" s="66">
        <v>48.75</v>
      </c>
      <c r="D12" s="66">
        <v>35.72</v>
      </c>
      <c r="E12" s="66">
        <v>54.47</v>
      </c>
      <c r="F12" s="66">
        <v>102.65</v>
      </c>
      <c r="G12" s="66">
        <v>86.6</v>
      </c>
      <c r="H12" s="66">
        <v>36.200000000000003</v>
      </c>
      <c r="I12" s="66">
        <v>80.709999999999994</v>
      </c>
      <c r="J12" s="66">
        <v>146.77000000000001</v>
      </c>
      <c r="K12" s="319"/>
    </row>
    <row r="13" spans="1:11" ht="16.5" thickBot="1" x14ac:dyDescent="0.3">
      <c r="A13" s="105" t="s">
        <v>309</v>
      </c>
      <c r="B13" s="66">
        <v>74.45</v>
      </c>
      <c r="C13" s="66">
        <v>26.82</v>
      </c>
      <c r="D13" s="66">
        <v>20.23</v>
      </c>
      <c r="E13" s="66">
        <v>18.82</v>
      </c>
      <c r="F13" s="66">
        <v>18.47</v>
      </c>
      <c r="G13" s="66">
        <v>18.170000000000002</v>
      </c>
      <c r="H13" s="66">
        <v>8.5299999999999994</v>
      </c>
      <c r="I13" s="66">
        <v>10.69</v>
      </c>
      <c r="J13" s="66">
        <v>22.37</v>
      </c>
      <c r="K13" s="319"/>
    </row>
    <row r="14" spans="1:11" ht="16.5" thickBot="1" x14ac:dyDescent="0.3">
      <c r="A14" s="105" t="s">
        <v>310</v>
      </c>
      <c r="B14" s="66" t="s">
        <v>203</v>
      </c>
      <c r="C14" s="66" t="s">
        <v>203</v>
      </c>
      <c r="D14" s="66" t="s">
        <v>203</v>
      </c>
      <c r="E14" s="66" t="s">
        <v>203</v>
      </c>
      <c r="F14" s="66" t="s">
        <v>203</v>
      </c>
      <c r="G14" s="66" t="s">
        <v>203</v>
      </c>
      <c r="H14" s="66" t="s">
        <v>203</v>
      </c>
      <c r="I14" s="66" t="s">
        <v>203</v>
      </c>
      <c r="J14" s="66" t="s">
        <v>491</v>
      </c>
      <c r="K14" s="319"/>
    </row>
    <row r="15" spans="1:11" ht="16.5" thickBot="1" x14ac:dyDescent="0.3">
      <c r="A15" s="105" t="s">
        <v>312</v>
      </c>
      <c r="B15" s="66">
        <v>0.97</v>
      </c>
      <c r="C15" s="66">
        <v>0.45</v>
      </c>
      <c r="D15" s="66">
        <v>0.3</v>
      </c>
      <c r="E15" s="66">
        <v>0.31</v>
      </c>
      <c r="F15" s="66">
        <v>0.36</v>
      </c>
      <c r="G15" s="66">
        <v>0.33</v>
      </c>
      <c r="H15" s="66">
        <v>0.2</v>
      </c>
      <c r="I15" s="66">
        <v>0.28999999999999998</v>
      </c>
      <c r="J15" s="66">
        <v>0.39</v>
      </c>
      <c r="K15" s="319"/>
    </row>
    <row r="16" spans="1:11" ht="16.5" thickBot="1" x14ac:dyDescent="0.3">
      <c r="A16" s="105" t="s">
        <v>313</v>
      </c>
      <c r="B16" s="66">
        <v>0.18</v>
      </c>
      <c r="C16" s="66">
        <v>0.06</v>
      </c>
      <c r="D16" s="66">
        <v>0.04</v>
      </c>
      <c r="E16" s="66">
        <v>0.04</v>
      </c>
      <c r="F16" s="66">
        <v>0.11</v>
      </c>
      <c r="G16" s="66">
        <v>7.0000000000000007E-2</v>
      </c>
      <c r="H16" s="66">
        <v>0.03</v>
      </c>
      <c r="I16" s="66">
        <v>0.06</v>
      </c>
      <c r="J16" s="66">
        <v>0.08</v>
      </c>
      <c r="K16" s="319"/>
    </row>
    <row r="17" spans="1:11" ht="16.5" thickBot="1" x14ac:dyDescent="0.3">
      <c r="A17" s="105">
        <v>131</v>
      </c>
      <c r="B17" s="66">
        <v>4.5599999999999996</v>
      </c>
      <c r="C17" s="66">
        <v>11.88</v>
      </c>
      <c r="D17" s="66">
        <v>8.1</v>
      </c>
      <c r="E17" s="66">
        <v>12.65</v>
      </c>
      <c r="F17" s="66">
        <v>15.39</v>
      </c>
      <c r="G17" s="66">
        <v>13.73</v>
      </c>
      <c r="H17" s="66">
        <v>5.31</v>
      </c>
      <c r="I17" s="66">
        <v>7.44</v>
      </c>
      <c r="J17" s="66">
        <v>9.5500000000000007</v>
      </c>
      <c r="K17" s="319"/>
    </row>
    <row r="18" spans="1:11" ht="16.5" thickBot="1" x14ac:dyDescent="0.3">
      <c r="A18" s="105" t="s">
        <v>314</v>
      </c>
      <c r="B18" s="66">
        <v>4.38</v>
      </c>
      <c r="C18" s="66">
        <v>1.93</v>
      </c>
      <c r="D18" s="66">
        <v>0.47</v>
      </c>
      <c r="E18" s="66">
        <v>0.51</v>
      </c>
      <c r="F18" s="66">
        <v>0.18</v>
      </c>
      <c r="G18" s="66" t="s">
        <v>203</v>
      </c>
      <c r="H18" s="66" t="s">
        <v>203</v>
      </c>
      <c r="I18" s="66" t="s">
        <v>203</v>
      </c>
      <c r="J18" s="66" t="s">
        <v>491</v>
      </c>
      <c r="K18" s="319"/>
    </row>
    <row r="19" spans="1:11" ht="16.5" thickBot="1" x14ac:dyDescent="0.3">
      <c r="A19" s="105" t="s">
        <v>315</v>
      </c>
      <c r="B19" s="66">
        <v>44.02</v>
      </c>
      <c r="C19" s="66">
        <v>25.76</v>
      </c>
      <c r="D19" s="66">
        <v>16.16</v>
      </c>
      <c r="E19" s="66">
        <v>9.06</v>
      </c>
      <c r="F19" s="66">
        <v>15.76</v>
      </c>
      <c r="G19" s="66">
        <v>11.68</v>
      </c>
      <c r="H19" s="66">
        <v>3.4</v>
      </c>
      <c r="I19" s="66">
        <v>5.55</v>
      </c>
      <c r="J19" s="66">
        <v>9.0399999999999991</v>
      </c>
      <c r="K19" s="319"/>
    </row>
    <row r="20" spans="1:11" ht="16.5" thickBot="1" x14ac:dyDescent="0.3">
      <c r="A20" s="105" t="s">
        <v>316</v>
      </c>
      <c r="B20" s="66">
        <v>0.42</v>
      </c>
      <c r="C20" s="66">
        <v>0.18</v>
      </c>
      <c r="D20" s="66">
        <v>0.08</v>
      </c>
      <c r="E20" s="66">
        <v>7.0000000000000007E-2</v>
      </c>
      <c r="F20" s="66">
        <v>0.02</v>
      </c>
      <c r="G20" s="66" t="s">
        <v>203</v>
      </c>
      <c r="H20" s="66" t="s">
        <v>203</v>
      </c>
      <c r="I20" s="66" t="s">
        <v>203</v>
      </c>
      <c r="J20" s="66" t="s">
        <v>491</v>
      </c>
      <c r="K20" s="319"/>
    </row>
    <row r="21" spans="1:11" ht="16.5" thickBot="1" x14ac:dyDescent="0.3">
      <c r="A21" s="105">
        <v>102</v>
      </c>
      <c r="B21" s="66" t="s">
        <v>203</v>
      </c>
      <c r="C21" s="66" t="s">
        <v>203</v>
      </c>
      <c r="D21" s="66" t="s">
        <v>203</v>
      </c>
      <c r="E21" s="66" t="s">
        <v>203</v>
      </c>
      <c r="F21" s="66" t="s">
        <v>203</v>
      </c>
      <c r="G21" s="66" t="s">
        <v>203</v>
      </c>
      <c r="H21" s="66" t="s">
        <v>203</v>
      </c>
      <c r="I21" s="66" t="s">
        <v>203</v>
      </c>
      <c r="J21" s="66" t="s">
        <v>491</v>
      </c>
      <c r="K21" s="319"/>
    </row>
    <row r="22" spans="1:11" ht="16.5" thickBot="1" x14ac:dyDescent="0.3">
      <c r="A22" s="105" t="s">
        <v>317</v>
      </c>
      <c r="B22" s="66">
        <v>116.51</v>
      </c>
      <c r="C22" s="66">
        <v>30.4</v>
      </c>
      <c r="D22" s="66" t="s">
        <v>203</v>
      </c>
      <c r="E22" s="66" t="s">
        <v>203</v>
      </c>
      <c r="F22" s="66" t="s">
        <v>203</v>
      </c>
      <c r="G22" s="66" t="s">
        <v>203</v>
      </c>
      <c r="H22" s="66" t="s">
        <v>203</v>
      </c>
      <c r="I22" s="66" t="s">
        <v>203</v>
      </c>
      <c r="J22" s="66" t="s">
        <v>491</v>
      </c>
      <c r="K22" s="319"/>
    </row>
    <row r="23" spans="1:11" ht="16.5" thickBot="1" x14ac:dyDescent="0.3">
      <c r="A23" s="105">
        <v>67</v>
      </c>
      <c r="B23" s="66">
        <v>15.26</v>
      </c>
      <c r="C23" s="66">
        <v>0.32</v>
      </c>
      <c r="D23" s="66">
        <v>0</v>
      </c>
      <c r="E23" s="66" t="s">
        <v>203</v>
      </c>
      <c r="F23" s="66">
        <v>0.74</v>
      </c>
      <c r="G23" s="66">
        <v>2.5499999999999998</v>
      </c>
      <c r="H23" s="66">
        <v>0.56000000000000005</v>
      </c>
      <c r="I23" s="66">
        <v>3.56</v>
      </c>
      <c r="J23" s="66">
        <v>4.24</v>
      </c>
      <c r="K23" s="319"/>
    </row>
    <row r="24" spans="1:11" ht="16.5" thickBot="1" x14ac:dyDescent="0.3">
      <c r="A24" s="105">
        <v>8</v>
      </c>
      <c r="B24" s="66">
        <v>74.290000000000006</v>
      </c>
      <c r="C24" s="66">
        <v>26.3</v>
      </c>
      <c r="D24" s="66">
        <v>10</v>
      </c>
      <c r="E24" s="66">
        <v>21.58</v>
      </c>
      <c r="F24" s="66">
        <v>27.92</v>
      </c>
      <c r="G24" s="66">
        <v>20</v>
      </c>
      <c r="H24" s="66">
        <v>5.84</v>
      </c>
      <c r="I24" s="66" t="s">
        <v>203</v>
      </c>
      <c r="J24" s="66" t="s">
        <v>491</v>
      </c>
      <c r="K24" s="319"/>
    </row>
    <row r="25" spans="1:11" ht="16.5" thickBot="1" x14ac:dyDescent="0.3">
      <c r="A25" s="105">
        <v>95</v>
      </c>
      <c r="B25" s="66" t="s">
        <v>203</v>
      </c>
      <c r="C25" s="66" t="s">
        <v>203</v>
      </c>
      <c r="D25" s="66" t="s">
        <v>203</v>
      </c>
      <c r="E25" s="66" t="s">
        <v>203</v>
      </c>
      <c r="F25" s="66">
        <v>0.48</v>
      </c>
      <c r="G25" s="66">
        <v>3.68</v>
      </c>
      <c r="H25" s="66">
        <v>3.04</v>
      </c>
      <c r="I25" s="66">
        <v>10.25</v>
      </c>
      <c r="J25" s="66">
        <v>22.86</v>
      </c>
      <c r="K25" s="319"/>
    </row>
    <row r="26" spans="1:11" ht="16.5" thickBot="1" x14ac:dyDescent="0.3">
      <c r="A26" s="105">
        <v>56</v>
      </c>
      <c r="B26" s="66">
        <v>422.6</v>
      </c>
      <c r="C26" s="66">
        <v>142.61000000000001</v>
      </c>
      <c r="D26" s="66">
        <v>144.41</v>
      </c>
      <c r="E26" s="66">
        <v>222.2</v>
      </c>
      <c r="F26" s="66">
        <v>287.32</v>
      </c>
      <c r="G26" s="66">
        <v>151.80000000000001</v>
      </c>
      <c r="H26" s="66">
        <v>102.65</v>
      </c>
      <c r="I26" s="66">
        <v>450.81</v>
      </c>
      <c r="J26" s="66">
        <v>695.48</v>
      </c>
      <c r="K26" s="319"/>
    </row>
    <row r="27" spans="1:11" ht="16.5" thickBot="1" x14ac:dyDescent="0.3">
      <c r="A27" s="105">
        <v>57</v>
      </c>
      <c r="B27" s="66">
        <v>6.38</v>
      </c>
      <c r="C27" s="66">
        <v>3.68</v>
      </c>
      <c r="D27" s="66">
        <v>8.08</v>
      </c>
      <c r="E27" s="66">
        <v>12.98</v>
      </c>
      <c r="F27" s="66">
        <v>27.09</v>
      </c>
      <c r="G27" s="66">
        <v>12.75</v>
      </c>
      <c r="H27" s="66">
        <v>11.97</v>
      </c>
      <c r="I27" s="66">
        <v>43.67</v>
      </c>
      <c r="J27" s="66">
        <v>85.65</v>
      </c>
      <c r="K27" s="319"/>
    </row>
    <row r="28" spans="1:11" ht="16.5" thickBot="1" x14ac:dyDescent="0.3">
      <c r="A28" s="105">
        <v>88</v>
      </c>
      <c r="B28" s="66">
        <v>644.6</v>
      </c>
      <c r="C28" s="66">
        <v>378.3</v>
      </c>
      <c r="D28" s="66">
        <v>360.18</v>
      </c>
      <c r="E28" s="66">
        <v>402.91</v>
      </c>
      <c r="F28" s="66">
        <v>465.7</v>
      </c>
      <c r="G28" s="66">
        <v>389.19</v>
      </c>
      <c r="H28" s="66">
        <v>303.79000000000002</v>
      </c>
      <c r="I28" s="66">
        <v>564.89</v>
      </c>
      <c r="J28" s="66">
        <v>742.11</v>
      </c>
      <c r="K28" s="319"/>
    </row>
    <row r="29" spans="1:11" ht="16.5" thickBot="1" x14ac:dyDescent="0.3">
      <c r="A29" s="105" t="s">
        <v>318</v>
      </c>
      <c r="B29" s="66">
        <v>9.16</v>
      </c>
      <c r="C29" s="66">
        <v>3.71</v>
      </c>
      <c r="D29" s="66">
        <v>2.21</v>
      </c>
      <c r="E29" s="66">
        <v>2.2400000000000002</v>
      </c>
      <c r="F29" s="66">
        <v>1.97</v>
      </c>
      <c r="G29" s="66">
        <v>1.53</v>
      </c>
      <c r="H29" s="66">
        <v>0.09</v>
      </c>
      <c r="I29" s="66" t="s">
        <v>203</v>
      </c>
      <c r="J29" s="66" t="s">
        <v>491</v>
      </c>
      <c r="K29" s="319"/>
    </row>
    <row r="30" spans="1:11" ht="16.5" thickBot="1" x14ac:dyDescent="0.3">
      <c r="A30" s="105" t="s">
        <v>319</v>
      </c>
      <c r="B30" s="66" t="s">
        <v>203</v>
      </c>
      <c r="C30" s="66" t="s">
        <v>203</v>
      </c>
      <c r="D30" s="66" t="s">
        <v>203</v>
      </c>
      <c r="E30" s="66" t="s">
        <v>203</v>
      </c>
      <c r="F30" s="66" t="s">
        <v>203</v>
      </c>
      <c r="G30" s="66">
        <v>0.05</v>
      </c>
      <c r="H30" s="66" t="s">
        <v>203</v>
      </c>
      <c r="I30" s="66" t="s">
        <v>203</v>
      </c>
      <c r="J30" s="66" t="s">
        <v>491</v>
      </c>
      <c r="K30" s="319"/>
    </row>
    <row r="31" spans="1:11" ht="16.5" thickBot="1" x14ac:dyDescent="0.3">
      <c r="A31" s="92" t="s">
        <v>320</v>
      </c>
      <c r="B31" s="210">
        <v>1630.11</v>
      </c>
      <c r="C31" s="210">
        <v>729.29</v>
      </c>
      <c r="D31" s="210">
        <v>628.76</v>
      </c>
      <c r="E31" s="210">
        <v>793.06</v>
      </c>
      <c r="F31" s="210">
        <v>1030.21</v>
      </c>
      <c r="G31" s="210">
        <v>773.39</v>
      </c>
      <c r="H31" s="210">
        <v>510.92</v>
      </c>
      <c r="I31" s="210">
        <v>1239.45</v>
      </c>
      <c r="J31" s="112">
        <v>1843.08</v>
      </c>
      <c r="K31" s="319"/>
    </row>
    <row r="32" spans="1:11" x14ac:dyDescent="0.25">
      <c r="A32" s="315"/>
      <c r="B32" s="315"/>
      <c r="C32" s="315"/>
      <c r="D32" s="315"/>
      <c r="E32" s="315"/>
      <c r="F32" s="315"/>
      <c r="G32" s="315"/>
      <c r="H32" s="315"/>
      <c r="I32" s="315"/>
      <c r="J32" s="315"/>
      <c r="K32" s="315"/>
    </row>
    <row r="33" spans="1:11" x14ac:dyDescent="0.25">
      <c r="A33" s="315"/>
      <c r="B33" s="315"/>
      <c r="C33" s="315"/>
      <c r="D33" s="315"/>
      <c r="E33" s="315"/>
      <c r="F33" s="315"/>
      <c r="G33" s="315"/>
      <c r="H33" s="315"/>
      <c r="I33" s="315"/>
      <c r="J33" s="315"/>
      <c r="K33" s="315"/>
    </row>
  </sheetData>
  <mergeCells count="2">
    <mergeCell ref="A2:J2"/>
    <mergeCell ref="A4:K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499984740745262"/>
    <pageSetUpPr fitToPage="1"/>
  </sheetPr>
  <dimension ref="A1:P18"/>
  <sheetViews>
    <sheetView showGridLines="0" zoomScaleNormal="100" workbookViewId="0">
      <selection activeCell="C9" sqref="C9"/>
    </sheetView>
  </sheetViews>
  <sheetFormatPr baseColWidth="10" defaultColWidth="11.42578125" defaultRowHeight="11.25" x14ac:dyDescent="0.25"/>
  <cols>
    <col min="1" max="1" width="11.42578125" style="1"/>
    <col min="2" max="2" width="9" style="2" customWidth="1"/>
    <col min="3" max="8" width="9" style="3" customWidth="1"/>
    <col min="9" max="11" width="9.28515625" style="3" customWidth="1"/>
    <col min="12" max="16384" width="11.42578125" style="3"/>
  </cols>
  <sheetData>
    <row r="1" spans="1:16" x14ac:dyDescent="0.25">
      <c r="A1" s="312"/>
      <c r="B1" s="310"/>
      <c r="C1" s="309"/>
      <c r="D1" s="309"/>
      <c r="E1" s="309"/>
      <c r="F1" s="309"/>
      <c r="G1" s="309"/>
      <c r="H1" s="309"/>
      <c r="I1" s="309"/>
      <c r="J1" s="309"/>
      <c r="K1" s="309"/>
    </row>
    <row r="2" spans="1:16" ht="12" x14ac:dyDescent="0.2">
      <c r="A2" s="316" t="s">
        <v>672</v>
      </c>
      <c r="B2" s="316"/>
      <c r="C2" s="316"/>
      <c r="D2" s="316"/>
      <c r="E2" s="316"/>
      <c r="F2" s="316"/>
      <c r="G2" s="316"/>
      <c r="H2" s="316"/>
      <c r="I2" s="316"/>
      <c r="J2" s="316"/>
      <c r="K2" s="332"/>
      <c r="L2" s="7"/>
      <c r="M2" s="7"/>
      <c r="N2" s="7"/>
      <c r="O2" s="7"/>
      <c r="P2" s="7"/>
    </row>
    <row r="3" spans="1:16" ht="12" thickBot="1" x14ac:dyDescent="0.3">
      <c r="A3" s="312"/>
      <c r="B3" s="310"/>
      <c r="C3" s="309"/>
      <c r="D3" s="309"/>
      <c r="E3" s="309"/>
      <c r="F3" s="309"/>
      <c r="G3" s="309"/>
      <c r="H3" s="309"/>
      <c r="I3" s="309"/>
      <c r="J3" s="309"/>
      <c r="K3" s="309"/>
    </row>
    <row r="4" spans="1:16" ht="12" thickBot="1" x14ac:dyDescent="0.3">
      <c r="A4" s="217" t="s">
        <v>673</v>
      </c>
      <c r="B4" s="218"/>
      <c r="C4" s="218"/>
      <c r="D4" s="218"/>
      <c r="E4" s="218"/>
      <c r="F4" s="218"/>
      <c r="G4" s="218"/>
      <c r="H4" s="218"/>
      <c r="I4" s="218"/>
      <c r="J4" s="218"/>
      <c r="K4" s="219"/>
    </row>
    <row r="5" spans="1:16" ht="12" thickBot="1" x14ac:dyDescent="0.3">
      <c r="A5" s="373" t="s">
        <v>586</v>
      </c>
      <c r="B5" s="213" t="s">
        <v>70</v>
      </c>
      <c r="C5" s="213">
        <v>2014</v>
      </c>
      <c r="D5" s="213">
        <v>2015</v>
      </c>
      <c r="E5" s="213">
        <v>2016</v>
      </c>
      <c r="F5" s="213">
        <v>2017</v>
      </c>
      <c r="G5" s="213">
        <v>2018</v>
      </c>
      <c r="H5" s="213">
        <v>2019</v>
      </c>
      <c r="I5" s="213">
        <v>2020</v>
      </c>
      <c r="J5" s="213">
        <v>2021</v>
      </c>
      <c r="K5" s="213">
        <v>2022</v>
      </c>
    </row>
    <row r="6" spans="1:16" ht="12" thickBot="1" x14ac:dyDescent="0.25">
      <c r="A6" s="374" t="s">
        <v>222</v>
      </c>
      <c r="B6" s="375" t="s">
        <v>75</v>
      </c>
      <c r="C6" s="376">
        <f>9.196803+46.495055</f>
        <v>55.691857999999996</v>
      </c>
      <c r="D6" s="376">
        <f>9.378788+21.145378</f>
        <v>30.524166000000001</v>
      </c>
      <c r="E6" s="376">
        <f>7.995627+12.957691</f>
        <v>20.953317999999999</v>
      </c>
      <c r="F6" s="376">
        <f>7.262084+13.317518</f>
        <v>20.579602000000001</v>
      </c>
      <c r="G6" s="376">
        <f>6.541876+14.853936</f>
        <v>21.395811999999999</v>
      </c>
      <c r="H6" s="376">
        <f>4.875978+12.142321</f>
        <v>17.018298999999999</v>
      </c>
      <c r="I6" s="376">
        <v>11.066266519999999</v>
      </c>
      <c r="J6" s="376">
        <v>14.883604999999999</v>
      </c>
      <c r="K6" s="376">
        <v>5.7916559999999999E-2</v>
      </c>
    </row>
    <row r="7" spans="1:16" ht="12" thickBot="1" x14ac:dyDescent="0.25">
      <c r="A7" s="374"/>
      <c r="B7" s="375" t="s">
        <v>78</v>
      </c>
      <c r="C7" s="376">
        <v>3.0607799999999998</v>
      </c>
      <c r="D7" s="376">
        <v>2.376169</v>
      </c>
      <c r="E7" s="376">
        <v>1.5414239999999999</v>
      </c>
      <c r="F7" s="376">
        <v>1.4436800000000001</v>
      </c>
      <c r="G7" s="376">
        <v>2.079742</v>
      </c>
      <c r="H7" s="376">
        <v>1.8321419999999999</v>
      </c>
      <c r="I7" s="376">
        <v>1.11278232</v>
      </c>
      <c r="J7" s="376">
        <v>1.773253</v>
      </c>
      <c r="K7" s="376">
        <v>2.6364577999999996</v>
      </c>
    </row>
    <row r="8" spans="1:16" ht="12" thickBot="1" x14ac:dyDescent="0.25">
      <c r="A8" s="374"/>
      <c r="B8" s="375" t="s">
        <v>42</v>
      </c>
      <c r="C8" s="376">
        <v>2.5571069999999998</v>
      </c>
      <c r="D8" s="376">
        <v>0.81720199999999998</v>
      </c>
      <c r="E8" s="376">
        <v>0</v>
      </c>
      <c r="F8" s="376">
        <v>0</v>
      </c>
      <c r="G8" s="376">
        <v>0</v>
      </c>
      <c r="H8" s="376">
        <v>0</v>
      </c>
      <c r="I8" s="376">
        <v>0</v>
      </c>
      <c r="J8" s="376">
        <v>0</v>
      </c>
      <c r="K8" s="376">
        <v>0</v>
      </c>
    </row>
    <row r="9" spans="1:16" ht="12" thickBot="1" x14ac:dyDescent="0.3">
      <c r="A9" s="377" t="s">
        <v>665</v>
      </c>
      <c r="B9" s="377"/>
      <c r="C9" s="378">
        <f t="shared" ref="C9:I9" si="0">+SUM(C6:C8)</f>
        <v>61.309744999999999</v>
      </c>
      <c r="D9" s="378">
        <f t="shared" si="0"/>
        <v>33.717537</v>
      </c>
      <c r="E9" s="378">
        <f t="shared" si="0"/>
        <v>22.494741999999999</v>
      </c>
      <c r="F9" s="378">
        <f t="shared" si="0"/>
        <v>22.023282000000002</v>
      </c>
      <c r="G9" s="378">
        <f t="shared" si="0"/>
        <v>23.475553999999999</v>
      </c>
      <c r="H9" s="378">
        <f t="shared" si="0"/>
        <v>18.850441</v>
      </c>
      <c r="I9" s="378">
        <f t="shared" si="0"/>
        <v>12.17904884</v>
      </c>
      <c r="J9" s="378">
        <f>+SUM(J6:J8)</f>
        <v>16.656858</v>
      </c>
      <c r="K9" s="378">
        <f>+SUM(K6:K8)</f>
        <v>2.6943743599999994</v>
      </c>
    </row>
    <row r="10" spans="1:16" ht="12" thickBot="1" x14ac:dyDescent="0.25">
      <c r="A10" s="375" t="s">
        <v>74</v>
      </c>
      <c r="B10" s="375">
        <v>192</v>
      </c>
      <c r="C10" s="376">
        <v>0</v>
      </c>
      <c r="D10" s="376">
        <v>18.897117999999999</v>
      </c>
      <c r="E10" s="376">
        <v>5.497865</v>
      </c>
      <c r="F10" s="376">
        <v>41.553438999999997</v>
      </c>
      <c r="G10" s="376">
        <v>124.380662</v>
      </c>
      <c r="H10" s="376">
        <v>101.484639</v>
      </c>
      <c r="I10" s="376">
        <v>18.022139670000001</v>
      </c>
      <c r="J10" s="376">
        <v>0</v>
      </c>
      <c r="K10" s="376">
        <v>0</v>
      </c>
    </row>
    <row r="11" spans="1:16" ht="12" thickBot="1" x14ac:dyDescent="0.3">
      <c r="A11" s="377" t="s">
        <v>589</v>
      </c>
      <c r="B11" s="377"/>
      <c r="C11" s="378">
        <f t="shared" ref="C11:K11" si="1">+C10</f>
        <v>0</v>
      </c>
      <c r="D11" s="378">
        <f t="shared" si="1"/>
        <v>18.897117999999999</v>
      </c>
      <c r="E11" s="378">
        <f t="shared" si="1"/>
        <v>5.497865</v>
      </c>
      <c r="F11" s="378">
        <f t="shared" si="1"/>
        <v>41.553438999999997</v>
      </c>
      <c r="G11" s="378">
        <f t="shared" si="1"/>
        <v>124.380662</v>
      </c>
      <c r="H11" s="378">
        <f t="shared" si="1"/>
        <v>101.484639</v>
      </c>
      <c r="I11" s="378">
        <f t="shared" si="1"/>
        <v>18.022139670000001</v>
      </c>
      <c r="J11" s="378">
        <f t="shared" si="1"/>
        <v>0</v>
      </c>
      <c r="K11" s="378">
        <f t="shared" si="1"/>
        <v>0</v>
      </c>
    </row>
    <row r="12" spans="1:16" ht="12" thickBot="1" x14ac:dyDescent="0.25">
      <c r="A12" s="375" t="s">
        <v>223</v>
      </c>
      <c r="B12" s="375" t="s">
        <v>44</v>
      </c>
      <c r="C12" s="376">
        <f>18.764151+24.982028+317.005887</f>
        <v>360.75206599999996</v>
      </c>
      <c r="D12" s="376">
        <f>9.83065+15.724013+144.536863</f>
        <v>170.09152600000002</v>
      </c>
      <c r="E12" s="376">
        <f>10.10401+14.065544+102.111665</f>
        <v>126.28121899999999</v>
      </c>
      <c r="F12" s="376">
        <f>12.939253+15.4548+124.596238</f>
        <v>152.99029100000001</v>
      </c>
      <c r="G12" s="376">
        <f>17.67365+18.210681+166.248316</f>
        <v>202.13264699999999</v>
      </c>
      <c r="H12" s="376">
        <f>18.560817+14.46423+140.883127</f>
        <v>173.908174</v>
      </c>
      <c r="I12" s="376">
        <v>104.03513664</v>
      </c>
      <c r="J12" s="376">
        <v>166.62</v>
      </c>
      <c r="K12" s="376">
        <v>213.71</v>
      </c>
    </row>
    <row r="13" spans="1:16" ht="12" thickBot="1" x14ac:dyDescent="0.3">
      <c r="A13" s="377" t="s">
        <v>604</v>
      </c>
      <c r="B13" s="377"/>
      <c r="C13" s="378">
        <f t="shared" ref="C13:K13" si="2">+C12</f>
        <v>360.75206599999996</v>
      </c>
      <c r="D13" s="378">
        <f t="shared" si="2"/>
        <v>170.09152600000002</v>
      </c>
      <c r="E13" s="378">
        <f t="shared" si="2"/>
        <v>126.28121899999999</v>
      </c>
      <c r="F13" s="378">
        <f t="shared" si="2"/>
        <v>152.99029100000001</v>
      </c>
      <c r="G13" s="378">
        <f t="shared" si="2"/>
        <v>202.13264699999999</v>
      </c>
      <c r="H13" s="378">
        <f t="shared" si="2"/>
        <v>173.908174</v>
      </c>
      <c r="I13" s="378">
        <f t="shared" si="2"/>
        <v>104.03513664</v>
      </c>
      <c r="J13" s="378">
        <f t="shared" si="2"/>
        <v>166.62</v>
      </c>
      <c r="K13" s="378">
        <f t="shared" si="2"/>
        <v>213.71</v>
      </c>
    </row>
    <row r="14" spans="1:16" ht="12" thickBot="1" x14ac:dyDescent="0.3">
      <c r="A14" s="379" t="s">
        <v>224</v>
      </c>
      <c r="B14" s="379"/>
      <c r="C14" s="380">
        <f t="shared" ref="C14:I14" si="3">+C9+C11+C13</f>
        <v>422.06181099999998</v>
      </c>
      <c r="D14" s="380">
        <f t="shared" si="3"/>
        <v>222.70618100000002</v>
      </c>
      <c r="E14" s="380">
        <f t="shared" si="3"/>
        <v>154.27382599999999</v>
      </c>
      <c r="F14" s="380">
        <f t="shared" si="3"/>
        <v>216.56701200000001</v>
      </c>
      <c r="G14" s="380">
        <f t="shared" si="3"/>
        <v>349.98886299999998</v>
      </c>
      <c r="H14" s="380">
        <f t="shared" si="3"/>
        <v>294.24325399999998</v>
      </c>
      <c r="I14" s="380">
        <f t="shared" si="3"/>
        <v>134.23632515</v>
      </c>
      <c r="J14" s="380">
        <f>+J9+J11+J13</f>
        <v>183.276858</v>
      </c>
      <c r="K14" s="380">
        <f>+K9+K11+K13</f>
        <v>216.40437436000002</v>
      </c>
    </row>
    <row r="15" spans="1:16" x14ac:dyDescent="0.25">
      <c r="A15" s="312"/>
      <c r="B15" s="310"/>
      <c r="C15" s="309"/>
      <c r="D15" s="309"/>
      <c r="E15" s="309"/>
      <c r="F15" s="309"/>
      <c r="G15" s="309"/>
      <c r="H15" s="309"/>
      <c r="I15" s="309"/>
      <c r="J15" s="309"/>
      <c r="K15" s="309"/>
    </row>
    <row r="16" spans="1:16" x14ac:dyDescent="0.25">
      <c r="A16" s="312"/>
      <c r="B16" s="310"/>
      <c r="C16" s="309"/>
      <c r="D16" s="309"/>
      <c r="E16" s="309"/>
      <c r="F16" s="309"/>
      <c r="G16" s="309"/>
      <c r="H16" s="309"/>
      <c r="I16" s="309"/>
      <c r="J16" s="309"/>
      <c r="K16" s="309"/>
    </row>
    <row r="17" spans="1:11" x14ac:dyDescent="0.25">
      <c r="A17" s="312"/>
      <c r="B17" s="310"/>
      <c r="C17" s="309"/>
      <c r="D17" s="309"/>
      <c r="E17" s="309"/>
      <c r="F17" s="309"/>
      <c r="G17" s="309"/>
      <c r="H17" s="309"/>
      <c r="I17" s="309"/>
      <c r="J17" s="309"/>
      <c r="K17" s="309"/>
    </row>
    <row r="18" spans="1:11" x14ac:dyDescent="0.25">
      <c r="A18" s="312"/>
      <c r="B18" s="310"/>
      <c r="C18" s="309"/>
      <c r="D18" s="309"/>
      <c r="E18" s="309"/>
      <c r="F18" s="309"/>
      <c r="G18" s="309"/>
      <c r="H18" s="309"/>
      <c r="I18" s="309"/>
      <c r="J18" s="309"/>
      <c r="K18" s="309"/>
    </row>
  </sheetData>
  <mergeCells count="7">
    <mergeCell ref="A2:J2"/>
    <mergeCell ref="A14:B14"/>
    <mergeCell ref="A4:K4"/>
    <mergeCell ref="A6:A8"/>
    <mergeCell ref="A9:B9"/>
    <mergeCell ref="A11:B11"/>
    <mergeCell ref="A13:B13"/>
  </mergeCells>
  <pageMargins left="0.7" right="0.7" top="0.75" bottom="0.75" header="0.3" footer="0.3"/>
  <pageSetup scale="65" orientation="portrait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499984740745262"/>
    <pageSetUpPr fitToPage="1"/>
  </sheetPr>
  <dimension ref="A1:J16"/>
  <sheetViews>
    <sheetView showGridLines="0" workbookViewId="0">
      <selection activeCell="A2" sqref="A2:J2"/>
    </sheetView>
  </sheetViews>
  <sheetFormatPr baseColWidth="10" defaultColWidth="11.42578125" defaultRowHeight="11.25" x14ac:dyDescent="0.25"/>
  <cols>
    <col min="1" max="1" width="19.42578125" style="1" customWidth="1"/>
    <col min="2" max="8" width="10.42578125" style="3" customWidth="1"/>
    <col min="9" max="10" width="10.28515625" style="3" customWidth="1"/>
    <col min="11" max="16384" width="11.42578125" style="3"/>
  </cols>
  <sheetData>
    <row r="1" spans="1:10" x14ac:dyDescent="0.25">
      <c r="A1" s="312"/>
      <c r="B1" s="309"/>
      <c r="C1" s="309"/>
      <c r="D1" s="309"/>
      <c r="E1" s="309"/>
      <c r="F1" s="309"/>
      <c r="G1" s="309"/>
      <c r="H1" s="309"/>
      <c r="I1" s="309"/>
      <c r="J1" s="309"/>
    </row>
    <row r="2" spans="1:10" ht="12" x14ac:dyDescent="0.2">
      <c r="A2" s="316" t="s">
        <v>721</v>
      </c>
      <c r="B2" s="316"/>
      <c r="C2" s="316"/>
      <c r="D2" s="316"/>
      <c r="E2" s="316"/>
      <c r="F2" s="316"/>
      <c r="G2" s="316"/>
      <c r="H2" s="316"/>
      <c r="I2" s="316"/>
      <c r="J2" s="316"/>
    </row>
    <row r="3" spans="1:10" x14ac:dyDescent="0.25">
      <c r="A3" s="312"/>
      <c r="B3" s="309"/>
      <c r="C3" s="309"/>
      <c r="D3" s="309"/>
      <c r="E3" s="309"/>
      <c r="F3" s="309"/>
      <c r="G3" s="309"/>
      <c r="H3" s="309"/>
      <c r="I3" s="309"/>
      <c r="J3" s="309"/>
    </row>
    <row r="4" spans="1:10" ht="12" thickBot="1" x14ac:dyDescent="0.3">
      <c r="A4" s="312"/>
      <c r="B4" s="309"/>
      <c r="C4" s="309"/>
      <c r="D4" s="309"/>
      <c r="E4" s="309"/>
      <c r="F4" s="309"/>
      <c r="G4" s="309"/>
      <c r="H4" s="309"/>
      <c r="I4" s="309"/>
      <c r="J4" s="309"/>
    </row>
    <row r="5" spans="1:10" ht="12" customHeight="1" thickBot="1" x14ac:dyDescent="0.3">
      <c r="A5" s="217" t="s">
        <v>674</v>
      </c>
      <c r="B5" s="218"/>
      <c r="C5" s="218"/>
      <c r="D5" s="218"/>
      <c r="E5" s="218"/>
      <c r="F5" s="218"/>
      <c r="G5" s="218"/>
      <c r="H5" s="218"/>
      <c r="I5" s="218"/>
      <c r="J5" s="218"/>
    </row>
    <row r="6" spans="1:10" ht="12" thickBot="1" x14ac:dyDescent="0.3">
      <c r="A6" s="381"/>
      <c r="B6" s="91">
        <v>2014</v>
      </c>
      <c r="C6" s="91">
        <v>2015</v>
      </c>
      <c r="D6" s="91">
        <v>2016</v>
      </c>
      <c r="E6" s="91">
        <v>2017</v>
      </c>
      <c r="F6" s="91">
        <v>2018</v>
      </c>
      <c r="G6" s="91">
        <v>2019</v>
      </c>
      <c r="H6" s="91">
        <v>2020</v>
      </c>
      <c r="I6" s="91">
        <v>2021</v>
      </c>
      <c r="J6" s="91">
        <v>2022</v>
      </c>
    </row>
    <row r="7" spans="1:10" ht="12" thickBot="1" x14ac:dyDescent="0.3">
      <c r="A7" s="98" t="s">
        <v>635</v>
      </c>
      <c r="B7" s="67">
        <v>584.16</v>
      </c>
      <c r="C7" s="67">
        <v>207.23</v>
      </c>
      <c r="D7" s="67">
        <v>120.19</v>
      </c>
      <c r="E7" s="67">
        <v>171.31</v>
      </c>
      <c r="F7" s="67">
        <v>284.69</v>
      </c>
      <c r="G7" s="67">
        <v>258.60000000000002</v>
      </c>
      <c r="H7" s="67">
        <v>105.57</v>
      </c>
      <c r="I7" s="67">
        <v>202.06</v>
      </c>
      <c r="J7" s="67">
        <v>332.69</v>
      </c>
    </row>
    <row r="8" spans="1:10" ht="23.25" thickBot="1" x14ac:dyDescent="0.3">
      <c r="A8" s="98" t="s">
        <v>196</v>
      </c>
      <c r="B8" s="67">
        <v>806.05</v>
      </c>
      <c r="C8" s="67">
        <v>306.13</v>
      </c>
      <c r="D8" s="67">
        <v>283.14</v>
      </c>
      <c r="E8" s="67">
        <v>393.41</v>
      </c>
      <c r="F8" s="67">
        <v>441.52</v>
      </c>
      <c r="G8" s="67">
        <v>305.14</v>
      </c>
      <c r="H8" s="67">
        <v>200.09</v>
      </c>
      <c r="I8" s="67">
        <v>502.9</v>
      </c>
      <c r="J8" s="67">
        <v>563.79</v>
      </c>
    </row>
    <row r="9" spans="1:10" ht="12" thickBot="1" x14ac:dyDescent="0.3">
      <c r="A9" s="98" t="s">
        <v>675</v>
      </c>
      <c r="B9" s="67">
        <v>300.42</v>
      </c>
      <c r="C9" s="67">
        <v>255.6</v>
      </c>
      <c r="D9" s="67">
        <v>256.89999999999998</v>
      </c>
      <c r="E9" s="67">
        <v>264.11</v>
      </c>
      <c r="F9" s="67">
        <v>366.73</v>
      </c>
      <c r="G9" s="67">
        <v>273.45</v>
      </c>
      <c r="H9" s="67">
        <v>232.63</v>
      </c>
      <c r="I9" s="67">
        <v>574.13</v>
      </c>
      <c r="J9" s="67">
        <v>983.82</v>
      </c>
    </row>
    <row r="10" spans="1:10" ht="12" thickBot="1" x14ac:dyDescent="0.3">
      <c r="A10" s="98" t="s">
        <v>676</v>
      </c>
      <c r="B10" s="67" t="s">
        <v>203</v>
      </c>
      <c r="C10" s="67">
        <v>0</v>
      </c>
      <c r="D10" s="67">
        <v>0.02</v>
      </c>
      <c r="E10" s="67" t="s">
        <v>203</v>
      </c>
      <c r="F10" s="67" t="s">
        <v>203</v>
      </c>
      <c r="G10" s="67" t="s">
        <v>203</v>
      </c>
      <c r="H10" s="67" t="s">
        <v>203</v>
      </c>
      <c r="I10" s="67" t="s">
        <v>203</v>
      </c>
      <c r="J10" s="67" t="s">
        <v>491</v>
      </c>
    </row>
    <row r="11" spans="1:10" ht="23.25" thickBot="1" x14ac:dyDescent="0.3">
      <c r="A11" s="92" t="s">
        <v>677</v>
      </c>
      <c r="B11" s="211">
        <v>1690.63</v>
      </c>
      <c r="C11" s="210">
        <v>768.96</v>
      </c>
      <c r="D11" s="210">
        <v>660.25</v>
      </c>
      <c r="E11" s="210">
        <v>828.83</v>
      </c>
      <c r="F11" s="211">
        <v>1092.93</v>
      </c>
      <c r="G11" s="210">
        <v>837.19</v>
      </c>
      <c r="H11" s="210">
        <v>538.29</v>
      </c>
      <c r="I11" s="211">
        <v>1279.0899999999999</v>
      </c>
      <c r="J11" s="211">
        <v>1880.31</v>
      </c>
    </row>
    <row r="12" spans="1:10" x14ac:dyDescent="0.25">
      <c r="A12" s="312"/>
      <c r="B12" s="309"/>
      <c r="C12" s="309"/>
      <c r="D12" s="309"/>
      <c r="E12" s="309"/>
      <c r="F12" s="309"/>
      <c r="G12" s="309"/>
      <c r="H12" s="309"/>
      <c r="I12" s="309"/>
      <c r="J12" s="309"/>
    </row>
    <row r="13" spans="1:10" x14ac:dyDescent="0.25">
      <c r="A13" s="312"/>
      <c r="B13" s="309"/>
      <c r="C13" s="309"/>
      <c r="D13" s="309"/>
      <c r="E13" s="309"/>
      <c r="F13" s="309"/>
      <c r="G13" s="309"/>
      <c r="H13" s="309"/>
      <c r="I13" s="309"/>
      <c r="J13" s="309"/>
    </row>
    <row r="14" spans="1:10" x14ac:dyDescent="0.25">
      <c r="A14" s="312"/>
      <c r="B14" s="309"/>
      <c r="C14" s="309"/>
      <c r="D14" s="309"/>
      <c r="E14" s="309"/>
      <c r="F14" s="309"/>
      <c r="G14" s="309"/>
      <c r="H14" s="309"/>
      <c r="I14" s="309"/>
      <c r="J14" s="309"/>
    </row>
    <row r="15" spans="1:10" x14ac:dyDescent="0.25">
      <c r="A15" s="312"/>
      <c r="B15" s="309"/>
      <c r="C15" s="309"/>
      <c r="D15" s="309"/>
      <c r="E15" s="309"/>
      <c r="F15" s="309"/>
      <c r="G15" s="309"/>
      <c r="H15" s="309"/>
      <c r="I15" s="309"/>
      <c r="J15" s="309"/>
    </row>
    <row r="16" spans="1:10" x14ac:dyDescent="0.25">
      <c r="A16" s="312"/>
      <c r="B16" s="309"/>
      <c r="C16" s="309"/>
      <c r="D16" s="309"/>
      <c r="E16" s="309"/>
      <c r="F16" s="309"/>
      <c r="G16" s="309"/>
      <c r="H16" s="309"/>
      <c r="I16" s="309"/>
      <c r="J16" s="309"/>
    </row>
  </sheetData>
  <mergeCells count="2">
    <mergeCell ref="A2:J2"/>
    <mergeCell ref="A5:J5"/>
  </mergeCells>
  <pageMargins left="0.7" right="0.7" top="0.75" bottom="0.75" header="0.3" footer="0.3"/>
  <pageSetup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4" tint="-0.499984740745262"/>
    <pageSetUpPr fitToPage="1"/>
  </sheetPr>
  <dimension ref="A2:J36"/>
  <sheetViews>
    <sheetView showGridLines="0" zoomScale="90" zoomScaleNormal="90" workbookViewId="0">
      <selection activeCell="A2" sqref="A2:D2"/>
    </sheetView>
  </sheetViews>
  <sheetFormatPr baseColWidth="10" defaultColWidth="11.42578125" defaultRowHeight="15" x14ac:dyDescent="0.2"/>
  <cols>
    <col min="1" max="1" width="12.28515625" style="6" customWidth="1"/>
    <col min="2" max="2" width="36.28515625" style="1" customWidth="1"/>
    <col min="3" max="3" width="15" style="3" customWidth="1"/>
    <col min="4" max="4" width="23.140625" style="3" bestFit="1" customWidth="1"/>
    <col min="5" max="16384" width="11.42578125" style="23"/>
  </cols>
  <sheetData>
    <row r="2" spans="1:10" x14ac:dyDescent="0.2">
      <c r="A2" s="316" t="s">
        <v>678</v>
      </c>
      <c r="B2" s="316"/>
      <c r="C2" s="316"/>
      <c r="D2" s="316"/>
      <c r="E2" s="7"/>
      <c r="F2" s="7"/>
      <c r="G2" s="7"/>
      <c r="H2" s="7"/>
      <c r="I2" s="7"/>
      <c r="J2" s="7"/>
    </row>
    <row r="3" spans="1:10" ht="15.75" thickBot="1" x14ac:dyDescent="0.25">
      <c r="A3" s="317"/>
      <c r="B3" s="312"/>
      <c r="C3" s="309"/>
      <c r="D3" s="309"/>
    </row>
    <row r="4" spans="1:10" ht="15.75" thickBot="1" x14ac:dyDescent="0.3">
      <c r="A4" s="217" t="s">
        <v>679</v>
      </c>
      <c r="B4" s="218"/>
      <c r="C4" s="218"/>
      <c r="D4" s="219"/>
    </row>
    <row r="5" spans="1:10" ht="34.5" thickBot="1" x14ac:dyDescent="0.3">
      <c r="A5" s="95" t="s">
        <v>680</v>
      </c>
      <c r="B5" s="91" t="s">
        <v>681</v>
      </c>
      <c r="C5" s="91" t="s">
        <v>682</v>
      </c>
      <c r="D5" s="91" t="s">
        <v>683</v>
      </c>
    </row>
    <row r="6" spans="1:10" ht="15.75" thickBot="1" x14ac:dyDescent="0.3">
      <c r="A6" s="176" t="s">
        <v>225</v>
      </c>
      <c r="B6" s="179" t="s">
        <v>226</v>
      </c>
      <c r="C6" s="334"/>
      <c r="D6" s="382">
        <v>52600000</v>
      </c>
    </row>
    <row r="7" spans="1:10" ht="34.5" thickBot="1" x14ac:dyDescent="0.3">
      <c r="A7" s="176" t="s">
        <v>227</v>
      </c>
      <c r="B7" s="179" t="s">
        <v>228</v>
      </c>
      <c r="C7" s="67">
        <v>52</v>
      </c>
      <c r="D7" s="106">
        <v>84464237.530000001</v>
      </c>
    </row>
    <row r="8" spans="1:10" ht="15.75" thickBot="1" x14ac:dyDescent="0.3">
      <c r="A8" s="383"/>
      <c r="B8" s="179" t="s">
        <v>229</v>
      </c>
      <c r="C8" s="67">
        <v>2.5</v>
      </c>
      <c r="D8" s="106">
        <v>4819797.72</v>
      </c>
    </row>
    <row r="9" spans="1:10" ht="23.25" thickBot="1" x14ac:dyDescent="0.3">
      <c r="A9" s="383"/>
      <c r="B9" s="179" t="s">
        <v>684</v>
      </c>
      <c r="C9" s="67">
        <v>2.5</v>
      </c>
      <c r="D9" s="106">
        <v>3301763.58</v>
      </c>
    </row>
    <row r="10" spans="1:10" ht="15.75" thickBot="1" x14ac:dyDescent="0.3">
      <c r="A10" s="383"/>
      <c r="B10" s="179" t="s">
        <v>230</v>
      </c>
      <c r="C10" s="67">
        <v>3</v>
      </c>
      <c r="D10" s="106">
        <v>4872936.78</v>
      </c>
    </row>
    <row r="11" spans="1:10" ht="15.75" thickBot="1" x14ac:dyDescent="0.3">
      <c r="A11" s="383"/>
      <c r="B11" s="179" t="s">
        <v>231</v>
      </c>
      <c r="C11" s="67">
        <v>40</v>
      </c>
      <c r="D11" s="106">
        <v>64972490.439999998</v>
      </c>
    </row>
    <row r="12" spans="1:10" ht="15.75" thickBot="1" x14ac:dyDescent="0.3">
      <c r="A12" s="338"/>
      <c r="B12" s="192" t="s">
        <v>685</v>
      </c>
      <c r="C12" s="69">
        <v>100</v>
      </c>
      <c r="D12" s="68">
        <v>215031226.05000001</v>
      </c>
    </row>
    <row r="13" spans="1:10" ht="15.75" thickBot="1" x14ac:dyDescent="0.3">
      <c r="A13" s="176" t="s">
        <v>232</v>
      </c>
      <c r="B13" s="179" t="s">
        <v>233</v>
      </c>
      <c r="C13" s="67" t="s">
        <v>234</v>
      </c>
      <c r="D13" s="106">
        <v>29794976.829999998</v>
      </c>
    </row>
    <row r="14" spans="1:10" ht="34.5" thickBot="1" x14ac:dyDescent="0.3">
      <c r="A14" s="176" t="s">
        <v>235</v>
      </c>
      <c r="B14" s="179" t="s">
        <v>236</v>
      </c>
      <c r="C14" s="67" t="s">
        <v>237</v>
      </c>
      <c r="D14" s="106">
        <v>329716.55</v>
      </c>
    </row>
    <row r="15" spans="1:10" ht="15.75" thickBot="1" x14ac:dyDescent="0.3">
      <c r="A15" s="383"/>
      <c r="B15" s="179" t="s">
        <v>238</v>
      </c>
      <c r="C15" s="67">
        <v>2.5</v>
      </c>
      <c r="D15" s="106">
        <v>1601536.22</v>
      </c>
    </row>
    <row r="16" spans="1:10" ht="15.75" thickBot="1" x14ac:dyDescent="0.3">
      <c r="A16" s="383"/>
      <c r="B16" s="179" t="s">
        <v>239</v>
      </c>
      <c r="C16" s="67">
        <v>2.5</v>
      </c>
      <c r="D16" s="106">
        <v>1601536.22</v>
      </c>
    </row>
    <row r="17" spans="1:4" ht="15.75" thickBot="1" x14ac:dyDescent="0.3">
      <c r="A17" s="383"/>
      <c r="B17" s="179" t="s">
        <v>230</v>
      </c>
      <c r="C17" s="212">
        <v>44960</v>
      </c>
      <c r="D17" s="106">
        <v>1811937.95</v>
      </c>
    </row>
    <row r="18" spans="1:4" ht="15.75" thickBot="1" x14ac:dyDescent="0.3">
      <c r="A18" s="383"/>
      <c r="B18" s="179" t="s">
        <v>231</v>
      </c>
      <c r="C18" s="67" t="s">
        <v>240</v>
      </c>
      <c r="D18" s="106">
        <v>28921745.059999999</v>
      </c>
    </row>
    <row r="19" spans="1:4" ht="15.75" thickBot="1" x14ac:dyDescent="0.3">
      <c r="A19" s="338"/>
      <c r="B19" s="192" t="s">
        <v>686</v>
      </c>
      <c r="C19" s="69"/>
      <c r="D19" s="68">
        <v>64061448.829999998</v>
      </c>
    </row>
    <row r="20" spans="1:4" ht="15.75" thickBot="1" x14ac:dyDescent="0.3">
      <c r="A20" s="176" t="s">
        <v>241</v>
      </c>
      <c r="B20" s="179" t="s">
        <v>228</v>
      </c>
      <c r="C20" s="67">
        <v>20</v>
      </c>
      <c r="D20" s="106">
        <v>114712240.37</v>
      </c>
    </row>
    <row r="21" spans="1:4" ht="23.25" thickBot="1" x14ac:dyDescent="0.3">
      <c r="A21" s="176" t="s">
        <v>242</v>
      </c>
      <c r="B21" s="179" t="s">
        <v>687</v>
      </c>
      <c r="C21" s="67">
        <v>2.5</v>
      </c>
      <c r="D21" s="106">
        <v>14339030.050000001</v>
      </c>
    </row>
    <row r="22" spans="1:4" ht="15.75" thickBot="1" x14ac:dyDescent="0.3">
      <c r="A22" s="383"/>
      <c r="B22" s="179" t="s">
        <v>688</v>
      </c>
      <c r="C22" s="67">
        <v>2.5</v>
      </c>
      <c r="D22" s="106">
        <v>14339030.050000001</v>
      </c>
    </row>
    <row r="23" spans="1:4" ht="15.75" thickBot="1" x14ac:dyDescent="0.3">
      <c r="A23" s="383"/>
      <c r="B23" s="179" t="s">
        <v>243</v>
      </c>
      <c r="C23" s="67">
        <v>5</v>
      </c>
      <c r="D23" s="106">
        <v>28678060.09</v>
      </c>
    </row>
    <row r="24" spans="1:4" ht="15.75" thickBot="1" x14ac:dyDescent="0.3">
      <c r="A24" s="383"/>
      <c r="B24" s="179" t="s">
        <v>231</v>
      </c>
      <c r="C24" s="67">
        <v>70</v>
      </c>
      <c r="D24" s="106">
        <v>401492841.42000002</v>
      </c>
    </row>
    <row r="25" spans="1:4" ht="15.75" thickBot="1" x14ac:dyDescent="0.3">
      <c r="A25" s="338"/>
      <c r="B25" s="192" t="s">
        <v>689</v>
      </c>
      <c r="C25" s="69">
        <v>100</v>
      </c>
      <c r="D25" s="68">
        <v>573561201.98000002</v>
      </c>
    </row>
    <row r="26" spans="1:4" ht="15.75" thickBot="1" x14ac:dyDescent="0.3">
      <c r="A26" s="176" t="s">
        <v>244</v>
      </c>
      <c r="B26" s="179" t="s">
        <v>228</v>
      </c>
      <c r="C26" s="67" t="s">
        <v>690</v>
      </c>
      <c r="D26" s="106">
        <v>28756932.949999999</v>
      </c>
    </row>
    <row r="27" spans="1:4" ht="23.25" thickBot="1" x14ac:dyDescent="0.3">
      <c r="A27" s="176" t="s">
        <v>245</v>
      </c>
      <c r="B27" s="179" t="s">
        <v>246</v>
      </c>
      <c r="C27" s="67">
        <v>5</v>
      </c>
      <c r="D27" s="106">
        <v>7179056.0899999999</v>
      </c>
    </row>
    <row r="28" spans="1:4" ht="15.75" thickBot="1" x14ac:dyDescent="0.3">
      <c r="A28" s="383"/>
      <c r="B28" s="179" t="s">
        <v>243</v>
      </c>
      <c r="C28" s="67">
        <v>5</v>
      </c>
      <c r="D28" s="106">
        <v>7179056.0899999999</v>
      </c>
    </row>
    <row r="29" spans="1:4" ht="15.75" thickBot="1" x14ac:dyDescent="0.3">
      <c r="A29" s="383"/>
      <c r="B29" s="179" t="s">
        <v>231</v>
      </c>
      <c r="C29" s="67" t="s">
        <v>691</v>
      </c>
      <c r="D29" s="106">
        <v>100466076.73</v>
      </c>
    </row>
    <row r="30" spans="1:4" ht="15.75" thickBot="1" x14ac:dyDescent="0.3">
      <c r="A30" s="338"/>
      <c r="B30" s="192" t="s">
        <v>692</v>
      </c>
      <c r="C30" s="119"/>
      <c r="D30" s="68">
        <v>143581121.86000001</v>
      </c>
    </row>
    <row r="31" spans="1:4" ht="18" customHeight="1" thickBot="1" x14ac:dyDescent="0.3">
      <c r="A31" s="227" t="s">
        <v>247</v>
      </c>
      <c r="B31" s="179" t="s">
        <v>231</v>
      </c>
      <c r="C31" s="67">
        <v>100</v>
      </c>
      <c r="D31" s="106">
        <v>23313246.899999999</v>
      </c>
    </row>
    <row r="32" spans="1:4" ht="15.75" thickBot="1" x14ac:dyDescent="0.3">
      <c r="A32" s="229"/>
      <c r="B32" s="192" t="s">
        <v>693</v>
      </c>
      <c r="C32" s="69">
        <v>100</v>
      </c>
      <c r="D32" s="68">
        <v>23313246.899999999</v>
      </c>
    </row>
    <row r="33" spans="1:4" ht="15.75" thickBot="1" x14ac:dyDescent="0.3">
      <c r="A33" s="176" t="s">
        <v>248</v>
      </c>
      <c r="B33" s="179" t="s">
        <v>228</v>
      </c>
      <c r="C33" s="67">
        <v>25</v>
      </c>
      <c r="D33" s="106">
        <v>723568984.34000003</v>
      </c>
    </row>
    <row r="34" spans="1:4" ht="23.25" thickBot="1" x14ac:dyDescent="0.3">
      <c r="A34" s="176" t="s">
        <v>249</v>
      </c>
      <c r="B34" s="179" t="s">
        <v>231</v>
      </c>
      <c r="C34" s="67">
        <v>75</v>
      </c>
      <c r="D34" s="106">
        <v>2170706953</v>
      </c>
    </row>
    <row r="35" spans="1:4" ht="15.75" thickBot="1" x14ac:dyDescent="0.3">
      <c r="A35" s="338"/>
      <c r="B35" s="192" t="s">
        <v>694</v>
      </c>
      <c r="C35" s="69">
        <v>100</v>
      </c>
      <c r="D35" s="68">
        <v>2894275937.3400002</v>
      </c>
    </row>
    <row r="36" spans="1:4" ht="15.75" thickBot="1" x14ac:dyDescent="0.3">
      <c r="A36" s="224" t="s">
        <v>590</v>
      </c>
      <c r="B36" s="233"/>
      <c r="C36" s="225"/>
      <c r="D36" s="112">
        <v>3913824182.96</v>
      </c>
    </row>
  </sheetData>
  <mergeCells count="4">
    <mergeCell ref="A4:D4"/>
    <mergeCell ref="A31:A32"/>
    <mergeCell ref="A36:C36"/>
    <mergeCell ref="A2:D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499984740745262"/>
  </sheetPr>
  <dimension ref="A1:L23"/>
  <sheetViews>
    <sheetView zoomScale="90" zoomScaleNormal="90" workbookViewId="0">
      <selection activeCell="B11" sqref="B11"/>
    </sheetView>
  </sheetViews>
  <sheetFormatPr baseColWidth="10" defaultRowHeight="15" x14ac:dyDescent="0.25"/>
  <cols>
    <col min="1" max="1" width="20.5703125" customWidth="1"/>
  </cols>
  <sheetData>
    <row r="1" spans="1:12" x14ac:dyDescent="0.25">
      <c r="A1" s="315"/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</row>
    <row r="2" spans="1:12" x14ac:dyDescent="0.25">
      <c r="A2" s="316" t="s">
        <v>722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</row>
    <row r="3" spans="1:12" ht="15.75" thickBot="1" x14ac:dyDescent="0.3">
      <c r="A3" s="332"/>
      <c r="B3" s="332"/>
      <c r="C3" s="332"/>
      <c r="D3" s="332"/>
      <c r="E3" s="332"/>
      <c r="F3" s="332"/>
      <c r="G3" s="332"/>
      <c r="H3" s="332"/>
      <c r="I3" s="332"/>
      <c r="J3" s="332"/>
      <c r="K3" s="332"/>
      <c r="L3" s="332"/>
    </row>
    <row r="4" spans="1:12" ht="15.75" thickBot="1" x14ac:dyDescent="0.3">
      <c r="A4" s="213" t="s">
        <v>321</v>
      </c>
      <c r="B4" s="121">
        <v>2014</v>
      </c>
      <c r="C4" s="121">
        <v>2015</v>
      </c>
      <c r="D4" s="121">
        <v>2016</v>
      </c>
      <c r="E4" s="121">
        <v>2017</v>
      </c>
      <c r="F4" s="121">
        <v>2018</v>
      </c>
      <c r="G4" s="121">
        <v>2019</v>
      </c>
      <c r="H4" s="121">
        <v>2020</v>
      </c>
      <c r="I4" s="121">
        <v>2021</v>
      </c>
      <c r="J4" s="121">
        <v>2022</v>
      </c>
      <c r="K4" s="315"/>
      <c r="L4" s="315"/>
    </row>
    <row r="5" spans="1:12" ht="15.75" thickBot="1" x14ac:dyDescent="0.3">
      <c r="A5" s="105" t="s">
        <v>241</v>
      </c>
      <c r="B5" s="181">
        <v>592.92999999999995</v>
      </c>
      <c r="C5" s="181">
        <v>321.58</v>
      </c>
      <c r="D5" s="181">
        <v>263.45999999999998</v>
      </c>
      <c r="E5" s="181">
        <v>302.22000000000003</v>
      </c>
      <c r="F5" s="181">
        <v>431.71</v>
      </c>
      <c r="G5" s="181">
        <v>412.19</v>
      </c>
      <c r="H5" s="181">
        <v>259.45999999999998</v>
      </c>
      <c r="I5" s="181">
        <v>441.03</v>
      </c>
      <c r="J5" s="181">
        <v>573.55999999999995</v>
      </c>
      <c r="K5" s="315"/>
      <c r="L5" s="315"/>
    </row>
    <row r="6" spans="1:12" ht="15.75" thickBot="1" x14ac:dyDescent="0.3">
      <c r="A6" s="105" t="s">
        <v>244</v>
      </c>
      <c r="B6" s="181">
        <v>218.71</v>
      </c>
      <c r="C6" s="181">
        <v>112.11</v>
      </c>
      <c r="D6" s="181">
        <v>86.17</v>
      </c>
      <c r="E6" s="181">
        <v>96.06</v>
      </c>
      <c r="F6" s="181">
        <v>126.45</v>
      </c>
      <c r="G6" s="181">
        <v>117.47</v>
      </c>
      <c r="H6" s="181">
        <v>65.84</v>
      </c>
      <c r="I6" s="181">
        <v>110.42</v>
      </c>
      <c r="J6" s="181">
        <v>143.58000000000001</v>
      </c>
      <c r="K6" s="315"/>
      <c r="L6" s="315"/>
    </row>
    <row r="7" spans="1:12" ht="23.25" thickBot="1" x14ac:dyDescent="0.3">
      <c r="A7" s="105" t="s">
        <v>695</v>
      </c>
      <c r="B7" s="181">
        <v>10.130000000000001</v>
      </c>
      <c r="C7" s="181">
        <v>25.95</v>
      </c>
      <c r="D7" s="181">
        <v>15.1</v>
      </c>
      <c r="E7" s="181">
        <v>28.65</v>
      </c>
      <c r="F7" s="181">
        <v>33</v>
      </c>
      <c r="G7" s="181">
        <v>28.36</v>
      </c>
      <c r="H7" s="181">
        <v>11.95</v>
      </c>
      <c r="I7" s="181">
        <v>18.5</v>
      </c>
      <c r="J7" s="181">
        <v>23.31</v>
      </c>
      <c r="K7" s="315"/>
      <c r="L7" s="315"/>
    </row>
    <row r="8" spans="1:12" ht="15.75" thickBot="1" x14ac:dyDescent="0.3">
      <c r="A8" s="105" t="s">
        <v>225</v>
      </c>
      <c r="B8" s="181">
        <v>335.85</v>
      </c>
      <c r="C8" s="181">
        <v>119.89</v>
      </c>
      <c r="D8" s="181">
        <v>29.59</v>
      </c>
      <c r="E8" s="181">
        <v>66.84</v>
      </c>
      <c r="F8" s="181">
        <v>135.63</v>
      </c>
      <c r="G8" s="181">
        <v>146.27000000000001</v>
      </c>
      <c r="H8" s="181">
        <v>57.83</v>
      </c>
      <c r="I8" s="181">
        <v>123.67</v>
      </c>
      <c r="J8" s="181">
        <v>215.03</v>
      </c>
      <c r="K8" s="315"/>
      <c r="L8" s="315"/>
    </row>
    <row r="9" spans="1:12" ht="15.75" thickBot="1" x14ac:dyDescent="0.3">
      <c r="A9" s="105" t="s">
        <v>232</v>
      </c>
      <c r="B9" s="181">
        <v>119.04</v>
      </c>
      <c r="C9" s="181">
        <v>60.34</v>
      </c>
      <c r="D9" s="181">
        <v>28.36</v>
      </c>
      <c r="E9" s="181">
        <v>28.3</v>
      </c>
      <c r="F9" s="181">
        <v>51.69</v>
      </c>
      <c r="G9" s="181">
        <v>50.04</v>
      </c>
      <c r="H9" s="181">
        <v>19.36</v>
      </c>
      <c r="I9" s="181">
        <v>37.69</v>
      </c>
      <c r="J9" s="181">
        <v>64.06</v>
      </c>
      <c r="K9" s="315"/>
      <c r="L9" s="315"/>
    </row>
    <row r="10" spans="1:12" ht="15.75" thickBot="1" x14ac:dyDescent="0.3">
      <c r="A10" s="105" t="s">
        <v>248</v>
      </c>
      <c r="B10" s="214">
        <v>1496.45</v>
      </c>
      <c r="C10" s="181">
        <v>942.73</v>
      </c>
      <c r="D10" s="181">
        <v>905.09</v>
      </c>
      <c r="E10" s="214">
        <v>1036.1500000000001</v>
      </c>
      <c r="F10" s="214">
        <v>1289.3</v>
      </c>
      <c r="G10" s="181">
        <v>921.1</v>
      </c>
      <c r="H10" s="181">
        <v>737.39</v>
      </c>
      <c r="I10" s="214">
        <v>2076.63</v>
      </c>
      <c r="J10" s="214">
        <v>2894.28</v>
      </c>
      <c r="K10" s="315"/>
      <c r="L10" s="315"/>
    </row>
    <row r="11" spans="1:12" ht="23.25" thickBot="1" x14ac:dyDescent="0.3">
      <c r="A11" s="92" t="s">
        <v>696</v>
      </c>
      <c r="B11" s="384">
        <v>2773.12</v>
      </c>
      <c r="C11" s="385">
        <v>1582.6</v>
      </c>
      <c r="D11" s="385">
        <v>1327.76</v>
      </c>
      <c r="E11" s="385">
        <v>1558.22</v>
      </c>
      <c r="F11" s="385">
        <v>2067.77</v>
      </c>
      <c r="G11" s="385">
        <v>1675.43</v>
      </c>
      <c r="H11" s="385">
        <v>1151.8399999999999</v>
      </c>
      <c r="I11" s="385">
        <v>2807.94</v>
      </c>
      <c r="J11" s="385">
        <v>3913.82</v>
      </c>
      <c r="K11" s="315"/>
      <c r="L11" s="315"/>
    </row>
    <row r="12" spans="1:12" x14ac:dyDescent="0.25">
      <c r="A12" s="315"/>
      <c r="B12" s="315"/>
      <c r="C12" s="315"/>
      <c r="D12" s="315"/>
      <c r="E12" s="315"/>
      <c r="F12" s="315"/>
      <c r="G12" s="315"/>
      <c r="H12" s="315"/>
      <c r="I12" s="315"/>
      <c r="J12" s="315"/>
      <c r="K12" s="315"/>
      <c r="L12" s="315"/>
    </row>
    <row r="13" spans="1:12" x14ac:dyDescent="0.25">
      <c r="A13" s="315"/>
      <c r="B13" s="315"/>
      <c r="C13" s="315"/>
      <c r="D13" s="315"/>
      <c r="E13" s="315"/>
      <c r="F13" s="315"/>
      <c r="G13" s="315"/>
      <c r="H13" s="315"/>
      <c r="I13" s="315"/>
      <c r="J13" s="315"/>
      <c r="K13" s="315"/>
      <c r="L13" s="315"/>
    </row>
    <row r="14" spans="1:12" x14ac:dyDescent="0.25">
      <c r="A14" s="315"/>
      <c r="B14" s="315"/>
      <c r="C14" s="315"/>
      <c r="D14" s="315"/>
      <c r="E14" s="315"/>
      <c r="F14" s="315"/>
      <c r="G14" s="315"/>
      <c r="H14" s="315"/>
      <c r="I14" s="315"/>
      <c r="J14" s="315"/>
      <c r="K14" s="315"/>
      <c r="L14" s="315"/>
    </row>
    <row r="15" spans="1:12" x14ac:dyDescent="0.25">
      <c r="A15" s="315"/>
      <c r="B15" s="315"/>
      <c r="C15" s="315"/>
      <c r="D15" s="315"/>
      <c r="E15" s="315"/>
      <c r="F15" s="315"/>
      <c r="G15" s="315"/>
      <c r="H15" s="315"/>
      <c r="I15" s="315"/>
      <c r="J15" s="315"/>
      <c r="K15" s="315"/>
      <c r="L15" s="315"/>
    </row>
    <row r="16" spans="1:12" x14ac:dyDescent="0.25">
      <c r="A16" s="315"/>
      <c r="B16" s="315"/>
      <c r="C16" s="315"/>
      <c r="D16" s="315"/>
      <c r="E16" s="315"/>
      <c r="F16" s="315"/>
      <c r="G16" s="315"/>
      <c r="H16" s="315"/>
      <c r="I16" s="315"/>
      <c r="J16" s="315"/>
      <c r="K16" s="315"/>
      <c r="L16" s="315"/>
    </row>
    <row r="17" spans="1:12" x14ac:dyDescent="0.25">
      <c r="A17" s="315"/>
      <c r="B17" s="315"/>
      <c r="C17" s="315"/>
      <c r="D17" s="315"/>
      <c r="E17" s="315"/>
      <c r="F17" s="315"/>
      <c r="G17" s="315"/>
      <c r="H17" s="315"/>
      <c r="I17" s="315"/>
      <c r="J17" s="315"/>
      <c r="K17" s="315"/>
      <c r="L17" s="315"/>
    </row>
    <row r="18" spans="1:12" x14ac:dyDescent="0.25">
      <c r="A18" s="315"/>
      <c r="B18" s="315"/>
      <c r="C18" s="315"/>
      <c r="D18" s="315"/>
      <c r="E18" s="315"/>
      <c r="F18" s="315"/>
      <c r="G18" s="315"/>
      <c r="H18" s="315"/>
      <c r="I18" s="315"/>
      <c r="J18" s="315"/>
      <c r="K18" s="315"/>
      <c r="L18" s="315"/>
    </row>
    <row r="19" spans="1:12" x14ac:dyDescent="0.25">
      <c r="A19" s="315"/>
      <c r="B19" s="315"/>
      <c r="C19" s="315"/>
      <c r="D19" s="315"/>
      <c r="E19" s="315"/>
      <c r="F19" s="315"/>
      <c r="G19" s="315"/>
      <c r="H19" s="315"/>
      <c r="I19" s="315"/>
      <c r="J19" s="315"/>
      <c r="K19" s="315"/>
      <c r="L19" s="315"/>
    </row>
    <row r="20" spans="1:12" x14ac:dyDescent="0.25">
      <c r="A20" s="315"/>
      <c r="B20" s="315"/>
      <c r="C20" s="315"/>
      <c r="D20" s="315"/>
      <c r="E20" s="315"/>
      <c r="F20" s="315"/>
      <c r="G20" s="315"/>
      <c r="H20" s="315"/>
      <c r="I20" s="315"/>
      <c r="J20" s="315"/>
      <c r="K20" s="315"/>
      <c r="L20" s="315"/>
    </row>
    <row r="21" spans="1:12" x14ac:dyDescent="0.25">
      <c r="A21" s="315"/>
      <c r="B21" s="315"/>
      <c r="C21" s="315"/>
      <c r="D21" s="315"/>
      <c r="E21" s="315"/>
      <c r="F21" s="315"/>
      <c r="G21" s="315"/>
      <c r="H21" s="315"/>
      <c r="I21" s="315"/>
      <c r="J21" s="315"/>
      <c r="K21" s="315"/>
      <c r="L21" s="315"/>
    </row>
    <row r="22" spans="1:12" x14ac:dyDescent="0.25">
      <c r="A22" s="315"/>
      <c r="B22" s="315"/>
      <c r="C22" s="315"/>
      <c r="D22" s="315"/>
      <c r="E22" s="315"/>
      <c r="F22" s="315"/>
      <c r="G22" s="315"/>
      <c r="H22" s="315"/>
      <c r="I22" s="315"/>
      <c r="J22" s="315"/>
      <c r="K22" s="315"/>
      <c r="L22" s="315"/>
    </row>
    <row r="23" spans="1:12" x14ac:dyDescent="0.25">
      <c r="A23" s="315"/>
      <c r="B23" s="315"/>
      <c r="C23" s="315"/>
      <c r="D23" s="315"/>
      <c r="E23" s="315"/>
      <c r="F23" s="315"/>
      <c r="G23" s="315"/>
      <c r="H23" s="315"/>
      <c r="I23" s="315"/>
      <c r="J23" s="315"/>
      <c r="K23" s="315"/>
      <c r="L23" s="315"/>
    </row>
  </sheetData>
  <mergeCells count="1">
    <mergeCell ref="A2:L2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6F00-77CE-41DF-90E1-E732525D2268}">
  <sheetPr>
    <tabColor theme="8" tint="-0.249977111117893"/>
    <pageSetUpPr fitToPage="1"/>
  </sheetPr>
  <dimension ref="A1:I58"/>
  <sheetViews>
    <sheetView zoomScale="80" zoomScaleNormal="80" workbookViewId="0">
      <selection sqref="A1:I1"/>
    </sheetView>
  </sheetViews>
  <sheetFormatPr baseColWidth="10" defaultRowHeight="15" x14ac:dyDescent="0.25"/>
  <cols>
    <col min="1" max="6" width="11.42578125" style="29"/>
    <col min="8" max="8" width="12.5703125" bestFit="1" customWidth="1"/>
    <col min="9" max="9" width="13" bestFit="1" customWidth="1"/>
  </cols>
  <sheetData>
    <row r="1" spans="1:9" x14ac:dyDescent="0.25">
      <c r="A1" s="316" t="s">
        <v>559</v>
      </c>
      <c r="B1" s="316"/>
      <c r="C1" s="316"/>
      <c r="D1" s="316"/>
      <c r="E1" s="316"/>
      <c r="F1" s="316"/>
      <c r="G1" s="316"/>
      <c r="H1" s="316"/>
      <c r="I1" s="316"/>
    </row>
    <row r="2" spans="1:9" ht="15.75" thickBot="1" x14ac:dyDescent="0.3">
      <c r="A2" s="387"/>
      <c r="B2" s="387"/>
      <c r="C2" s="387"/>
      <c r="D2" s="387"/>
      <c r="E2" s="387"/>
      <c r="F2" s="387"/>
      <c r="G2" s="394"/>
      <c r="H2" s="315"/>
      <c r="I2" s="315"/>
    </row>
    <row r="3" spans="1:9" ht="14.45" customHeight="1" thickBot="1" x14ac:dyDescent="0.3">
      <c r="A3" s="217" t="s">
        <v>541</v>
      </c>
      <c r="B3" s="218"/>
      <c r="C3" s="218"/>
      <c r="D3" s="218"/>
      <c r="E3" s="218"/>
      <c r="F3" s="218"/>
      <c r="G3" s="218"/>
      <c r="H3" s="218"/>
      <c r="I3" s="218"/>
    </row>
    <row r="4" spans="1:9" ht="15.75" thickBot="1" x14ac:dyDescent="0.3">
      <c r="A4" s="263" t="s">
        <v>462</v>
      </c>
      <c r="B4" s="264"/>
      <c r="C4" s="265"/>
      <c r="D4" s="91" t="s">
        <v>324</v>
      </c>
      <c r="E4" s="190" t="s">
        <v>325</v>
      </c>
      <c r="F4" s="190" t="s">
        <v>326</v>
      </c>
      <c r="G4" s="190" t="s">
        <v>359</v>
      </c>
      <c r="H4" s="190" t="s">
        <v>360</v>
      </c>
      <c r="I4" s="190" t="s">
        <v>361</v>
      </c>
    </row>
    <row r="5" spans="1:9" ht="14.45" customHeight="1" thickBot="1" x14ac:dyDescent="0.3">
      <c r="A5" s="279" t="s">
        <v>542</v>
      </c>
      <c r="B5" s="280"/>
      <c r="C5" s="280"/>
      <c r="D5" s="280"/>
      <c r="E5" s="280"/>
      <c r="F5" s="280"/>
      <c r="G5" s="280"/>
      <c r="H5" s="280"/>
      <c r="I5" s="280"/>
    </row>
    <row r="6" spans="1:9" ht="14.45" customHeight="1" thickBot="1" x14ac:dyDescent="0.3">
      <c r="A6" s="273" t="s">
        <v>327</v>
      </c>
      <c r="B6" s="274"/>
      <c r="C6" s="275"/>
      <c r="D6" s="106">
        <v>12073.83</v>
      </c>
      <c r="E6" s="106">
        <v>3399.62</v>
      </c>
      <c r="F6" s="124">
        <v>1115.04</v>
      </c>
      <c r="G6" s="124">
        <v>1025.2</v>
      </c>
      <c r="H6" s="124">
        <v>6533.97</v>
      </c>
      <c r="I6" s="66" t="s">
        <v>2</v>
      </c>
    </row>
    <row r="7" spans="1:9" ht="14.45" customHeight="1" thickBot="1" x14ac:dyDescent="0.3">
      <c r="A7" s="273" t="s">
        <v>328</v>
      </c>
      <c r="B7" s="274"/>
      <c r="C7" s="275"/>
      <c r="D7" s="106">
        <v>21025.54</v>
      </c>
      <c r="E7" s="67" t="s">
        <v>2</v>
      </c>
      <c r="F7" s="126" t="s">
        <v>2</v>
      </c>
      <c r="G7" s="124">
        <v>1272.5999999999999</v>
      </c>
      <c r="H7" s="124">
        <v>19752.939999999999</v>
      </c>
      <c r="I7" s="66" t="s">
        <v>2</v>
      </c>
    </row>
    <row r="8" spans="1:9" ht="11.25" customHeight="1" thickBot="1" x14ac:dyDescent="0.3">
      <c r="A8" s="276" t="s">
        <v>543</v>
      </c>
      <c r="B8" s="277"/>
      <c r="C8" s="278"/>
      <c r="D8" s="115">
        <v>33099.370000000003</v>
      </c>
      <c r="E8" s="115">
        <v>3399.62</v>
      </c>
      <c r="F8" s="128">
        <v>1115.04</v>
      </c>
      <c r="G8" s="128">
        <v>2297.8000000000002</v>
      </c>
      <c r="H8" s="128">
        <v>26286.91</v>
      </c>
      <c r="I8" s="119" t="s">
        <v>203</v>
      </c>
    </row>
    <row r="9" spans="1:9" ht="14.45" customHeight="1" thickBot="1" x14ac:dyDescent="0.3">
      <c r="A9" s="116"/>
      <c r="B9" s="117"/>
      <c r="C9" s="117"/>
      <c r="D9" s="393"/>
      <c r="E9" s="393"/>
      <c r="F9" s="386"/>
      <c r="G9" s="386"/>
      <c r="H9" s="386"/>
      <c r="I9" s="393"/>
    </row>
    <row r="10" spans="1:9" ht="14.45" customHeight="1" thickBot="1" x14ac:dyDescent="0.3">
      <c r="A10" s="279" t="s">
        <v>329</v>
      </c>
      <c r="B10" s="280"/>
      <c r="C10" s="281"/>
      <c r="D10" s="118"/>
      <c r="E10" s="118"/>
      <c r="F10" s="129"/>
      <c r="G10" s="129"/>
      <c r="H10" s="129"/>
      <c r="I10" s="118"/>
    </row>
    <row r="11" spans="1:9" ht="14.45" customHeight="1" thickBot="1" x14ac:dyDescent="0.3">
      <c r="A11" s="279" t="s">
        <v>544</v>
      </c>
      <c r="B11" s="280"/>
      <c r="C11" s="280"/>
      <c r="D11" s="280"/>
      <c r="E11" s="280"/>
      <c r="F11" s="280"/>
      <c r="G11" s="280"/>
      <c r="H11" s="280"/>
      <c r="I11" s="281"/>
    </row>
    <row r="12" spans="1:9" ht="14.45" customHeight="1" thickBot="1" x14ac:dyDescent="0.3">
      <c r="A12" s="273" t="s">
        <v>334</v>
      </c>
      <c r="B12" s="274"/>
      <c r="C12" s="275"/>
      <c r="D12" s="67">
        <v>614.66</v>
      </c>
      <c r="E12" s="67">
        <v>271.45</v>
      </c>
      <c r="F12" s="126">
        <v>88.09</v>
      </c>
      <c r="G12" s="130">
        <v>255.13</v>
      </c>
      <c r="H12" s="126" t="s">
        <v>203</v>
      </c>
      <c r="I12" s="67" t="s">
        <v>203</v>
      </c>
    </row>
    <row r="13" spans="1:9" ht="14.45" customHeight="1" thickBot="1" x14ac:dyDescent="0.3">
      <c r="A13" s="273" t="s">
        <v>333</v>
      </c>
      <c r="B13" s="274"/>
      <c r="C13" s="275"/>
      <c r="D13" s="106">
        <v>3070.79</v>
      </c>
      <c r="E13" s="67">
        <v>237.44</v>
      </c>
      <c r="F13" s="126">
        <v>266.16000000000003</v>
      </c>
      <c r="G13" s="389">
        <v>2567.19</v>
      </c>
      <c r="H13" s="126" t="s">
        <v>203</v>
      </c>
      <c r="I13" s="67" t="s">
        <v>203</v>
      </c>
    </row>
    <row r="14" spans="1:9" ht="14.45" customHeight="1" thickBot="1" x14ac:dyDescent="0.3">
      <c r="A14" s="273" t="s">
        <v>339</v>
      </c>
      <c r="B14" s="274"/>
      <c r="C14" s="275"/>
      <c r="D14" s="67">
        <v>48.34</v>
      </c>
      <c r="E14" s="67">
        <v>32.15</v>
      </c>
      <c r="F14" s="126" t="s">
        <v>2</v>
      </c>
      <c r="G14" s="130">
        <v>16.190000000000001</v>
      </c>
      <c r="H14" s="126" t="s">
        <v>2</v>
      </c>
      <c r="I14" s="67" t="s">
        <v>2</v>
      </c>
    </row>
    <row r="15" spans="1:9" ht="15" customHeight="1" thickBot="1" x14ac:dyDescent="0.3">
      <c r="A15" s="273" t="s">
        <v>545</v>
      </c>
      <c r="B15" s="274"/>
      <c r="C15" s="275"/>
      <c r="D15" s="106">
        <v>1030.32</v>
      </c>
      <c r="E15" s="67">
        <v>21.65</v>
      </c>
      <c r="F15" s="126">
        <v>30.04</v>
      </c>
      <c r="G15" s="130">
        <v>978.63</v>
      </c>
      <c r="H15" s="126" t="s">
        <v>203</v>
      </c>
      <c r="I15" s="67" t="s">
        <v>203</v>
      </c>
    </row>
    <row r="16" spans="1:9" ht="15" customHeight="1" thickBot="1" x14ac:dyDescent="0.3">
      <c r="A16" s="273" t="s">
        <v>546</v>
      </c>
      <c r="B16" s="274"/>
      <c r="C16" s="275"/>
      <c r="D16" s="67">
        <v>92.37</v>
      </c>
      <c r="E16" s="67" t="s">
        <v>203</v>
      </c>
      <c r="F16" s="126" t="s">
        <v>203</v>
      </c>
      <c r="G16" s="130" t="s">
        <v>203</v>
      </c>
      <c r="H16" s="126">
        <v>92.37</v>
      </c>
      <c r="I16" s="67" t="s">
        <v>203</v>
      </c>
    </row>
    <row r="17" spans="1:9" ht="15" customHeight="1" thickBot="1" x14ac:dyDescent="0.3">
      <c r="A17" s="273" t="s">
        <v>547</v>
      </c>
      <c r="B17" s="274"/>
      <c r="C17" s="275"/>
      <c r="D17" s="67">
        <v>59.54</v>
      </c>
      <c r="E17" s="67" t="s">
        <v>203</v>
      </c>
      <c r="F17" s="126" t="s">
        <v>203</v>
      </c>
      <c r="G17" s="130" t="s">
        <v>203</v>
      </c>
      <c r="H17" s="126">
        <v>59.54</v>
      </c>
      <c r="I17" s="67" t="s">
        <v>203</v>
      </c>
    </row>
    <row r="18" spans="1:9" ht="14.45" customHeight="1" thickBot="1" x14ac:dyDescent="0.3">
      <c r="A18" s="273" t="s">
        <v>335</v>
      </c>
      <c r="B18" s="274"/>
      <c r="C18" s="275"/>
      <c r="D18" s="67">
        <v>373.63</v>
      </c>
      <c r="E18" s="67">
        <v>221.46</v>
      </c>
      <c r="F18" s="126">
        <v>14.63</v>
      </c>
      <c r="G18" s="130">
        <v>137.54</v>
      </c>
      <c r="H18" s="126" t="s">
        <v>203</v>
      </c>
      <c r="I18" s="67" t="s">
        <v>203</v>
      </c>
    </row>
    <row r="19" spans="1:9" ht="14.45" customHeight="1" thickBot="1" x14ac:dyDescent="0.3">
      <c r="A19" s="273" t="s">
        <v>336</v>
      </c>
      <c r="B19" s="274"/>
      <c r="C19" s="275"/>
      <c r="D19" s="67">
        <v>35.06</v>
      </c>
      <c r="E19" s="66" t="s">
        <v>203</v>
      </c>
      <c r="F19" s="126" t="s">
        <v>203</v>
      </c>
      <c r="G19" s="130">
        <v>35.06</v>
      </c>
      <c r="H19" s="130" t="s">
        <v>203</v>
      </c>
      <c r="I19" s="67" t="s">
        <v>203</v>
      </c>
    </row>
    <row r="20" spans="1:9" ht="14.45" customHeight="1" thickBot="1" x14ac:dyDescent="0.3">
      <c r="A20" s="273" t="s">
        <v>337</v>
      </c>
      <c r="B20" s="274"/>
      <c r="C20" s="275"/>
      <c r="D20" s="67">
        <v>467.79</v>
      </c>
      <c r="E20" s="67">
        <v>95.37</v>
      </c>
      <c r="F20" s="126">
        <v>2.2400000000000002</v>
      </c>
      <c r="G20" s="130">
        <v>350.03</v>
      </c>
      <c r="H20" s="126">
        <v>20.149999999999999</v>
      </c>
      <c r="I20" s="67" t="s">
        <v>203</v>
      </c>
    </row>
    <row r="21" spans="1:9" ht="14.45" customHeight="1" thickBot="1" x14ac:dyDescent="0.3">
      <c r="A21" s="273" t="s">
        <v>347</v>
      </c>
      <c r="B21" s="274"/>
      <c r="C21" s="275"/>
      <c r="D21" s="67">
        <v>0.04</v>
      </c>
      <c r="E21" s="67">
        <v>0.04</v>
      </c>
      <c r="F21" s="126" t="s">
        <v>2</v>
      </c>
      <c r="G21" s="130" t="s">
        <v>2</v>
      </c>
      <c r="H21" s="126" t="s">
        <v>2</v>
      </c>
      <c r="I21" s="67" t="s">
        <v>203</v>
      </c>
    </row>
    <row r="22" spans="1:9" ht="14.45" customHeight="1" thickBot="1" x14ac:dyDescent="0.3">
      <c r="A22" s="273" t="s">
        <v>342</v>
      </c>
      <c r="B22" s="274"/>
      <c r="C22" s="275"/>
      <c r="D22" s="67">
        <v>782.72</v>
      </c>
      <c r="E22" s="67">
        <v>78.36</v>
      </c>
      <c r="F22" s="126">
        <v>20.04</v>
      </c>
      <c r="G22" s="130">
        <v>115.16</v>
      </c>
      <c r="H22" s="126">
        <v>569.15</v>
      </c>
      <c r="I22" s="67" t="s">
        <v>203</v>
      </c>
    </row>
    <row r="23" spans="1:9" ht="14.45" customHeight="1" thickBot="1" x14ac:dyDescent="0.3">
      <c r="A23" s="273" t="s">
        <v>354</v>
      </c>
      <c r="B23" s="274"/>
      <c r="C23" s="275"/>
      <c r="D23" s="67">
        <v>47.26</v>
      </c>
      <c r="E23" s="67">
        <v>47.26</v>
      </c>
      <c r="F23" s="126" t="s">
        <v>203</v>
      </c>
      <c r="G23" s="130" t="s">
        <v>203</v>
      </c>
      <c r="H23" s="126" t="s">
        <v>203</v>
      </c>
      <c r="I23" s="67" t="s">
        <v>203</v>
      </c>
    </row>
    <row r="24" spans="1:9" ht="14.45" customHeight="1" thickBot="1" x14ac:dyDescent="0.3">
      <c r="A24" s="273" t="s">
        <v>343</v>
      </c>
      <c r="B24" s="274"/>
      <c r="C24" s="275"/>
      <c r="D24" s="67">
        <v>85.82</v>
      </c>
      <c r="E24" s="67">
        <v>5.42</v>
      </c>
      <c r="F24" s="126" t="s">
        <v>203</v>
      </c>
      <c r="G24" s="130">
        <v>80.41</v>
      </c>
      <c r="H24" s="126" t="s">
        <v>203</v>
      </c>
      <c r="I24" s="67" t="s">
        <v>2</v>
      </c>
    </row>
    <row r="25" spans="1:9" ht="16.5" customHeight="1" thickBot="1" x14ac:dyDescent="0.3">
      <c r="A25" s="273" t="s">
        <v>338</v>
      </c>
      <c r="B25" s="274"/>
      <c r="C25" s="275"/>
      <c r="D25" s="67">
        <v>246.98</v>
      </c>
      <c r="E25" s="67">
        <v>158.01</v>
      </c>
      <c r="F25" s="126">
        <v>88.97</v>
      </c>
      <c r="G25" s="130" t="s">
        <v>203</v>
      </c>
      <c r="H25" s="126" t="s">
        <v>203</v>
      </c>
      <c r="I25" s="67" t="s">
        <v>203</v>
      </c>
    </row>
    <row r="26" spans="1:9" ht="15" customHeight="1" thickBot="1" x14ac:dyDescent="0.3">
      <c r="A26" s="273" t="s">
        <v>330</v>
      </c>
      <c r="B26" s="274"/>
      <c r="C26" s="275"/>
      <c r="D26" s="67">
        <v>252.21</v>
      </c>
      <c r="E26" s="67" t="s">
        <v>203</v>
      </c>
      <c r="F26" s="126" t="s">
        <v>203</v>
      </c>
      <c r="G26" s="130">
        <v>0.7</v>
      </c>
      <c r="H26" s="126">
        <v>251.51</v>
      </c>
      <c r="I26" s="67" t="s">
        <v>203</v>
      </c>
    </row>
    <row r="27" spans="1:9" ht="15" customHeight="1" thickBot="1" x14ac:dyDescent="0.3">
      <c r="A27" s="273" t="s">
        <v>331</v>
      </c>
      <c r="B27" s="274"/>
      <c r="C27" s="275"/>
      <c r="D27" s="106">
        <v>6916.65</v>
      </c>
      <c r="E27" s="106">
        <v>1676.35</v>
      </c>
      <c r="F27" s="126">
        <v>117.89</v>
      </c>
      <c r="G27" s="389">
        <v>4166.12</v>
      </c>
      <c r="H27" s="126">
        <v>956.29</v>
      </c>
      <c r="I27" s="67" t="s">
        <v>203</v>
      </c>
    </row>
    <row r="28" spans="1:9" ht="15" customHeight="1" thickBot="1" x14ac:dyDescent="0.3">
      <c r="A28" s="273" t="s">
        <v>344</v>
      </c>
      <c r="B28" s="274"/>
      <c r="C28" s="275"/>
      <c r="D28" s="67">
        <v>43.9</v>
      </c>
      <c r="E28" s="66" t="s">
        <v>203</v>
      </c>
      <c r="F28" s="126" t="s">
        <v>203</v>
      </c>
      <c r="G28" s="130" t="s">
        <v>203</v>
      </c>
      <c r="H28" s="126">
        <v>43.9</v>
      </c>
      <c r="I28" s="67" t="s">
        <v>203</v>
      </c>
    </row>
    <row r="29" spans="1:9" ht="16.5" customHeight="1" thickBot="1" x14ac:dyDescent="0.3">
      <c r="A29" s="273" t="s">
        <v>332</v>
      </c>
      <c r="B29" s="274"/>
      <c r="C29" s="275"/>
      <c r="D29" s="67">
        <v>362.79</v>
      </c>
      <c r="E29" s="66" t="s">
        <v>203</v>
      </c>
      <c r="F29" s="126" t="s">
        <v>203</v>
      </c>
      <c r="G29" s="130" t="s">
        <v>203</v>
      </c>
      <c r="H29" s="126">
        <v>362.79</v>
      </c>
      <c r="I29" s="67" t="s">
        <v>203</v>
      </c>
    </row>
    <row r="30" spans="1:9" ht="16.5" customHeight="1" thickBot="1" x14ac:dyDescent="0.3">
      <c r="A30" s="273" t="s">
        <v>410</v>
      </c>
      <c r="B30" s="274"/>
      <c r="C30" s="275"/>
      <c r="D30" s="67">
        <v>2.2000000000000002</v>
      </c>
      <c r="E30" s="66" t="s">
        <v>203</v>
      </c>
      <c r="F30" s="126" t="s">
        <v>203</v>
      </c>
      <c r="G30" s="130">
        <v>2.2000000000000002</v>
      </c>
      <c r="H30" s="126" t="s">
        <v>203</v>
      </c>
      <c r="I30" s="67" t="s">
        <v>203</v>
      </c>
    </row>
    <row r="31" spans="1:9" ht="14.45" customHeight="1" thickBot="1" x14ac:dyDescent="0.3">
      <c r="A31" s="276" t="s">
        <v>548</v>
      </c>
      <c r="B31" s="277"/>
      <c r="C31" s="278"/>
      <c r="D31" s="115">
        <v>14533.05</v>
      </c>
      <c r="E31" s="115">
        <v>2844.95</v>
      </c>
      <c r="F31" s="132">
        <v>628.05999999999995</v>
      </c>
      <c r="G31" s="390">
        <v>8704.34</v>
      </c>
      <c r="H31" s="128">
        <v>2355.6999999999998</v>
      </c>
      <c r="I31" s="119" t="s">
        <v>203</v>
      </c>
    </row>
    <row r="32" spans="1:9" ht="15" customHeight="1" thickBot="1" x14ac:dyDescent="0.3">
      <c r="A32" s="279" t="s">
        <v>463</v>
      </c>
      <c r="B32" s="280"/>
      <c r="C32" s="281"/>
      <c r="D32" s="395"/>
      <c r="E32" s="395"/>
      <c r="F32" s="396"/>
      <c r="G32" s="397"/>
      <c r="H32" s="129" t="s">
        <v>723</v>
      </c>
      <c r="I32" s="395"/>
    </row>
    <row r="33" spans="1:9" ht="14.45" customHeight="1" thickBot="1" x14ac:dyDescent="0.3">
      <c r="A33" s="273" t="s">
        <v>349</v>
      </c>
      <c r="B33" s="274"/>
      <c r="C33" s="275"/>
      <c r="D33" s="67">
        <v>244.79</v>
      </c>
      <c r="E33" s="67">
        <v>1.58</v>
      </c>
      <c r="F33" s="126" t="s">
        <v>203</v>
      </c>
      <c r="G33" s="130">
        <v>114.13</v>
      </c>
      <c r="H33" s="126">
        <v>129.09</v>
      </c>
      <c r="I33" s="67" t="s">
        <v>203</v>
      </c>
    </row>
    <row r="34" spans="1:9" ht="14.45" customHeight="1" thickBot="1" x14ac:dyDescent="0.3">
      <c r="A34" s="273" t="s">
        <v>353</v>
      </c>
      <c r="B34" s="274"/>
      <c r="C34" s="275"/>
      <c r="D34" s="67">
        <v>940.32</v>
      </c>
      <c r="E34" s="67">
        <v>65.260000000000005</v>
      </c>
      <c r="F34" s="126">
        <v>194.31</v>
      </c>
      <c r="G34" s="130">
        <v>665.52</v>
      </c>
      <c r="H34" s="126">
        <v>15.24</v>
      </c>
      <c r="I34" s="67" t="s">
        <v>203</v>
      </c>
    </row>
    <row r="35" spans="1:9" ht="14.45" customHeight="1" thickBot="1" x14ac:dyDescent="0.3">
      <c r="A35" s="273" t="s">
        <v>546</v>
      </c>
      <c r="B35" s="274"/>
      <c r="C35" s="275"/>
      <c r="D35" s="67">
        <v>62.94</v>
      </c>
      <c r="E35" s="67" t="s">
        <v>203</v>
      </c>
      <c r="F35" s="126" t="s">
        <v>203</v>
      </c>
      <c r="G35" s="130" t="s">
        <v>203</v>
      </c>
      <c r="H35" s="126">
        <v>62.94</v>
      </c>
      <c r="I35" s="67" t="s">
        <v>2</v>
      </c>
    </row>
    <row r="36" spans="1:9" ht="15.75" thickBot="1" x14ac:dyDescent="0.3">
      <c r="A36" s="273" t="s">
        <v>411</v>
      </c>
      <c r="B36" s="274"/>
      <c r="C36" s="275"/>
      <c r="D36" s="67">
        <v>35.409999999999997</v>
      </c>
      <c r="E36" s="67" t="s">
        <v>203</v>
      </c>
      <c r="F36" s="126" t="s">
        <v>203</v>
      </c>
      <c r="G36" s="130">
        <v>11.97</v>
      </c>
      <c r="H36" s="126">
        <v>23.44</v>
      </c>
      <c r="I36" s="67" t="s">
        <v>203</v>
      </c>
    </row>
    <row r="37" spans="1:9" ht="15" customHeight="1" thickBot="1" x14ac:dyDescent="0.3">
      <c r="A37" s="273" t="s">
        <v>412</v>
      </c>
      <c r="B37" s="274"/>
      <c r="C37" s="275"/>
      <c r="D37" s="67">
        <v>4.47</v>
      </c>
      <c r="E37" s="67">
        <v>1.23</v>
      </c>
      <c r="F37" s="126" t="s">
        <v>2</v>
      </c>
      <c r="G37" s="130">
        <v>3.24</v>
      </c>
      <c r="H37" s="126" t="s">
        <v>203</v>
      </c>
      <c r="I37" s="67" t="s">
        <v>203</v>
      </c>
    </row>
    <row r="38" spans="1:9" ht="14.45" customHeight="1" thickBot="1" x14ac:dyDescent="0.3">
      <c r="A38" s="273" t="s">
        <v>354</v>
      </c>
      <c r="B38" s="274"/>
      <c r="C38" s="275"/>
      <c r="D38" s="67">
        <v>22.16</v>
      </c>
      <c r="E38" s="67">
        <v>22.16</v>
      </c>
      <c r="F38" s="126" t="s">
        <v>203</v>
      </c>
      <c r="G38" s="130" t="s">
        <v>203</v>
      </c>
      <c r="H38" s="126" t="s">
        <v>203</v>
      </c>
      <c r="I38" s="67" t="s">
        <v>203</v>
      </c>
    </row>
    <row r="39" spans="1:9" ht="14.45" customHeight="1" thickBot="1" x14ac:dyDescent="0.3">
      <c r="A39" s="273" t="s">
        <v>549</v>
      </c>
      <c r="B39" s="274"/>
      <c r="C39" s="275"/>
      <c r="D39" s="67">
        <v>0.38</v>
      </c>
      <c r="E39" s="67" t="s">
        <v>203</v>
      </c>
      <c r="F39" s="126" t="s">
        <v>203</v>
      </c>
      <c r="G39" s="130">
        <v>0.38</v>
      </c>
      <c r="H39" s="126" t="s">
        <v>2</v>
      </c>
      <c r="I39" s="67" t="s">
        <v>203</v>
      </c>
    </row>
    <row r="40" spans="1:9" ht="14.45" customHeight="1" thickBot="1" x14ac:dyDescent="0.3">
      <c r="A40" s="273" t="s">
        <v>550</v>
      </c>
      <c r="B40" s="274"/>
      <c r="C40" s="275"/>
      <c r="D40" s="67">
        <v>0.17</v>
      </c>
      <c r="E40" s="67">
        <v>0.17</v>
      </c>
      <c r="F40" s="126" t="s">
        <v>203</v>
      </c>
      <c r="G40" s="130" t="s">
        <v>203</v>
      </c>
      <c r="H40" s="126" t="s">
        <v>203</v>
      </c>
      <c r="I40" s="67" t="s">
        <v>203</v>
      </c>
    </row>
    <row r="41" spans="1:9" ht="14.45" customHeight="1" thickBot="1" x14ac:dyDescent="0.3">
      <c r="A41" s="273" t="s">
        <v>551</v>
      </c>
      <c r="B41" s="274"/>
      <c r="C41" s="275"/>
      <c r="D41" s="67">
        <v>1.19</v>
      </c>
      <c r="E41" s="67" t="s">
        <v>203</v>
      </c>
      <c r="F41" s="126" t="s">
        <v>203</v>
      </c>
      <c r="G41" s="130">
        <v>1.19</v>
      </c>
      <c r="H41" s="126" t="s">
        <v>203</v>
      </c>
      <c r="I41" s="67" t="s">
        <v>203</v>
      </c>
    </row>
    <row r="42" spans="1:9" ht="14.45" customHeight="1" thickBot="1" x14ac:dyDescent="0.3">
      <c r="A42" s="273" t="s">
        <v>552</v>
      </c>
      <c r="B42" s="274"/>
      <c r="C42" s="275"/>
      <c r="D42" s="67">
        <v>0.02</v>
      </c>
      <c r="E42" s="67">
        <v>0</v>
      </c>
      <c r="F42" s="126" t="s">
        <v>2</v>
      </c>
      <c r="G42" s="130">
        <v>0.02</v>
      </c>
      <c r="H42" s="126" t="s">
        <v>203</v>
      </c>
      <c r="I42" s="67" t="s">
        <v>203</v>
      </c>
    </row>
    <row r="43" spans="1:9" ht="14.45" customHeight="1" thickBot="1" x14ac:dyDescent="0.3">
      <c r="A43" s="273" t="s">
        <v>553</v>
      </c>
      <c r="B43" s="274"/>
      <c r="C43" s="275"/>
      <c r="D43" s="67">
        <v>2.4300000000000002</v>
      </c>
      <c r="E43" s="67">
        <v>2.4300000000000002</v>
      </c>
      <c r="F43" s="126" t="s">
        <v>203</v>
      </c>
      <c r="G43" s="130" t="s">
        <v>203</v>
      </c>
      <c r="H43" s="126" t="s">
        <v>203</v>
      </c>
      <c r="I43" s="67" t="s">
        <v>2</v>
      </c>
    </row>
    <row r="44" spans="1:9" ht="16.5" customHeight="1" thickBot="1" x14ac:dyDescent="0.3">
      <c r="A44" s="273" t="s">
        <v>343</v>
      </c>
      <c r="B44" s="274"/>
      <c r="C44" s="275"/>
      <c r="D44" s="67">
        <v>13.39</v>
      </c>
      <c r="E44" s="67">
        <v>10.33</v>
      </c>
      <c r="F44" s="126" t="s">
        <v>203</v>
      </c>
      <c r="G44" s="130">
        <v>3.06</v>
      </c>
      <c r="H44" s="126" t="s">
        <v>203</v>
      </c>
      <c r="I44" s="67" t="s">
        <v>203</v>
      </c>
    </row>
    <row r="45" spans="1:9" ht="15" customHeight="1" thickBot="1" x14ac:dyDescent="0.3">
      <c r="A45" s="273" t="s">
        <v>340</v>
      </c>
      <c r="B45" s="274"/>
      <c r="C45" s="275"/>
      <c r="D45" s="67">
        <v>1.51</v>
      </c>
      <c r="E45" s="67" t="s">
        <v>203</v>
      </c>
      <c r="F45" s="126" t="s">
        <v>203</v>
      </c>
      <c r="G45" s="130">
        <v>1.51</v>
      </c>
      <c r="H45" s="126" t="s">
        <v>203</v>
      </c>
      <c r="I45" s="67" t="s">
        <v>203</v>
      </c>
    </row>
    <row r="46" spans="1:9" ht="15.75" thickBot="1" x14ac:dyDescent="0.3">
      <c r="A46" s="273" t="s">
        <v>347</v>
      </c>
      <c r="B46" s="274"/>
      <c r="C46" s="275"/>
      <c r="D46" s="67">
        <v>8.64</v>
      </c>
      <c r="E46" s="67">
        <v>8.6300000000000008</v>
      </c>
      <c r="F46" s="126">
        <v>0.01</v>
      </c>
      <c r="G46" s="130" t="s">
        <v>203</v>
      </c>
      <c r="H46" s="126" t="s">
        <v>203</v>
      </c>
      <c r="I46" s="67" t="s">
        <v>2</v>
      </c>
    </row>
    <row r="47" spans="1:9" ht="22.5" customHeight="1" thickBot="1" x14ac:dyDescent="0.3">
      <c r="A47" s="273" t="s">
        <v>386</v>
      </c>
      <c r="B47" s="274"/>
      <c r="C47" s="275"/>
      <c r="D47" s="67">
        <v>0.01</v>
      </c>
      <c r="E47" s="67">
        <v>0.01</v>
      </c>
      <c r="F47" s="126" t="s">
        <v>203</v>
      </c>
      <c r="G47" s="130" t="s">
        <v>203</v>
      </c>
      <c r="H47" s="126" t="s">
        <v>724</v>
      </c>
      <c r="I47" s="67" t="s">
        <v>203</v>
      </c>
    </row>
    <row r="48" spans="1:9" ht="22.5" customHeight="1" thickBot="1" x14ac:dyDescent="0.3">
      <c r="A48" s="273" t="s">
        <v>351</v>
      </c>
      <c r="B48" s="274"/>
      <c r="C48" s="275"/>
      <c r="D48" s="67">
        <v>7.23</v>
      </c>
      <c r="E48" s="67" t="s">
        <v>203</v>
      </c>
      <c r="F48" s="126" t="s">
        <v>203</v>
      </c>
      <c r="G48" s="130">
        <v>7.23</v>
      </c>
      <c r="H48" s="126" t="s">
        <v>203</v>
      </c>
      <c r="I48" s="67" t="s">
        <v>203</v>
      </c>
    </row>
    <row r="49" spans="1:9" ht="15.75" thickBot="1" x14ac:dyDescent="0.3">
      <c r="A49" s="273" t="s">
        <v>350</v>
      </c>
      <c r="B49" s="274"/>
      <c r="C49" s="275"/>
      <c r="D49" s="67">
        <v>2.48</v>
      </c>
      <c r="E49" s="67">
        <v>2.48</v>
      </c>
      <c r="F49" s="126" t="s">
        <v>203</v>
      </c>
      <c r="G49" s="130" t="s">
        <v>203</v>
      </c>
      <c r="H49" s="126" t="s">
        <v>203</v>
      </c>
      <c r="I49" s="67" t="s">
        <v>203</v>
      </c>
    </row>
    <row r="50" spans="1:9" ht="16.5" customHeight="1" thickBot="1" x14ac:dyDescent="0.3">
      <c r="A50" s="273" t="s">
        <v>554</v>
      </c>
      <c r="B50" s="274"/>
      <c r="C50" s="275"/>
      <c r="D50" s="67">
        <v>0.09</v>
      </c>
      <c r="E50" s="67">
        <v>0.09</v>
      </c>
      <c r="F50" s="126" t="s">
        <v>203</v>
      </c>
      <c r="G50" s="130" t="s">
        <v>203</v>
      </c>
      <c r="H50" s="126" t="s">
        <v>203</v>
      </c>
      <c r="I50" s="67" t="s">
        <v>203</v>
      </c>
    </row>
    <row r="51" spans="1:9" ht="16.5" customHeight="1" thickBot="1" x14ac:dyDescent="0.3">
      <c r="A51" s="273" t="s">
        <v>389</v>
      </c>
      <c r="B51" s="274"/>
      <c r="C51" s="275"/>
      <c r="D51" s="67">
        <v>0.05</v>
      </c>
      <c r="E51" s="67" t="s">
        <v>203</v>
      </c>
      <c r="F51" s="126" t="s">
        <v>203</v>
      </c>
      <c r="G51" s="130">
        <v>0.05</v>
      </c>
      <c r="H51" s="126" t="s">
        <v>203</v>
      </c>
      <c r="I51" s="67" t="s">
        <v>203</v>
      </c>
    </row>
    <row r="52" spans="1:9" ht="15.75" thickBot="1" x14ac:dyDescent="0.3">
      <c r="A52" s="273" t="s">
        <v>352</v>
      </c>
      <c r="B52" s="274"/>
      <c r="C52" s="275"/>
      <c r="D52" s="67">
        <v>0.02</v>
      </c>
      <c r="E52" s="67" t="s">
        <v>203</v>
      </c>
      <c r="F52" s="126" t="s">
        <v>203</v>
      </c>
      <c r="G52" s="130">
        <v>0.02</v>
      </c>
      <c r="H52" s="126" t="s">
        <v>203</v>
      </c>
      <c r="I52" s="67" t="s">
        <v>203</v>
      </c>
    </row>
    <row r="53" spans="1:9" ht="16.5" customHeight="1" thickBot="1" x14ac:dyDescent="0.3">
      <c r="A53" s="273" t="s">
        <v>555</v>
      </c>
      <c r="B53" s="274"/>
      <c r="C53" s="275"/>
      <c r="D53" s="67">
        <v>563.97</v>
      </c>
      <c r="E53" s="67">
        <v>525.66999999999996</v>
      </c>
      <c r="F53" s="126" t="s">
        <v>203</v>
      </c>
      <c r="G53" s="130">
        <v>38.299999999999997</v>
      </c>
      <c r="H53" s="126" t="s">
        <v>203</v>
      </c>
      <c r="I53" s="67" t="s">
        <v>203</v>
      </c>
    </row>
    <row r="54" spans="1:9" ht="16.5" customHeight="1" thickBot="1" x14ac:dyDescent="0.3">
      <c r="A54" s="273" t="s">
        <v>556</v>
      </c>
      <c r="B54" s="274"/>
      <c r="C54" s="275"/>
      <c r="D54" s="67">
        <v>91.22</v>
      </c>
      <c r="E54" s="67" t="s">
        <v>203</v>
      </c>
      <c r="F54" s="126" t="s">
        <v>203</v>
      </c>
      <c r="G54" s="130">
        <v>91.22</v>
      </c>
      <c r="H54" s="126" t="s">
        <v>203</v>
      </c>
      <c r="I54" s="67" t="s">
        <v>203</v>
      </c>
    </row>
    <row r="55" spans="1:9" ht="16.5" customHeight="1" thickBot="1" x14ac:dyDescent="0.3">
      <c r="A55" s="276" t="s">
        <v>557</v>
      </c>
      <c r="B55" s="277"/>
      <c r="C55" s="278"/>
      <c r="D55" s="115">
        <v>2002.88</v>
      </c>
      <c r="E55" s="119">
        <v>640.02</v>
      </c>
      <c r="F55" s="132">
        <v>194.32</v>
      </c>
      <c r="G55" s="391">
        <v>937.83</v>
      </c>
      <c r="H55" s="132">
        <v>230.71</v>
      </c>
      <c r="I55" s="119" t="s">
        <v>203</v>
      </c>
    </row>
    <row r="56" spans="1:9" ht="16.5" customHeight="1" thickBot="1" x14ac:dyDescent="0.3">
      <c r="A56" s="217" t="s">
        <v>558</v>
      </c>
      <c r="B56" s="218"/>
      <c r="C56" s="219"/>
      <c r="D56" s="112">
        <v>16535.93</v>
      </c>
      <c r="E56" s="112">
        <v>3484.97</v>
      </c>
      <c r="F56" s="133">
        <v>822.38</v>
      </c>
      <c r="G56" s="392">
        <v>9642.17</v>
      </c>
      <c r="H56" s="392">
        <v>2586.41</v>
      </c>
      <c r="I56" s="392" t="s">
        <v>203</v>
      </c>
    </row>
    <row r="57" spans="1:9" ht="15.75" thickBot="1" x14ac:dyDescent="0.3">
      <c r="A57" s="217" t="s">
        <v>355</v>
      </c>
      <c r="B57" s="218"/>
      <c r="C57" s="219"/>
      <c r="D57" s="112">
        <v>49635.3</v>
      </c>
      <c r="E57" s="112">
        <v>6884.59</v>
      </c>
      <c r="F57" s="134">
        <v>1937.41</v>
      </c>
      <c r="G57" s="392">
        <v>11939.97</v>
      </c>
      <c r="H57" s="392">
        <v>28873.32</v>
      </c>
      <c r="I57" s="392" t="s">
        <v>203</v>
      </c>
    </row>
    <row r="58" spans="1:9" x14ac:dyDescent="0.25">
      <c r="A58" s="398"/>
      <c r="B58" s="398"/>
      <c r="C58" s="398"/>
      <c r="D58" s="398"/>
      <c r="E58" s="398"/>
      <c r="F58" s="398"/>
      <c r="G58" s="315"/>
      <c r="H58" s="315"/>
      <c r="I58" s="315"/>
    </row>
  </sheetData>
  <mergeCells count="55">
    <mergeCell ref="A57:C57"/>
    <mergeCell ref="A1:I1"/>
    <mergeCell ref="A10:C10"/>
    <mergeCell ref="A11:I11"/>
    <mergeCell ref="A6:C6"/>
    <mergeCell ref="A7:C7"/>
    <mergeCell ref="A3:I3"/>
    <mergeCell ref="A4:C4"/>
    <mergeCell ref="A5:I5"/>
    <mergeCell ref="A8:C8"/>
    <mergeCell ref="A33:C33"/>
    <mergeCell ref="A34:C34"/>
    <mergeCell ref="A30:C30"/>
    <mergeCell ref="A22:C22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42:C42"/>
    <mergeCell ref="A43:C43"/>
    <mergeCell ref="A45:C45"/>
    <mergeCell ref="A36:C36"/>
    <mergeCell ref="A37:C37"/>
    <mergeCell ref="A38:C38"/>
    <mergeCell ref="A39:C39"/>
    <mergeCell ref="A40:C40"/>
    <mergeCell ref="A41:C41"/>
    <mergeCell ref="A35:C35"/>
    <mergeCell ref="A23:C23"/>
    <mergeCell ref="A24:C24"/>
    <mergeCell ref="A25:C25"/>
    <mergeCell ref="A26:C26"/>
    <mergeCell ref="A27:C27"/>
    <mergeCell ref="A28:C28"/>
    <mergeCell ref="A31:C31"/>
    <mergeCell ref="A32:C32"/>
    <mergeCell ref="A29:C29"/>
    <mergeCell ref="A44:C44"/>
    <mergeCell ref="A47:C47"/>
    <mergeCell ref="A48:C48"/>
    <mergeCell ref="A46:C46"/>
    <mergeCell ref="A51:C51"/>
    <mergeCell ref="A52:C52"/>
    <mergeCell ref="A49:C49"/>
    <mergeCell ref="A50:C50"/>
    <mergeCell ref="A55:C55"/>
    <mergeCell ref="A56:C56"/>
    <mergeCell ref="A53:C53"/>
    <mergeCell ref="A54:C54"/>
  </mergeCells>
  <pageMargins left="0.7" right="0.7" top="0.75" bottom="0.75" header="0.3" footer="0.3"/>
  <pageSetup paperSize="9" scale="84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156E-0BED-4BDE-B6A8-AE6F99D16638}">
  <sheetPr>
    <tabColor theme="8" tint="-0.249977111117893"/>
    <pageSetUpPr fitToPage="1"/>
  </sheetPr>
  <dimension ref="A2:L63"/>
  <sheetViews>
    <sheetView zoomScaleNormal="100" zoomScaleSheetLayoutView="100" workbookViewId="0">
      <selection activeCell="C2" sqref="C2"/>
    </sheetView>
  </sheetViews>
  <sheetFormatPr baseColWidth="10" defaultColWidth="11.42578125" defaultRowHeight="11.25" x14ac:dyDescent="0.2"/>
  <cols>
    <col min="1" max="1" width="35.5703125" style="22" customWidth="1"/>
    <col min="2" max="7" width="11.42578125" style="21"/>
    <col min="8" max="8" width="11.42578125" style="16"/>
    <col min="9" max="9" width="23.140625" style="16" customWidth="1"/>
    <col min="10" max="10" width="19.140625" style="16" customWidth="1"/>
    <col min="11" max="16384" width="11.42578125" style="16"/>
  </cols>
  <sheetData>
    <row r="2" spans="1:12" ht="12" x14ac:dyDescent="0.2">
      <c r="A2" s="434"/>
      <c r="B2" s="318"/>
      <c r="C2" s="435" t="s">
        <v>730</v>
      </c>
      <c r="D2" s="318"/>
      <c r="E2" s="318"/>
      <c r="F2" s="318"/>
      <c r="G2" s="318"/>
    </row>
    <row r="3" spans="1:12" ht="12" thickBot="1" x14ac:dyDescent="0.25">
      <c r="A3" s="372"/>
      <c r="B3" s="318"/>
      <c r="C3" s="318"/>
      <c r="D3" s="318"/>
      <c r="E3" s="318"/>
      <c r="F3" s="318"/>
      <c r="G3" s="318"/>
    </row>
    <row r="4" spans="1:12" ht="12" thickBot="1" x14ac:dyDescent="0.25">
      <c r="A4" s="217" t="s">
        <v>729</v>
      </c>
      <c r="B4" s="218"/>
      <c r="C4" s="218"/>
      <c r="D4" s="218"/>
      <c r="E4" s="218"/>
      <c r="F4" s="218"/>
      <c r="G4" s="218"/>
    </row>
    <row r="5" spans="1:12" ht="24.75" thickBot="1" x14ac:dyDescent="0.25">
      <c r="A5" s="408" t="s">
        <v>356</v>
      </c>
      <c r="B5" s="120" t="s">
        <v>29</v>
      </c>
      <c r="C5" s="120" t="s">
        <v>357</v>
      </c>
      <c r="D5" s="120" t="s">
        <v>358</v>
      </c>
      <c r="E5" s="120" t="s">
        <v>359</v>
      </c>
      <c r="F5" s="120" t="s">
        <v>360</v>
      </c>
      <c r="G5" s="120" t="s">
        <v>361</v>
      </c>
      <c r="I5" s="30" t="s">
        <v>362</v>
      </c>
      <c r="J5" s="30" t="s">
        <v>363</v>
      </c>
      <c r="K5" s="30" t="s">
        <v>364</v>
      </c>
      <c r="L5" s="30" t="s">
        <v>365</v>
      </c>
    </row>
    <row r="6" spans="1:12" ht="15.75" thickBot="1" x14ac:dyDescent="0.3">
      <c r="A6" s="122" t="s">
        <v>366</v>
      </c>
      <c r="B6" s="122"/>
      <c r="C6" s="122"/>
      <c r="D6" s="122"/>
      <c r="E6" s="122"/>
      <c r="F6" s="122"/>
      <c r="G6" s="123"/>
      <c r="I6" s="31" t="s">
        <v>367</v>
      </c>
      <c r="J6" s="32">
        <f>+B7</f>
        <v>580.0379999999999</v>
      </c>
      <c r="K6" s="33">
        <f>+J6/365</f>
        <v>1.5891452054794517</v>
      </c>
      <c r="L6" s="34">
        <f>+K6/$K$13</f>
        <v>1.5872186264650163E-2</v>
      </c>
    </row>
    <row r="7" spans="1:12" ht="12" customHeight="1" thickBot="1" x14ac:dyDescent="0.3">
      <c r="A7" s="409" t="s">
        <v>368</v>
      </c>
      <c r="B7" s="389">
        <f>+SUM(C7:G7)</f>
        <v>580.0379999999999</v>
      </c>
      <c r="C7" s="389">
        <v>1.3180000000000001</v>
      </c>
      <c r="D7" s="389"/>
      <c r="E7" s="389"/>
      <c r="F7" s="389">
        <v>578.71999999999991</v>
      </c>
      <c r="G7" s="389">
        <v>0</v>
      </c>
      <c r="I7" s="36" t="s">
        <v>369</v>
      </c>
      <c r="J7" s="32">
        <f>+SUM(B8:B16)</f>
        <v>11926.555999999999</v>
      </c>
      <c r="K7" s="33">
        <f t="shared" ref="K7:K13" si="0">+J7/365</f>
        <v>32.675495890410957</v>
      </c>
      <c r="L7" s="34">
        <f t="shared" ref="L7:L12" si="1">+K7/$K$13</f>
        <v>0.32635882188370596</v>
      </c>
    </row>
    <row r="8" spans="1:12" ht="12" customHeight="1" thickBot="1" x14ac:dyDescent="0.3">
      <c r="A8" s="409" t="s">
        <v>370</v>
      </c>
      <c r="B8" s="389">
        <f t="shared" ref="B8:B36" si="2">+SUM(C8:G8)</f>
        <v>340.55999999999995</v>
      </c>
      <c r="C8" s="389"/>
      <c r="D8" s="389"/>
      <c r="E8" s="389"/>
      <c r="F8" s="389">
        <v>340.55999999999995</v>
      </c>
      <c r="G8" s="389">
        <v>0</v>
      </c>
      <c r="I8" s="36" t="s">
        <v>371</v>
      </c>
      <c r="J8" s="32">
        <f>+B17</f>
        <v>3350.4560000000001</v>
      </c>
      <c r="K8" s="33">
        <f t="shared" si="0"/>
        <v>9.1793315068493158</v>
      </c>
      <c r="L8" s="34">
        <f t="shared" si="1"/>
        <v>9.1682030666119713E-2</v>
      </c>
    </row>
    <row r="9" spans="1:12" ht="12" customHeight="1" thickBot="1" x14ac:dyDescent="0.3">
      <c r="A9" s="409" t="s">
        <v>372</v>
      </c>
      <c r="B9" s="389">
        <f t="shared" si="2"/>
        <v>3318.5359999999996</v>
      </c>
      <c r="C9" s="389">
        <v>39.555999999999997</v>
      </c>
      <c r="D9" s="389"/>
      <c r="E9" s="389"/>
      <c r="F9" s="389">
        <v>3278.9799999999996</v>
      </c>
      <c r="G9" s="389">
        <v>0</v>
      </c>
      <c r="I9" s="36" t="s">
        <v>373</v>
      </c>
      <c r="J9" s="32">
        <f>+B19+B20+B18+B21+B22</f>
        <v>15423.291999999998</v>
      </c>
      <c r="K9" s="33">
        <f t="shared" si="0"/>
        <v>42.255594520547938</v>
      </c>
      <c r="L9" s="34">
        <f t="shared" si="1"/>
        <v>0.42204366513588548</v>
      </c>
    </row>
    <row r="10" spans="1:12" ht="12" customHeight="1" thickBot="1" x14ac:dyDescent="0.3">
      <c r="A10" s="409" t="s">
        <v>374</v>
      </c>
      <c r="B10" s="389">
        <f t="shared" si="2"/>
        <v>2031.9970000000001</v>
      </c>
      <c r="C10" s="389">
        <v>15.997</v>
      </c>
      <c r="D10" s="389"/>
      <c r="E10" s="389"/>
      <c r="F10" s="389">
        <v>2016</v>
      </c>
      <c r="G10" s="389">
        <v>0</v>
      </c>
      <c r="H10" s="399">
        <f>+B9+B14</f>
        <v>6282.0769999999993</v>
      </c>
      <c r="I10" s="36" t="s">
        <v>375</v>
      </c>
      <c r="J10" s="32">
        <f>+B25+B24</f>
        <v>3702.7039999999997</v>
      </c>
      <c r="K10" s="33">
        <f t="shared" si="0"/>
        <v>10.144394520547944</v>
      </c>
      <c r="L10" s="34">
        <f t="shared" si="1"/>
        <v>0.10132096099025448</v>
      </c>
    </row>
    <row r="11" spans="1:12" ht="12" customHeight="1" thickBot="1" x14ac:dyDescent="0.3">
      <c r="A11" s="409" t="s">
        <v>376</v>
      </c>
      <c r="B11" s="389">
        <f t="shared" si="2"/>
        <v>253.77999999999997</v>
      </c>
      <c r="C11" s="389"/>
      <c r="D11" s="389"/>
      <c r="E11" s="389"/>
      <c r="F11" s="389">
        <v>253.77999999999997</v>
      </c>
      <c r="G11" s="389">
        <v>0</v>
      </c>
      <c r="H11" s="17">
        <f>+H10/B37</f>
        <v>0.17190304130569842</v>
      </c>
      <c r="I11" s="36" t="s">
        <v>377</v>
      </c>
      <c r="J11" s="32">
        <f>+B23+B26</f>
        <v>120.34</v>
      </c>
      <c r="K11" s="33">
        <f t="shared" si="0"/>
        <v>0.3296986301369863</v>
      </c>
      <c r="L11" s="34">
        <f t="shared" si="1"/>
        <v>3.2929892439598806E-3</v>
      </c>
    </row>
    <row r="12" spans="1:12" ht="12" customHeight="1" thickBot="1" x14ac:dyDescent="0.3">
      <c r="A12" s="409" t="s">
        <v>378</v>
      </c>
      <c r="B12" s="389">
        <f t="shared" si="2"/>
        <v>224.36000000000004</v>
      </c>
      <c r="C12" s="389"/>
      <c r="D12" s="389"/>
      <c r="E12" s="389"/>
      <c r="F12" s="389">
        <v>224.36000000000004</v>
      </c>
      <c r="G12" s="389">
        <v>0</v>
      </c>
      <c r="I12" s="36" t="s">
        <v>379</v>
      </c>
      <c r="J12" s="32">
        <f>+SUM(B27:B36)</f>
        <v>1440.9179999999999</v>
      </c>
      <c r="K12" s="33">
        <f t="shared" si="0"/>
        <v>3.9477205479452051</v>
      </c>
      <c r="L12" s="34">
        <f t="shared" si="1"/>
        <v>3.9429345815424482E-2</v>
      </c>
    </row>
    <row r="13" spans="1:12" ht="12" customHeight="1" thickBot="1" x14ac:dyDescent="0.25">
      <c r="A13" s="409" t="s">
        <v>380</v>
      </c>
      <c r="B13" s="389">
        <f t="shared" si="2"/>
        <v>1210.1200000000001</v>
      </c>
      <c r="C13" s="389">
        <v>235.15300000000002</v>
      </c>
      <c r="D13" s="389">
        <v>539.79100000000005</v>
      </c>
      <c r="E13" s="389">
        <v>435.17599999999999</v>
      </c>
      <c r="F13" s="389"/>
      <c r="G13" s="389">
        <v>0</v>
      </c>
      <c r="I13" s="37" t="s">
        <v>198</v>
      </c>
      <c r="J13" s="38">
        <f>+SUM(J6:J12)</f>
        <v>36544.303999999989</v>
      </c>
      <c r="K13" s="39">
        <f t="shared" si="0"/>
        <v>100.12138082191778</v>
      </c>
      <c r="L13" s="40">
        <f>+SUM(L6:L12)</f>
        <v>1.0000000000000002</v>
      </c>
    </row>
    <row r="14" spans="1:12" ht="12" customHeight="1" thickBot="1" x14ac:dyDescent="0.25">
      <c r="A14" s="409" t="s">
        <v>381</v>
      </c>
      <c r="B14" s="389">
        <f t="shared" si="2"/>
        <v>2963.5409999999997</v>
      </c>
      <c r="C14" s="389">
        <v>113.377</v>
      </c>
      <c r="D14" s="389">
        <v>114.50699999999999</v>
      </c>
      <c r="E14" s="389">
        <v>2735.6569999999997</v>
      </c>
      <c r="F14" s="389"/>
      <c r="G14" s="389">
        <v>0</v>
      </c>
      <c r="J14" s="17"/>
    </row>
    <row r="15" spans="1:12" ht="12" customHeight="1" thickBot="1" x14ac:dyDescent="0.25">
      <c r="A15" s="409" t="s">
        <v>382</v>
      </c>
      <c r="B15" s="389">
        <f t="shared" si="2"/>
        <v>1330.259</v>
      </c>
      <c r="C15" s="389">
        <v>24.619999999999997</v>
      </c>
      <c r="D15" s="389"/>
      <c r="E15" s="389">
        <v>1305.6390000000001</v>
      </c>
      <c r="F15" s="389"/>
      <c r="G15" s="389">
        <v>0</v>
      </c>
    </row>
    <row r="16" spans="1:12" ht="12" customHeight="1" thickBot="1" x14ac:dyDescent="0.25">
      <c r="A16" s="409" t="s">
        <v>383</v>
      </c>
      <c r="B16" s="389">
        <f t="shared" si="2"/>
        <v>253.40299999999999</v>
      </c>
      <c r="C16" s="389"/>
      <c r="D16" s="389"/>
      <c r="E16" s="389">
        <v>253.40299999999999</v>
      </c>
      <c r="F16" s="389"/>
      <c r="G16" s="389">
        <v>0</v>
      </c>
    </row>
    <row r="17" spans="1:7" ht="12" customHeight="1" thickBot="1" x14ac:dyDescent="0.25">
      <c r="A17" s="409" t="s">
        <v>347</v>
      </c>
      <c r="B17" s="389">
        <f t="shared" si="2"/>
        <v>3350.4560000000001</v>
      </c>
      <c r="C17" s="389">
        <v>226.26900000000001</v>
      </c>
      <c r="D17" s="389">
        <v>57.037000000000006</v>
      </c>
      <c r="E17" s="389"/>
      <c r="F17" s="389">
        <v>3067.15</v>
      </c>
      <c r="G17" s="389"/>
    </row>
    <row r="18" spans="1:7" ht="12" customHeight="1" thickBot="1" x14ac:dyDescent="0.25">
      <c r="A18" s="409" t="s">
        <v>384</v>
      </c>
      <c r="B18" s="389">
        <f t="shared" si="2"/>
        <v>14616.841999999999</v>
      </c>
      <c r="C18" s="389">
        <v>1394.2239999999999</v>
      </c>
      <c r="D18" s="389"/>
      <c r="E18" s="389">
        <v>2169.828</v>
      </c>
      <c r="F18" s="389">
        <v>11052.789999999999</v>
      </c>
      <c r="G18" s="389"/>
    </row>
    <row r="19" spans="1:7" ht="12" customHeight="1" thickBot="1" x14ac:dyDescent="0.25">
      <c r="A19" s="409" t="s">
        <v>385</v>
      </c>
      <c r="B19" s="389">
        <f t="shared" si="2"/>
        <v>523.38199999999995</v>
      </c>
      <c r="C19" s="389">
        <v>91.343999999999994</v>
      </c>
      <c r="D19" s="389">
        <v>382.25599999999997</v>
      </c>
      <c r="E19" s="389">
        <v>49.782000000000004</v>
      </c>
      <c r="F19" s="389"/>
      <c r="G19" s="389"/>
    </row>
    <row r="20" spans="1:7" ht="12" customHeight="1" thickBot="1" x14ac:dyDescent="0.25">
      <c r="A20" s="409" t="s">
        <v>725</v>
      </c>
      <c r="B20" s="389">
        <f t="shared" si="2"/>
        <v>194.70400000000001</v>
      </c>
      <c r="C20" s="389">
        <v>8.7999999999999995E-2</v>
      </c>
      <c r="D20" s="389">
        <v>119.422</v>
      </c>
      <c r="E20" s="389">
        <v>75.194000000000003</v>
      </c>
      <c r="F20" s="389"/>
      <c r="G20" s="389"/>
    </row>
    <row r="21" spans="1:7" ht="12" customHeight="1" thickBot="1" x14ac:dyDescent="0.25">
      <c r="A21" s="409" t="s">
        <v>726</v>
      </c>
      <c r="B21" s="389">
        <f t="shared" si="2"/>
        <v>53.594000000000001</v>
      </c>
      <c r="C21" s="389"/>
      <c r="D21" s="389"/>
      <c r="E21" s="389">
        <v>53.594000000000001</v>
      </c>
      <c r="F21" s="389"/>
      <c r="G21" s="389"/>
    </row>
    <row r="22" spans="1:7" ht="12" customHeight="1" thickBot="1" x14ac:dyDescent="0.25">
      <c r="A22" s="409" t="s">
        <v>727</v>
      </c>
      <c r="B22" s="389">
        <f>+SUM(C22:G22)</f>
        <v>34.770000000000003</v>
      </c>
      <c r="C22" s="389"/>
      <c r="D22" s="389"/>
      <c r="E22" s="389"/>
      <c r="F22" s="389">
        <v>34.770000000000003</v>
      </c>
      <c r="G22" s="389"/>
    </row>
    <row r="23" spans="1:7" ht="12" customHeight="1" thickBot="1" x14ac:dyDescent="0.25">
      <c r="A23" s="409" t="s">
        <v>386</v>
      </c>
      <c r="B23" s="389">
        <f t="shared" si="2"/>
        <v>7.1550000000000002</v>
      </c>
      <c r="C23" s="389">
        <v>6.0680000000000005</v>
      </c>
      <c r="D23" s="389"/>
      <c r="E23" s="389">
        <v>1.087</v>
      </c>
      <c r="F23" s="389"/>
      <c r="G23" s="389"/>
    </row>
    <row r="24" spans="1:7" ht="12" customHeight="1" thickBot="1" x14ac:dyDescent="0.25">
      <c r="A24" s="409" t="s">
        <v>348</v>
      </c>
      <c r="B24" s="389">
        <f t="shared" si="2"/>
        <v>285.33199999999999</v>
      </c>
      <c r="C24" s="389"/>
      <c r="D24" s="389"/>
      <c r="E24" s="389">
        <v>99.891999999999996</v>
      </c>
      <c r="F24" s="389">
        <v>185.44000000000003</v>
      </c>
      <c r="G24" s="389"/>
    </row>
    <row r="25" spans="1:7" ht="12" customHeight="1" thickBot="1" x14ac:dyDescent="0.25">
      <c r="A25" s="409" t="s">
        <v>346</v>
      </c>
      <c r="B25" s="389">
        <f t="shared" si="2"/>
        <v>3417.3719999999998</v>
      </c>
      <c r="C25" s="389">
        <v>2097.4250000000002</v>
      </c>
      <c r="D25" s="389">
        <v>520.12199999999996</v>
      </c>
      <c r="E25" s="389">
        <v>565.8549999999999</v>
      </c>
      <c r="F25" s="389">
        <v>233.97</v>
      </c>
      <c r="G25" s="389"/>
    </row>
    <row r="26" spans="1:7" ht="12" customHeight="1" thickBot="1" x14ac:dyDescent="0.25">
      <c r="A26" s="409" t="s">
        <v>351</v>
      </c>
      <c r="B26" s="389">
        <f t="shared" si="2"/>
        <v>113.185</v>
      </c>
      <c r="C26" s="389"/>
      <c r="D26" s="389"/>
      <c r="E26" s="389">
        <v>78.664999999999992</v>
      </c>
      <c r="F26" s="389">
        <v>34.520000000000003</v>
      </c>
      <c r="G26" s="389"/>
    </row>
    <row r="27" spans="1:7" ht="12" customHeight="1" thickBot="1" x14ac:dyDescent="0.25">
      <c r="A27" s="409" t="s">
        <v>387</v>
      </c>
      <c r="B27" s="389">
        <f t="shared" si="2"/>
        <v>53.632999999999996</v>
      </c>
      <c r="C27" s="389"/>
      <c r="D27" s="389"/>
      <c r="E27" s="389">
        <v>53.632999999999996</v>
      </c>
      <c r="F27" s="389"/>
      <c r="G27" s="389">
        <v>0</v>
      </c>
    </row>
    <row r="28" spans="1:7" ht="12" customHeight="1" thickBot="1" x14ac:dyDescent="0.25">
      <c r="A28" s="409" t="s">
        <v>350</v>
      </c>
      <c r="B28" s="389">
        <f t="shared" si="2"/>
        <v>54.806000000000012</v>
      </c>
      <c r="C28" s="389"/>
      <c r="D28" s="389"/>
      <c r="E28" s="389">
        <v>54.806000000000012</v>
      </c>
      <c r="F28" s="389"/>
      <c r="G28" s="389">
        <v>0</v>
      </c>
    </row>
    <row r="29" spans="1:7" ht="12" customHeight="1" thickBot="1" x14ac:dyDescent="0.25">
      <c r="A29" s="409" t="s">
        <v>388</v>
      </c>
      <c r="B29" s="389">
        <f t="shared" si="2"/>
        <v>6.0889999999999995</v>
      </c>
      <c r="C29" s="389"/>
      <c r="D29" s="389"/>
      <c r="E29" s="389"/>
      <c r="F29" s="389">
        <v>6.0889999999999995</v>
      </c>
      <c r="G29" s="389">
        <v>0</v>
      </c>
    </row>
    <row r="30" spans="1:7" ht="12" customHeight="1" thickBot="1" x14ac:dyDescent="0.25">
      <c r="A30" s="409" t="s">
        <v>389</v>
      </c>
      <c r="B30" s="389">
        <f t="shared" si="2"/>
        <v>45.935000000000002</v>
      </c>
      <c r="C30" s="389"/>
      <c r="D30" s="389"/>
      <c r="E30" s="389">
        <v>45.935000000000002</v>
      </c>
      <c r="F30" s="389"/>
      <c r="G30" s="389">
        <v>0</v>
      </c>
    </row>
    <row r="31" spans="1:7" ht="12" customHeight="1" thickBot="1" x14ac:dyDescent="0.25">
      <c r="A31" s="409" t="s">
        <v>390</v>
      </c>
      <c r="B31" s="389">
        <f t="shared" si="2"/>
        <v>73.72</v>
      </c>
      <c r="C31" s="389"/>
      <c r="D31" s="389"/>
      <c r="E31" s="389">
        <v>73.72</v>
      </c>
      <c r="F31" s="389"/>
      <c r="G31" s="389">
        <v>0</v>
      </c>
    </row>
    <row r="32" spans="1:7" ht="12" customHeight="1" thickBot="1" x14ac:dyDescent="0.25">
      <c r="A32" s="409" t="s">
        <v>391</v>
      </c>
      <c r="B32" s="389">
        <f t="shared" si="2"/>
        <v>533.23</v>
      </c>
      <c r="C32" s="389"/>
      <c r="D32" s="389"/>
      <c r="E32" s="389"/>
      <c r="F32" s="389">
        <v>533.23</v>
      </c>
      <c r="G32" s="389"/>
    </row>
    <row r="33" spans="1:7" ht="12" customHeight="1" thickBot="1" x14ac:dyDescent="0.25">
      <c r="A33" s="409" t="s">
        <v>392</v>
      </c>
      <c r="B33" s="389">
        <f t="shared" si="2"/>
        <v>104.16399999999999</v>
      </c>
      <c r="C33" s="389"/>
      <c r="D33" s="389"/>
      <c r="E33" s="389">
        <v>104.16399999999999</v>
      </c>
      <c r="F33" s="389"/>
      <c r="G33" s="389"/>
    </row>
    <row r="34" spans="1:7" ht="12" customHeight="1" thickBot="1" x14ac:dyDescent="0.25">
      <c r="A34" s="409" t="s">
        <v>393</v>
      </c>
      <c r="B34" s="389">
        <f t="shared" si="2"/>
        <v>409.16599999999994</v>
      </c>
      <c r="C34" s="389"/>
      <c r="D34" s="389"/>
      <c r="E34" s="389">
        <v>409.16599999999994</v>
      </c>
      <c r="F34" s="389"/>
      <c r="G34" s="389"/>
    </row>
    <row r="35" spans="1:7" ht="12" customHeight="1" thickBot="1" x14ac:dyDescent="0.25">
      <c r="A35" s="409" t="s">
        <v>394</v>
      </c>
      <c r="B35" s="389">
        <f t="shared" si="2"/>
        <v>157.10399999999998</v>
      </c>
      <c r="C35" s="389"/>
      <c r="D35" s="389"/>
      <c r="E35" s="389">
        <v>157.10399999999998</v>
      </c>
      <c r="F35" s="389"/>
      <c r="G35" s="389"/>
    </row>
    <row r="36" spans="1:7" ht="12" customHeight="1" thickBot="1" x14ac:dyDescent="0.25">
      <c r="A36" s="409" t="s">
        <v>352</v>
      </c>
      <c r="B36" s="389">
        <f t="shared" si="2"/>
        <v>3.0709999999999997</v>
      </c>
      <c r="C36" s="389"/>
      <c r="D36" s="389"/>
      <c r="E36" s="389">
        <v>3.0709999999999997</v>
      </c>
      <c r="F36" s="389"/>
      <c r="G36" s="389"/>
    </row>
    <row r="37" spans="1:7" ht="12" thickBot="1" x14ac:dyDescent="0.25">
      <c r="A37" s="410" t="s">
        <v>345</v>
      </c>
      <c r="B37" s="378">
        <f t="shared" ref="B37:G37" si="3">+SUM(B7:B36)</f>
        <v>36544.303999999996</v>
      </c>
      <c r="C37" s="378">
        <f t="shared" si="3"/>
        <v>4245.4390000000003</v>
      </c>
      <c r="D37" s="378">
        <f t="shared" si="3"/>
        <v>1733.1349999999998</v>
      </c>
      <c r="E37" s="378">
        <f t="shared" si="3"/>
        <v>8725.3709999999992</v>
      </c>
      <c r="F37" s="378">
        <f t="shared" si="3"/>
        <v>21840.358999999997</v>
      </c>
      <c r="G37" s="378">
        <f t="shared" si="3"/>
        <v>0</v>
      </c>
    </row>
    <row r="38" spans="1:7" ht="12" thickBot="1" x14ac:dyDescent="0.25">
      <c r="A38" s="404" t="s">
        <v>395</v>
      </c>
      <c r="B38" s="404"/>
      <c r="C38" s="404"/>
      <c r="D38" s="404"/>
      <c r="E38" s="404"/>
      <c r="F38" s="404"/>
      <c r="G38" s="405"/>
    </row>
    <row r="39" spans="1:7" ht="14.25" customHeight="1" thickBot="1" x14ac:dyDescent="0.25">
      <c r="A39" s="409" t="s">
        <v>396</v>
      </c>
      <c r="B39" s="389">
        <f t="shared" ref="B39:B60" si="4">+SUM(C39:G39)</f>
        <v>40.29</v>
      </c>
      <c r="C39" s="389"/>
      <c r="D39" s="389"/>
      <c r="E39" s="389"/>
      <c r="F39" s="389">
        <v>40.29</v>
      </c>
      <c r="G39" s="389"/>
    </row>
    <row r="40" spans="1:7" ht="12" thickBot="1" x14ac:dyDescent="0.25">
      <c r="A40" s="409" t="s">
        <v>334</v>
      </c>
      <c r="B40" s="389">
        <f t="shared" si="4"/>
        <v>396.69399999999996</v>
      </c>
      <c r="C40" s="389">
        <v>245.65799999999999</v>
      </c>
      <c r="D40" s="389">
        <v>71.593000000000004</v>
      </c>
      <c r="E40" s="389">
        <v>79.442999999999998</v>
      </c>
      <c r="F40" s="389"/>
      <c r="G40" s="389"/>
    </row>
    <row r="41" spans="1:7" ht="12" thickBot="1" x14ac:dyDescent="0.25">
      <c r="A41" s="409" t="s">
        <v>339</v>
      </c>
      <c r="B41" s="389">
        <f t="shared" si="4"/>
        <v>476.47699999999998</v>
      </c>
      <c r="C41" s="389">
        <v>40.402000000000001</v>
      </c>
      <c r="D41" s="389"/>
      <c r="E41" s="389">
        <v>13.445</v>
      </c>
      <c r="F41" s="389">
        <v>422.63</v>
      </c>
      <c r="G41" s="389"/>
    </row>
    <row r="42" spans="1:7" ht="12" thickBot="1" x14ac:dyDescent="0.25">
      <c r="A42" s="409" t="s">
        <v>335</v>
      </c>
      <c r="B42" s="389">
        <f t="shared" si="4"/>
        <v>650.39499999999998</v>
      </c>
      <c r="C42" s="389">
        <v>598.73099999999999</v>
      </c>
      <c r="D42" s="389">
        <v>51.532000000000004</v>
      </c>
      <c r="E42" s="389">
        <v>0.13199999999999998</v>
      </c>
      <c r="F42" s="389"/>
      <c r="G42" s="389"/>
    </row>
    <row r="43" spans="1:7" ht="12" thickBot="1" x14ac:dyDescent="0.25">
      <c r="A43" s="409" t="s">
        <v>397</v>
      </c>
      <c r="B43" s="389">
        <f t="shared" si="4"/>
        <v>2.0209999999999999</v>
      </c>
      <c r="C43" s="389"/>
      <c r="D43" s="389"/>
      <c r="E43" s="389">
        <v>2.0209999999999999</v>
      </c>
      <c r="F43" s="389"/>
      <c r="G43" s="389"/>
    </row>
    <row r="44" spans="1:7" ht="12" thickBot="1" x14ac:dyDescent="0.25">
      <c r="A44" s="409" t="s">
        <v>338</v>
      </c>
      <c r="B44" s="389">
        <f t="shared" si="4"/>
        <v>2100.857</v>
      </c>
      <c r="C44" s="389">
        <v>714.20799999999997</v>
      </c>
      <c r="D44" s="389">
        <v>60.606999999999999</v>
      </c>
      <c r="E44" s="389">
        <v>1326.0419999999999</v>
      </c>
      <c r="F44" s="389"/>
      <c r="G44" s="389"/>
    </row>
    <row r="45" spans="1:7" ht="13.5" customHeight="1" thickBot="1" x14ac:dyDescent="0.25">
      <c r="A45" s="409" t="s">
        <v>340</v>
      </c>
      <c r="B45" s="389">
        <f t="shared" si="4"/>
        <v>1008.1279999999999</v>
      </c>
      <c r="C45" s="389"/>
      <c r="D45" s="389"/>
      <c r="E45" s="389">
        <v>1008.1279999999999</v>
      </c>
      <c r="F45" s="389"/>
      <c r="G45" s="389"/>
    </row>
    <row r="46" spans="1:7" ht="12" thickBot="1" x14ac:dyDescent="0.25">
      <c r="A46" s="409" t="s">
        <v>398</v>
      </c>
      <c r="B46" s="389">
        <f t="shared" si="4"/>
        <v>109.733</v>
      </c>
      <c r="C46" s="389">
        <v>90.16</v>
      </c>
      <c r="D46" s="389">
        <v>19.573</v>
      </c>
      <c r="E46" s="389"/>
      <c r="F46" s="389"/>
      <c r="G46" s="389"/>
    </row>
    <row r="47" spans="1:7" ht="12" thickBot="1" x14ac:dyDescent="0.25">
      <c r="A47" s="409" t="s">
        <v>341</v>
      </c>
      <c r="B47" s="389">
        <f t="shared" si="4"/>
        <v>5779.39</v>
      </c>
      <c r="C47" s="389"/>
      <c r="D47" s="389"/>
      <c r="E47" s="389"/>
      <c r="F47" s="389">
        <v>5779.39</v>
      </c>
      <c r="G47" s="389"/>
    </row>
    <row r="48" spans="1:7" ht="12" thickBot="1" x14ac:dyDescent="0.25">
      <c r="A48" s="409" t="s">
        <v>399</v>
      </c>
      <c r="B48" s="389">
        <f t="shared" si="4"/>
        <v>6.38</v>
      </c>
      <c r="C48" s="389"/>
      <c r="D48" s="389">
        <v>3.5839999999999996</v>
      </c>
      <c r="E48" s="389">
        <v>2.7960000000000003</v>
      </c>
      <c r="F48" s="389"/>
      <c r="G48" s="389"/>
    </row>
    <row r="49" spans="1:7" ht="12" thickBot="1" x14ac:dyDescent="0.25">
      <c r="A49" s="409" t="s">
        <v>336</v>
      </c>
      <c r="B49" s="389">
        <f t="shared" si="4"/>
        <v>34.344000000000001</v>
      </c>
      <c r="C49" s="389"/>
      <c r="D49" s="389"/>
      <c r="E49" s="389">
        <v>34.344000000000001</v>
      </c>
      <c r="F49" s="389"/>
      <c r="G49" s="389"/>
    </row>
    <row r="50" spans="1:7" ht="12" thickBot="1" x14ac:dyDescent="0.25">
      <c r="A50" s="409" t="s">
        <v>337</v>
      </c>
      <c r="B50" s="389">
        <f t="shared" si="4"/>
        <v>220.21799999999996</v>
      </c>
      <c r="C50" s="389">
        <v>21.839999999999996</v>
      </c>
      <c r="D50" s="389">
        <v>3.7999999999999999E-2</v>
      </c>
      <c r="E50" s="389">
        <v>198.33999999999997</v>
      </c>
      <c r="F50" s="389"/>
      <c r="G50" s="389"/>
    </row>
    <row r="51" spans="1:7" ht="12" thickBot="1" x14ac:dyDescent="0.25">
      <c r="A51" s="409" t="s">
        <v>400</v>
      </c>
      <c r="B51" s="389">
        <f t="shared" si="4"/>
        <v>183.16</v>
      </c>
      <c r="C51" s="389"/>
      <c r="D51" s="389"/>
      <c r="E51" s="389"/>
      <c r="F51" s="389">
        <v>183.16</v>
      </c>
      <c r="G51" s="389"/>
    </row>
    <row r="52" spans="1:7" ht="12" thickBot="1" x14ac:dyDescent="0.25">
      <c r="A52" s="409" t="s">
        <v>401</v>
      </c>
      <c r="B52" s="389">
        <f t="shared" si="4"/>
        <v>602.57000000000005</v>
      </c>
      <c r="C52" s="389"/>
      <c r="D52" s="389"/>
      <c r="E52" s="389"/>
      <c r="F52" s="389">
        <v>602.57000000000005</v>
      </c>
      <c r="G52" s="389"/>
    </row>
    <row r="53" spans="1:7" ht="12" thickBot="1" x14ac:dyDescent="0.25">
      <c r="A53" s="409" t="s">
        <v>402</v>
      </c>
      <c r="B53" s="389">
        <f t="shared" si="4"/>
        <v>0.94</v>
      </c>
      <c r="C53" s="389"/>
      <c r="D53" s="389"/>
      <c r="E53" s="389"/>
      <c r="F53" s="389">
        <v>0.94</v>
      </c>
      <c r="G53" s="389"/>
    </row>
    <row r="54" spans="1:7" ht="12" thickBot="1" x14ac:dyDescent="0.25">
      <c r="A54" s="409" t="s">
        <v>727</v>
      </c>
      <c r="B54" s="389">
        <f t="shared" si="4"/>
        <v>249.43200000000002</v>
      </c>
      <c r="C54" s="389"/>
      <c r="D54" s="389"/>
      <c r="E54" s="389">
        <v>249.43200000000002</v>
      </c>
      <c r="F54" s="389"/>
      <c r="G54" s="389"/>
    </row>
    <row r="55" spans="1:7" ht="12" thickBot="1" x14ac:dyDescent="0.25">
      <c r="A55" s="409" t="s">
        <v>409</v>
      </c>
      <c r="B55" s="389">
        <f t="shared" si="4"/>
        <v>365.49</v>
      </c>
      <c r="C55" s="389">
        <v>365.49</v>
      </c>
      <c r="D55" s="389"/>
      <c r="E55" s="389"/>
      <c r="F55" s="389"/>
      <c r="G55" s="389"/>
    </row>
    <row r="56" spans="1:7" ht="12" thickBot="1" x14ac:dyDescent="0.25">
      <c r="A56" s="409" t="s">
        <v>728</v>
      </c>
      <c r="B56" s="389">
        <f t="shared" si="4"/>
        <v>0.06</v>
      </c>
      <c r="C56" s="389">
        <v>0.06</v>
      </c>
      <c r="D56" s="389"/>
      <c r="E56" s="389"/>
      <c r="F56" s="389"/>
      <c r="G56" s="389"/>
    </row>
    <row r="57" spans="1:7" ht="12" thickBot="1" x14ac:dyDescent="0.25">
      <c r="A57" s="410" t="s">
        <v>345</v>
      </c>
      <c r="B57" s="378">
        <f t="shared" ref="B57:G57" si="5">+SUM(B39:B56)</f>
        <v>12226.579</v>
      </c>
      <c r="C57" s="378">
        <f t="shared" si="5"/>
        <v>2076.5489999999995</v>
      </c>
      <c r="D57" s="378">
        <f t="shared" si="5"/>
        <v>206.92700000000002</v>
      </c>
      <c r="E57" s="378">
        <f t="shared" si="5"/>
        <v>2914.1229999999996</v>
      </c>
      <c r="F57" s="378">
        <f t="shared" si="5"/>
        <v>7028.98</v>
      </c>
      <c r="G57" s="378">
        <f t="shared" si="5"/>
        <v>0</v>
      </c>
    </row>
    <row r="58" spans="1:7" ht="12" thickBot="1" x14ac:dyDescent="0.25">
      <c r="A58" s="409" t="s">
        <v>403</v>
      </c>
      <c r="B58" s="389">
        <f t="shared" si="4"/>
        <v>-775.55600000000004</v>
      </c>
      <c r="C58" s="389">
        <v>-470.04200000000003</v>
      </c>
      <c r="D58" s="389">
        <v>-2.1750000000000003</v>
      </c>
      <c r="E58" s="389">
        <v>-287.01900000000001</v>
      </c>
      <c r="F58" s="389">
        <v>-16.319999999999993</v>
      </c>
      <c r="G58" s="389">
        <v>0</v>
      </c>
    </row>
    <row r="59" spans="1:7" ht="12" thickBot="1" x14ac:dyDescent="0.25">
      <c r="A59" s="409" t="s">
        <v>404</v>
      </c>
      <c r="B59" s="389">
        <f t="shared" si="4"/>
        <v>-245.81899999999993</v>
      </c>
      <c r="C59" s="389">
        <v>-227.10799999999995</v>
      </c>
      <c r="D59" s="389">
        <v>-4.6109999999999998</v>
      </c>
      <c r="E59" s="389">
        <v>-14.100000000000001</v>
      </c>
      <c r="F59" s="389"/>
      <c r="G59" s="389">
        <v>0</v>
      </c>
    </row>
    <row r="60" spans="1:7" ht="12" thickBot="1" x14ac:dyDescent="0.25">
      <c r="A60" s="409" t="s">
        <v>405</v>
      </c>
      <c r="B60" s="389">
        <f t="shared" si="4"/>
        <v>170.13199999999998</v>
      </c>
      <c r="C60" s="389">
        <v>124.836</v>
      </c>
      <c r="D60" s="389">
        <v>1.6779999999999999</v>
      </c>
      <c r="E60" s="389">
        <v>0.63800000000000001</v>
      </c>
      <c r="F60" s="389">
        <v>42.979999999999976</v>
      </c>
      <c r="G60" s="389">
        <v>0</v>
      </c>
    </row>
    <row r="61" spans="1:7" ht="12" thickBot="1" x14ac:dyDescent="0.25">
      <c r="A61" s="411" t="s">
        <v>406</v>
      </c>
      <c r="B61" s="384">
        <f t="shared" ref="B61:G61" si="6">+B57+B37+B58+B59+B60</f>
        <v>47919.639999999992</v>
      </c>
      <c r="C61" s="384">
        <f t="shared" si="6"/>
        <v>5749.6739999999991</v>
      </c>
      <c r="D61" s="384">
        <f t="shared" si="6"/>
        <v>1934.954</v>
      </c>
      <c r="E61" s="384">
        <f t="shared" si="6"/>
        <v>11339.012999999999</v>
      </c>
      <c r="F61" s="384">
        <f t="shared" si="6"/>
        <v>28895.998999999996</v>
      </c>
      <c r="G61" s="384">
        <f t="shared" si="6"/>
        <v>0</v>
      </c>
    </row>
    <row r="62" spans="1:7" x14ac:dyDescent="0.2">
      <c r="E62" s="401"/>
      <c r="F62" s="402"/>
    </row>
    <row r="63" spans="1:7" x14ac:dyDescent="0.2">
      <c r="F63" s="403"/>
    </row>
  </sheetData>
  <mergeCells count="2">
    <mergeCell ref="A4:G4"/>
    <mergeCell ref="A38:G38"/>
  </mergeCells>
  <pageMargins left="0.7" right="0.7" top="0.75" bottom="0.75" header="0.3" footer="0.3"/>
  <pageSetup paperSize="9" scale="8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8F75-3F9B-4C7A-8B4B-1537AFCEF142}">
  <sheetPr>
    <tabColor theme="4"/>
  </sheetPr>
  <dimension ref="A2:K19"/>
  <sheetViews>
    <sheetView zoomScaleNormal="100" workbookViewId="0">
      <selection activeCell="A2" sqref="A2:K2"/>
    </sheetView>
  </sheetViews>
  <sheetFormatPr baseColWidth="10" defaultRowHeight="15" x14ac:dyDescent="0.25"/>
  <cols>
    <col min="1" max="1" width="19" customWidth="1"/>
    <col min="2" max="11" width="7.85546875" customWidth="1"/>
  </cols>
  <sheetData>
    <row r="2" spans="1:11" x14ac:dyDescent="0.25">
      <c r="A2" s="436" t="s">
        <v>540</v>
      </c>
      <c r="B2" s="436"/>
      <c r="C2" s="436"/>
      <c r="D2" s="436"/>
      <c r="E2" s="436"/>
      <c r="F2" s="436"/>
      <c r="G2" s="436"/>
      <c r="H2" s="436"/>
      <c r="I2" s="436"/>
      <c r="J2" s="436"/>
      <c r="K2" s="436"/>
    </row>
    <row r="3" spans="1:11" ht="15.75" thickBot="1" x14ac:dyDescent="0.3">
      <c r="A3" s="407"/>
      <c r="B3" s="407"/>
      <c r="C3" s="407"/>
      <c r="D3" s="407"/>
      <c r="E3" s="407"/>
      <c r="F3" s="407"/>
      <c r="G3" s="407"/>
      <c r="H3" s="407"/>
      <c r="I3" s="407"/>
      <c r="J3" s="407"/>
    </row>
    <row r="4" spans="1:11" ht="15" customHeight="1" thickBot="1" x14ac:dyDescent="0.3">
      <c r="A4" s="217" t="s">
        <v>534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</row>
    <row r="5" spans="1:11" ht="15.75" thickBot="1" x14ac:dyDescent="0.3">
      <c r="A5" s="95" t="s">
        <v>362</v>
      </c>
      <c r="B5" s="91">
        <v>2013</v>
      </c>
      <c r="C5" s="91">
        <v>2014</v>
      </c>
      <c r="D5" s="91">
        <v>2015</v>
      </c>
      <c r="E5" s="91">
        <v>2016</v>
      </c>
      <c r="F5" s="91">
        <v>2017</v>
      </c>
      <c r="G5" s="91">
        <v>2018</v>
      </c>
      <c r="H5" s="91">
        <v>2019</v>
      </c>
      <c r="I5" s="91">
        <v>2020</v>
      </c>
      <c r="J5" s="91">
        <v>2021</v>
      </c>
      <c r="K5" s="91">
        <v>2022</v>
      </c>
    </row>
    <row r="6" spans="1:11" ht="18.75" customHeight="1" thickBot="1" x14ac:dyDescent="0.3">
      <c r="A6" s="412" t="s">
        <v>367</v>
      </c>
      <c r="B6" s="389">
        <v>5.43</v>
      </c>
      <c r="C6" s="389">
        <v>5.89</v>
      </c>
      <c r="D6" s="389">
        <v>6</v>
      </c>
      <c r="E6" s="389">
        <v>6.31</v>
      </c>
      <c r="F6" s="389">
        <v>6.15</v>
      </c>
      <c r="G6" s="389">
        <v>6.55</v>
      </c>
      <c r="H6" s="389">
        <v>6.98</v>
      </c>
      <c r="I6" s="389">
        <v>1.48</v>
      </c>
      <c r="J6" s="389">
        <v>2.34</v>
      </c>
      <c r="K6" s="389">
        <v>1.59</v>
      </c>
    </row>
    <row r="7" spans="1:11" ht="15.75" thickBot="1" x14ac:dyDescent="0.3">
      <c r="A7" s="412" t="s">
        <v>535</v>
      </c>
      <c r="B7" s="389">
        <v>33.75</v>
      </c>
      <c r="C7" s="389">
        <v>35</v>
      </c>
      <c r="D7" s="389">
        <v>39.229999999999997</v>
      </c>
      <c r="E7" s="389">
        <v>42.78</v>
      </c>
      <c r="F7" s="389">
        <v>44.71</v>
      </c>
      <c r="G7" s="389">
        <v>46.15</v>
      </c>
      <c r="H7" s="389">
        <v>47.69</v>
      </c>
      <c r="I7" s="389">
        <v>39.22</v>
      </c>
      <c r="J7" s="389">
        <v>43.27</v>
      </c>
      <c r="K7" s="389">
        <v>32.68</v>
      </c>
    </row>
    <row r="8" spans="1:11" ht="15.75" thickBot="1" x14ac:dyDescent="0.3">
      <c r="A8" s="412" t="s">
        <v>536</v>
      </c>
      <c r="B8" s="389">
        <v>14.82</v>
      </c>
      <c r="C8" s="389">
        <v>16.010000000000002</v>
      </c>
      <c r="D8" s="389">
        <v>13.28</v>
      </c>
      <c r="E8" s="389">
        <v>13.66</v>
      </c>
      <c r="F8" s="389">
        <v>13.28</v>
      </c>
      <c r="G8" s="389">
        <v>13.56</v>
      </c>
      <c r="H8" s="389">
        <v>14.89</v>
      </c>
      <c r="I8" s="389">
        <v>4.47</v>
      </c>
      <c r="J8" s="389">
        <v>8.32</v>
      </c>
      <c r="K8" s="389">
        <v>9.18</v>
      </c>
    </row>
    <row r="9" spans="1:11" ht="15.75" thickBot="1" x14ac:dyDescent="0.3">
      <c r="A9" s="412" t="s">
        <v>537</v>
      </c>
      <c r="B9" s="389">
        <v>70.91</v>
      </c>
      <c r="C9" s="389">
        <v>61.05</v>
      </c>
      <c r="D9" s="389">
        <v>58.01</v>
      </c>
      <c r="E9" s="389">
        <v>61.29</v>
      </c>
      <c r="F9" s="389">
        <v>59.25</v>
      </c>
      <c r="G9" s="389">
        <v>55.49</v>
      </c>
      <c r="H9" s="389">
        <v>52.09</v>
      </c>
      <c r="I9" s="389">
        <v>47.54</v>
      </c>
      <c r="J9" s="389">
        <v>54.15</v>
      </c>
      <c r="K9" s="389">
        <v>42.26</v>
      </c>
    </row>
    <row r="10" spans="1:11" ht="15" customHeight="1" thickBot="1" x14ac:dyDescent="0.3">
      <c r="A10" s="412" t="s">
        <v>538</v>
      </c>
      <c r="B10" s="389">
        <v>21.47</v>
      </c>
      <c r="C10" s="389">
        <v>23.95</v>
      </c>
      <c r="D10" s="389">
        <v>29.27</v>
      </c>
      <c r="E10" s="389">
        <v>35.51</v>
      </c>
      <c r="F10" s="389">
        <v>50.16</v>
      </c>
      <c r="G10" s="389">
        <v>44.12</v>
      </c>
      <c r="H10" s="389">
        <v>32.18</v>
      </c>
      <c r="I10" s="389">
        <v>5.42</v>
      </c>
      <c r="J10" s="389">
        <v>5.03</v>
      </c>
      <c r="K10" s="389">
        <v>10.14</v>
      </c>
    </row>
    <row r="11" spans="1:11" ht="15.75" thickBot="1" x14ac:dyDescent="0.3">
      <c r="A11" s="412" t="s">
        <v>539</v>
      </c>
      <c r="B11" s="389">
        <v>8.67</v>
      </c>
      <c r="C11" s="389">
        <v>6.05</v>
      </c>
      <c r="D11" s="389">
        <v>6.62</v>
      </c>
      <c r="E11" s="389">
        <v>7.48</v>
      </c>
      <c r="F11" s="389">
        <v>7.32</v>
      </c>
      <c r="G11" s="389">
        <v>9.2899999999999991</v>
      </c>
      <c r="H11" s="389">
        <v>12.53</v>
      </c>
      <c r="I11" s="389">
        <v>5.82</v>
      </c>
      <c r="J11" s="389">
        <v>0.51</v>
      </c>
      <c r="K11" s="389">
        <v>0.33</v>
      </c>
    </row>
    <row r="12" spans="1:11" ht="15.75" thickBot="1" x14ac:dyDescent="0.3">
      <c r="A12" s="412" t="s">
        <v>488</v>
      </c>
      <c r="B12" s="389">
        <v>4.59</v>
      </c>
      <c r="C12" s="389">
        <v>5.31</v>
      </c>
      <c r="D12" s="389">
        <v>4.7699999999999996</v>
      </c>
      <c r="E12" s="389">
        <v>4.38</v>
      </c>
      <c r="F12" s="389">
        <v>5.45</v>
      </c>
      <c r="G12" s="389">
        <v>5.25</v>
      </c>
      <c r="H12" s="389">
        <v>4.71</v>
      </c>
      <c r="I12" s="389">
        <v>2.25</v>
      </c>
      <c r="J12" s="389">
        <v>3.8</v>
      </c>
      <c r="K12" s="389">
        <v>3.95</v>
      </c>
    </row>
    <row r="13" spans="1:11" x14ac:dyDescent="0.25">
      <c r="A13" s="323"/>
      <c r="B13" s="323"/>
      <c r="C13" s="323"/>
      <c r="D13" s="323"/>
      <c r="E13" s="323"/>
      <c r="F13" s="323"/>
      <c r="G13" s="323"/>
      <c r="H13" s="323"/>
      <c r="I13" s="323"/>
      <c r="J13" s="323"/>
    </row>
    <row r="14" spans="1:11" x14ac:dyDescent="0.25">
      <c r="A14" s="323"/>
      <c r="B14" s="323"/>
      <c r="C14" s="323"/>
      <c r="D14" s="323"/>
      <c r="E14" s="323"/>
      <c r="F14" s="323"/>
      <c r="G14" s="323"/>
      <c r="H14" s="323"/>
      <c r="I14" s="323"/>
      <c r="J14" s="323"/>
    </row>
    <row r="15" spans="1:11" x14ac:dyDescent="0.25">
      <c r="A15" s="323"/>
      <c r="B15" s="323"/>
      <c r="C15" s="323"/>
      <c r="D15" s="323"/>
      <c r="E15" s="323"/>
      <c r="F15" s="323"/>
      <c r="G15" s="323"/>
      <c r="H15" s="323"/>
      <c r="I15" s="323"/>
      <c r="J15" s="323"/>
    </row>
    <row r="16" spans="1:11" x14ac:dyDescent="0.25">
      <c r="A16" s="323"/>
      <c r="B16" s="323"/>
      <c r="C16" s="323"/>
      <c r="D16" s="323"/>
      <c r="E16" s="323"/>
      <c r="F16" s="323"/>
      <c r="G16" s="323"/>
      <c r="H16" s="323"/>
      <c r="I16" s="323"/>
      <c r="J16" s="323"/>
    </row>
    <row r="17" spans="1:10" x14ac:dyDescent="0.25">
      <c r="A17" s="323"/>
      <c r="B17" s="323"/>
      <c r="C17" s="323"/>
      <c r="D17" s="323"/>
      <c r="E17" s="323"/>
      <c r="F17" s="323"/>
      <c r="G17" s="323"/>
      <c r="H17" s="323"/>
      <c r="I17" s="323"/>
      <c r="J17" s="323"/>
    </row>
    <row r="18" spans="1:10" x14ac:dyDescent="0.25">
      <c r="A18" s="323"/>
      <c r="B18" s="323"/>
      <c r="C18" s="323"/>
      <c r="D18" s="323"/>
      <c r="E18" s="323"/>
      <c r="F18" s="323"/>
      <c r="G18" s="323"/>
      <c r="H18" s="323"/>
      <c r="I18" s="323"/>
      <c r="J18" s="323"/>
    </row>
    <row r="19" spans="1:10" x14ac:dyDescent="0.25">
      <c r="A19" s="323"/>
      <c r="B19" s="323"/>
      <c r="C19" s="323"/>
      <c r="D19" s="323"/>
      <c r="E19" s="323"/>
      <c r="F19" s="323"/>
      <c r="G19" s="323"/>
      <c r="H19" s="323"/>
      <c r="I19" s="323"/>
      <c r="J19" s="323"/>
    </row>
  </sheetData>
  <mergeCells count="2">
    <mergeCell ref="A4:K4"/>
    <mergeCell ref="A2:K2"/>
  </mergeCells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C564-E305-49E6-95CE-B1C814C2761E}">
  <sheetPr>
    <tabColor theme="4"/>
  </sheetPr>
  <dimension ref="A1:I13"/>
  <sheetViews>
    <sheetView zoomScale="110" zoomScaleNormal="110" workbookViewId="0">
      <selection sqref="A1:I1"/>
    </sheetView>
  </sheetViews>
  <sheetFormatPr baseColWidth="10" defaultRowHeight="15" x14ac:dyDescent="0.25"/>
  <cols>
    <col min="1" max="1" width="14.85546875" customWidth="1"/>
    <col min="2" max="2" width="13.42578125" customWidth="1"/>
    <col min="3" max="3" width="13.28515625" customWidth="1"/>
    <col min="4" max="4" width="13" customWidth="1"/>
    <col min="5" max="5" width="13.140625" customWidth="1"/>
  </cols>
  <sheetData>
    <row r="1" spans="1:9" x14ac:dyDescent="0.25">
      <c r="A1" s="436" t="s">
        <v>533</v>
      </c>
      <c r="B1" s="436"/>
      <c r="C1" s="436"/>
      <c r="D1" s="436"/>
      <c r="E1" s="436"/>
      <c r="F1" s="436"/>
      <c r="G1" s="436"/>
      <c r="H1" s="436"/>
      <c r="I1" s="436"/>
    </row>
    <row r="2" spans="1:9" ht="15.75" thickBot="1" x14ac:dyDescent="0.3">
      <c r="A2" s="315"/>
      <c r="B2" s="315"/>
      <c r="C2" s="315"/>
      <c r="D2" s="315"/>
      <c r="E2" s="315"/>
      <c r="F2" s="315"/>
      <c r="G2" s="315"/>
      <c r="H2" s="315"/>
      <c r="I2" s="315"/>
    </row>
    <row r="3" spans="1:9" ht="15" customHeight="1" thickBot="1" x14ac:dyDescent="0.3">
      <c r="A3" s="217" t="s">
        <v>524</v>
      </c>
      <c r="B3" s="218"/>
      <c r="C3" s="218"/>
      <c r="D3" s="218"/>
      <c r="E3" s="218"/>
      <c r="F3" s="218"/>
      <c r="G3" s="218"/>
      <c r="H3" s="218"/>
      <c r="I3" s="219"/>
    </row>
    <row r="4" spans="1:9" x14ac:dyDescent="0.25">
      <c r="A4" s="240" t="s">
        <v>525</v>
      </c>
      <c r="B4" s="283" t="s">
        <v>526</v>
      </c>
      <c r="C4" s="283" t="s">
        <v>527</v>
      </c>
      <c r="D4" s="283" t="s">
        <v>367</v>
      </c>
      <c r="E4" s="109" t="s">
        <v>528</v>
      </c>
      <c r="F4" s="283" t="s">
        <v>487</v>
      </c>
      <c r="G4" s="283" t="s">
        <v>529</v>
      </c>
      <c r="H4" s="283" t="s">
        <v>530</v>
      </c>
      <c r="I4" s="240" t="s">
        <v>29</v>
      </c>
    </row>
    <row r="5" spans="1:9" ht="15.75" thickBot="1" x14ac:dyDescent="0.3">
      <c r="A5" s="241"/>
      <c r="B5" s="284"/>
      <c r="C5" s="284"/>
      <c r="D5" s="284"/>
      <c r="E5" s="110" t="s">
        <v>485</v>
      </c>
      <c r="F5" s="284"/>
      <c r="G5" s="284"/>
      <c r="H5" s="284"/>
      <c r="I5" s="241"/>
    </row>
    <row r="6" spans="1:9" ht="15.75" thickBot="1" x14ac:dyDescent="0.3">
      <c r="A6" s="98" t="s">
        <v>531</v>
      </c>
      <c r="B6" s="67">
        <v>98.79</v>
      </c>
      <c r="C6" s="67" t="s">
        <v>2</v>
      </c>
      <c r="D6" s="67">
        <v>309.27999999999997</v>
      </c>
      <c r="E6" s="67" t="s">
        <v>2</v>
      </c>
      <c r="F6" s="67" t="s">
        <v>2</v>
      </c>
      <c r="G6" s="67" t="s">
        <v>2</v>
      </c>
      <c r="H6" s="66" t="s">
        <v>2</v>
      </c>
      <c r="I6" s="67">
        <v>408.07</v>
      </c>
    </row>
    <row r="7" spans="1:9" ht="15.75" thickBot="1" x14ac:dyDescent="0.3">
      <c r="A7" s="98" t="s">
        <v>532</v>
      </c>
      <c r="B7" s="67" t="s">
        <v>2</v>
      </c>
      <c r="C7" s="67">
        <v>58.5</v>
      </c>
      <c r="D7" s="67">
        <v>27.37</v>
      </c>
      <c r="E7" s="67" t="s">
        <v>2</v>
      </c>
      <c r="F7" s="67" t="s">
        <v>2</v>
      </c>
      <c r="G7" s="67" t="s">
        <v>2</v>
      </c>
      <c r="H7" s="67" t="s">
        <v>2</v>
      </c>
      <c r="I7" s="67">
        <v>85.87</v>
      </c>
    </row>
    <row r="8" spans="1:9" ht="15.75" thickBot="1" x14ac:dyDescent="0.3">
      <c r="A8" s="98" t="s">
        <v>22</v>
      </c>
      <c r="B8" s="67" t="s">
        <v>2</v>
      </c>
      <c r="C8" s="106">
        <v>9760.5</v>
      </c>
      <c r="D8" s="67" t="s">
        <v>2</v>
      </c>
      <c r="E8" s="106">
        <v>13258.4</v>
      </c>
      <c r="F8" s="106">
        <v>1094.9000000000001</v>
      </c>
      <c r="G8" s="106">
        <v>3407.6</v>
      </c>
      <c r="H8" s="67">
        <v>365.7</v>
      </c>
      <c r="I8" s="106">
        <v>27887.1</v>
      </c>
    </row>
    <row r="9" spans="1:9" ht="15.75" thickBot="1" x14ac:dyDescent="0.3">
      <c r="A9" s="98" t="s">
        <v>43</v>
      </c>
      <c r="B9" s="67">
        <v>77.64</v>
      </c>
      <c r="C9" s="67" t="s">
        <v>2</v>
      </c>
      <c r="D9" s="67" t="s">
        <v>2</v>
      </c>
      <c r="E9" s="67">
        <v>148.06</v>
      </c>
      <c r="F9" s="67" t="s">
        <v>2</v>
      </c>
      <c r="G9" s="67" t="s">
        <v>2</v>
      </c>
      <c r="H9" s="67" t="s">
        <v>2</v>
      </c>
      <c r="I9" s="67">
        <v>225.7</v>
      </c>
    </row>
    <row r="10" spans="1:9" ht="15.75" thickBot="1" x14ac:dyDescent="0.3">
      <c r="A10" s="92" t="s">
        <v>29</v>
      </c>
      <c r="B10" s="93">
        <v>176.43</v>
      </c>
      <c r="C10" s="112">
        <v>9819</v>
      </c>
      <c r="D10" s="93">
        <v>336.66</v>
      </c>
      <c r="E10" s="112">
        <v>13406.46</v>
      </c>
      <c r="F10" s="112">
        <v>1094.9000000000001</v>
      </c>
      <c r="G10" s="112">
        <v>3407.6</v>
      </c>
      <c r="H10" s="93">
        <v>365.7</v>
      </c>
      <c r="I10" s="112">
        <v>28606.74</v>
      </c>
    </row>
    <row r="11" spans="1:9" x14ac:dyDescent="0.25">
      <c r="A11" s="315"/>
      <c r="B11" s="315"/>
      <c r="C11" s="315"/>
      <c r="D11" s="315"/>
      <c r="E11" s="315"/>
      <c r="F11" s="315"/>
      <c r="G11" s="315"/>
      <c r="H11" s="315"/>
      <c r="I11" s="315"/>
    </row>
    <row r="12" spans="1:9" x14ac:dyDescent="0.25">
      <c r="A12" s="315"/>
      <c r="B12" s="315"/>
      <c r="C12" s="315"/>
      <c r="D12" s="315"/>
      <c r="E12" s="315"/>
      <c r="F12" s="315"/>
      <c r="G12" s="315"/>
      <c r="H12" s="315"/>
      <c r="I12" s="315"/>
    </row>
    <row r="13" spans="1:9" x14ac:dyDescent="0.25">
      <c r="A13" s="315"/>
      <c r="B13" s="315"/>
      <c r="C13" s="315"/>
      <c r="D13" s="315"/>
      <c r="E13" s="315"/>
      <c r="F13" s="315"/>
      <c r="G13" s="315"/>
      <c r="H13" s="315"/>
      <c r="I13" s="315"/>
    </row>
  </sheetData>
  <mergeCells count="10">
    <mergeCell ref="A3:I3"/>
    <mergeCell ref="A1:I1"/>
    <mergeCell ref="A4:A5"/>
    <mergeCell ref="B4:B5"/>
    <mergeCell ref="C4:C5"/>
    <mergeCell ref="D4:D5"/>
    <mergeCell ref="F4:F5"/>
    <mergeCell ref="G4:G5"/>
    <mergeCell ref="H4:H5"/>
    <mergeCell ref="I4:I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3F87-069B-4CBE-9A3B-ED1342BE8460}">
  <sheetPr>
    <tabColor rgb="FF0070C0"/>
  </sheetPr>
  <dimension ref="A1:L34"/>
  <sheetViews>
    <sheetView workbookViewId="0">
      <selection activeCell="B1" sqref="B1"/>
    </sheetView>
  </sheetViews>
  <sheetFormatPr baseColWidth="10" defaultColWidth="11.42578125" defaultRowHeight="11.25" x14ac:dyDescent="0.2"/>
  <cols>
    <col min="1" max="1" width="27.5703125" style="22" bestFit="1" customWidth="1"/>
    <col min="2" max="16384" width="11.42578125" style="16"/>
  </cols>
  <sheetData>
    <row r="1" spans="1:12" ht="12" x14ac:dyDescent="0.2">
      <c r="A1" s="437"/>
      <c r="B1" s="335" t="s">
        <v>738</v>
      </c>
      <c r="C1" s="437"/>
      <c r="D1" s="438"/>
      <c r="E1" s="438"/>
      <c r="F1" s="438"/>
      <c r="G1" s="438"/>
      <c r="H1" s="438"/>
      <c r="I1" s="438"/>
      <c r="J1" s="438"/>
      <c r="K1" s="438"/>
      <c r="L1" s="438"/>
    </row>
    <row r="3" spans="1:12" ht="11.25" customHeight="1" thickBot="1" x14ac:dyDescent="0.25">
      <c r="A3" s="388" t="s">
        <v>731</v>
      </c>
      <c r="B3" s="416"/>
      <c r="C3" s="416"/>
      <c r="D3" s="416"/>
      <c r="E3" s="416"/>
      <c r="F3" s="416"/>
      <c r="G3" s="416"/>
      <c r="H3" s="416"/>
      <c r="I3" s="416"/>
      <c r="J3" s="416"/>
      <c r="K3" s="416"/>
    </row>
    <row r="4" spans="1:12" ht="12" thickBot="1" x14ac:dyDescent="0.25">
      <c r="A4" s="419" t="s">
        <v>362</v>
      </c>
      <c r="B4" s="114">
        <v>2013</v>
      </c>
      <c r="C4" s="114">
        <v>2014</v>
      </c>
      <c r="D4" s="113">
        <v>2015</v>
      </c>
      <c r="E4" s="114">
        <v>2016</v>
      </c>
      <c r="F4" s="114">
        <v>2017</v>
      </c>
      <c r="G4" s="113">
        <v>2018</v>
      </c>
      <c r="H4" s="114">
        <v>2019</v>
      </c>
      <c r="I4" s="114">
        <v>2020</v>
      </c>
      <c r="J4" s="113">
        <v>2021</v>
      </c>
      <c r="K4" s="114">
        <v>2022</v>
      </c>
    </row>
    <row r="5" spans="1:12" ht="12" thickBot="1" x14ac:dyDescent="0.25">
      <c r="A5" s="421" t="s">
        <v>531</v>
      </c>
      <c r="B5" s="417">
        <f t="shared" ref="B5:J5" si="0">+SUM(B6:B9)</f>
        <v>257.65334000000001</v>
      </c>
      <c r="C5" s="417">
        <f t="shared" si="0"/>
        <v>384.13027</v>
      </c>
      <c r="D5" s="417">
        <f t="shared" si="0"/>
        <v>446.79883000000001</v>
      </c>
      <c r="E5" s="417">
        <f t="shared" si="0"/>
        <v>456.03</v>
      </c>
      <c r="F5" s="417">
        <f t="shared" si="0"/>
        <v>386.05617000000007</v>
      </c>
      <c r="G5" s="417">
        <f t="shared" si="0"/>
        <v>378.40957000000003</v>
      </c>
      <c r="H5" s="417">
        <f t="shared" si="0"/>
        <v>414.4994200000001</v>
      </c>
      <c r="I5" s="417">
        <f t="shared" si="0"/>
        <v>400.81986999999998</v>
      </c>
      <c r="J5" s="417">
        <f t="shared" si="0"/>
        <v>403.21999999999997</v>
      </c>
      <c r="K5" s="417">
        <f>+'[1]24'!K3</f>
        <v>408.07158000000004</v>
      </c>
    </row>
    <row r="6" spans="1:12" ht="12" thickBot="1" x14ac:dyDescent="0.25">
      <c r="A6" s="98" t="s">
        <v>527</v>
      </c>
      <c r="B6" s="106">
        <v>0</v>
      </c>
      <c r="C6" s="106">
        <v>0</v>
      </c>
      <c r="D6" s="106">
        <v>0</v>
      </c>
      <c r="E6" s="106">
        <v>0</v>
      </c>
      <c r="F6" s="106">
        <v>0</v>
      </c>
      <c r="G6" s="106">
        <v>0</v>
      </c>
      <c r="H6" s="106">
        <v>0</v>
      </c>
      <c r="I6" s="106">
        <v>0</v>
      </c>
      <c r="J6" s="106"/>
      <c r="K6" s="106">
        <f>+'[1]24'!K4</f>
        <v>0</v>
      </c>
    </row>
    <row r="7" spans="1:12" ht="12" thickBot="1" x14ac:dyDescent="0.25">
      <c r="A7" s="98" t="s">
        <v>367</v>
      </c>
      <c r="B7" s="106">
        <v>199.88463000000002</v>
      </c>
      <c r="C7" s="106">
        <v>296.19310000000002</v>
      </c>
      <c r="D7" s="106">
        <v>342.14357000000001</v>
      </c>
      <c r="E7" s="106">
        <v>350.46</v>
      </c>
      <c r="F7" s="106">
        <v>315.73319000000004</v>
      </c>
      <c r="G7" s="106">
        <v>305.20049</v>
      </c>
      <c r="H7" s="106">
        <v>315.05369000000007</v>
      </c>
      <c r="I7" s="106">
        <v>302.61270999999999</v>
      </c>
      <c r="J7" s="106">
        <v>305.08</v>
      </c>
      <c r="K7" s="106">
        <f>+'[1]24'!K5</f>
        <v>309.28458000000001</v>
      </c>
    </row>
    <row r="8" spans="1:12" ht="12" thickBot="1" x14ac:dyDescent="0.25">
      <c r="A8" s="98" t="s">
        <v>732</v>
      </c>
      <c r="B8" s="106">
        <v>0</v>
      </c>
      <c r="C8" s="106">
        <v>0</v>
      </c>
      <c r="D8" s="106">
        <v>0</v>
      </c>
      <c r="E8" s="106">
        <v>0</v>
      </c>
      <c r="F8" s="106">
        <v>0</v>
      </c>
      <c r="G8" s="106">
        <v>0</v>
      </c>
      <c r="H8" s="106">
        <v>0</v>
      </c>
      <c r="I8" s="106">
        <v>0</v>
      </c>
      <c r="J8" s="106"/>
      <c r="K8" s="106">
        <f>+'[1]24'!K6</f>
        <v>0</v>
      </c>
    </row>
    <row r="9" spans="1:12" ht="12" customHeight="1" thickBot="1" x14ac:dyDescent="0.25">
      <c r="A9" s="98" t="s">
        <v>526</v>
      </c>
      <c r="B9" s="106">
        <v>57.768710000000013</v>
      </c>
      <c r="C9" s="106">
        <v>87.937169999999981</v>
      </c>
      <c r="D9" s="106">
        <v>104.65525999999998</v>
      </c>
      <c r="E9" s="106">
        <v>105.57</v>
      </c>
      <c r="F9" s="106">
        <v>70.322980000000001</v>
      </c>
      <c r="G9" s="106">
        <v>73.20908</v>
      </c>
      <c r="H9" s="106">
        <v>99.445730000000026</v>
      </c>
      <c r="I9" s="106">
        <v>98.207159999999988</v>
      </c>
      <c r="J9" s="106">
        <v>98.14</v>
      </c>
      <c r="K9" s="106">
        <f>+'[1]24'!K7</f>
        <v>98.787000000000006</v>
      </c>
    </row>
    <row r="10" spans="1:12" ht="12" thickBot="1" x14ac:dyDescent="0.25">
      <c r="A10" s="422" t="s">
        <v>733</v>
      </c>
      <c r="B10" s="417">
        <f t="shared" ref="B10:J10" si="1">+SUM(B11:B12)</f>
        <v>836.702</v>
      </c>
      <c r="C10" s="417">
        <f t="shared" si="1"/>
        <v>784.39999999999986</v>
      </c>
      <c r="D10" s="417">
        <f t="shared" si="1"/>
        <v>719.66699999999992</v>
      </c>
      <c r="E10" s="417">
        <f t="shared" si="1"/>
        <v>470</v>
      </c>
      <c r="F10" s="417">
        <f t="shared" si="1"/>
        <v>413.01900000000001</v>
      </c>
      <c r="G10" s="417">
        <f t="shared" si="1"/>
        <v>393.36899999999997</v>
      </c>
      <c r="H10" s="417">
        <f t="shared" si="1"/>
        <v>274.911</v>
      </c>
      <c r="I10" s="417">
        <f t="shared" si="1"/>
        <v>163.35700000000003</v>
      </c>
      <c r="J10" s="417">
        <f t="shared" si="1"/>
        <v>98.6</v>
      </c>
      <c r="K10" s="417">
        <f>+'[1]24'!K8</f>
        <v>85.867000000000004</v>
      </c>
    </row>
    <row r="11" spans="1:12" ht="12" thickBot="1" x14ac:dyDescent="0.25">
      <c r="A11" s="98" t="s">
        <v>527</v>
      </c>
      <c r="B11" s="106">
        <v>493.34800000000001</v>
      </c>
      <c r="C11" s="106">
        <v>464.80299999999994</v>
      </c>
      <c r="D11" s="106">
        <v>438.44399999999996</v>
      </c>
      <c r="E11" s="106">
        <v>291.61</v>
      </c>
      <c r="F11" s="106">
        <v>255.99600000000001</v>
      </c>
      <c r="G11" s="106">
        <v>244.66799999999998</v>
      </c>
      <c r="H11" s="106">
        <v>172.488</v>
      </c>
      <c r="I11" s="106">
        <v>99.013000000000005</v>
      </c>
      <c r="J11" s="106">
        <v>70.855000000000004</v>
      </c>
      <c r="K11" s="106">
        <f>+'[1]24'!K9</f>
        <v>58.496000000000002</v>
      </c>
    </row>
    <row r="12" spans="1:12" ht="12" thickBot="1" x14ac:dyDescent="0.25">
      <c r="A12" s="98" t="s">
        <v>367</v>
      </c>
      <c r="B12" s="106">
        <v>343.35400000000004</v>
      </c>
      <c r="C12" s="106">
        <v>319.59699999999998</v>
      </c>
      <c r="D12" s="106">
        <v>281.22300000000001</v>
      </c>
      <c r="E12" s="106">
        <v>178.39</v>
      </c>
      <c r="F12" s="106">
        <v>157.023</v>
      </c>
      <c r="G12" s="106">
        <v>148.70099999999999</v>
      </c>
      <c r="H12" s="106">
        <v>102.42300000000002</v>
      </c>
      <c r="I12" s="106">
        <v>64.344000000000008</v>
      </c>
      <c r="J12" s="106">
        <v>27.744999999999997</v>
      </c>
      <c r="K12" s="106">
        <f>+'[1]24'!K10</f>
        <v>27.370999999999999</v>
      </c>
    </row>
    <row r="13" spans="1:12" ht="18" customHeight="1" thickBot="1" x14ac:dyDescent="0.25">
      <c r="A13" s="422" t="s">
        <v>734</v>
      </c>
      <c r="B13" s="417">
        <f t="shared" ref="B13:G13" si="2">+SUM(B14:B17)</f>
        <v>36408.699999999997</v>
      </c>
      <c r="C13" s="417">
        <f t="shared" si="2"/>
        <v>34731.300000000003</v>
      </c>
      <c r="D13" s="417">
        <f t="shared" si="2"/>
        <v>30001.599999999999</v>
      </c>
      <c r="E13" s="417">
        <f t="shared" si="2"/>
        <v>30605.8</v>
      </c>
      <c r="F13" s="417">
        <f t="shared" si="2"/>
        <v>27968.845999999998</v>
      </c>
      <c r="G13" s="417">
        <f t="shared" si="2"/>
        <v>26271.7</v>
      </c>
      <c r="H13" s="417">
        <f>+SUM(H14:H17)</f>
        <v>27136.306</v>
      </c>
      <c r="I13" s="417">
        <f>+SUM(I14:I19)</f>
        <v>28328.3</v>
      </c>
      <c r="J13" s="417">
        <f>+SUM(J14:J19)</f>
        <v>29167.599999999999</v>
      </c>
      <c r="K13" s="417">
        <f>+'[1]24'!K11</f>
        <v>27887.100000000006</v>
      </c>
    </row>
    <row r="14" spans="1:12" ht="12" thickBot="1" x14ac:dyDescent="0.25">
      <c r="A14" s="98" t="s">
        <v>527</v>
      </c>
      <c r="B14" s="106">
        <v>14712.4</v>
      </c>
      <c r="C14" s="106">
        <v>13761.8</v>
      </c>
      <c r="D14" s="106">
        <v>11639.300000000001</v>
      </c>
      <c r="E14" s="106">
        <v>12547.5</v>
      </c>
      <c r="F14" s="106">
        <v>11256.745999999999</v>
      </c>
      <c r="G14" s="106">
        <v>10823.4</v>
      </c>
      <c r="H14" s="106">
        <v>10935.899999999998</v>
      </c>
      <c r="I14" s="106">
        <v>10676</v>
      </c>
      <c r="J14" s="106">
        <v>10744.599999999999</v>
      </c>
      <c r="K14" s="106">
        <f>+'[1]24'!K12</f>
        <v>9760.4999999999982</v>
      </c>
    </row>
    <row r="15" spans="1:12" ht="12" thickBot="1" x14ac:dyDescent="0.25">
      <c r="A15" s="98" t="s">
        <v>732</v>
      </c>
      <c r="B15" s="106">
        <v>18035.3</v>
      </c>
      <c r="C15" s="106">
        <v>17216.400000000001</v>
      </c>
      <c r="D15" s="106">
        <v>15438.799999999997</v>
      </c>
      <c r="E15" s="106">
        <v>15283.7</v>
      </c>
      <c r="F15" s="106">
        <v>14565.5</v>
      </c>
      <c r="G15" s="106">
        <v>13677.1</v>
      </c>
      <c r="H15" s="106">
        <v>14357.900000000001</v>
      </c>
      <c r="I15" s="106">
        <v>14536.8</v>
      </c>
      <c r="J15" s="106">
        <v>14678.3</v>
      </c>
      <c r="K15" s="106">
        <f>+'[1]24'!K13</f>
        <v>13258.400000000001</v>
      </c>
    </row>
    <row r="16" spans="1:12" ht="12" thickBot="1" x14ac:dyDescent="0.25">
      <c r="A16" s="98" t="s">
        <v>487</v>
      </c>
      <c r="B16" s="106">
        <v>3661</v>
      </c>
      <c r="C16" s="106">
        <v>3753.1000000000004</v>
      </c>
      <c r="D16" s="106">
        <v>2923.5</v>
      </c>
      <c r="E16" s="106">
        <v>2774.6</v>
      </c>
      <c r="F16" s="106">
        <v>2146.6000000000004</v>
      </c>
      <c r="G16" s="106">
        <v>1771.2</v>
      </c>
      <c r="H16" s="106">
        <v>1679.7000000000003</v>
      </c>
      <c r="I16" s="106">
        <v>1662.3</v>
      </c>
      <c r="J16" s="106">
        <v>1446.5</v>
      </c>
      <c r="K16" s="106">
        <f>+'[1]24'!K14</f>
        <v>1094.8999999999999</v>
      </c>
    </row>
    <row r="17" spans="1:11" ht="12" thickBot="1" x14ac:dyDescent="0.25">
      <c r="A17" s="98" t="s">
        <v>735</v>
      </c>
      <c r="B17" s="106">
        <v>0</v>
      </c>
      <c r="C17" s="106">
        <v>0</v>
      </c>
      <c r="D17" s="106">
        <v>0</v>
      </c>
      <c r="E17" s="106">
        <v>0</v>
      </c>
      <c r="F17" s="106">
        <v>0</v>
      </c>
      <c r="G17" s="106">
        <v>0</v>
      </c>
      <c r="H17" s="106">
        <v>162.80600000000001</v>
      </c>
      <c r="I17" s="106">
        <v>0</v>
      </c>
      <c r="J17" s="106"/>
      <c r="K17" s="106">
        <f>+'[1]24'!K15</f>
        <v>0</v>
      </c>
    </row>
    <row r="18" spans="1:11" ht="12" thickBot="1" x14ac:dyDescent="0.25">
      <c r="A18" s="98" t="s">
        <v>529</v>
      </c>
      <c r="B18" s="106"/>
      <c r="C18" s="106"/>
      <c r="D18" s="106"/>
      <c r="E18" s="106"/>
      <c r="F18" s="106"/>
      <c r="G18" s="106"/>
      <c r="H18" s="106"/>
      <c r="I18" s="106">
        <v>1224.3</v>
      </c>
      <c r="J18" s="106">
        <v>2298.1999999999998</v>
      </c>
      <c r="K18" s="106">
        <f>+'[1]24'!K16</f>
        <v>3407.6000000000008</v>
      </c>
    </row>
    <row r="19" spans="1:11" ht="12" thickBot="1" x14ac:dyDescent="0.25">
      <c r="A19" s="98" t="s">
        <v>530</v>
      </c>
      <c r="B19" s="106"/>
      <c r="C19" s="106"/>
      <c r="D19" s="106"/>
      <c r="E19" s="106"/>
      <c r="F19" s="106"/>
      <c r="G19" s="106"/>
      <c r="H19" s="106"/>
      <c r="I19" s="106">
        <v>228.9</v>
      </c>
      <c r="J19" s="106"/>
      <c r="K19" s="106">
        <f>+'[1]24'!K17</f>
        <v>365.70000000000005</v>
      </c>
    </row>
    <row r="20" spans="1:11" ht="13.5" customHeight="1" thickBot="1" x14ac:dyDescent="0.25">
      <c r="A20" s="422" t="s">
        <v>736</v>
      </c>
      <c r="B20" s="417">
        <f t="shared" ref="B20:J20" si="3">+SUM(B21:B24)</f>
        <v>479.16900000000004</v>
      </c>
      <c r="C20" s="417">
        <f t="shared" si="3"/>
        <v>466.37700000000001</v>
      </c>
      <c r="D20" s="417">
        <f t="shared" si="3"/>
        <v>469.61040476190476</v>
      </c>
      <c r="E20" s="417">
        <f t="shared" si="3"/>
        <v>429.71999999999997</v>
      </c>
      <c r="F20" s="417">
        <f t="shared" si="3"/>
        <v>374.67964285714288</v>
      </c>
      <c r="G20" s="417">
        <f t="shared" si="3"/>
        <v>364.76500000000004</v>
      </c>
      <c r="H20" s="417">
        <f t="shared" si="3"/>
        <v>349.29100000000005</v>
      </c>
      <c r="I20" s="417">
        <f t="shared" si="3"/>
        <v>351.13783333333333</v>
      </c>
      <c r="J20" s="417">
        <f t="shared" si="3"/>
        <v>280.02299999999997</v>
      </c>
      <c r="K20" s="417">
        <f>+'[1]24'!K18</f>
        <v>225.69799999999998</v>
      </c>
    </row>
    <row r="21" spans="1:11" ht="12" thickBot="1" x14ac:dyDescent="0.25">
      <c r="A21" s="98" t="s">
        <v>527</v>
      </c>
      <c r="B21" s="106">
        <v>0</v>
      </c>
      <c r="C21" s="106">
        <v>0</v>
      </c>
      <c r="D21" s="106">
        <v>0</v>
      </c>
      <c r="E21" s="106">
        <v>0</v>
      </c>
      <c r="F21" s="106">
        <v>0</v>
      </c>
      <c r="G21" s="106">
        <v>0</v>
      </c>
      <c r="H21" s="106">
        <v>0</v>
      </c>
      <c r="I21" s="106">
        <v>0</v>
      </c>
      <c r="J21" s="106"/>
      <c r="K21" s="106">
        <f>+'[1]24'!K19</f>
        <v>0</v>
      </c>
    </row>
    <row r="22" spans="1:11" ht="12" thickBot="1" x14ac:dyDescent="0.25">
      <c r="A22" s="98" t="s">
        <v>367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>
        <f>+'[1]24'!K20</f>
        <v>0</v>
      </c>
    </row>
    <row r="23" spans="1:11" ht="12" thickBot="1" x14ac:dyDescent="0.25">
      <c r="A23" s="98" t="s">
        <v>732</v>
      </c>
      <c r="B23" s="106">
        <v>339.43</v>
      </c>
      <c r="C23" s="106">
        <v>328.6</v>
      </c>
      <c r="D23" s="106">
        <v>333.68899999999996</v>
      </c>
      <c r="E23" s="106">
        <v>303.14</v>
      </c>
      <c r="F23" s="106">
        <v>260.16164285714285</v>
      </c>
      <c r="G23" s="106">
        <v>262.67700000000002</v>
      </c>
      <c r="H23" s="106">
        <v>242.81600000000003</v>
      </c>
      <c r="I23" s="106">
        <v>239.77916666666667</v>
      </c>
      <c r="J23" s="106">
        <v>187.17</v>
      </c>
      <c r="K23" s="106">
        <f>+'[1]24'!K21</f>
        <v>148.05799999999999</v>
      </c>
    </row>
    <row r="24" spans="1:11" ht="16.5" customHeight="1" thickBot="1" x14ac:dyDescent="0.25">
      <c r="A24" s="98" t="s">
        <v>526</v>
      </c>
      <c r="B24" s="106">
        <v>139.73900000000003</v>
      </c>
      <c r="C24" s="106">
        <v>137.77699999999999</v>
      </c>
      <c r="D24" s="106">
        <v>135.92140476190477</v>
      </c>
      <c r="E24" s="106">
        <v>126.58</v>
      </c>
      <c r="F24" s="106">
        <v>114.518</v>
      </c>
      <c r="G24" s="106">
        <v>102.08800000000001</v>
      </c>
      <c r="H24" s="106">
        <v>106.47499999999999</v>
      </c>
      <c r="I24" s="106">
        <v>111.35866666666668</v>
      </c>
      <c r="J24" s="106">
        <v>92.852999999999994</v>
      </c>
      <c r="K24" s="106">
        <f>+'[1]24'!K22</f>
        <v>77.64</v>
      </c>
    </row>
    <row r="25" spans="1:11" x14ac:dyDescent="0.2">
      <c r="A25" s="420" t="s">
        <v>29</v>
      </c>
      <c r="B25" s="418">
        <f t="shared" ref="B25:G25" si="4">+B5+B10+B13+B20</f>
        <v>37982.224340000001</v>
      </c>
      <c r="C25" s="418">
        <f t="shared" si="4"/>
        <v>36366.207270000006</v>
      </c>
      <c r="D25" s="418">
        <f t="shared" si="4"/>
        <v>31637.676234761904</v>
      </c>
      <c r="E25" s="418">
        <f t="shared" si="4"/>
        <v>31961.55</v>
      </c>
      <c r="F25" s="418">
        <f t="shared" si="4"/>
        <v>29142.600812857141</v>
      </c>
      <c r="G25" s="418">
        <f t="shared" si="4"/>
        <v>27408.243569999999</v>
      </c>
      <c r="H25" s="418">
        <f>+H5+H10+H13+H20</f>
        <v>28175.007420000002</v>
      </c>
      <c r="I25" s="418">
        <f>+I5+I10+I13+I20</f>
        <v>29243.614703333333</v>
      </c>
      <c r="J25" s="418">
        <f>+J5+J10+J13+J20</f>
        <v>29949.442999999999</v>
      </c>
      <c r="K25" s="418">
        <f>+K5+K10+K13+K20</f>
        <v>28606.736580000008</v>
      </c>
    </row>
    <row r="26" spans="1:11" hidden="1" x14ac:dyDescent="0.2">
      <c r="E26" s="17">
        <f>+E7+E12+E15+E23</f>
        <v>16115.69</v>
      </c>
      <c r="F26" s="17">
        <f t="shared" ref="F26:J26" si="5">+F7+F12+F15+F23</f>
        <v>15298.417832857143</v>
      </c>
      <c r="G26" s="17">
        <f t="shared" si="5"/>
        <v>14393.67849</v>
      </c>
      <c r="H26" s="17">
        <f t="shared" si="5"/>
        <v>15018.192690000002</v>
      </c>
      <c r="I26" s="17">
        <f t="shared" si="5"/>
        <v>15143.535876666667</v>
      </c>
      <c r="J26" s="17">
        <f t="shared" si="5"/>
        <v>15198.295</v>
      </c>
    </row>
    <row r="27" spans="1:11" hidden="1" x14ac:dyDescent="0.2">
      <c r="E27" s="414">
        <v>6.3132704918032791</v>
      </c>
      <c r="F27" s="414">
        <v>6.1505972602739725</v>
      </c>
      <c r="G27" s="414">
        <v>6.5504849315068485</v>
      </c>
      <c r="H27" s="414">
        <v>6.9837123287671243</v>
      </c>
      <c r="I27" s="414">
        <v>1.4835819500390319</v>
      </c>
      <c r="J27" s="414">
        <v>2.3387178082191782</v>
      </c>
    </row>
    <row r="28" spans="1:11" hidden="1" x14ac:dyDescent="0.2">
      <c r="E28" s="16">
        <v>366</v>
      </c>
      <c r="F28" s="16">
        <v>365</v>
      </c>
      <c r="G28" s="16">
        <v>365</v>
      </c>
      <c r="H28" s="16">
        <v>365</v>
      </c>
      <c r="I28" s="16">
        <v>366</v>
      </c>
      <c r="J28" s="16">
        <v>365</v>
      </c>
    </row>
    <row r="29" spans="1:11" hidden="1" x14ac:dyDescent="0.2">
      <c r="E29" s="16">
        <f>+E27*E28</f>
        <v>2310.6570000000002</v>
      </c>
      <c r="F29" s="16">
        <f t="shared" ref="F29:J29" si="6">+F27*F28</f>
        <v>2244.9679999999998</v>
      </c>
      <c r="G29" s="16">
        <f t="shared" si="6"/>
        <v>2390.9269999999997</v>
      </c>
      <c r="H29" s="16">
        <f t="shared" si="6"/>
        <v>2549.0550000000003</v>
      </c>
      <c r="I29" s="16">
        <f t="shared" si="6"/>
        <v>542.99099371428565</v>
      </c>
      <c r="J29" s="16">
        <f t="shared" si="6"/>
        <v>853.63200000000006</v>
      </c>
    </row>
    <row r="30" spans="1:11" hidden="1" x14ac:dyDescent="0.2">
      <c r="D30" s="16" t="s">
        <v>198</v>
      </c>
      <c r="E30" s="17">
        <f>+E26+E29</f>
        <v>18426.347000000002</v>
      </c>
      <c r="F30" s="17">
        <f>+F26+F29</f>
        <v>17543.385832857144</v>
      </c>
      <c r="G30" s="17">
        <f t="shared" ref="G30:J30" si="7">+G26+G29</f>
        <v>16784.605490000002</v>
      </c>
      <c r="H30" s="17">
        <f t="shared" si="7"/>
        <v>17567.247690000004</v>
      </c>
      <c r="I30" s="17">
        <f t="shared" si="7"/>
        <v>15686.526870380952</v>
      </c>
      <c r="J30" s="17">
        <f t="shared" si="7"/>
        <v>16051.927</v>
      </c>
    </row>
    <row r="31" spans="1:11" hidden="1" x14ac:dyDescent="0.2">
      <c r="E31" s="415">
        <f>+E26/E30</f>
        <v>0.87460037521273204</v>
      </c>
      <c r="F31" s="415">
        <f>+F26/F30</f>
        <v>0.87203336793771113</v>
      </c>
      <c r="G31" s="415">
        <f t="shared" ref="G31:J31" si="8">+G26/G30</f>
        <v>0.85755238623722929</v>
      </c>
      <c r="H31" s="415">
        <f t="shared" si="8"/>
        <v>0.85489730406368503</v>
      </c>
      <c r="I31" s="415">
        <f t="shared" si="8"/>
        <v>0.96538488103829068</v>
      </c>
      <c r="J31" s="415">
        <f t="shared" si="8"/>
        <v>0.94682059044998146</v>
      </c>
    </row>
    <row r="32" spans="1:11" hidden="1" x14ac:dyDescent="0.2">
      <c r="F32" s="415">
        <f t="shared" ref="F32:I32" si="9">+F15/F26</f>
        <v>0.95209191951320482</v>
      </c>
      <c r="G32" s="415">
        <f t="shared" si="9"/>
        <v>0.95021574988646285</v>
      </c>
      <c r="H32" s="415">
        <f t="shared" si="9"/>
        <v>0.95603381154913125</v>
      </c>
      <c r="I32" s="415">
        <f t="shared" si="9"/>
        <v>0.95993433227166369</v>
      </c>
      <c r="J32" s="415">
        <f>+J15/J26</f>
        <v>0.96578596480723655</v>
      </c>
    </row>
    <row r="33" hidden="1" x14ac:dyDescent="0.2"/>
    <row r="34" hidden="1" x14ac:dyDescent="0.2"/>
  </sheetData>
  <mergeCells count="1">
    <mergeCell ref="A3:K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3CBB-A018-4B72-A83E-B450671313DE}">
  <sheetPr>
    <tabColor rgb="FF0070C0"/>
  </sheetPr>
  <dimension ref="A2:G79"/>
  <sheetViews>
    <sheetView topLeftCell="A4" zoomScale="92" zoomScaleNormal="70" workbookViewId="0">
      <selection activeCell="A5" sqref="A5:G5"/>
    </sheetView>
  </sheetViews>
  <sheetFormatPr baseColWidth="10" defaultColWidth="11.42578125" defaultRowHeight="11.25" x14ac:dyDescent="0.2"/>
  <cols>
    <col min="1" max="1" width="38.85546875" style="26" customWidth="1"/>
    <col min="2" max="2" width="12.5703125" style="15" bestFit="1" customWidth="1"/>
    <col min="3" max="3" width="11.5703125" style="15" bestFit="1" customWidth="1"/>
    <col min="4" max="4" width="12.5703125" style="15" bestFit="1" customWidth="1"/>
    <col min="5" max="5" width="14.7109375" style="15" customWidth="1"/>
    <col min="6" max="6" width="14.5703125" style="15" customWidth="1"/>
    <col min="7" max="7" width="16.5703125" style="15" customWidth="1"/>
    <col min="8" max="16384" width="11.42578125" style="15"/>
  </cols>
  <sheetData>
    <row r="2" spans="1:7" ht="12.75" x14ac:dyDescent="0.2">
      <c r="A2" s="423" t="s">
        <v>739</v>
      </c>
      <c r="B2" s="423"/>
      <c r="C2" s="423"/>
      <c r="D2" s="423"/>
      <c r="E2" s="423"/>
      <c r="F2" s="423"/>
      <c r="G2" s="423"/>
    </row>
    <row r="5" spans="1:7" ht="12" x14ac:dyDescent="0.2">
      <c r="A5" s="440" t="s">
        <v>739</v>
      </c>
      <c r="B5" s="440"/>
      <c r="C5" s="440"/>
      <c r="D5" s="440"/>
      <c r="E5" s="440"/>
      <c r="F5" s="440"/>
      <c r="G5" s="440"/>
    </row>
    <row r="7" spans="1:7" ht="22.5" customHeight="1" thickBot="1" x14ac:dyDescent="0.25">
      <c r="A7" s="424" t="s">
        <v>737</v>
      </c>
      <c r="B7" s="424"/>
      <c r="C7" s="424"/>
      <c r="D7" s="424"/>
      <c r="E7" s="424"/>
      <c r="F7" s="424"/>
      <c r="G7" s="424"/>
    </row>
    <row r="8" spans="1:7" ht="13.5" customHeight="1" thickBot="1" x14ac:dyDescent="0.25">
      <c r="A8" s="419" t="s">
        <v>362</v>
      </c>
      <c r="B8" s="113" t="s">
        <v>357</v>
      </c>
      <c r="C8" s="113" t="s">
        <v>358</v>
      </c>
      <c r="D8" s="113" t="s">
        <v>359</v>
      </c>
      <c r="E8" s="113" t="s">
        <v>407</v>
      </c>
      <c r="F8" s="113" t="s">
        <v>360</v>
      </c>
      <c r="G8" s="113" t="s">
        <v>408</v>
      </c>
    </row>
    <row r="9" spans="1:7" ht="12" thickBot="1" x14ac:dyDescent="0.25">
      <c r="A9" s="427" t="s">
        <v>740</v>
      </c>
      <c r="B9" s="425">
        <f>+SUM(B10:B41)</f>
        <v>22049.213999999996</v>
      </c>
      <c r="C9" s="425">
        <f t="shared" ref="C9:F9" si="0">+SUM(C10:C41)</f>
        <v>2984.3580000000002</v>
      </c>
      <c r="D9" s="425">
        <f t="shared" si="0"/>
        <v>8997.9150000000027</v>
      </c>
      <c r="E9" s="425">
        <f t="shared" si="0"/>
        <v>65.39700000000002</v>
      </c>
      <c r="F9" s="425">
        <f t="shared" si="0"/>
        <v>13397.669999999995</v>
      </c>
      <c r="G9" s="425">
        <f>+SUM(G10:G41)</f>
        <v>47494.553999999989</v>
      </c>
    </row>
    <row r="10" spans="1:7" ht="10.5" customHeight="1" thickBot="1" x14ac:dyDescent="0.25">
      <c r="A10" s="187" t="s">
        <v>484</v>
      </c>
      <c r="B10" s="106">
        <v>14272.418999999998</v>
      </c>
      <c r="C10" s="106">
        <v>565.41200000000003</v>
      </c>
      <c r="D10" s="106">
        <v>3388.7920000000004</v>
      </c>
      <c r="E10" s="106">
        <v>62.544000000000011</v>
      </c>
      <c r="F10" s="106">
        <v>8467.7899999999972</v>
      </c>
      <c r="G10" s="106">
        <f>+B10+C10+D10+E10+F10</f>
        <v>26756.956999999999</v>
      </c>
    </row>
    <row r="11" spans="1:7" ht="10.5" customHeight="1" thickBot="1" x14ac:dyDescent="0.25">
      <c r="A11" s="187" t="s">
        <v>741</v>
      </c>
      <c r="B11" s="106">
        <v>6.8760000000000012</v>
      </c>
      <c r="C11" s="106"/>
      <c r="D11" s="106"/>
      <c r="E11" s="106"/>
      <c r="F11" s="106">
        <v>802.86999999999989</v>
      </c>
      <c r="G11" s="106">
        <f t="shared" ref="G11:G41" si="1">+B11+C11+D11+E11+F11</f>
        <v>809.74599999999987</v>
      </c>
    </row>
    <row r="12" spans="1:7" ht="10.5" customHeight="1" thickBot="1" x14ac:dyDescent="0.25">
      <c r="A12" s="187" t="s">
        <v>742</v>
      </c>
      <c r="B12" s="106">
        <v>15.935999999999998</v>
      </c>
      <c r="C12" s="106"/>
      <c r="D12" s="106"/>
      <c r="E12" s="106"/>
      <c r="F12" s="106"/>
      <c r="G12" s="106">
        <f t="shared" si="1"/>
        <v>15.935999999999998</v>
      </c>
    </row>
    <row r="13" spans="1:7" ht="10.5" customHeight="1" thickBot="1" x14ac:dyDescent="0.25">
      <c r="A13" s="187" t="s">
        <v>743</v>
      </c>
      <c r="B13" s="106">
        <v>3254.9349999999999</v>
      </c>
      <c r="C13" s="106">
        <v>669.60299999999995</v>
      </c>
      <c r="D13" s="106">
        <v>525.44100000000003</v>
      </c>
      <c r="E13" s="106">
        <v>3.5999999999999997E-2</v>
      </c>
      <c r="F13" s="106"/>
      <c r="G13" s="106">
        <f t="shared" si="1"/>
        <v>4450.0150000000003</v>
      </c>
    </row>
    <row r="14" spans="1:7" ht="10.5" customHeight="1" thickBot="1" x14ac:dyDescent="0.25">
      <c r="A14" s="187" t="s">
        <v>744</v>
      </c>
      <c r="B14" s="106">
        <v>109.657</v>
      </c>
      <c r="C14" s="106"/>
      <c r="D14" s="106">
        <v>37.61</v>
      </c>
      <c r="E14" s="106"/>
      <c r="F14" s="106">
        <v>753.92000000000007</v>
      </c>
      <c r="G14" s="106">
        <f t="shared" si="1"/>
        <v>901.18700000000013</v>
      </c>
    </row>
    <row r="15" spans="1:7" ht="10.5" customHeight="1" thickBot="1" x14ac:dyDescent="0.25">
      <c r="A15" s="187" t="s">
        <v>745</v>
      </c>
      <c r="B15" s="106">
        <v>171.97099999999998</v>
      </c>
      <c r="C15" s="106">
        <v>152.46799999999999</v>
      </c>
      <c r="D15" s="106">
        <v>970.01800000000014</v>
      </c>
      <c r="E15" s="106"/>
      <c r="F15" s="106"/>
      <c r="G15" s="106">
        <f t="shared" si="1"/>
        <v>1294.4570000000001</v>
      </c>
    </row>
    <row r="16" spans="1:7" ht="10.5" customHeight="1" thickBot="1" x14ac:dyDescent="0.25">
      <c r="A16" s="187" t="s">
        <v>746</v>
      </c>
      <c r="B16" s="106">
        <v>48.383999999999986</v>
      </c>
      <c r="C16" s="106"/>
      <c r="D16" s="106">
        <v>2.4969999999999999</v>
      </c>
      <c r="E16" s="106"/>
      <c r="F16" s="106"/>
      <c r="G16" s="106">
        <f t="shared" si="1"/>
        <v>50.880999999999986</v>
      </c>
    </row>
    <row r="17" spans="1:7" ht="10.5" customHeight="1" thickBot="1" x14ac:dyDescent="0.25">
      <c r="A17" s="187" t="s">
        <v>747</v>
      </c>
      <c r="B17" s="106">
        <v>0.91400000000000003</v>
      </c>
      <c r="C17" s="106"/>
      <c r="D17" s="106">
        <v>346.71600000000001</v>
      </c>
      <c r="E17" s="106"/>
      <c r="F17" s="106"/>
      <c r="G17" s="106">
        <f t="shared" si="1"/>
        <v>347.63</v>
      </c>
    </row>
    <row r="18" spans="1:7" ht="10.5" customHeight="1" thickBot="1" x14ac:dyDescent="0.25">
      <c r="A18" s="187" t="s">
        <v>530</v>
      </c>
      <c r="B18" s="106">
        <v>1446.5089999999998</v>
      </c>
      <c r="C18" s="106">
        <v>589.66700000000003</v>
      </c>
      <c r="D18" s="106">
        <v>563.65900000000011</v>
      </c>
      <c r="E18" s="106">
        <v>0.20400000000000007</v>
      </c>
      <c r="F18" s="106"/>
      <c r="G18" s="106">
        <f t="shared" si="1"/>
        <v>2600.0390000000002</v>
      </c>
    </row>
    <row r="19" spans="1:7" ht="10.5" customHeight="1" thickBot="1" x14ac:dyDescent="0.25">
      <c r="A19" s="187" t="s">
        <v>748</v>
      </c>
      <c r="B19" s="106">
        <v>238.54400000000004</v>
      </c>
      <c r="C19" s="106">
        <v>8.1920000000000002</v>
      </c>
      <c r="D19" s="106">
        <v>214.23699999999999</v>
      </c>
      <c r="E19" s="106"/>
      <c r="F19" s="106"/>
      <c r="G19" s="106">
        <f t="shared" si="1"/>
        <v>460.97300000000007</v>
      </c>
    </row>
    <row r="20" spans="1:7" ht="10.5" customHeight="1" thickBot="1" x14ac:dyDescent="0.25">
      <c r="A20" s="187" t="s">
        <v>749</v>
      </c>
      <c r="B20" s="106">
        <v>2.5329999999999999</v>
      </c>
      <c r="C20" s="106"/>
      <c r="D20" s="106"/>
      <c r="E20" s="106"/>
      <c r="F20" s="106"/>
      <c r="G20" s="106">
        <f t="shared" si="1"/>
        <v>2.5329999999999999</v>
      </c>
    </row>
    <row r="21" spans="1:7" ht="10.5" customHeight="1" thickBot="1" x14ac:dyDescent="0.25">
      <c r="A21" s="187" t="s">
        <v>750</v>
      </c>
      <c r="B21" s="106"/>
      <c r="C21" s="106">
        <v>0.78700000000000003</v>
      </c>
      <c r="D21" s="106"/>
      <c r="E21" s="106"/>
      <c r="F21" s="106"/>
      <c r="G21" s="106">
        <f t="shared" si="1"/>
        <v>0.78700000000000003</v>
      </c>
    </row>
    <row r="22" spans="1:7" ht="10.5" customHeight="1" thickBot="1" x14ac:dyDescent="0.25">
      <c r="A22" s="187" t="s">
        <v>751</v>
      </c>
      <c r="B22" s="106"/>
      <c r="C22" s="106"/>
      <c r="D22" s="106">
        <v>481.09999999999997</v>
      </c>
      <c r="E22" s="106"/>
      <c r="F22" s="106"/>
      <c r="G22" s="106">
        <f t="shared" si="1"/>
        <v>481.09999999999997</v>
      </c>
    </row>
    <row r="23" spans="1:7" ht="10.5" customHeight="1" thickBot="1" x14ac:dyDescent="0.25">
      <c r="A23" s="187" t="s">
        <v>752</v>
      </c>
      <c r="B23" s="106"/>
      <c r="C23" s="106"/>
      <c r="D23" s="106"/>
      <c r="E23" s="106"/>
      <c r="F23" s="106">
        <v>1990.42</v>
      </c>
      <c r="G23" s="106">
        <f t="shared" si="1"/>
        <v>1990.42</v>
      </c>
    </row>
    <row r="24" spans="1:7" ht="10.5" customHeight="1" thickBot="1" x14ac:dyDescent="0.25">
      <c r="A24" s="187" t="s">
        <v>753</v>
      </c>
      <c r="B24" s="106"/>
      <c r="C24" s="106"/>
      <c r="D24" s="106"/>
      <c r="E24" s="106"/>
      <c r="F24" s="106">
        <v>181.48000000000002</v>
      </c>
      <c r="G24" s="106">
        <f t="shared" si="1"/>
        <v>181.48000000000002</v>
      </c>
    </row>
    <row r="25" spans="1:7" ht="10.5" customHeight="1" thickBot="1" x14ac:dyDescent="0.25">
      <c r="A25" s="187" t="s">
        <v>754</v>
      </c>
      <c r="B25" s="106"/>
      <c r="C25" s="106"/>
      <c r="D25" s="106"/>
      <c r="E25" s="106"/>
      <c r="F25" s="106">
        <v>61.439999999999991</v>
      </c>
      <c r="G25" s="106">
        <f t="shared" si="1"/>
        <v>61.439999999999991</v>
      </c>
    </row>
    <row r="26" spans="1:7" ht="10.5" customHeight="1" thickBot="1" x14ac:dyDescent="0.25">
      <c r="A26" s="187" t="s">
        <v>755</v>
      </c>
      <c r="B26" s="106">
        <v>0.76800000000000024</v>
      </c>
      <c r="C26" s="106"/>
      <c r="D26" s="106"/>
      <c r="E26" s="106"/>
      <c r="F26" s="106"/>
      <c r="G26" s="106">
        <f t="shared" si="1"/>
        <v>0.76800000000000024</v>
      </c>
    </row>
    <row r="27" spans="1:7" ht="10.5" customHeight="1" thickBot="1" x14ac:dyDescent="0.25">
      <c r="A27" s="187" t="s">
        <v>756</v>
      </c>
      <c r="B27" s="106">
        <v>12.851999999999999</v>
      </c>
      <c r="C27" s="106"/>
      <c r="D27" s="106">
        <v>0.40800000000000014</v>
      </c>
      <c r="E27" s="106"/>
      <c r="F27" s="106"/>
      <c r="G27" s="106">
        <f t="shared" si="1"/>
        <v>13.259999999999998</v>
      </c>
    </row>
    <row r="28" spans="1:7" ht="10.5" customHeight="1" thickBot="1" x14ac:dyDescent="0.25">
      <c r="A28" s="187" t="s">
        <v>757</v>
      </c>
      <c r="B28" s="106"/>
      <c r="C28" s="106">
        <v>11.056999999999999</v>
      </c>
      <c r="D28" s="106">
        <v>579.59799999999996</v>
      </c>
      <c r="E28" s="106"/>
      <c r="F28" s="106"/>
      <c r="G28" s="106">
        <f t="shared" si="1"/>
        <v>590.65499999999997</v>
      </c>
    </row>
    <row r="29" spans="1:7" ht="10.5" customHeight="1" thickBot="1" x14ac:dyDescent="0.25">
      <c r="A29" s="187" t="s">
        <v>758</v>
      </c>
      <c r="B29" s="106">
        <v>1171.1230000000005</v>
      </c>
      <c r="C29" s="106">
        <v>938.94600000000003</v>
      </c>
      <c r="D29" s="106">
        <v>385.11999999999995</v>
      </c>
      <c r="E29" s="106">
        <v>3.5999999999999997E-2</v>
      </c>
      <c r="F29" s="106"/>
      <c r="G29" s="106">
        <f t="shared" si="1"/>
        <v>2495.2250000000004</v>
      </c>
    </row>
    <row r="30" spans="1:7" ht="10.5" customHeight="1" thickBot="1" x14ac:dyDescent="0.25">
      <c r="A30" s="187" t="s">
        <v>759</v>
      </c>
      <c r="B30" s="106">
        <v>3.5640000000000005</v>
      </c>
      <c r="C30" s="106"/>
      <c r="D30" s="106">
        <v>34.25</v>
      </c>
      <c r="E30" s="106"/>
      <c r="F30" s="106"/>
      <c r="G30" s="106">
        <f t="shared" si="1"/>
        <v>37.814</v>
      </c>
    </row>
    <row r="31" spans="1:7" ht="10.5" customHeight="1" thickBot="1" x14ac:dyDescent="0.25">
      <c r="A31" s="187" t="s">
        <v>735</v>
      </c>
      <c r="B31" s="106">
        <v>489.64</v>
      </c>
      <c r="C31" s="106">
        <v>3.137</v>
      </c>
      <c r="D31" s="106">
        <v>401.10900000000004</v>
      </c>
      <c r="E31" s="106">
        <v>2.2799999999999998</v>
      </c>
      <c r="F31" s="106">
        <v>701.31000000000017</v>
      </c>
      <c r="G31" s="106">
        <f t="shared" si="1"/>
        <v>1597.4760000000001</v>
      </c>
    </row>
    <row r="32" spans="1:7" ht="10.5" customHeight="1" thickBot="1" x14ac:dyDescent="0.25">
      <c r="A32" s="187" t="s">
        <v>760</v>
      </c>
      <c r="B32" s="106">
        <v>0.16800000000000004</v>
      </c>
      <c r="C32" s="106"/>
      <c r="D32" s="106"/>
      <c r="E32" s="106"/>
      <c r="F32" s="106"/>
      <c r="G32" s="106">
        <f t="shared" si="1"/>
        <v>0.16800000000000004</v>
      </c>
    </row>
    <row r="33" spans="1:7" ht="10.5" customHeight="1" thickBot="1" x14ac:dyDescent="0.25">
      <c r="A33" s="187" t="s">
        <v>761</v>
      </c>
      <c r="B33" s="106"/>
      <c r="C33" s="106"/>
      <c r="D33" s="106"/>
      <c r="E33" s="106"/>
      <c r="F33" s="106">
        <v>4.17</v>
      </c>
      <c r="G33" s="106">
        <f t="shared" si="1"/>
        <v>4.17</v>
      </c>
    </row>
    <row r="34" spans="1:7" ht="10.5" customHeight="1" thickBot="1" x14ac:dyDescent="0.25">
      <c r="A34" s="187" t="s">
        <v>762</v>
      </c>
      <c r="B34" s="106">
        <v>149.14400000000001</v>
      </c>
      <c r="C34" s="106"/>
      <c r="D34" s="106">
        <v>455.05600000000004</v>
      </c>
      <c r="E34" s="106">
        <v>5.4999999999999993E-2</v>
      </c>
      <c r="F34" s="106"/>
      <c r="G34" s="106">
        <f t="shared" si="1"/>
        <v>604.255</v>
      </c>
    </row>
    <row r="35" spans="1:7" ht="10.5" customHeight="1" thickBot="1" x14ac:dyDescent="0.25">
      <c r="A35" s="187" t="s">
        <v>763</v>
      </c>
      <c r="B35" s="106">
        <v>646.99000000000024</v>
      </c>
      <c r="C35" s="106">
        <v>45.088999999999999</v>
      </c>
      <c r="D35" s="106">
        <v>612.26600000000008</v>
      </c>
      <c r="E35" s="106">
        <v>0.24199999999999994</v>
      </c>
      <c r="F35" s="106">
        <v>303.59000000000003</v>
      </c>
      <c r="G35" s="106">
        <f t="shared" si="1"/>
        <v>1608.1770000000001</v>
      </c>
    </row>
    <row r="36" spans="1:7" ht="10.5" customHeight="1" thickBot="1" x14ac:dyDescent="0.25">
      <c r="A36" s="187" t="s">
        <v>764</v>
      </c>
      <c r="B36" s="106">
        <v>1.3920000000000003</v>
      </c>
      <c r="C36" s="106"/>
      <c r="D36" s="106"/>
      <c r="E36" s="106"/>
      <c r="F36" s="106"/>
      <c r="G36" s="106">
        <f t="shared" si="1"/>
        <v>1.3920000000000003</v>
      </c>
    </row>
    <row r="37" spans="1:7" ht="10.5" customHeight="1" thickBot="1" x14ac:dyDescent="0.25">
      <c r="A37" s="187" t="s">
        <v>765</v>
      </c>
      <c r="B37" s="106">
        <v>1.74</v>
      </c>
      <c r="C37" s="106"/>
      <c r="D37" s="106"/>
      <c r="E37" s="106"/>
      <c r="F37" s="106"/>
      <c r="G37" s="106">
        <f t="shared" si="1"/>
        <v>1.74</v>
      </c>
    </row>
    <row r="38" spans="1:7" ht="10.5" customHeight="1" thickBot="1" x14ac:dyDescent="0.25">
      <c r="A38" s="187" t="s">
        <v>766</v>
      </c>
      <c r="B38" s="106">
        <v>3.1440000000000001</v>
      </c>
      <c r="C38" s="106"/>
      <c r="D38" s="106"/>
      <c r="E38" s="106"/>
      <c r="F38" s="106"/>
      <c r="G38" s="106">
        <f t="shared" si="1"/>
        <v>3.1440000000000001</v>
      </c>
    </row>
    <row r="39" spans="1:7" ht="10.5" customHeight="1" thickBot="1" x14ac:dyDescent="0.25">
      <c r="A39" s="187" t="s">
        <v>767</v>
      </c>
      <c r="B39" s="106">
        <v>1.0999999999999999E-2</v>
      </c>
      <c r="C39" s="106"/>
      <c r="D39" s="106">
        <v>3.7999999999999999E-2</v>
      </c>
      <c r="E39" s="106"/>
      <c r="F39" s="106"/>
      <c r="G39" s="106">
        <f t="shared" si="1"/>
        <v>4.9000000000000002E-2</v>
      </c>
    </row>
    <row r="40" spans="1:7" ht="10.5" customHeight="1" thickBot="1" x14ac:dyDescent="0.25">
      <c r="A40" s="187" t="s">
        <v>768</v>
      </c>
      <c r="B40" s="106"/>
      <c r="C40" s="106"/>
      <c r="D40" s="106"/>
      <c r="E40" s="106"/>
      <c r="F40" s="106">
        <v>60.719999999999992</v>
      </c>
      <c r="G40" s="106">
        <f t="shared" si="1"/>
        <v>60.719999999999992</v>
      </c>
    </row>
    <row r="41" spans="1:7" ht="10.5" customHeight="1" thickBot="1" x14ac:dyDescent="0.25">
      <c r="A41" s="187" t="s">
        <v>769</v>
      </c>
      <c r="B41" s="106"/>
      <c r="C41" s="106"/>
      <c r="D41" s="106"/>
      <c r="E41" s="106"/>
      <c r="F41" s="106">
        <v>69.959999999999994</v>
      </c>
      <c r="G41" s="106">
        <f t="shared" si="1"/>
        <v>69.959999999999994</v>
      </c>
    </row>
    <row r="42" spans="1:7" ht="10.5" customHeight="1" thickBot="1" x14ac:dyDescent="0.25">
      <c r="A42" s="428" t="s">
        <v>770</v>
      </c>
      <c r="B42" s="425">
        <f>+SUM(B43:B78)</f>
        <v>7564.744999999999</v>
      </c>
      <c r="C42" s="425">
        <f t="shared" ref="C42:G42" si="2">+SUM(C43:C78)</f>
        <v>1394.7329999999999</v>
      </c>
      <c r="D42" s="425">
        <f t="shared" si="2"/>
        <v>5086.706000000001</v>
      </c>
      <c r="E42" s="425">
        <f t="shared" si="2"/>
        <v>131.101</v>
      </c>
      <c r="F42" s="425">
        <f t="shared" si="2"/>
        <v>12178.55</v>
      </c>
      <c r="G42" s="425">
        <f t="shared" si="2"/>
        <v>26355.835000000006</v>
      </c>
    </row>
    <row r="43" spans="1:7" ht="10.5" customHeight="1" thickBot="1" x14ac:dyDescent="0.25">
      <c r="A43" s="187" t="s">
        <v>771</v>
      </c>
      <c r="B43" s="106">
        <v>397.62900000000002</v>
      </c>
      <c r="C43" s="106"/>
      <c r="D43" s="106"/>
      <c r="E43" s="106"/>
      <c r="F43" s="106">
        <v>68.2</v>
      </c>
      <c r="G43" s="106">
        <f>+B43+C43+D43+E43+F43</f>
        <v>465.82900000000001</v>
      </c>
    </row>
    <row r="44" spans="1:7" ht="10.5" customHeight="1" thickBot="1" x14ac:dyDescent="0.25">
      <c r="A44" s="187" t="s">
        <v>772</v>
      </c>
      <c r="B44" s="106">
        <v>681.91599999999994</v>
      </c>
      <c r="C44" s="106">
        <v>226.483</v>
      </c>
      <c r="D44" s="106">
        <v>247.84400000000002</v>
      </c>
      <c r="E44" s="106">
        <v>19.685999999999993</v>
      </c>
      <c r="F44" s="106">
        <v>562.63</v>
      </c>
      <c r="G44" s="106">
        <f t="shared" ref="G44:G78" si="3">+B44+C44+D44+E44+F44</f>
        <v>1738.5589999999997</v>
      </c>
    </row>
    <row r="45" spans="1:7" ht="10.5" customHeight="1" thickBot="1" x14ac:dyDescent="0.25">
      <c r="A45" s="187" t="s">
        <v>507</v>
      </c>
      <c r="B45" s="106">
        <v>1653.6869999999999</v>
      </c>
      <c r="C45" s="106">
        <v>355.23600000000005</v>
      </c>
      <c r="D45" s="106">
        <v>1312.6799999999998</v>
      </c>
      <c r="E45" s="106">
        <v>28.373000000000005</v>
      </c>
      <c r="F45" s="106">
        <v>1490.3</v>
      </c>
      <c r="G45" s="106">
        <f t="shared" si="3"/>
        <v>4840.2759999999998</v>
      </c>
    </row>
    <row r="46" spans="1:7" ht="10.5" customHeight="1" thickBot="1" x14ac:dyDescent="0.25">
      <c r="A46" s="187" t="s">
        <v>506</v>
      </c>
      <c r="B46" s="106">
        <v>146.56799999999998</v>
      </c>
      <c r="C46" s="106"/>
      <c r="D46" s="106">
        <v>696.09</v>
      </c>
      <c r="E46" s="106"/>
      <c r="F46" s="106">
        <v>575.93000000000006</v>
      </c>
      <c r="G46" s="106">
        <f t="shared" si="3"/>
        <v>1418.5880000000002</v>
      </c>
    </row>
    <row r="47" spans="1:7" ht="10.5" customHeight="1" thickBot="1" x14ac:dyDescent="0.25">
      <c r="A47" s="187" t="s">
        <v>505</v>
      </c>
      <c r="B47" s="106"/>
      <c r="C47" s="106"/>
      <c r="D47" s="106">
        <v>88.656000000000006</v>
      </c>
      <c r="E47" s="106"/>
      <c r="F47" s="106">
        <v>256.17</v>
      </c>
      <c r="G47" s="106">
        <f t="shared" si="3"/>
        <v>344.82600000000002</v>
      </c>
    </row>
    <row r="48" spans="1:7" ht="10.5" customHeight="1" thickBot="1" x14ac:dyDescent="0.25">
      <c r="A48" s="187" t="s">
        <v>504</v>
      </c>
      <c r="B48" s="106"/>
      <c r="C48" s="106"/>
      <c r="D48" s="106"/>
      <c r="E48" s="106"/>
      <c r="F48" s="106">
        <v>170.45000000000002</v>
      </c>
      <c r="G48" s="106">
        <f t="shared" si="3"/>
        <v>170.45000000000002</v>
      </c>
    </row>
    <row r="49" spans="1:7" ht="10.5" customHeight="1" thickBot="1" x14ac:dyDescent="0.25">
      <c r="A49" s="187" t="s">
        <v>773</v>
      </c>
      <c r="B49" s="106">
        <v>60.789000000000016</v>
      </c>
      <c r="C49" s="106">
        <v>426.678</v>
      </c>
      <c r="D49" s="106">
        <v>38.030999999999999</v>
      </c>
      <c r="E49" s="106">
        <v>0.26399999999999996</v>
      </c>
      <c r="F49" s="106"/>
      <c r="G49" s="106">
        <f t="shared" si="3"/>
        <v>525.76199999999994</v>
      </c>
    </row>
    <row r="50" spans="1:7" ht="10.5" customHeight="1" thickBot="1" x14ac:dyDescent="0.25">
      <c r="A50" s="187" t="s">
        <v>774</v>
      </c>
      <c r="B50" s="106"/>
      <c r="C50" s="106">
        <v>1.3479999999999999</v>
      </c>
      <c r="D50" s="106"/>
      <c r="E50" s="106"/>
      <c r="F50" s="106"/>
      <c r="G50" s="106">
        <f t="shared" si="3"/>
        <v>1.3479999999999999</v>
      </c>
    </row>
    <row r="51" spans="1:7" ht="10.5" customHeight="1" thickBot="1" x14ac:dyDescent="0.25">
      <c r="A51" s="187" t="s">
        <v>775</v>
      </c>
      <c r="B51" s="106">
        <v>954.44800000000009</v>
      </c>
      <c r="C51" s="106">
        <v>25.382000000000001</v>
      </c>
      <c r="D51" s="106">
        <v>564.44199999999989</v>
      </c>
      <c r="E51" s="106">
        <v>26.518000000000001</v>
      </c>
      <c r="F51" s="106">
        <v>5795.99</v>
      </c>
      <c r="G51" s="106">
        <f t="shared" si="3"/>
        <v>7366.78</v>
      </c>
    </row>
    <row r="52" spans="1:7" ht="10.5" customHeight="1" thickBot="1" x14ac:dyDescent="0.25">
      <c r="A52" s="187" t="s">
        <v>776</v>
      </c>
      <c r="B52" s="106">
        <v>192.90100000000001</v>
      </c>
      <c r="C52" s="106">
        <v>4.1349999999999998</v>
      </c>
      <c r="D52" s="106">
        <v>560.36700000000008</v>
      </c>
      <c r="E52" s="106">
        <v>6.4459999999999997</v>
      </c>
      <c r="F52" s="106"/>
      <c r="G52" s="106">
        <f t="shared" si="3"/>
        <v>763.84900000000005</v>
      </c>
    </row>
    <row r="53" spans="1:7" ht="10.5" customHeight="1" thickBot="1" x14ac:dyDescent="0.25">
      <c r="A53" s="187" t="s">
        <v>777</v>
      </c>
      <c r="B53" s="106">
        <v>8.0080000000000009</v>
      </c>
      <c r="C53" s="106"/>
      <c r="D53" s="106"/>
      <c r="E53" s="106"/>
      <c r="F53" s="106"/>
      <c r="G53" s="106">
        <f t="shared" si="3"/>
        <v>8.0080000000000009</v>
      </c>
    </row>
    <row r="54" spans="1:7" ht="10.5" customHeight="1" thickBot="1" x14ac:dyDescent="0.25">
      <c r="A54" s="187" t="s">
        <v>747</v>
      </c>
      <c r="B54" s="106">
        <v>17.573999999999998</v>
      </c>
      <c r="C54" s="106">
        <v>0.98799999999999999</v>
      </c>
      <c r="D54" s="106"/>
      <c r="E54" s="106">
        <v>0.48599999999999999</v>
      </c>
      <c r="F54" s="106"/>
      <c r="G54" s="106">
        <f t="shared" si="3"/>
        <v>19.047999999999998</v>
      </c>
    </row>
    <row r="55" spans="1:7" ht="10.5" customHeight="1" thickBot="1" x14ac:dyDescent="0.25">
      <c r="A55" s="187" t="s">
        <v>530</v>
      </c>
      <c r="B55" s="106">
        <v>30.57</v>
      </c>
      <c r="C55" s="106">
        <v>50.341000000000001</v>
      </c>
      <c r="D55" s="106"/>
      <c r="E55" s="106"/>
      <c r="F55" s="106"/>
      <c r="G55" s="106">
        <f t="shared" si="3"/>
        <v>80.911000000000001</v>
      </c>
    </row>
    <row r="56" spans="1:7" ht="10.5" customHeight="1" thickBot="1" x14ac:dyDescent="0.25">
      <c r="A56" s="187" t="s">
        <v>749</v>
      </c>
      <c r="B56" s="106">
        <v>325.53199999999993</v>
      </c>
      <c r="C56" s="106">
        <v>11.423999999999999</v>
      </c>
      <c r="D56" s="106">
        <v>59.732999999999997</v>
      </c>
      <c r="E56" s="106">
        <v>10.567</v>
      </c>
      <c r="F56" s="106"/>
      <c r="G56" s="106">
        <f t="shared" si="3"/>
        <v>407.25599999999991</v>
      </c>
    </row>
    <row r="57" spans="1:7" ht="10.5" customHeight="1" thickBot="1" x14ac:dyDescent="0.25">
      <c r="A57" s="187" t="s">
        <v>750</v>
      </c>
      <c r="B57" s="106">
        <v>3.0000000000000001E-3</v>
      </c>
      <c r="C57" s="106">
        <v>52.930000000000007</v>
      </c>
      <c r="D57" s="106"/>
      <c r="E57" s="106"/>
      <c r="F57" s="106"/>
      <c r="G57" s="106">
        <f t="shared" si="3"/>
        <v>52.933000000000007</v>
      </c>
    </row>
    <row r="58" spans="1:7" ht="10.5" customHeight="1" thickBot="1" x14ac:dyDescent="0.25">
      <c r="A58" s="187" t="s">
        <v>751</v>
      </c>
      <c r="B58" s="106">
        <v>49.013999999999996</v>
      </c>
      <c r="C58" s="106"/>
      <c r="D58" s="106"/>
      <c r="E58" s="106"/>
      <c r="F58" s="106"/>
      <c r="G58" s="106">
        <f t="shared" si="3"/>
        <v>49.013999999999996</v>
      </c>
    </row>
    <row r="59" spans="1:7" ht="10.5" customHeight="1" thickBot="1" x14ac:dyDescent="0.25">
      <c r="A59" s="187" t="s">
        <v>778</v>
      </c>
      <c r="B59" s="106">
        <v>988.15400000000034</v>
      </c>
      <c r="C59" s="106">
        <v>136.80700000000002</v>
      </c>
      <c r="D59" s="106"/>
      <c r="E59" s="106">
        <v>11.446000000000002</v>
      </c>
      <c r="F59" s="106">
        <v>1261.8400000000001</v>
      </c>
      <c r="G59" s="106">
        <f t="shared" si="3"/>
        <v>2398.2470000000003</v>
      </c>
    </row>
    <row r="60" spans="1:7" ht="10.5" customHeight="1" thickBot="1" x14ac:dyDescent="0.25">
      <c r="A60" s="187" t="s">
        <v>753</v>
      </c>
      <c r="B60" s="106"/>
      <c r="C60" s="106">
        <v>4.8890000000000002</v>
      </c>
      <c r="D60" s="106"/>
      <c r="E60" s="106"/>
      <c r="F60" s="106"/>
      <c r="G60" s="106">
        <f t="shared" si="3"/>
        <v>4.8890000000000002</v>
      </c>
    </row>
    <row r="61" spans="1:7" ht="10.5" customHeight="1" thickBot="1" x14ac:dyDescent="0.25">
      <c r="A61" s="187" t="s">
        <v>779</v>
      </c>
      <c r="B61" s="106"/>
      <c r="C61" s="106"/>
      <c r="D61" s="106">
        <v>2.1839999999999997</v>
      </c>
      <c r="E61" s="106"/>
      <c r="F61" s="106"/>
      <c r="G61" s="106">
        <f t="shared" si="3"/>
        <v>2.1839999999999997</v>
      </c>
    </row>
    <row r="62" spans="1:7" ht="10.5" customHeight="1" thickBot="1" x14ac:dyDescent="0.25">
      <c r="A62" s="187" t="s">
        <v>780</v>
      </c>
      <c r="B62" s="106"/>
      <c r="C62" s="106"/>
      <c r="D62" s="106">
        <v>211.292</v>
      </c>
      <c r="E62" s="106"/>
      <c r="F62" s="106">
        <v>152.18999999999997</v>
      </c>
      <c r="G62" s="106">
        <f t="shared" si="3"/>
        <v>363.48199999999997</v>
      </c>
    </row>
    <row r="63" spans="1:7" ht="10.5" customHeight="1" thickBot="1" x14ac:dyDescent="0.25">
      <c r="A63" s="187" t="s">
        <v>781</v>
      </c>
      <c r="B63" s="106">
        <v>2026.8969999999999</v>
      </c>
      <c r="C63" s="106">
        <v>98.092000000000013</v>
      </c>
      <c r="D63" s="106">
        <v>691.03600000000006</v>
      </c>
      <c r="E63" s="106">
        <v>27.288000000000007</v>
      </c>
      <c r="F63" s="106">
        <v>1355.39</v>
      </c>
      <c r="G63" s="106">
        <f t="shared" si="3"/>
        <v>4198.7030000000004</v>
      </c>
    </row>
    <row r="64" spans="1:7" ht="10.5" customHeight="1" thickBot="1" x14ac:dyDescent="0.25">
      <c r="A64" s="187" t="s">
        <v>782</v>
      </c>
      <c r="B64" s="106"/>
      <c r="C64" s="106"/>
      <c r="D64" s="106">
        <v>164.93</v>
      </c>
      <c r="E64" s="106"/>
      <c r="F64" s="106"/>
      <c r="G64" s="106">
        <f t="shared" si="3"/>
        <v>164.93</v>
      </c>
    </row>
    <row r="65" spans="1:7" ht="10.5" customHeight="1" thickBot="1" x14ac:dyDescent="0.25">
      <c r="A65" s="187" t="s">
        <v>783</v>
      </c>
      <c r="B65" s="106">
        <v>7.7880000000000003</v>
      </c>
      <c r="C65" s="106"/>
      <c r="D65" s="106"/>
      <c r="E65" s="106"/>
      <c r="F65" s="106"/>
      <c r="G65" s="106">
        <f t="shared" si="3"/>
        <v>7.7880000000000003</v>
      </c>
    </row>
    <row r="66" spans="1:7" ht="10.5" customHeight="1" thickBot="1" x14ac:dyDescent="0.25">
      <c r="A66" s="187" t="s">
        <v>762</v>
      </c>
      <c r="B66" s="106"/>
      <c r="C66" s="106"/>
      <c r="D66" s="106"/>
      <c r="E66" s="106">
        <v>5.0000000000000001E-3</v>
      </c>
      <c r="F66" s="106"/>
      <c r="G66" s="106">
        <f t="shared" si="3"/>
        <v>5.0000000000000001E-3</v>
      </c>
    </row>
    <row r="67" spans="1:7" ht="10.5" customHeight="1" thickBot="1" x14ac:dyDescent="0.25">
      <c r="A67" s="187" t="s">
        <v>763</v>
      </c>
      <c r="B67" s="106"/>
      <c r="C67" s="106"/>
      <c r="D67" s="106"/>
      <c r="E67" s="106">
        <v>2.1999999999999999E-2</v>
      </c>
      <c r="F67" s="106"/>
      <c r="G67" s="106">
        <f t="shared" si="3"/>
        <v>2.1999999999999999E-2</v>
      </c>
    </row>
    <row r="68" spans="1:7" ht="10.5" customHeight="1" thickBot="1" x14ac:dyDescent="0.25">
      <c r="A68" s="187" t="s">
        <v>767</v>
      </c>
      <c r="B68" s="106">
        <v>0.12099999999999997</v>
      </c>
      <c r="C68" s="106"/>
      <c r="D68" s="106">
        <v>1.9619999999999997</v>
      </c>
      <c r="E68" s="106"/>
      <c r="F68" s="106"/>
      <c r="G68" s="106">
        <f t="shared" si="3"/>
        <v>2.0829999999999997</v>
      </c>
    </row>
    <row r="69" spans="1:7" ht="10.5" customHeight="1" thickBot="1" x14ac:dyDescent="0.25">
      <c r="A69" s="187" t="s">
        <v>784</v>
      </c>
      <c r="B69" s="106">
        <v>4.1639999999999997</v>
      </c>
      <c r="C69" s="106"/>
      <c r="D69" s="106">
        <v>33.548000000000002</v>
      </c>
      <c r="E69" s="106"/>
      <c r="F69" s="106"/>
      <c r="G69" s="106">
        <f t="shared" si="3"/>
        <v>37.712000000000003</v>
      </c>
    </row>
    <row r="70" spans="1:7" ht="10.5" customHeight="1" thickBot="1" x14ac:dyDescent="0.25">
      <c r="A70" s="187" t="s">
        <v>785</v>
      </c>
      <c r="B70" s="106">
        <v>17.426000000000002</v>
      </c>
      <c r="C70" s="106"/>
      <c r="D70" s="106">
        <v>44.11</v>
      </c>
      <c r="E70" s="106"/>
      <c r="F70" s="106"/>
      <c r="G70" s="106">
        <f t="shared" si="3"/>
        <v>61.536000000000001</v>
      </c>
    </row>
    <row r="71" spans="1:7" ht="10.5" customHeight="1" thickBot="1" x14ac:dyDescent="0.25">
      <c r="A71" s="187" t="s">
        <v>521</v>
      </c>
      <c r="B71" s="106"/>
      <c r="C71" s="106"/>
      <c r="D71" s="106"/>
      <c r="E71" s="106"/>
      <c r="F71" s="106">
        <v>64.709999999999994</v>
      </c>
      <c r="G71" s="106">
        <f t="shared" si="3"/>
        <v>64.709999999999994</v>
      </c>
    </row>
    <row r="72" spans="1:7" ht="10.5" customHeight="1" thickBot="1" x14ac:dyDescent="0.25">
      <c r="A72" s="187" t="s">
        <v>786</v>
      </c>
      <c r="B72" s="106">
        <v>0.32000000000000006</v>
      </c>
      <c r="C72" s="106"/>
      <c r="D72" s="106">
        <v>42.417999999999999</v>
      </c>
      <c r="E72" s="106"/>
      <c r="F72" s="106"/>
      <c r="G72" s="106">
        <f t="shared" si="3"/>
        <v>42.738</v>
      </c>
    </row>
    <row r="73" spans="1:7" ht="10.5" customHeight="1" thickBot="1" x14ac:dyDescent="0.25">
      <c r="A73" s="187" t="s">
        <v>787</v>
      </c>
      <c r="B73" s="106">
        <v>1.2359999999999998</v>
      </c>
      <c r="C73" s="106"/>
      <c r="D73" s="106">
        <v>49.777000000000008</v>
      </c>
      <c r="E73" s="106"/>
      <c r="F73" s="106"/>
      <c r="G73" s="106">
        <f t="shared" si="3"/>
        <v>51.013000000000005</v>
      </c>
    </row>
    <row r="74" spans="1:7" ht="10.5" customHeight="1" thickBot="1" x14ac:dyDescent="0.25">
      <c r="A74" s="187" t="s">
        <v>522</v>
      </c>
      <c r="B74" s="106"/>
      <c r="C74" s="106"/>
      <c r="D74" s="106"/>
      <c r="E74" s="106"/>
      <c r="F74" s="106">
        <v>424.75</v>
      </c>
      <c r="G74" s="106">
        <f t="shared" si="3"/>
        <v>424.75</v>
      </c>
    </row>
    <row r="75" spans="1:7" ht="10.5" customHeight="1" thickBot="1" x14ac:dyDescent="0.25">
      <c r="A75" s="187" t="s">
        <v>788</v>
      </c>
      <c r="B75" s="106"/>
      <c r="C75" s="106"/>
      <c r="D75" s="106">
        <v>2.99</v>
      </c>
      <c r="E75" s="106"/>
      <c r="F75" s="106"/>
      <c r="G75" s="106">
        <f t="shared" si="3"/>
        <v>2.99</v>
      </c>
    </row>
    <row r="76" spans="1:7" ht="10.5" customHeight="1" thickBot="1" x14ac:dyDescent="0.25">
      <c r="A76" s="187" t="s">
        <v>789</v>
      </c>
      <c r="B76" s="106"/>
      <c r="C76" s="106"/>
      <c r="D76" s="106">
        <v>52.077000000000005</v>
      </c>
      <c r="E76" s="106"/>
      <c r="F76" s="106"/>
      <c r="G76" s="106">
        <f t="shared" si="3"/>
        <v>52.077000000000005</v>
      </c>
    </row>
    <row r="77" spans="1:7" ht="10.5" customHeight="1" thickBot="1" x14ac:dyDescent="0.25">
      <c r="A77" s="187" t="s">
        <v>790</v>
      </c>
      <c r="B77" s="106"/>
      <c r="C77" s="106"/>
      <c r="D77" s="106">
        <v>112.694</v>
      </c>
      <c r="E77" s="106"/>
      <c r="F77" s="106"/>
      <c r="G77" s="106">
        <f t="shared" si="3"/>
        <v>112.694</v>
      </c>
    </row>
    <row r="78" spans="1:7" ht="10.5" customHeight="1" thickBot="1" x14ac:dyDescent="0.25">
      <c r="A78" s="187" t="s">
        <v>791</v>
      </c>
      <c r="B78" s="106"/>
      <c r="C78" s="106"/>
      <c r="D78" s="106">
        <v>109.845</v>
      </c>
      <c r="E78" s="106"/>
      <c r="F78" s="106"/>
      <c r="G78" s="106">
        <f t="shared" si="3"/>
        <v>109.845</v>
      </c>
    </row>
    <row r="79" spans="1:7" ht="10.5" customHeight="1" x14ac:dyDescent="0.2">
      <c r="A79" s="420" t="s">
        <v>29</v>
      </c>
      <c r="B79" s="426">
        <f>+B9+B42</f>
        <v>29613.958999999995</v>
      </c>
      <c r="C79" s="426">
        <f t="shared" ref="C79:G79" si="4">+C9+C42</f>
        <v>4379.0910000000003</v>
      </c>
      <c r="D79" s="426">
        <f t="shared" si="4"/>
        <v>14084.621000000003</v>
      </c>
      <c r="E79" s="426">
        <f t="shared" si="4"/>
        <v>196.49800000000002</v>
      </c>
      <c r="F79" s="426">
        <f t="shared" si="4"/>
        <v>25576.219999999994</v>
      </c>
      <c r="G79" s="426">
        <f t="shared" si="4"/>
        <v>73850.388999999996</v>
      </c>
    </row>
  </sheetData>
  <mergeCells count="3">
    <mergeCell ref="A7:G7"/>
    <mergeCell ref="A2:G2"/>
    <mergeCell ref="A5:G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7D0C-C0BE-47D3-AB03-9FBBC0B1F4F4}">
  <sheetPr>
    <tabColor theme="4"/>
  </sheetPr>
  <dimension ref="A1:K39"/>
  <sheetViews>
    <sheetView topLeftCell="B1" zoomScale="90" zoomScaleNormal="90" workbookViewId="0">
      <selection sqref="A1:K1"/>
    </sheetView>
  </sheetViews>
  <sheetFormatPr baseColWidth="10" defaultColWidth="11.42578125" defaultRowHeight="11.25" x14ac:dyDescent="0.2"/>
  <cols>
    <col min="1" max="1" width="21.28515625" style="16" customWidth="1"/>
    <col min="2" max="16384" width="11.42578125" style="16"/>
  </cols>
  <sheetData>
    <row r="1" spans="1:11" ht="12" x14ac:dyDescent="0.2">
      <c r="A1" s="440" t="s">
        <v>523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</row>
    <row r="2" spans="1:11" ht="12" thickBot="1" x14ac:dyDescent="0.25"/>
    <row r="3" spans="1:11" ht="11.25" customHeight="1" thickBot="1" x14ac:dyDescent="0.25">
      <c r="A3" s="217" t="s">
        <v>501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</row>
    <row r="4" spans="1:11" ht="12" thickBot="1" x14ac:dyDescent="0.25">
      <c r="A4" s="90" t="s">
        <v>502</v>
      </c>
      <c r="B4" s="91">
        <v>2013</v>
      </c>
      <c r="C4" s="91">
        <v>2014</v>
      </c>
      <c r="D4" s="91">
        <v>2015</v>
      </c>
      <c r="E4" s="91">
        <v>2016</v>
      </c>
      <c r="F4" s="91">
        <v>2017</v>
      </c>
      <c r="G4" s="91">
        <v>2018</v>
      </c>
      <c r="H4" s="91">
        <v>2019</v>
      </c>
      <c r="I4" s="91">
        <v>2020</v>
      </c>
      <c r="J4" s="91">
        <v>2021</v>
      </c>
      <c r="K4" s="91">
        <v>2022</v>
      </c>
    </row>
    <row r="5" spans="1:11" ht="23.25" thickBot="1" x14ac:dyDescent="0.25">
      <c r="A5" s="98" t="s">
        <v>503</v>
      </c>
      <c r="B5" s="106">
        <v>17959.599999999999</v>
      </c>
      <c r="C5" s="106">
        <v>18242.63</v>
      </c>
      <c r="D5" s="106">
        <v>18869.400000000001</v>
      </c>
      <c r="E5" s="106">
        <v>20018.45</v>
      </c>
      <c r="F5" s="106">
        <v>20831.27</v>
      </c>
      <c r="G5" s="106">
        <v>22266.04</v>
      </c>
      <c r="H5" s="106">
        <v>23157.71</v>
      </c>
      <c r="I5" s="106">
        <v>20542.91</v>
      </c>
      <c r="J5" s="106">
        <v>22846.33</v>
      </c>
      <c r="K5" s="106">
        <v>23361.25</v>
      </c>
    </row>
    <row r="6" spans="1:11" ht="12.75" customHeight="1" thickBot="1" x14ac:dyDescent="0.25">
      <c r="A6" s="98" t="s">
        <v>504</v>
      </c>
      <c r="B6" s="67" t="s">
        <v>2</v>
      </c>
      <c r="C6" s="67" t="s">
        <v>2</v>
      </c>
      <c r="D6" s="67" t="s">
        <v>2</v>
      </c>
      <c r="E6" s="67" t="s">
        <v>2</v>
      </c>
      <c r="F6" s="67" t="s">
        <v>2</v>
      </c>
      <c r="G6" s="67" t="s">
        <v>2</v>
      </c>
      <c r="H6" s="67" t="s">
        <v>2</v>
      </c>
      <c r="I6" s="67">
        <v>9.43</v>
      </c>
      <c r="J6" s="67" t="s">
        <v>2</v>
      </c>
      <c r="K6" s="67" t="s">
        <v>491</v>
      </c>
    </row>
    <row r="7" spans="1:11" ht="12" thickBot="1" x14ac:dyDescent="0.25">
      <c r="A7" s="98" t="s">
        <v>505</v>
      </c>
      <c r="B7" s="67">
        <v>0.12</v>
      </c>
      <c r="C7" s="67">
        <v>15.63</v>
      </c>
      <c r="D7" s="67">
        <v>4.29</v>
      </c>
      <c r="E7" s="67">
        <v>1.54</v>
      </c>
      <c r="F7" s="67">
        <v>0.28999999999999998</v>
      </c>
      <c r="G7" s="67">
        <v>0.26</v>
      </c>
      <c r="H7" s="67">
        <v>0.04</v>
      </c>
      <c r="I7" s="67">
        <v>18.7</v>
      </c>
      <c r="J7" s="67">
        <v>21.36</v>
      </c>
      <c r="K7" s="67">
        <v>37.1</v>
      </c>
    </row>
    <row r="8" spans="1:11" ht="12" thickBot="1" x14ac:dyDescent="0.25">
      <c r="A8" s="98" t="s">
        <v>506</v>
      </c>
      <c r="B8" s="67">
        <v>3.9</v>
      </c>
      <c r="C8" s="67">
        <v>38.29</v>
      </c>
      <c r="D8" s="67">
        <v>6.79</v>
      </c>
      <c r="E8" s="67">
        <v>15.01</v>
      </c>
      <c r="F8" s="67">
        <v>13.62</v>
      </c>
      <c r="G8" s="67">
        <v>15.55</v>
      </c>
      <c r="H8" s="67">
        <v>24.84</v>
      </c>
      <c r="I8" s="67">
        <v>58.46</v>
      </c>
      <c r="J8" s="67">
        <v>149.44999999999999</v>
      </c>
      <c r="K8" s="67">
        <v>41.19</v>
      </c>
    </row>
    <row r="9" spans="1:11" ht="12" thickBot="1" x14ac:dyDescent="0.25">
      <c r="A9" s="98" t="s">
        <v>507</v>
      </c>
      <c r="B9" s="67">
        <v>586.48</v>
      </c>
      <c r="C9" s="67">
        <v>685.45</v>
      </c>
      <c r="D9" s="67">
        <v>788.8</v>
      </c>
      <c r="E9" s="67">
        <v>958.8</v>
      </c>
      <c r="F9" s="106">
        <v>1082.08</v>
      </c>
      <c r="G9" s="106">
        <v>1249.6099999999999</v>
      </c>
      <c r="H9" s="106">
        <v>1426.38</v>
      </c>
      <c r="I9" s="106">
        <v>1277.75</v>
      </c>
      <c r="J9" s="106">
        <v>1845.35</v>
      </c>
      <c r="K9" s="106">
        <v>1755.85</v>
      </c>
    </row>
    <row r="10" spans="1:11" ht="12" thickBot="1" x14ac:dyDescent="0.25">
      <c r="A10" s="98" t="s">
        <v>508</v>
      </c>
      <c r="B10" s="106">
        <v>1344.41</v>
      </c>
      <c r="C10" s="106">
        <v>1255.29</v>
      </c>
      <c r="D10" s="106">
        <v>1263.58</v>
      </c>
      <c r="E10" s="106">
        <v>1316.66</v>
      </c>
      <c r="F10" s="106">
        <v>1355.46</v>
      </c>
      <c r="G10" s="106">
        <v>1351.99</v>
      </c>
      <c r="H10" s="106">
        <v>1357.43</v>
      </c>
      <c r="I10" s="106">
        <v>1154.49</v>
      </c>
      <c r="J10" s="106">
        <v>1261.8599999999999</v>
      </c>
      <c r="K10" s="106">
        <v>1175.1099999999999</v>
      </c>
    </row>
    <row r="11" spans="1:11" ht="12" thickBot="1" x14ac:dyDescent="0.25">
      <c r="A11" s="98" t="s">
        <v>509</v>
      </c>
      <c r="B11" s="67">
        <v>301.60000000000002</v>
      </c>
      <c r="C11" s="67">
        <v>291.2</v>
      </c>
      <c r="D11" s="67">
        <v>335.2</v>
      </c>
      <c r="E11" s="67">
        <v>360.2</v>
      </c>
      <c r="F11" s="67">
        <v>347.2</v>
      </c>
      <c r="G11" s="67">
        <v>333.01</v>
      </c>
      <c r="H11" s="67">
        <v>306.18</v>
      </c>
      <c r="I11" s="67">
        <v>181.04</v>
      </c>
      <c r="J11" s="67">
        <v>244.65</v>
      </c>
      <c r="K11" s="67">
        <v>235.68</v>
      </c>
    </row>
    <row r="12" spans="1:11" ht="12" thickBot="1" x14ac:dyDescent="0.25">
      <c r="A12" s="98" t="s">
        <v>510</v>
      </c>
      <c r="B12" s="67">
        <v>497.96</v>
      </c>
      <c r="C12" s="67">
        <v>536.16999999999996</v>
      </c>
      <c r="D12" s="67">
        <v>668.14</v>
      </c>
      <c r="E12" s="67">
        <v>741.63</v>
      </c>
      <c r="F12" s="67">
        <v>765.58</v>
      </c>
      <c r="G12" s="67">
        <v>805.11</v>
      </c>
      <c r="H12" s="67">
        <v>788.54</v>
      </c>
      <c r="I12" s="67">
        <v>601.54999999999995</v>
      </c>
      <c r="J12" s="67">
        <v>758.47</v>
      </c>
      <c r="K12" s="67">
        <v>726.59</v>
      </c>
    </row>
    <row r="13" spans="1:11" ht="12" thickBot="1" x14ac:dyDescent="0.25">
      <c r="A13" s="98" t="s">
        <v>511</v>
      </c>
      <c r="B13" s="106">
        <v>1408.78</v>
      </c>
      <c r="C13" s="106">
        <v>1716.07</v>
      </c>
      <c r="D13" s="106">
        <v>2224.02</v>
      </c>
      <c r="E13" s="106">
        <v>2828.78</v>
      </c>
      <c r="F13" s="106">
        <v>3216.37</v>
      </c>
      <c r="G13" s="106">
        <v>3515.02</v>
      </c>
      <c r="H13" s="106">
        <v>3900.99</v>
      </c>
      <c r="I13" s="106">
        <v>2996.66</v>
      </c>
      <c r="J13" s="106">
        <v>4581.78</v>
      </c>
      <c r="K13" s="106">
        <v>4965.68</v>
      </c>
    </row>
    <row r="14" spans="1:11" ht="12" thickBot="1" x14ac:dyDescent="0.25">
      <c r="A14" s="98" t="s">
        <v>512</v>
      </c>
      <c r="B14" s="106">
        <v>5519.16</v>
      </c>
      <c r="C14" s="106">
        <v>5948.11</v>
      </c>
      <c r="D14" s="106">
        <v>7074.33</v>
      </c>
      <c r="E14" s="106">
        <v>8238.3700000000008</v>
      </c>
      <c r="F14" s="106">
        <v>8732.09</v>
      </c>
      <c r="G14" s="106">
        <v>9344.48</v>
      </c>
      <c r="H14" s="106">
        <v>9638.66</v>
      </c>
      <c r="I14" s="106">
        <v>7426.37</v>
      </c>
      <c r="J14" s="106">
        <v>9442.68</v>
      </c>
      <c r="K14" s="106">
        <v>9522.31</v>
      </c>
    </row>
    <row r="15" spans="1:11" ht="12" thickBot="1" x14ac:dyDescent="0.25">
      <c r="A15" s="98" t="s">
        <v>513</v>
      </c>
      <c r="B15" s="106">
        <v>3304.7</v>
      </c>
      <c r="C15" s="106">
        <v>3019.56</v>
      </c>
      <c r="D15" s="106">
        <v>2605</v>
      </c>
      <c r="E15" s="106">
        <v>2313.83</v>
      </c>
      <c r="F15" s="106">
        <v>1925.75</v>
      </c>
      <c r="G15" s="106">
        <v>1649.77</v>
      </c>
      <c r="H15" s="106">
        <v>1334.42</v>
      </c>
      <c r="I15" s="67">
        <v>969.85</v>
      </c>
      <c r="J15" s="67">
        <v>818.47</v>
      </c>
      <c r="K15" s="67">
        <v>960.93</v>
      </c>
    </row>
    <row r="16" spans="1:11" ht="23.25" thickBot="1" x14ac:dyDescent="0.25">
      <c r="A16" s="98" t="s">
        <v>514</v>
      </c>
      <c r="B16" s="106">
        <v>6065.23</v>
      </c>
      <c r="C16" s="106">
        <v>6686.73</v>
      </c>
      <c r="D16" s="106">
        <v>7042.32</v>
      </c>
      <c r="E16" s="106">
        <v>7808.09</v>
      </c>
      <c r="F16" s="106">
        <v>7945.62</v>
      </c>
      <c r="G16" s="106">
        <v>8242.66</v>
      </c>
      <c r="H16" s="106">
        <v>8400.6299999999992</v>
      </c>
      <c r="I16" s="106">
        <v>2875.62</v>
      </c>
      <c r="J16" s="106">
        <v>4032.46</v>
      </c>
      <c r="K16" s="106">
        <v>5528.17</v>
      </c>
    </row>
    <row r="17" spans="1:11" ht="12" thickBot="1" x14ac:dyDescent="0.25">
      <c r="A17" s="98" t="s">
        <v>515</v>
      </c>
      <c r="B17" s="106">
        <v>18289.939999999999</v>
      </c>
      <c r="C17" s="106">
        <v>17773.96</v>
      </c>
      <c r="D17" s="106">
        <v>18774.009999999998</v>
      </c>
      <c r="E17" s="106">
        <v>13634.78</v>
      </c>
      <c r="F17" s="106">
        <v>5798.11</v>
      </c>
      <c r="G17" s="106">
        <v>3783.06</v>
      </c>
      <c r="H17" s="106">
        <v>3877.48</v>
      </c>
      <c r="I17" s="106">
        <v>1888.84</v>
      </c>
      <c r="J17" s="106">
        <v>1570.65</v>
      </c>
      <c r="K17" s="106">
        <v>1117.29</v>
      </c>
    </row>
    <row r="18" spans="1:11" x14ac:dyDescent="0.2">
      <c r="A18" s="100" t="s">
        <v>516</v>
      </c>
      <c r="B18" s="286">
        <v>19092.84</v>
      </c>
      <c r="C18" s="286">
        <v>18760.740000000002</v>
      </c>
      <c r="D18" s="286">
        <v>20874.330000000002</v>
      </c>
      <c r="E18" s="286">
        <v>28075.84</v>
      </c>
      <c r="F18" s="286">
        <v>35855.480000000003</v>
      </c>
      <c r="G18" s="286">
        <v>37693.519999999997</v>
      </c>
      <c r="H18" s="286">
        <v>38981.43</v>
      </c>
      <c r="I18" s="286">
        <v>33743.89</v>
      </c>
      <c r="J18" s="286">
        <v>43716.04</v>
      </c>
      <c r="K18" s="286">
        <v>41333.800000000003</v>
      </c>
    </row>
    <row r="19" spans="1:11" ht="12" thickBot="1" x14ac:dyDescent="0.25">
      <c r="A19" s="98" t="s">
        <v>517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</row>
    <row r="20" spans="1:11" ht="23.25" thickBot="1" x14ac:dyDescent="0.25">
      <c r="A20" s="98" t="s">
        <v>518</v>
      </c>
      <c r="B20" s="106">
        <v>1156.01</v>
      </c>
      <c r="C20" s="67">
        <v>877.52</v>
      </c>
      <c r="D20" s="67">
        <v>792.03</v>
      </c>
      <c r="E20" s="67">
        <v>757.4</v>
      </c>
      <c r="F20" s="67">
        <v>843.41</v>
      </c>
      <c r="G20" s="106">
        <v>1182.51</v>
      </c>
      <c r="H20" s="67">
        <v>984.52</v>
      </c>
      <c r="I20" s="106">
        <v>1020.88</v>
      </c>
      <c r="J20" s="106">
        <v>1100.69</v>
      </c>
      <c r="K20" s="106">
        <v>1040.68</v>
      </c>
    </row>
    <row r="21" spans="1:11" ht="13.5" customHeight="1" thickBot="1" x14ac:dyDescent="0.25">
      <c r="A21" s="98" t="s">
        <v>519</v>
      </c>
      <c r="B21" s="106">
        <v>1444.37</v>
      </c>
      <c r="C21" s="67">
        <v>721.7</v>
      </c>
      <c r="D21" s="67">
        <v>757.56</v>
      </c>
      <c r="E21" s="67">
        <v>698.5</v>
      </c>
      <c r="F21" s="67">
        <v>668.12</v>
      </c>
      <c r="G21" s="67">
        <v>771.24</v>
      </c>
      <c r="H21" s="67">
        <v>609.36</v>
      </c>
      <c r="I21" s="67">
        <v>316.86</v>
      </c>
      <c r="J21" s="67">
        <v>369.29</v>
      </c>
      <c r="K21" s="106">
        <v>2936.32</v>
      </c>
    </row>
    <row r="22" spans="1:11" ht="23.25" thickBot="1" x14ac:dyDescent="0.25">
      <c r="A22" s="98" t="s">
        <v>520</v>
      </c>
      <c r="B22" s="106">
        <v>1554.97</v>
      </c>
      <c r="C22" s="67">
        <v>924.17</v>
      </c>
      <c r="D22" s="106">
        <v>1069.72</v>
      </c>
      <c r="E22" s="106">
        <v>1363.47</v>
      </c>
      <c r="F22" s="106">
        <v>1241.69</v>
      </c>
      <c r="G22" s="106">
        <v>1114.46</v>
      </c>
      <c r="H22" s="106">
        <v>1329.76</v>
      </c>
      <c r="I22" s="67">
        <v>793.05</v>
      </c>
      <c r="J22" s="67">
        <v>56.97</v>
      </c>
      <c r="K22" s="67">
        <v>944.08</v>
      </c>
    </row>
    <row r="23" spans="1:11" ht="12" thickBot="1" x14ac:dyDescent="0.25">
      <c r="A23" s="98" t="s">
        <v>521</v>
      </c>
      <c r="B23" s="67">
        <v>222.5</v>
      </c>
      <c r="C23" s="67">
        <v>221.59</v>
      </c>
      <c r="D23" s="67">
        <v>163.13999999999999</v>
      </c>
      <c r="E23" s="67">
        <v>151.63999999999999</v>
      </c>
      <c r="F23" s="67">
        <v>173.66</v>
      </c>
      <c r="G23" s="67">
        <v>171.63</v>
      </c>
      <c r="H23" s="67">
        <v>160.41</v>
      </c>
      <c r="I23" s="67">
        <v>71.69</v>
      </c>
      <c r="J23" s="67">
        <v>126.55</v>
      </c>
      <c r="K23" s="67">
        <v>339.69</v>
      </c>
    </row>
    <row r="24" spans="1:11" ht="12" thickBot="1" x14ac:dyDescent="0.25">
      <c r="A24" s="98" t="s">
        <v>522</v>
      </c>
      <c r="B24" s="106">
        <v>1133.01</v>
      </c>
      <c r="C24" s="106">
        <v>1447.51</v>
      </c>
      <c r="D24" s="106">
        <v>1246.8399999999999</v>
      </c>
      <c r="E24" s="106">
        <v>1171.25</v>
      </c>
      <c r="F24" s="106">
        <v>1473.91</v>
      </c>
      <c r="G24" s="106">
        <v>1478.3</v>
      </c>
      <c r="H24" s="106">
        <v>1342.63</v>
      </c>
      <c r="I24" s="67">
        <v>686.07</v>
      </c>
      <c r="J24" s="106">
        <v>1030.51</v>
      </c>
      <c r="K24" s="67">
        <v>129.38999999999999</v>
      </c>
    </row>
    <row r="25" spans="1:11" ht="12" thickBot="1" x14ac:dyDescent="0.25">
      <c r="A25" s="98" t="s">
        <v>488</v>
      </c>
      <c r="B25" s="67">
        <v>924.04</v>
      </c>
      <c r="C25" s="67">
        <v>698.06</v>
      </c>
      <c r="D25" s="67">
        <v>697.14</v>
      </c>
      <c r="E25" s="67">
        <v>460.59</v>
      </c>
      <c r="F25" s="67">
        <v>492.59</v>
      </c>
      <c r="G25" s="67">
        <v>456.57</v>
      </c>
      <c r="H25" s="67">
        <v>578.16</v>
      </c>
      <c r="I25" s="67">
        <v>295.29000000000002</v>
      </c>
      <c r="J25" s="67">
        <v>115.85</v>
      </c>
      <c r="K25" s="67">
        <v>131.71</v>
      </c>
    </row>
    <row r="26" spans="1:11" ht="12" thickBot="1" x14ac:dyDescent="0.25">
      <c r="A26" s="95" t="s">
        <v>29</v>
      </c>
      <c r="B26" s="107">
        <v>80809.62</v>
      </c>
      <c r="C26" s="107">
        <v>79860.38</v>
      </c>
      <c r="D26" s="107">
        <v>85256.65</v>
      </c>
      <c r="E26" s="107">
        <v>90914.82</v>
      </c>
      <c r="F26" s="107">
        <v>92762.29</v>
      </c>
      <c r="G26" s="107">
        <v>95424.79</v>
      </c>
      <c r="H26" s="107">
        <v>98199.56</v>
      </c>
      <c r="I26" s="107">
        <v>76929.39</v>
      </c>
      <c r="J26" s="107">
        <v>94089.42</v>
      </c>
      <c r="K26" s="107">
        <v>97593.06</v>
      </c>
    </row>
    <row r="27" spans="1:11" ht="12" thickBot="1" x14ac:dyDescent="0.25">
      <c r="A27" s="92" t="s">
        <v>413</v>
      </c>
      <c r="B27" s="93">
        <v>221.4</v>
      </c>
      <c r="C27" s="93">
        <v>218.8</v>
      </c>
      <c r="D27" s="93">
        <v>233.58</v>
      </c>
      <c r="E27" s="93">
        <v>248.4</v>
      </c>
      <c r="F27" s="93">
        <v>254.14</v>
      </c>
      <c r="G27" s="93">
        <v>261.44</v>
      </c>
      <c r="H27" s="93">
        <v>269.04000000000002</v>
      </c>
      <c r="I27" s="93">
        <v>210.19</v>
      </c>
      <c r="J27" s="93">
        <v>257.77999999999997</v>
      </c>
      <c r="K27" s="93">
        <v>267.38</v>
      </c>
    </row>
    <row r="28" spans="1:11" x14ac:dyDescent="0.2">
      <c r="A28" s="430"/>
      <c r="B28" s="430"/>
      <c r="C28" s="430"/>
      <c r="D28" s="430"/>
      <c r="E28" s="430"/>
      <c r="F28" s="430"/>
      <c r="G28" s="430"/>
      <c r="H28" s="430"/>
      <c r="I28" s="430"/>
      <c r="J28" s="430"/>
    </row>
    <row r="29" spans="1:11" x14ac:dyDescent="0.2">
      <c r="A29" s="430"/>
      <c r="B29" s="430"/>
      <c r="C29" s="430"/>
      <c r="D29" s="430"/>
      <c r="E29" s="430"/>
      <c r="F29" s="430"/>
      <c r="G29" s="430"/>
      <c r="H29" s="430"/>
      <c r="I29" s="430"/>
      <c r="J29" s="430"/>
    </row>
    <row r="30" spans="1:11" x14ac:dyDescent="0.2">
      <c r="A30" s="430"/>
      <c r="B30" s="430"/>
      <c r="C30" s="430"/>
      <c r="D30" s="430"/>
      <c r="E30" s="430"/>
      <c r="F30" s="430"/>
      <c r="G30" s="430"/>
      <c r="H30" s="430"/>
      <c r="I30" s="430"/>
      <c r="J30" s="430"/>
    </row>
    <row r="31" spans="1:11" x14ac:dyDescent="0.2">
      <c r="A31" s="430"/>
      <c r="B31" s="430"/>
      <c r="C31" s="430"/>
      <c r="D31" s="430"/>
      <c r="E31" s="430"/>
      <c r="F31" s="430"/>
      <c r="G31" s="430"/>
      <c r="H31" s="430"/>
      <c r="I31" s="430"/>
      <c r="J31" s="430"/>
    </row>
    <row r="32" spans="1:11" x14ac:dyDescent="0.2">
      <c r="A32" s="430"/>
      <c r="B32" s="430"/>
      <c r="C32" s="430"/>
      <c r="D32" s="430"/>
      <c r="E32" s="430"/>
      <c r="F32" s="430"/>
      <c r="G32" s="430"/>
      <c r="H32" s="430"/>
      <c r="I32" s="430"/>
      <c r="J32" s="430"/>
    </row>
    <row r="33" spans="1:10" x14ac:dyDescent="0.2">
      <c r="A33" s="430"/>
      <c r="B33" s="430"/>
      <c r="C33" s="430"/>
      <c r="D33" s="430"/>
      <c r="E33" s="430"/>
      <c r="F33" s="430"/>
      <c r="G33" s="430"/>
      <c r="H33" s="430"/>
      <c r="I33" s="430"/>
      <c r="J33" s="430"/>
    </row>
    <row r="34" spans="1:10" x14ac:dyDescent="0.2">
      <c r="A34" s="430"/>
      <c r="B34" s="430"/>
      <c r="C34" s="430"/>
      <c r="D34" s="430"/>
      <c r="E34" s="430"/>
      <c r="F34" s="430"/>
      <c r="G34" s="430"/>
      <c r="H34" s="430"/>
      <c r="I34" s="430"/>
      <c r="J34" s="430"/>
    </row>
    <row r="35" spans="1:10" x14ac:dyDescent="0.2">
      <c r="A35" s="430"/>
      <c r="B35" s="430"/>
      <c r="C35" s="430"/>
      <c r="D35" s="430"/>
      <c r="E35" s="430"/>
      <c r="F35" s="430"/>
      <c r="G35" s="430"/>
      <c r="H35" s="430"/>
      <c r="I35" s="430"/>
      <c r="J35" s="430"/>
    </row>
    <row r="36" spans="1:10" x14ac:dyDescent="0.2">
      <c r="A36" s="430"/>
      <c r="B36" s="430"/>
      <c r="C36" s="430"/>
      <c r="D36" s="430"/>
      <c r="E36" s="430"/>
      <c r="F36" s="430"/>
      <c r="G36" s="430"/>
      <c r="H36" s="430"/>
      <c r="I36" s="430"/>
      <c r="J36" s="430"/>
    </row>
    <row r="37" spans="1:10" x14ac:dyDescent="0.2">
      <c r="A37" s="430"/>
      <c r="B37" s="430"/>
      <c r="C37" s="430"/>
      <c r="D37" s="430"/>
      <c r="E37" s="430"/>
      <c r="F37" s="430"/>
      <c r="G37" s="430"/>
      <c r="H37" s="430"/>
      <c r="I37" s="430"/>
      <c r="J37" s="430"/>
    </row>
    <row r="38" spans="1:10" x14ac:dyDescent="0.2">
      <c r="A38" s="430"/>
      <c r="B38" s="430"/>
      <c r="C38" s="430"/>
      <c r="D38" s="430"/>
      <c r="E38" s="430"/>
      <c r="F38" s="430"/>
      <c r="G38" s="430"/>
      <c r="H38" s="430"/>
      <c r="I38" s="430"/>
      <c r="J38" s="430"/>
    </row>
    <row r="39" spans="1:10" x14ac:dyDescent="0.2">
      <c r="A39" s="430"/>
      <c r="B39" s="430"/>
      <c r="C39" s="430"/>
      <c r="D39" s="430"/>
      <c r="E39" s="430"/>
      <c r="F39" s="430"/>
      <c r="G39" s="430"/>
      <c r="H39" s="430"/>
      <c r="I39" s="430"/>
      <c r="J39" s="430"/>
    </row>
  </sheetData>
  <mergeCells count="12">
    <mergeCell ref="A1:K1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3:K3"/>
    <mergeCell ref="K18:K1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9E12-168C-4C7C-86BF-18D4FA4BD805}">
  <sheetPr>
    <tabColor rgb="FF0070C0"/>
  </sheetPr>
  <dimension ref="A1:J20"/>
  <sheetViews>
    <sheetView workbookViewId="0">
      <selection sqref="A1:I1"/>
    </sheetView>
  </sheetViews>
  <sheetFormatPr baseColWidth="10" defaultColWidth="11.42578125" defaultRowHeight="11.25" x14ac:dyDescent="0.2"/>
  <cols>
    <col min="1" max="16384" width="11.42578125" style="16"/>
  </cols>
  <sheetData>
    <row r="1" spans="1:10" ht="12" x14ac:dyDescent="0.2">
      <c r="A1" s="440" t="s">
        <v>792</v>
      </c>
      <c r="B1" s="440"/>
      <c r="C1" s="440"/>
      <c r="D1" s="440"/>
      <c r="E1" s="440"/>
      <c r="F1" s="440"/>
      <c r="G1" s="440"/>
      <c r="H1" s="440"/>
      <c r="I1" s="440"/>
    </row>
    <row r="2" spans="1:10" ht="12" thickBot="1" x14ac:dyDescent="0.25"/>
    <row r="3" spans="1:10" ht="23.25" thickBot="1" x14ac:dyDescent="0.25">
      <c r="A3" s="300">
        <v>2022</v>
      </c>
      <c r="B3" s="217" t="s">
        <v>793</v>
      </c>
      <c r="C3" s="218"/>
      <c r="D3" s="219"/>
      <c r="E3" s="300" t="s">
        <v>794</v>
      </c>
      <c r="F3" s="94" t="s">
        <v>367</v>
      </c>
      <c r="G3" s="94" t="s">
        <v>795</v>
      </c>
      <c r="H3" s="94" t="s">
        <v>414</v>
      </c>
      <c r="I3" s="432"/>
      <c r="J3" s="430"/>
    </row>
    <row r="4" spans="1:10" ht="23.25" thickBot="1" x14ac:dyDescent="0.25">
      <c r="A4" s="301"/>
      <c r="B4" s="91" t="s">
        <v>796</v>
      </c>
      <c r="C4" s="91" t="s">
        <v>797</v>
      </c>
      <c r="D4" s="91" t="s">
        <v>798</v>
      </c>
      <c r="E4" s="301"/>
      <c r="F4" s="91" t="s">
        <v>799</v>
      </c>
      <c r="G4" s="91" t="s">
        <v>800</v>
      </c>
      <c r="H4" s="91" t="s">
        <v>801</v>
      </c>
      <c r="I4" s="432"/>
      <c r="J4" s="430"/>
    </row>
    <row r="5" spans="1:10" ht="12" thickBot="1" x14ac:dyDescent="0.25">
      <c r="A5" s="98" t="s">
        <v>802</v>
      </c>
      <c r="B5" s="137">
        <v>16.36</v>
      </c>
      <c r="C5" s="137">
        <v>17.440000000000001</v>
      </c>
      <c r="D5" s="137">
        <v>18.14</v>
      </c>
      <c r="E5" s="137">
        <v>16.190000000000001</v>
      </c>
      <c r="F5" s="137">
        <v>58.67</v>
      </c>
      <c r="G5" s="137">
        <v>2.48</v>
      </c>
      <c r="H5" s="137">
        <v>1.56</v>
      </c>
      <c r="I5" s="431"/>
      <c r="J5" s="430"/>
    </row>
    <row r="6" spans="1:10" ht="12" thickBot="1" x14ac:dyDescent="0.25">
      <c r="A6" s="98" t="s">
        <v>803</v>
      </c>
      <c r="B6" s="137">
        <v>16.940000000000001</v>
      </c>
      <c r="C6" s="137">
        <v>18.059999999999999</v>
      </c>
      <c r="D6" s="137">
        <v>18.78</v>
      </c>
      <c r="E6" s="137">
        <v>16.52</v>
      </c>
      <c r="F6" s="137">
        <v>59.54</v>
      </c>
      <c r="G6" s="137">
        <v>2.48</v>
      </c>
      <c r="H6" s="137">
        <v>1.56</v>
      </c>
      <c r="I6" s="431"/>
      <c r="J6" s="430"/>
    </row>
    <row r="7" spans="1:10" ht="12" thickBot="1" x14ac:dyDescent="0.25">
      <c r="A7" s="98" t="s">
        <v>804</v>
      </c>
      <c r="B7" s="137">
        <v>19.010000000000002</v>
      </c>
      <c r="C7" s="137">
        <v>20.100000000000001</v>
      </c>
      <c r="D7" s="137">
        <v>20.96</v>
      </c>
      <c r="E7" s="137">
        <v>17.239999999999998</v>
      </c>
      <c r="F7" s="137">
        <v>60.33</v>
      </c>
      <c r="G7" s="137">
        <v>2.57</v>
      </c>
      <c r="H7" s="137">
        <v>1.56</v>
      </c>
      <c r="I7" s="431"/>
      <c r="J7" s="430"/>
    </row>
    <row r="8" spans="1:10" ht="12" thickBot="1" x14ac:dyDescent="0.25">
      <c r="A8" s="98" t="s">
        <v>805</v>
      </c>
      <c r="B8" s="137">
        <v>18.66</v>
      </c>
      <c r="C8" s="137">
        <v>20.85</v>
      </c>
      <c r="D8" s="137">
        <v>21.72</v>
      </c>
      <c r="E8" s="137">
        <v>15.84</v>
      </c>
      <c r="F8" s="137">
        <v>59.45</v>
      </c>
      <c r="G8" s="137">
        <v>2.5099999999999998</v>
      </c>
      <c r="H8" s="137">
        <v>1.56</v>
      </c>
      <c r="I8" s="431"/>
      <c r="J8" s="430"/>
    </row>
    <row r="9" spans="1:10" ht="12" thickBot="1" x14ac:dyDescent="0.25">
      <c r="A9" s="98" t="s">
        <v>806</v>
      </c>
      <c r="B9" s="137">
        <v>19.66</v>
      </c>
      <c r="C9" s="137">
        <v>22.3</v>
      </c>
      <c r="D9" s="137">
        <v>23.24</v>
      </c>
      <c r="E9" s="137">
        <v>16.420000000000002</v>
      </c>
      <c r="F9" s="137">
        <v>58.73</v>
      </c>
      <c r="G9" s="137">
        <v>2.38</v>
      </c>
      <c r="H9" s="137">
        <v>1.56</v>
      </c>
      <c r="I9" s="431"/>
      <c r="J9" s="430"/>
    </row>
    <row r="10" spans="1:10" ht="12" thickBot="1" x14ac:dyDescent="0.25">
      <c r="A10" s="98" t="s">
        <v>807</v>
      </c>
      <c r="B10" s="137">
        <v>21.76</v>
      </c>
      <c r="C10" s="137">
        <v>24.81</v>
      </c>
      <c r="D10" s="137">
        <v>25.89</v>
      </c>
      <c r="E10" s="137">
        <v>17.350000000000001</v>
      </c>
      <c r="F10" s="137">
        <v>58.65</v>
      </c>
      <c r="G10" s="137">
        <v>2.46</v>
      </c>
      <c r="H10" s="137">
        <v>1.57</v>
      </c>
      <c r="I10" s="431"/>
      <c r="J10" s="430"/>
    </row>
    <row r="11" spans="1:10" ht="12" thickBot="1" x14ac:dyDescent="0.25">
      <c r="A11" s="98" t="s">
        <v>808</v>
      </c>
      <c r="B11" s="137">
        <v>22.49</v>
      </c>
      <c r="C11" s="137">
        <v>25.17</v>
      </c>
      <c r="D11" s="137">
        <v>26.38</v>
      </c>
      <c r="E11" s="137">
        <v>17.329999999999998</v>
      </c>
      <c r="F11" s="137">
        <v>58.52</v>
      </c>
      <c r="G11" s="137">
        <v>2.4700000000000002</v>
      </c>
      <c r="H11" s="137">
        <v>1.57</v>
      </c>
      <c r="I11" s="431"/>
      <c r="J11" s="430"/>
    </row>
    <row r="12" spans="1:10" ht="12" thickBot="1" x14ac:dyDescent="0.25">
      <c r="A12" s="98" t="s">
        <v>809</v>
      </c>
      <c r="B12" s="137">
        <v>20.67</v>
      </c>
      <c r="C12" s="137">
        <v>22.83</v>
      </c>
      <c r="D12" s="137">
        <v>24</v>
      </c>
      <c r="E12" s="137">
        <v>17.34</v>
      </c>
      <c r="F12" s="137">
        <v>58.38</v>
      </c>
      <c r="G12" s="137">
        <v>2.2999999999999998</v>
      </c>
      <c r="H12" s="137">
        <v>1.57</v>
      </c>
      <c r="I12" s="431"/>
      <c r="J12" s="430"/>
    </row>
    <row r="13" spans="1:10" ht="12" thickBot="1" x14ac:dyDescent="0.25">
      <c r="A13" s="98" t="s">
        <v>810</v>
      </c>
      <c r="B13" s="137">
        <v>18.98</v>
      </c>
      <c r="C13" s="137">
        <v>20.78</v>
      </c>
      <c r="D13" s="137">
        <v>22.22</v>
      </c>
      <c r="E13" s="137">
        <v>18.41</v>
      </c>
      <c r="F13" s="137">
        <v>57.33</v>
      </c>
      <c r="G13" s="137">
        <v>2.36</v>
      </c>
      <c r="H13" s="137">
        <v>1.58</v>
      </c>
      <c r="I13" s="431"/>
      <c r="J13" s="430"/>
    </row>
    <row r="14" spans="1:10" ht="12" thickBot="1" x14ac:dyDescent="0.25">
      <c r="A14" s="98" t="s">
        <v>811</v>
      </c>
      <c r="B14" s="137">
        <v>19.309999999999999</v>
      </c>
      <c r="C14" s="137">
        <v>21.09</v>
      </c>
      <c r="D14" s="137">
        <v>22.44</v>
      </c>
      <c r="E14" s="137">
        <v>19.68</v>
      </c>
      <c r="F14" s="137">
        <v>56.43</v>
      </c>
      <c r="G14" s="137">
        <v>2.1800000000000002</v>
      </c>
      <c r="H14" s="137">
        <v>1.58</v>
      </c>
      <c r="I14" s="431"/>
      <c r="J14" s="430"/>
    </row>
    <row r="15" spans="1:10" ht="12" thickBot="1" x14ac:dyDescent="0.25">
      <c r="A15" s="98" t="s">
        <v>812</v>
      </c>
      <c r="B15" s="137">
        <v>19.600000000000001</v>
      </c>
      <c r="C15" s="137">
        <v>21.46</v>
      </c>
      <c r="D15" s="137">
        <v>22.64</v>
      </c>
      <c r="E15" s="137">
        <v>19.8</v>
      </c>
      <c r="F15" s="137">
        <v>54.96</v>
      </c>
      <c r="G15" s="137">
        <v>2.06</v>
      </c>
      <c r="H15" s="137">
        <v>1.59</v>
      </c>
      <c r="I15" s="431"/>
      <c r="J15" s="430"/>
    </row>
    <row r="16" spans="1:10" ht="12" thickBot="1" x14ac:dyDescent="0.25">
      <c r="A16" s="98" t="s">
        <v>813</v>
      </c>
      <c r="B16" s="137">
        <v>18.36</v>
      </c>
      <c r="C16" s="137">
        <v>20.260000000000002</v>
      </c>
      <c r="D16" s="137">
        <v>21.42</v>
      </c>
      <c r="E16" s="137">
        <v>19.78</v>
      </c>
      <c r="F16" s="137">
        <v>54.19</v>
      </c>
      <c r="G16" s="137">
        <v>1.99</v>
      </c>
      <c r="H16" s="137">
        <v>1.6</v>
      </c>
      <c r="I16" s="431"/>
      <c r="J16" s="430"/>
    </row>
    <row r="17" spans="1:10" x14ac:dyDescent="0.2">
      <c r="A17" s="430"/>
      <c r="B17" s="430"/>
      <c r="C17" s="430"/>
      <c r="D17" s="430"/>
      <c r="E17" s="430"/>
      <c r="F17" s="430"/>
      <c r="G17" s="430"/>
      <c r="H17" s="430"/>
      <c r="I17" s="430"/>
      <c r="J17" s="430"/>
    </row>
    <row r="18" spans="1:10" x14ac:dyDescent="0.2">
      <c r="A18" s="430"/>
      <c r="B18" s="430"/>
      <c r="C18" s="430"/>
      <c r="D18" s="430"/>
      <c r="E18" s="430"/>
      <c r="F18" s="430"/>
      <c r="G18" s="430"/>
      <c r="H18" s="430"/>
      <c r="I18" s="430"/>
      <c r="J18" s="430"/>
    </row>
    <row r="20" spans="1:10" x14ac:dyDescent="0.2">
      <c r="A20" s="41" t="s">
        <v>415</v>
      </c>
    </row>
  </sheetData>
  <mergeCells count="4">
    <mergeCell ref="A3:A4"/>
    <mergeCell ref="A1:I1"/>
    <mergeCell ref="B3:D3"/>
    <mergeCell ref="E3:E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F5D1-06E5-419A-A835-8D12C98EBE4F}">
  <sheetPr>
    <tabColor rgb="FF0070C0"/>
  </sheetPr>
  <dimension ref="A1:E19"/>
  <sheetViews>
    <sheetView workbookViewId="0">
      <selection sqref="A1:E1"/>
    </sheetView>
  </sheetViews>
  <sheetFormatPr baseColWidth="10" defaultColWidth="11.42578125" defaultRowHeight="11.25" x14ac:dyDescent="0.2"/>
  <cols>
    <col min="1" max="1" width="11.42578125" style="16"/>
    <col min="2" max="2" width="16" style="16" customWidth="1"/>
    <col min="3" max="3" width="15.28515625" style="16" customWidth="1"/>
    <col min="4" max="4" width="15.5703125" style="16" bestFit="1" customWidth="1"/>
    <col min="5" max="5" width="12.85546875" style="16" customWidth="1"/>
    <col min="6" max="16384" width="11.42578125" style="16"/>
  </cols>
  <sheetData>
    <row r="1" spans="1:5" ht="12" x14ac:dyDescent="0.2">
      <c r="A1" s="440" t="s">
        <v>814</v>
      </c>
      <c r="B1" s="440"/>
      <c r="C1" s="440"/>
      <c r="D1" s="440"/>
      <c r="E1" s="440"/>
    </row>
    <row r="2" spans="1:5" ht="12" thickBot="1" x14ac:dyDescent="0.25"/>
    <row r="3" spans="1:5" s="430" customFormat="1" ht="12" thickBot="1" x14ac:dyDescent="0.25">
      <c r="A3" s="300">
        <v>2022</v>
      </c>
      <c r="B3" s="94" t="s">
        <v>793</v>
      </c>
      <c r="C3" s="300" t="s">
        <v>773</v>
      </c>
      <c r="D3" s="94" t="s">
        <v>367</v>
      </c>
      <c r="E3" s="432"/>
    </row>
    <row r="4" spans="1:5" s="430" customFormat="1" ht="20.25" customHeight="1" thickBot="1" x14ac:dyDescent="0.25">
      <c r="A4" s="301"/>
      <c r="B4" s="91" t="s">
        <v>796</v>
      </c>
      <c r="C4" s="301"/>
      <c r="D4" s="91" t="s">
        <v>799</v>
      </c>
      <c r="E4" s="432"/>
    </row>
    <row r="5" spans="1:5" s="430" customFormat="1" ht="12" thickBot="1" x14ac:dyDescent="0.25">
      <c r="A5" s="98" t="s">
        <v>802</v>
      </c>
      <c r="B5" s="137">
        <v>16.920000000000002</v>
      </c>
      <c r="C5" s="137">
        <v>15.6</v>
      </c>
      <c r="D5" s="137">
        <v>53.69</v>
      </c>
      <c r="E5" s="431"/>
    </row>
    <row r="6" spans="1:5" s="430" customFormat="1" ht="12" thickBot="1" x14ac:dyDescent="0.25">
      <c r="A6" s="98" t="s">
        <v>803</v>
      </c>
      <c r="B6" s="137">
        <v>16.97</v>
      </c>
      <c r="C6" s="137">
        <v>15.65</v>
      </c>
      <c r="D6" s="137">
        <v>55.57</v>
      </c>
      <c r="E6" s="431"/>
    </row>
    <row r="7" spans="1:5" s="430" customFormat="1" ht="12" thickBot="1" x14ac:dyDescent="0.25">
      <c r="A7" s="98" t="s">
        <v>804</v>
      </c>
      <c r="B7" s="137">
        <v>19.600000000000001</v>
      </c>
      <c r="C7" s="137">
        <v>16.940000000000001</v>
      </c>
      <c r="D7" s="137">
        <v>58.11</v>
      </c>
      <c r="E7" s="431"/>
    </row>
    <row r="8" spans="1:5" s="430" customFormat="1" ht="12" thickBot="1" x14ac:dyDescent="0.25">
      <c r="A8" s="98" t="s">
        <v>805</v>
      </c>
      <c r="B8" s="137">
        <v>19.87</v>
      </c>
      <c r="C8" s="137">
        <v>15.99</v>
      </c>
      <c r="D8" s="137">
        <v>57.48</v>
      </c>
      <c r="E8" s="431"/>
    </row>
    <row r="9" spans="1:5" s="430" customFormat="1" ht="12" thickBot="1" x14ac:dyDescent="0.25">
      <c r="A9" s="98" t="s">
        <v>806</v>
      </c>
      <c r="B9" s="137">
        <v>19.05</v>
      </c>
      <c r="C9" s="137">
        <v>16.46</v>
      </c>
      <c r="D9" s="137">
        <v>56.25</v>
      </c>
      <c r="E9" s="431"/>
    </row>
    <row r="10" spans="1:5" s="430" customFormat="1" ht="12" thickBot="1" x14ac:dyDescent="0.25">
      <c r="A10" s="98" t="s">
        <v>807</v>
      </c>
      <c r="B10" s="137">
        <v>21.59</v>
      </c>
      <c r="C10" s="137">
        <v>17.03</v>
      </c>
      <c r="D10" s="137">
        <v>52.93</v>
      </c>
      <c r="E10" s="431"/>
    </row>
    <row r="11" spans="1:5" s="430" customFormat="1" ht="12" thickBot="1" x14ac:dyDescent="0.25">
      <c r="A11" s="98" t="s">
        <v>808</v>
      </c>
      <c r="B11" s="137">
        <v>22.75</v>
      </c>
      <c r="C11" s="137">
        <v>17.22</v>
      </c>
      <c r="D11" s="137">
        <v>54.62</v>
      </c>
      <c r="E11" s="431"/>
    </row>
    <row r="12" spans="1:5" s="430" customFormat="1" ht="12" thickBot="1" x14ac:dyDescent="0.25">
      <c r="A12" s="98" t="s">
        <v>809</v>
      </c>
      <c r="B12" s="137">
        <v>20.83</v>
      </c>
      <c r="C12" s="137">
        <v>17.510000000000002</v>
      </c>
      <c r="D12" s="137">
        <v>54.47</v>
      </c>
      <c r="E12" s="431"/>
    </row>
    <row r="13" spans="1:5" s="430" customFormat="1" ht="12" thickBot="1" x14ac:dyDescent="0.25">
      <c r="A13" s="98" t="s">
        <v>810</v>
      </c>
      <c r="B13" s="137">
        <v>19.07</v>
      </c>
      <c r="C13" s="137">
        <v>18.66</v>
      </c>
      <c r="D13" s="137">
        <v>52.74</v>
      </c>
      <c r="E13" s="431"/>
    </row>
    <row r="14" spans="1:5" s="430" customFormat="1" ht="12" thickBot="1" x14ac:dyDescent="0.25">
      <c r="A14" s="98" t="s">
        <v>811</v>
      </c>
      <c r="B14" s="137">
        <v>18.96</v>
      </c>
      <c r="C14" s="137">
        <v>19.71</v>
      </c>
      <c r="D14" s="137">
        <v>52</v>
      </c>
      <c r="E14" s="431"/>
    </row>
    <row r="15" spans="1:5" s="430" customFormat="1" ht="12" thickBot="1" x14ac:dyDescent="0.25">
      <c r="A15" s="98" t="s">
        <v>812</v>
      </c>
      <c r="B15" s="137">
        <v>19.399999999999999</v>
      </c>
      <c r="C15" s="137">
        <v>20.07</v>
      </c>
      <c r="D15" s="137">
        <v>48.73</v>
      </c>
      <c r="E15" s="431"/>
    </row>
    <row r="16" spans="1:5" s="430" customFormat="1" ht="12" thickBot="1" x14ac:dyDescent="0.25">
      <c r="A16" s="98" t="s">
        <v>813</v>
      </c>
      <c r="B16" s="137">
        <v>17.95</v>
      </c>
      <c r="C16" s="137">
        <v>20.14</v>
      </c>
      <c r="D16" s="137">
        <v>52.73</v>
      </c>
      <c r="E16" s="431"/>
    </row>
    <row r="19" spans="1:1" x14ac:dyDescent="0.2">
      <c r="A19" s="41" t="s">
        <v>416</v>
      </c>
    </row>
  </sheetData>
  <mergeCells count="3">
    <mergeCell ref="A3:A4"/>
    <mergeCell ref="A1:E1"/>
    <mergeCell ref="C3:C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9AE2-1EEE-4A61-ADF0-6D15E6BCA08A}">
  <sheetPr>
    <tabColor rgb="FF0070C0"/>
  </sheetPr>
  <dimension ref="A1:F19"/>
  <sheetViews>
    <sheetView workbookViewId="0">
      <selection sqref="A1:E1"/>
    </sheetView>
  </sheetViews>
  <sheetFormatPr baseColWidth="10" defaultColWidth="11.42578125" defaultRowHeight="11.25" x14ac:dyDescent="0.2"/>
  <cols>
    <col min="1" max="16384" width="11.42578125" style="16"/>
  </cols>
  <sheetData>
    <row r="1" spans="1:6" ht="12" x14ac:dyDescent="0.2">
      <c r="A1" s="440" t="s">
        <v>816</v>
      </c>
      <c r="B1" s="440"/>
      <c r="C1" s="440"/>
      <c r="D1" s="440"/>
      <c r="E1" s="440"/>
    </row>
    <row r="2" spans="1:6" ht="12" thickBot="1" x14ac:dyDescent="0.25"/>
    <row r="3" spans="1:6" ht="12" thickBot="1" x14ac:dyDescent="0.25">
      <c r="A3" s="300">
        <v>2022</v>
      </c>
      <c r="B3" s="217" t="s">
        <v>793</v>
      </c>
      <c r="C3" s="218"/>
      <c r="D3" s="219"/>
      <c r="E3" s="94" t="s">
        <v>367</v>
      </c>
      <c r="F3" s="430"/>
    </row>
    <row r="4" spans="1:6" ht="23.25" thickBot="1" x14ac:dyDescent="0.25">
      <c r="A4" s="301"/>
      <c r="B4" s="91" t="s">
        <v>815</v>
      </c>
      <c r="C4" s="91" t="s">
        <v>796</v>
      </c>
      <c r="D4" s="91" t="s">
        <v>797</v>
      </c>
      <c r="E4" s="91" t="s">
        <v>799</v>
      </c>
      <c r="F4" s="430"/>
    </row>
    <row r="5" spans="1:6" ht="12" thickBot="1" x14ac:dyDescent="0.25">
      <c r="A5" s="98" t="s">
        <v>802</v>
      </c>
      <c r="B5" s="167">
        <v>16.12</v>
      </c>
      <c r="C5" s="167">
        <v>16.96</v>
      </c>
      <c r="D5" s="167">
        <v>18.149999999999999</v>
      </c>
      <c r="E5" s="167">
        <v>58.21</v>
      </c>
      <c r="F5" s="430"/>
    </row>
    <row r="6" spans="1:6" ht="12" thickBot="1" x14ac:dyDescent="0.25">
      <c r="A6" s="98" t="s">
        <v>803</v>
      </c>
      <c r="B6" s="167">
        <v>16.37</v>
      </c>
      <c r="C6" s="167">
        <v>17.170000000000002</v>
      </c>
      <c r="D6" s="167">
        <v>18.3</v>
      </c>
      <c r="E6" s="167">
        <v>58.84</v>
      </c>
      <c r="F6" s="430"/>
    </row>
    <row r="7" spans="1:6" ht="12" thickBot="1" x14ac:dyDescent="0.25">
      <c r="A7" s="98" t="s">
        <v>804</v>
      </c>
      <c r="B7" s="167">
        <v>18.829999999999998</v>
      </c>
      <c r="C7" s="167">
        <v>18.87</v>
      </c>
      <c r="D7" s="167">
        <v>20.13</v>
      </c>
      <c r="E7" s="167">
        <v>59.7</v>
      </c>
      <c r="F7" s="430"/>
    </row>
    <row r="8" spans="1:6" ht="12" thickBot="1" x14ac:dyDescent="0.25">
      <c r="A8" s="98" t="s">
        <v>805</v>
      </c>
      <c r="B8" s="167">
        <v>18.43</v>
      </c>
      <c r="C8" s="167">
        <v>19.66</v>
      </c>
      <c r="D8" s="167">
        <v>21.59</v>
      </c>
      <c r="E8" s="167">
        <v>58.19</v>
      </c>
      <c r="F8" s="430"/>
    </row>
    <row r="9" spans="1:6" ht="12" thickBot="1" x14ac:dyDescent="0.25">
      <c r="A9" s="98" t="s">
        <v>806</v>
      </c>
      <c r="B9" s="167">
        <v>17.38</v>
      </c>
      <c r="C9" s="167">
        <v>19.71</v>
      </c>
      <c r="D9" s="167">
        <v>22.45</v>
      </c>
      <c r="E9" s="167">
        <v>58.12</v>
      </c>
      <c r="F9" s="430"/>
    </row>
    <row r="10" spans="1:6" ht="12" thickBot="1" x14ac:dyDescent="0.25">
      <c r="A10" s="98" t="s">
        <v>807</v>
      </c>
      <c r="B10" s="167">
        <v>17.510000000000002</v>
      </c>
      <c r="C10" s="167">
        <v>21.82</v>
      </c>
      <c r="D10" s="167">
        <v>25</v>
      </c>
      <c r="E10" s="167">
        <v>57.83</v>
      </c>
      <c r="F10" s="430"/>
    </row>
    <row r="11" spans="1:6" ht="12" thickBot="1" x14ac:dyDescent="0.25">
      <c r="A11" s="98" t="s">
        <v>808</v>
      </c>
      <c r="B11" s="167">
        <v>18.38</v>
      </c>
      <c r="C11" s="167">
        <v>23.36</v>
      </c>
      <c r="D11" s="167">
        <v>26.34</v>
      </c>
      <c r="E11" s="167">
        <v>58.02</v>
      </c>
      <c r="F11" s="430"/>
    </row>
    <row r="12" spans="1:6" ht="12" thickBot="1" x14ac:dyDescent="0.25">
      <c r="A12" s="98" t="s">
        <v>809</v>
      </c>
      <c r="B12" s="167">
        <v>18.46</v>
      </c>
      <c r="C12" s="167">
        <v>22.28</v>
      </c>
      <c r="D12" s="167">
        <v>25.16</v>
      </c>
      <c r="E12" s="167">
        <v>57.07</v>
      </c>
      <c r="F12" s="430"/>
    </row>
    <row r="13" spans="1:6" ht="12" thickBot="1" x14ac:dyDescent="0.25">
      <c r="A13" s="98" t="s">
        <v>810</v>
      </c>
      <c r="B13" s="167">
        <v>17.829999999999998</v>
      </c>
      <c r="C13" s="167">
        <v>20.09</v>
      </c>
      <c r="D13" s="167">
        <v>22.81</v>
      </c>
      <c r="E13" s="167">
        <v>55.84</v>
      </c>
      <c r="F13" s="430"/>
    </row>
    <row r="14" spans="1:6" ht="12" thickBot="1" x14ac:dyDescent="0.25">
      <c r="A14" s="98" t="s">
        <v>811</v>
      </c>
      <c r="B14" s="167">
        <v>17.61</v>
      </c>
      <c r="C14" s="167">
        <v>19.71</v>
      </c>
      <c r="D14" s="167">
        <v>22.36</v>
      </c>
      <c r="E14" s="167">
        <v>55.27</v>
      </c>
      <c r="F14" s="430"/>
    </row>
    <row r="15" spans="1:6" ht="12" thickBot="1" x14ac:dyDescent="0.25">
      <c r="A15" s="98" t="s">
        <v>812</v>
      </c>
      <c r="B15" s="167">
        <v>17.600000000000001</v>
      </c>
      <c r="C15" s="167">
        <v>20.51</v>
      </c>
      <c r="D15" s="167">
        <v>22.98</v>
      </c>
      <c r="E15" s="167">
        <v>52.92</v>
      </c>
      <c r="F15" s="430"/>
    </row>
    <row r="16" spans="1:6" ht="12" thickBot="1" x14ac:dyDescent="0.25">
      <c r="A16" s="98" t="s">
        <v>813</v>
      </c>
      <c r="B16" s="167">
        <v>17.12</v>
      </c>
      <c r="C16" s="167">
        <v>19.63</v>
      </c>
      <c r="D16" s="167">
        <v>21.9</v>
      </c>
      <c r="E16" s="167">
        <v>52.68</v>
      </c>
      <c r="F16" s="430"/>
    </row>
    <row r="19" spans="1:1" x14ac:dyDescent="0.2">
      <c r="A19" s="41" t="s">
        <v>417</v>
      </c>
    </row>
  </sheetData>
  <mergeCells count="3">
    <mergeCell ref="A3:A4"/>
    <mergeCell ref="B3:D3"/>
    <mergeCell ref="A1:E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3996-23C1-4715-A99D-D3D93AD8B525}">
  <sheetPr>
    <tabColor rgb="FF0070C0"/>
  </sheetPr>
  <dimension ref="A1:G19"/>
  <sheetViews>
    <sheetView workbookViewId="0">
      <selection sqref="A1:F1"/>
    </sheetView>
  </sheetViews>
  <sheetFormatPr baseColWidth="10" defaultColWidth="11.42578125" defaultRowHeight="11.25" x14ac:dyDescent="0.2"/>
  <cols>
    <col min="1" max="16384" width="11.42578125" style="16"/>
  </cols>
  <sheetData>
    <row r="1" spans="1:7" ht="12" x14ac:dyDescent="0.2">
      <c r="A1" s="440" t="s">
        <v>817</v>
      </c>
      <c r="B1" s="440"/>
      <c r="C1" s="440"/>
      <c r="D1" s="440"/>
      <c r="E1" s="440"/>
      <c r="F1" s="439"/>
    </row>
    <row r="2" spans="1:7" ht="12" thickBot="1" x14ac:dyDescent="0.25"/>
    <row r="3" spans="1:7" ht="12" thickBot="1" x14ac:dyDescent="0.25">
      <c r="A3" s="300">
        <v>2022</v>
      </c>
      <c r="B3" s="217" t="s">
        <v>793</v>
      </c>
      <c r="C3" s="219"/>
      <c r="D3" s="300" t="s">
        <v>773</v>
      </c>
      <c r="E3" s="94" t="s">
        <v>367</v>
      </c>
      <c r="F3" s="432"/>
      <c r="G3" s="430"/>
    </row>
    <row r="4" spans="1:7" ht="23.25" thickBot="1" x14ac:dyDescent="0.25">
      <c r="A4" s="301"/>
      <c r="B4" s="91" t="s">
        <v>796</v>
      </c>
      <c r="C4" s="91" t="s">
        <v>797</v>
      </c>
      <c r="D4" s="301"/>
      <c r="E4" s="91" t="s">
        <v>799</v>
      </c>
      <c r="F4" s="432"/>
      <c r="G4" s="430"/>
    </row>
    <row r="5" spans="1:7" ht="12" thickBot="1" x14ac:dyDescent="0.25">
      <c r="A5" s="98" t="s">
        <v>802</v>
      </c>
      <c r="B5" s="137">
        <v>16.420000000000002</v>
      </c>
      <c r="C5" s="137">
        <v>17.399999999999999</v>
      </c>
      <c r="D5" s="137">
        <v>15.86</v>
      </c>
      <c r="E5" s="137">
        <v>58.81</v>
      </c>
      <c r="F5" s="433"/>
      <c r="G5" s="430"/>
    </row>
    <row r="6" spans="1:7" ht="12" thickBot="1" x14ac:dyDescent="0.25">
      <c r="A6" s="98" t="s">
        <v>803</v>
      </c>
      <c r="B6" s="137">
        <v>16.7</v>
      </c>
      <c r="C6" s="137">
        <v>17.760000000000002</v>
      </c>
      <c r="D6" s="137">
        <v>16.16</v>
      </c>
      <c r="E6" s="137">
        <v>58.9</v>
      </c>
      <c r="F6" s="431"/>
      <c r="G6" s="430"/>
    </row>
    <row r="7" spans="1:7" ht="12" thickBot="1" x14ac:dyDescent="0.25">
      <c r="A7" s="98" t="s">
        <v>804</v>
      </c>
      <c r="B7" s="137">
        <v>18.899999999999999</v>
      </c>
      <c r="C7" s="137">
        <v>19.829999999999998</v>
      </c>
      <c r="D7" s="137">
        <v>17.05</v>
      </c>
      <c r="E7" s="137">
        <v>60</v>
      </c>
      <c r="F7" s="433"/>
      <c r="G7" s="430"/>
    </row>
    <row r="8" spans="1:7" ht="12" thickBot="1" x14ac:dyDescent="0.25">
      <c r="A8" s="98" t="s">
        <v>805</v>
      </c>
      <c r="B8" s="137">
        <v>19.21</v>
      </c>
      <c r="C8" s="137">
        <v>20.91</v>
      </c>
      <c r="D8" s="137">
        <v>16.11</v>
      </c>
      <c r="E8" s="137">
        <v>61</v>
      </c>
      <c r="F8" s="431"/>
      <c r="G8" s="430"/>
    </row>
    <row r="9" spans="1:7" ht="12" thickBot="1" x14ac:dyDescent="0.25">
      <c r="A9" s="98" t="s">
        <v>806</v>
      </c>
      <c r="B9" s="137">
        <v>19.489999999999998</v>
      </c>
      <c r="C9" s="137">
        <v>21.8</v>
      </c>
      <c r="D9" s="137">
        <v>16.399999999999999</v>
      </c>
      <c r="E9" s="137">
        <v>60.03</v>
      </c>
      <c r="F9" s="433"/>
      <c r="G9" s="430"/>
    </row>
    <row r="10" spans="1:7" ht="12" thickBot="1" x14ac:dyDescent="0.25">
      <c r="A10" s="98" t="s">
        <v>807</v>
      </c>
      <c r="B10" s="137">
        <v>21.65</v>
      </c>
      <c r="C10" s="137">
        <v>24.32</v>
      </c>
      <c r="D10" s="137">
        <v>17.600000000000001</v>
      </c>
      <c r="E10" s="137">
        <v>59.74</v>
      </c>
      <c r="F10" s="431"/>
      <c r="G10" s="430"/>
    </row>
    <row r="11" spans="1:7" ht="12" thickBot="1" x14ac:dyDescent="0.25">
      <c r="A11" s="98" t="s">
        <v>808</v>
      </c>
      <c r="B11" s="137">
        <v>22.91</v>
      </c>
      <c r="C11" s="137">
        <v>25.88</v>
      </c>
      <c r="D11" s="137">
        <v>17.54</v>
      </c>
      <c r="E11" s="137">
        <v>59.23</v>
      </c>
      <c r="F11" s="433"/>
      <c r="G11" s="430"/>
    </row>
    <row r="12" spans="1:7" ht="12" thickBot="1" x14ac:dyDescent="0.25">
      <c r="A12" s="98" t="s">
        <v>809</v>
      </c>
      <c r="B12" s="137">
        <v>21.19</v>
      </c>
      <c r="C12" s="137">
        <v>23.37</v>
      </c>
      <c r="D12" s="137">
        <v>17.59</v>
      </c>
      <c r="E12" s="137">
        <v>57.96</v>
      </c>
      <c r="F12" s="431"/>
      <c r="G12" s="430"/>
    </row>
    <row r="13" spans="1:7" ht="12" thickBot="1" x14ac:dyDescent="0.25">
      <c r="A13" s="98" t="s">
        <v>810</v>
      </c>
      <c r="B13" s="137">
        <v>18.920000000000002</v>
      </c>
      <c r="C13" s="137">
        <v>20.28</v>
      </c>
      <c r="D13" s="137">
        <v>18.59</v>
      </c>
      <c r="E13" s="137">
        <v>56.16</v>
      </c>
      <c r="F13" s="433"/>
      <c r="G13" s="430"/>
    </row>
    <row r="14" spans="1:7" ht="12" thickBot="1" x14ac:dyDescent="0.25">
      <c r="A14" s="98" t="s">
        <v>811</v>
      </c>
      <c r="B14" s="137">
        <v>19.09</v>
      </c>
      <c r="C14" s="137">
        <v>20.5</v>
      </c>
      <c r="D14" s="137">
        <v>20.02</v>
      </c>
      <c r="E14" s="137">
        <v>55.35</v>
      </c>
      <c r="F14" s="431"/>
      <c r="G14" s="430"/>
    </row>
    <row r="15" spans="1:7" ht="12" thickBot="1" x14ac:dyDescent="0.25">
      <c r="A15" s="98" t="s">
        <v>812</v>
      </c>
      <c r="B15" s="137">
        <v>19.59</v>
      </c>
      <c r="C15" s="137">
        <v>21.1</v>
      </c>
      <c r="D15" s="137">
        <v>20.21</v>
      </c>
      <c r="E15" s="137">
        <v>53.45</v>
      </c>
      <c r="F15" s="433"/>
      <c r="G15" s="430"/>
    </row>
    <row r="16" spans="1:7" ht="12" thickBot="1" x14ac:dyDescent="0.25">
      <c r="A16" s="98" t="s">
        <v>813</v>
      </c>
      <c r="B16" s="137">
        <v>18.89</v>
      </c>
      <c r="C16" s="137">
        <v>20.51</v>
      </c>
      <c r="D16" s="137">
        <v>19.96</v>
      </c>
      <c r="E16" s="137">
        <v>52.51</v>
      </c>
      <c r="F16" s="431"/>
      <c r="G16" s="430"/>
    </row>
    <row r="17" spans="1:7" x14ac:dyDescent="0.2">
      <c r="A17" s="430"/>
      <c r="B17" s="430"/>
      <c r="C17" s="430"/>
      <c r="D17" s="430"/>
      <c r="E17" s="430"/>
      <c r="F17" s="430"/>
      <c r="G17" s="430"/>
    </row>
    <row r="19" spans="1:7" x14ac:dyDescent="0.2">
      <c r="A19" s="41" t="s">
        <v>418</v>
      </c>
    </row>
  </sheetData>
  <mergeCells count="4">
    <mergeCell ref="A3:A4"/>
    <mergeCell ref="B3:C3"/>
    <mergeCell ref="D3:D4"/>
    <mergeCell ref="A1:E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547F-3913-48CD-A3E6-5F77B23119C2}">
  <sheetPr>
    <tabColor rgb="FF0070C0"/>
  </sheetPr>
  <dimension ref="A1:H18"/>
  <sheetViews>
    <sheetView workbookViewId="0">
      <selection sqref="A1:E1"/>
    </sheetView>
  </sheetViews>
  <sheetFormatPr baseColWidth="10" defaultColWidth="11.42578125" defaultRowHeight="11.25" x14ac:dyDescent="0.2"/>
  <cols>
    <col min="1" max="16384" width="11.42578125" style="16"/>
  </cols>
  <sheetData>
    <row r="1" spans="1:8" ht="12" x14ac:dyDescent="0.2">
      <c r="A1" s="440" t="s">
        <v>818</v>
      </c>
      <c r="B1" s="440"/>
      <c r="C1" s="440"/>
      <c r="D1" s="440"/>
      <c r="E1" s="440"/>
      <c r="F1" s="439"/>
    </row>
    <row r="2" spans="1:8" ht="12" thickBot="1" x14ac:dyDescent="0.25"/>
    <row r="3" spans="1:8" ht="12" thickBot="1" x14ac:dyDescent="0.25">
      <c r="A3" s="300">
        <v>2022</v>
      </c>
      <c r="B3" s="217" t="s">
        <v>793</v>
      </c>
      <c r="C3" s="219"/>
      <c r="D3" s="300" t="s">
        <v>773</v>
      </c>
      <c r="E3" s="94" t="s">
        <v>367</v>
      </c>
      <c r="F3" s="432"/>
      <c r="G3" s="430"/>
      <c r="H3" s="430"/>
    </row>
    <row r="4" spans="1:8" ht="23.25" thickBot="1" x14ac:dyDescent="0.25">
      <c r="A4" s="301"/>
      <c r="B4" s="91" t="s">
        <v>796</v>
      </c>
      <c r="C4" s="91" t="s">
        <v>797</v>
      </c>
      <c r="D4" s="301"/>
      <c r="E4" s="91" t="s">
        <v>799</v>
      </c>
      <c r="F4" s="432"/>
      <c r="G4" s="430"/>
      <c r="H4" s="430"/>
    </row>
    <row r="5" spans="1:8" ht="12" thickBot="1" x14ac:dyDescent="0.25">
      <c r="A5" s="98" t="s">
        <v>802</v>
      </c>
      <c r="B5" s="167">
        <v>16.11</v>
      </c>
      <c r="C5" s="167">
        <v>16.489999999999998</v>
      </c>
      <c r="D5" s="167">
        <v>16.11</v>
      </c>
      <c r="E5" s="167">
        <v>58.7</v>
      </c>
      <c r="F5" s="433"/>
      <c r="G5" s="430"/>
      <c r="H5" s="430"/>
    </row>
    <row r="6" spans="1:8" ht="12" thickBot="1" x14ac:dyDescent="0.25">
      <c r="A6" s="98" t="s">
        <v>803</v>
      </c>
      <c r="B6" s="167">
        <v>16.39</v>
      </c>
      <c r="C6" s="167">
        <v>16.86</v>
      </c>
      <c r="D6" s="167">
        <v>16.190000000000001</v>
      </c>
      <c r="E6" s="167">
        <v>59.65</v>
      </c>
      <c r="F6" s="431"/>
      <c r="G6" s="430"/>
      <c r="H6" s="430"/>
    </row>
    <row r="7" spans="1:8" ht="12" thickBot="1" x14ac:dyDescent="0.25">
      <c r="A7" s="98" t="s">
        <v>804</v>
      </c>
      <c r="B7" s="167">
        <v>18.53</v>
      </c>
      <c r="C7" s="167">
        <v>18.78</v>
      </c>
      <c r="D7" s="167">
        <v>17</v>
      </c>
      <c r="E7" s="167">
        <v>59.8</v>
      </c>
      <c r="F7" s="433"/>
      <c r="G7" s="430"/>
      <c r="H7" s="430"/>
    </row>
    <row r="8" spans="1:8" ht="12" thickBot="1" x14ac:dyDescent="0.25">
      <c r="A8" s="98" t="s">
        <v>805</v>
      </c>
      <c r="B8" s="167">
        <v>18.97</v>
      </c>
      <c r="C8" s="167">
        <v>19.82</v>
      </c>
      <c r="D8" s="167">
        <v>16.16</v>
      </c>
      <c r="E8" s="167">
        <v>60.26</v>
      </c>
      <c r="F8" s="431"/>
      <c r="G8" s="430"/>
      <c r="H8" s="430"/>
    </row>
    <row r="9" spans="1:8" ht="12" thickBot="1" x14ac:dyDescent="0.25">
      <c r="A9" s="98" t="s">
        <v>806</v>
      </c>
      <c r="B9" s="167">
        <v>19.329999999999998</v>
      </c>
      <c r="C9" s="167">
        <v>21.22</v>
      </c>
      <c r="D9" s="167">
        <v>16.59</v>
      </c>
      <c r="E9" s="167">
        <v>59.66</v>
      </c>
      <c r="F9" s="433"/>
      <c r="G9" s="430"/>
      <c r="H9" s="430"/>
    </row>
    <row r="10" spans="1:8" ht="12" thickBot="1" x14ac:dyDescent="0.25">
      <c r="A10" s="98" t="s">
        <v>807</v>
      </c>
      <c r="B10" s="167">
        <v>21.37</v>
      </c>
      <c r="C10" s="167">
        <v>23.49</v>
      </c>
      <c r="D10" s="167">
        <v>17.57</v>
      </c>
      <c r="E10" s="167">
        <v>58.55</v>
      </c>
      <c r="F10" s="431"/>
      <c r="G10" s="430"/>
      <c r="H10" s="430"/>
    </row>
    <row r="11" spans="1:8" ht="12" thickBot="1" x14ac:dyDescent="0.25">
      <c r="A11" s="98" t="s">
        <v>808</v>
      </c>
      <c r="B11" s="167">
        <v>22.83</v>
      </c>
      <c r="C11" s="167">
        <v>25.37</v>
      </c>
      <c r="D11" s="167">
        <v>17.64</v>
      </c>
      <c r="E11" s="167">
        <v>58.04</v>
      </c>
      <c r="F11" s="433"/>
      <c r="G11" s="430"/>
      <c r="H11" s="430"/>
    </row>
    <row r="12" spans="1:8" ht="12" thickBot="1" x14ac:dyDescent="0.25">
      <c r="A12" s="98" t="s">
        <v>809</v>
      </c>
      <c r="B12" s="167">
        <v>21.15</v>
      </c>
      <c r="C12" s="167">
        <v>23.21</v>
      </c>
      <c r="D12" s="167">
        <v>17.72</v>
      </c>
      <c r="E12" s="167">
        <v>57.28</v>
      </c>
      <c r="F12" s="431"/>
      <c r="G12" s="430"/>
      <c r="H12" s="430"/>
    </row>
    <row r="13" spans="1:8" ht="12" thickBot="1" x14ac:dyDescent="0.25">
      <c r="A13" s="98" t="s">
        <v>810</v>
      </c>
      <c r="B13" s="167">
        <v>19.48</v>
      </c>
      <c r="C13" s="167">
        <v>21.32</v>
      </c>
      <c r="D13" s="167">
        <v>18.809999999999999</v>
      </c>
      <c r="E13" s="167">
        <v>56.33</v>
      </c>
      <c r="F13" s="433"/>
      <c r="G13" s="430"/>
      <c r="H13" s="430"/>
    </row>
    <row r="14" spans="1:8" ht="12" thickBot="1" x14ac:dyDescent="0.25">
      <c r="A14" s="98" t="s">
        <v>811</v>
      </c>
      <c r="B14" s="167">
        <v>19.309999999999999</v>
      </c>
      <c r="C14" s="167">
        <v>20.94</v>
      </c>
      <c r="D14" s="167">
        <v>19.940000000000001</v>
      </c>
      <c r="E14" s="167">
        <v>55.18</v>
      </c>
      <c r="F14" s="431"/>
      <c r="G14" s="430"/>
      <c r="H14" s="430"/>
    </row>
    <row r="15" spans="1:8" ht="12" thickBot="1" x14ac:dyDescent="0.25">
      <c r="A15" s="98" t="s">
        <v>812</v>
      </c>
      <c r="B15" s="167">
        <v>19.899999999999999</v>
      </c>
      <c r="C15" s="167">
        <v>21.71</v>
      </c>
      <c r="D15" s="167">
        <v>20.239999999999998</v>
      </c>
      <c r="E15" s="167">
        <v>52.84</v>
      </c>
      <c r="F15" s="433"/>
      <c r="G15" s="430"/>
      <c r="H15" s="430"/>
    </row>
    <row r="16" spans="1:8" ht="12" thickBot="1" x14ac:dyDescent="0.25">
      <c r="A16" s="98" t="s">
        <v>813</v>
      </c>
      <c r="B16" s="167">
        <v>19.079999999999998</v>
      </c>
      <c r="C16" s="167">
        <v>20.95</v>
      </c>
      <c r="D16" s="167">
        <v>20.21</v>
      </c>
      <c r="E16" s="167">
        <v>54.81</v>
      </c>
      <c r="F16" s="431"/>
      <c r="G16" s="430"/>
      <c r="H16" s="430"/>
    </row>
    <row r="18" spans="1:1" x14ac:dyDescent="0.2">
      <c r="A18" s="41" t="s">
        <v>323</v>
      </c>
    </row>
  </sheetData>
  <mergeCells count="4">
    <mergeCell ref="A3:A4"/>
    <mergeCell ref="B3:C3"/>
    <mergeCell ref="D3:D4"/>
    <mergeCell ref="A1:E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13A6-5BF0-41A4-8CA3-3E1952DF8325}">
  <sheetPr>
    <tabColor rgb="FF0070C0"/>
  </sheetPr>
  <dimension ref="A1:H19"/>
  <sheetViews>
    <sheetView workbookViewId="0">
      <selection sqref="A1:E1"/>
    </sheetView>
  </sheetViews>
  <sheetFormatPr baseColWidth="10" defaultColWidth="11.42578125" defaultRowHeight="11.25" x14ac:dyDescent="0.2"/>
  <cols>
    <col min="1" max="16384" width="11.42578125" style="16"/>
  </cols>
  <sheetData>
    <row r="1" spans="1:8" ht="12" x14ac:dyDescent="0.2">
      <c r="A1" s="440" t="s">
        <v>819</v>
      </c>
      <c r="B1" s="440"/>
      <c r="C1" s="440"/>
      <c r="D1" s="440"/>
      <c r="E1" s="440"/>
      <c r="F1" s="439"/>
    </row>
    <row r="2" spans="1:8" ht="12" thickBot="1" x14ac:dyDescent="0.25"/>
    <row r="3" spans="1:8" ht="12" thickBot="1" x14ac:dyDescent="0.25">
      <c r="A3" s="300">
        <v>2022</v>
      </c>
      <c r="B3" s="217" t="s">
        <v>793</v>
      </c>
      <c r="C3" s="219"/>
      <c r="D3" s="300" t="s">
        <v>773</v>
      </c>
      <c r="E3" s="94" t="s">
        <v>367</v>
      </c>
      <c r="F3" s="432"/>
      <c r="G3" s="430"/>
      <c r="H3" s="430"/>
    </row>
    <row r="4" spans="1:8" ht="23.25" thickBot="1" x14ac:dyDescent="0.25">
      <c r="A4" s="301"/>
      <c r="B4" s="91" t="s">
        <v>796</v>
      </c>
      <c r="C4" s="91" t="s">
        <v>797</v>
      </c>
      <c r="D4" s="301"/>
      <c r="E4" s="91" t="s">
        <v>799</v>
      </c>
      <c r="F4" s="432"/>
      <c r="G4" s="430"/>
      <c r="H4" s="430"/>
    </row>
    <row r="5" spans="1:8" ht="12" thickBot="1" x14ac:dyDescent="0.25">
      <c r="A5" s="98" t="s">
        <v>802</v>
      </c>
      <c r="B5" s="167">
        <v>16.39</v>
      </c>
      <c r="C5" s="167">
        <v>17</v>
      </c>
      <c r="D5" s="167">
        <v>15.74</v>
      </c>
      <c r="E5" s="167">
        <v>53.97</v>
      </c>
      <c r="F5" s="433"/>
      <c r="G5" s="430"/>
      <c r="H5" s="430"/>
    </row>
    <row r="6" spans="1:8" ht="12" thickBot="1" x14ac:dyDescent="0.25">
      <c r="A6" s="98" t="s">
        <v>803</v>
      </c>
      <c r="B6" s="167">
        <v>16.84</v>
      </c>
      <c r="C6" s="167">
        <v>17.45</v>
      </c>
      <c r="D6" s="167">
        <v>16.190000000000001</v>
      </c>
      <c r="E6" s="167">
        <v>55.04</v>
      </c>
      <c r="F6" s="431"/>
      <c r="G6" s="430"/>
      <c r="H6" s="430"/>
    </row>
    <row r="7" spans="1:8" ht="12" thickBot="1" x14ac:dyDescent="0.25">
      <c r="A7" s="98" t="s">
        <v>804</v>
      </c>
      <c r="B7" s="167">
        <v>19.350000000000001</v>
      </c>
      <c r="C7" s="167">
        <v>20.18</v>
      </c>
      <c r="D7" s="167">
        <v>16.88</v>
      </c>
      <c r="E7" s="167">
        <v>55.81</v>
      </c>
      <c r="F7" s="433"/>
      <c r="G7" s="430"/>
      <c r="H7" s="430"/>
    </row>
    <row r="8" spans="1:8" ht="12" thickBot="1" x14ac:dyDescent="0.25">
      <c r="A8" s="98" t="s">
        <v>805</v>
      </c>
      <c r="B8" s="167">
        <v>19.32</v>
      </c>
      <c r="C8" s="167">
        <v>21.42</v>
      </c>
      <c r="D8" s="167">
        <v>16.510000000000002</v>
      </c>
      <c r="E8" s="167">
        <v>55.27</v>
      </c>
      <c r="F8" s="431"/>
      <c r="G8" s="430"/>
      <c r="H8" s="430"/>
    </row>
    <row r="9" spans="1:8" ht="12" thickBot="1" x14ac:dyDescent="0.25">
      <c r="A9" s="98" t="s">
        <v>806</v>
      </c>
      <c r="B9" s="167">
        <v>19.739999999999998</v>
      </c>
      <c r="C9" s="167">
        <v>22.08</v>
      </c>
      <c r="D9" s="167">
        <v>16.34</v>
      </c>
      <c r="E9" s="167">
        <v>53.99</v>
      </c>
      <c r="F9" s="433"/>
      <c r="G9" s="430"/>
      <c r="H9" s="430"/>
    </row>
    <row r="10" spans="1:8" ht="12" thickBot="1" x14ac:dyDescent="0.25">
      <c r="A10" s="98" t="s">
        <v>807</v>
      </c>
      <c r="B10" s="167">
        <v>21.63</v>
      </c>
      <c r="C10" s="167">
        <v>24.48</v>
      </c>
      <c r="D10" s="167">
        <v>17.04</v>
      </c>
      <c r="E10" s="167">
        <v>52.84</v>
      </c>
      <c r="F10" s="431"/>
      <c r="G10" s="430"/>
      <c r="H10" s="430"/>
    </row>
    <row r="11" spans="1:8" ht="12" thickBot="1" x14ac:dyDescent="0.25">
      <c r="A11" s="98" t="s">
        <v>808</v>
      </c>
      <c r="B11" s="167">
        <v>23.11</v>
      </c>
      <c r="C11" s="167">
        <v>26.05</v>
      </c>
      <c r="D11" s="167">
        <v>17.399999999999999</v>
      </c>
      <c r="E11" s="167">
        <v>51.85</v>
      </c>
      <c r="F11" s="433"/>
      <c r="G11" s="430"/>
      <c r="H11" s="430"/>
    </row>
    <row r="12" spans="1:8" ht="12" thickBot="1" x14ac:dyDescent="0.25">
      <c r="A12" s="98" t="s">
        <v>809</v>
      </c>
      <c r="B12" s="167">
        <v>22.63</v>
      </c>
      <c r="C12" s="167">
        <v>25.41</v>
      </c>
      <c r="D12" s="167">
        <v>17.420000000000002</v>
      </c>
      <c r="E12" s="167">
        <v>51.21</v>
      </c>
      <c r="F12" s="431"/>
      <c r="G12" s="430"/>
      <c r="H12" s="430"/>
    </row>
    <row r="13" spans="1:8" ht="12" thickBot="1" x14ac:dyDescent="0.25">
      <c r="A13" s="98" t="s">
        <v>810</v>
      </c>
      <c r="B13" s="167">
        <v>20.43</v>
      </c>
      <c r="C13" s="167">
        <v>22.39</v>
      </c>
      <c r="D13" s="167">
        <v>18.600000000000001</v>
      </c>
      <c r="E13" s="167">
        <v>50</v>
      </c>
      <c r="F13" s="433"/>
      <c r="G13" s="430"/>
      <c r="H13" s="430"/>
    </row>
    <row r="14" spans="1:8" ht="12" thickBot="1" x14ac:dyDescent="0.25">
      <c r="A14" s="98" t="s">
        <v>811</v>
      </c>
      <c r="B14" s="167">
        <v>20.03</v>
      </c>
      <c r="C14" s="167">
        <v>22.04</v>
      </c>
      <c r="D14" s="167">
        <v>19.579999999999998</v>
      </c>
      <c r="E14" s="167">
        <v>48.93</v>
      </c>
      <c r="F14" s="431"/>
      <c r="G14" s="430"/>
      <c r="H14" s="430"/>
    </row>
    <row r="15" spans="1:8" ht="12" thickBot="1" x14ac:dyDescent="0.25">
      <c r="A15" s="98" t="s">
        <v>812</v>
      </c>
      <c r="B15" s="167">
        <v>20.52</v>
      </c>
      <c r="C15" s="167">
        <v>22.44</v>
      </c>
      <c r="D15" s="167">
        <v>19.82</v>
      </c>
      <c r="E15" s="167">
        <v>47.31</v>
      </c>
      <c r="F15" s="433"/>
      <c r="G15" s="430"/>
      <c r="H15" s="430"/>
    </row>
    <row r="16" spans="1:8" ht="12" thickBot="1" x14ac:dyDescent="0.25">
      <c r="A16" s="98" t="s">
        <v>813</v>
      </c>
      <c r="B16" s="167">
        <v>19.91</v>
      </c>
      <c r="C16" s="167">
        <v>21.95</v>
      </c>
      <c r="D16" s="167">
        <v>19.82</v>
      </c>
      <c r="E16" s="167">
        <v>46.42</v>
      </c>
      <c r="F16" s="431"/>
      <c r="G16" s="430"/>
      <c r="H16" s="430"/>
    </row>
    <row r="19" spans="1:1" x14ac:dyDescent="0.2">
      <c r="A19" s="41" t="s">
        <v>419</v>
      </c>
    </row>
  </sheetData>
  <mergeCells count="4">
    <mergeCell ref="A3:A4"/>
    <mergeCell ref="A1:E1"/>
    <mergeCell ref="B3:C3"/>
    <mergeCell ref="D3:D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D167-2B1F-4DAE-9A91-B0C0755A89CC}">
  <sheetPr>
    <tabColor rgb="FF0070C0"/>
  </sheetPr>
  <dimension ref="A1:G18"/>
  <sheetViews>
    <sheetView workbookViewId="0">
      <selection sqref="A1:E1"/>
    </sheetView>
  </sheetViews>
  <sheetFormatPr baseColWidth="10" defaultRowHeight="15" x14ac:dyDescent="0.25"/>
  <cols>
    <col min="6" max="6" width="14.28515625" customWidth="1"/>
  </cols>
  <sheetData>
    <row r="1" spans="1:7" x14ac:dyDescent="0.25">
      <c r="A1" s="440" t="s">
        <v>820</v>
      </c>
      <c r="B1" s="440"/>
      <c r="C1" s="440"/>
      <c r="D1" s="440"/>
      <c r="E1" s="440"/>
      <c r="F1" s="439"/>
    </row>
    <row r="2" spans="1:7" ht="15.75" thickBot="1" x14ac:dyDescent="0.3"/>
    <row r="3" spans="1:7" ht="18" customHeight="1" thickBot="1" x14ac:dyDescent="0.3">
      <c r="A3" s="300">
        <v>2022</v>
      </c>
      <c r="B3" s="217" t="s">
        <v>793</v>
      </c>
      <c r="C3" s="218"/>
      <c r="D3" s="219"/>
      <c r="E3" s="300" t="s">
        <v>773</v>
      </c>
      <c r="F3" s="94" t="s">
        <v>367</v>
      </c>
      <c r="G3" s="323"/>
    </row>
    <row r="4" spans="1:7" ht="27" customHeight="1" thickBot="1" x14ac:dyDescent="0.3">
      <c r="A4" s="301"/>
      <c r="B4" s="91" t="s">
        <v>815</v>
      </c>
      <c r="C4" s="91" t="s">
        <v>796</v>
      </c>
      <c r="D4" s="91" t="s">
        <v>797</v>
      </c>
      <c r="E4" s="301"/>
      <c r="F4" s="91" t="s">
        <v>799</v>
      </c>
      <c r="G4" s="323"/>
    </row>
    <row r="5" spans="1:7" ht="12" customHeight="1" thickBot="1" x14ac:dyDescent="0.3">
      <c r="A5" s="98" t="s">
        <v>802</v>
      </c>
      <c r="B5" s="167">
        <v>15.73</v>
      </c>
      <c r="C5" s="167">
        <v>16.239999999999998</v>
      </c>
      <c r="D5" s="167">
        <v>16.850000000000001</v>
      </c>
      <c r="E5" s="167">
        <v>16.190000000000001</v>
      </c>
      <c r="F5" s="167">
        <v>55.95</v>
      </c>
      <c r="G5" s="323"/>
    </row>
    <row r="6" spans="1:7" ht="12" customHeight="1" thickBot="1" x14ac:dyDescent="0.3">
      <c r="A6" s="98" t="s">
        <v>803</v>
      </c>
      <c r="B6" s="167">
        <v>15.87</v>
      </c>
      <c r="C6" s="167">
        <v>16.48</v>
      </c>
      <c r="D6" s="167">
        <v>17</v>
      </c>
      <c r="E6" s="167">
        <v>16.329999999999998</v>
      </c>
      <c r="F6" s="167">
        <v>56.68</v>
      </c>
      <c r="G6" s="323"/>
    </row>
    <row r="7" spans="1:7" ht="12" customHeight="1" thickBot="1" x14ac:dyDescent="0.3">
      <c r="A7" s="98" t="s">
        <v>804</v>
      </c>
      <c r="B7" s="167">
        <v>17.350000000000001</v>
      </c>
      <c r="C7" s="167">
        <v>18.45</v>
      </c>
      <c r="D7" s="167">
        <v>18.88</v>
      </c>
      <c r="E7" s="167">
        <v>16.989999999999998</v>
      </c>
      <c r="F7" s="167">
        <v>57.63</v>
      </c>
      <c r="G7" s="323"/>
    </row>
    <row r="8" spans="1:7" ht="12" customHeight="1" thickBot="1" x14ac:dyDescent="0.3">
      <c r="A8" s="98" t="s">
        <v>805</v>
      </c>
      <c r="B8" s="167">
        <v>17.48</v>
      </c>
      <c r="C8" s="167">
        <v>18.600000000000001</v>
      </c>
      <c r="D8" s="167">
        <v>19.89</v>
      </c>
      <c r="E8" s="167">
        <v>16.239999999999998</v>
      </c>
      <c r="F8" s="167">
        <v>57.42</v>
      </c>
      <c r="G8" s="323"/>
    </row>
    <row r="9" spans="1:7" ht="12" customHeight="1" thickBot="1" x14ac:dyDescent="0.3">
      <c r="A9" s="98" t="s">
        <v>806</v>
      </c>
      <c r="B9" s="167">
        <v>16.73</v>
      </c>
      <c r="C9" s="167">
        <v>19.399999999999999</v>
      </c>
      <c r="D9" s="167">
        <v>21.58</v>
      </c>
      <c r="E9" s="167">
        <v>16.510000000000002</v>
      </c>
      <c r="F9" s="167">
        <v>56.36</v>
      </c>
      <c r="G9" s="323"/>
    </row>
    <row r="10" spans="1:7" ht="12" customHeight="1" thickBot="1" x14ac:dyDescent="0.3">
      <c r="A10" s="98" t="s">
        <v>807</v>
      </c>
      <c r="B10" s="167">
        <v>16.670000000000002</v>
      </c>
      <c r="C10" s="167">
        <v>21.66</v>
      </c>
      <c r="D10" s="167">
        <v>24.51</v>
      </c>
      <c r="E10" s="167">
        <v>17.36</v>
      </c>
      <c r="F10" s="167">
        <v>55.25</v>
      </c>
      <c r="G10" s="323"/>
    </row>
    <row r="11" spans="1:7" ht="12" customHeight="1" thickBot="1" x14ac:dyDescent="0.3">
      <c r="A11" s="98" t="s">
        <v>808</v>
      </c>
      <c r="B11" s="167">
        <v>17.23</v>
      </c>
      <c r="C11" s="167">
        <v>22.42</v>
      </c>
      <c r="D11" s="167">
        <v>24.52</v>
      </c>
      <c r="E11" s="167">
        <v>17.59</v>
      </c>
      <c r="F11" s="167">
        <v>55.99</v>
      </c>
      <c r="G11" s="323"/>
    </row>
    <row r="12" spans="1:7" ht="12" customHeight="1" thickBot="1" x14ac:dyDescent="0.3">
      <c r="A12" s="98" t="s">
        <v>809</v>
      </c>
      <c r="B12" s="167">
        <v>17.09</v>
      </c>
      <c r="C12" s="167">
        <v>19.760000000000002</v>
      </c>
      <c r="D12" s="167">
        <v>21.29</v>
      </c>
      <c r="E12" s="167">
        <v>17.510000000000002</v>
      </c>
      <c r="F12" s="167">
        <v>55.84</v>
      </c>
      <c r="G12" s="323"/>
    </row>
    <row r="13" spans="1:7" ht="12" customHeight="1" thickBot="1" x14ac:dyDescent="0.3">
      <c r="A13" s="98" t="s">
        <v>810</v>
      </c>
      <c r="B13" s="167">
        <v>16.71</v>
      </c>
      <c r="C13" s="167">
        <v>18.3</v>
      </c>
      <c r="D13" s="167">
        <v>19.579999999999998</v>
      </c>
      <c r="E13" s="167">
        <v>18.190000000000001</v>
      </c>
      <c r="F13" s="167">
        <v>55.36</v>
      </c>
      <c r="G13" s="323"/>
    </row>
    <row r="14" spans="1:7" ht="12" customHeight="1" thickBot="1" x14ac:dyDescent="0.3">
      <c r="A14" s="98" t="s">
        <v>811</v>
      </c>
      <c r="B14" s="167">
        <v>16.43</v>
      </c>
      <c r="C14" s="167">
        <v>18.77</v>
      </c>
      <c r="D14" s="167">
        <v>20.14</v>
      </c>
      <c r="E14" s="167">
        <v>19.25</v>
      </c>
      <c r="F14" s="167">
        <v>54.54</v>
      </c>
      <c r="G14" s="323"/>
    </row>
    <row r="15" spans="1:7" ht="12" customHeight="1" thickBot="1" x14ac:dyDescent="0.3">
      <c r="A15" s="98" t="s">
        <v>812</v>
      </c>
      <c r="B15" s="167">
        <v>16.3</v>
      </c>
      <c r="C15" s="167">
        <v>19.190000000000001</v>
      </c>
      <c r="D15" s="167">
        <v>20.7</v>
      </c>
      <c r="E15" s="167">
        <v>20.04</v>
      </c>
      <c r="F15" s="167">
        <v>53.8</v>
      </c>
      <c r="G15" s="323"/>
    </row>
    <row r="16" spans="1:7" ht="12" customHeight="1" thickBot="1" x14ac:dyDescent="0.3">
      <c r="A16" s="98" t="s">
        <v>813</v>
      </c>
      <c r="B16" s="167">
        <v>15.99</v>
      </c>
      <c r="C16" s="167">
        <v>17.739999999999998</v>
      </c>
      <c r="D16" s="167">
        <v>19.079999999999998</v>
      </c>
      <c r="E16" s="167">
        <v>20.010000000000002</v>
      </c>
      <c r="F16" s="167">
        <v>53.35</v>
      </c>
      <c r="G16" s="323"/>
    </row>
    <row r="18" spans="1:1" x14ac:dyDescent="0.25">
      <c r="A18" s="42" t="s">
        <v>420</v>
      </c>
    </row>
  </sheetData>
  <mergeCells count="4">
    <mergeCell ref="A3:A4"/>
    <mergeCell ref="B3:D3"/>
    <mergeCell ref="E3:E4"/>
    <mergeCell ref="A1:E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2772-49D3-45D2-B65C-2A81165C8EE0}">
  <sheetPr>
    <tabColor rgb="FF0070C0"/>
  </sheetPr>
  <dimension ref="A1:G19"/>
  <sheetViews>
    <sheetView workbookViewId="0">
      <selection sqref="A1:E1"/>
    </sheetView>
  </sheetViews>
  <sheetFormatPr baseColWidth="10" defaultRowHeight="15" x14ac:dyDescent="0.25"/>
  <cols>
    <col min="6" max="6" width="15.5703125" bestFit="1" customWidth="1"/>
  </cols>
  <sheetData>
    <row r="1" spans="1:7" x14ac:dyDescent="0.25">
      <c r="A1" s="440" t="s">
        <v>821</v>
      </c>
      <c r="B1" s="440"/>
      <c r="C1" s="440"/>
      <c r="D1" s="440"/>
      <c r="E1" s="440"/>
      <c r="F1" s="439"/>
    </row>
    <row r="2" spans="1:7" ht="15.75" thickBot="1" x14ac:dyDescent="0.3"/>
    <row r="3" spans="1:7" ht="14.25" customHeight="1" thickBot="1" x14ac:dyDescent="0.3">
      <c r="A3" s="300">
        <v>2022</v>
      </c>
      <c r="B3" s="217" t="s">
        <v>793</v>
      </c>
      <c r="C3" s="218"/>
      <c r="D3" s="219"/>
      <c r="E3" s="300" t="s">
        <v>773</v>
      </c>
      <c r="F3" s="94" t="s">
        <v>367</v>
      </c>
      <c r="G3" s="323"/>
    </row>
    <row r="4" spans="1:7" ht="14.25" customHeight="1" thickBot="1" x14ac:dyDescent="0.3">
      <c r="A4" s="301"/>
      <c r="B4" s="91" t="s">
        <v>815</v>
      </c>
      <c r="C4" s="91" t="s">
        <v>796</v>
      </c>
      <c r="D4" s="91" t="s">
        <v>797</v>
      </c>
      <c r="E4" s="301"/>
      <c r="F4" s="91" t="s">
        <v>799</v>
      </c>
      <c r="G4" s="323"/>
    </row>
    <row r="5" spans="1:7" ht="14.25" customHeight="1" thickBot="1" x14ac:dyDescent="0.3">
      <c r="A5" s="98" t="s">
        <v>802</v>
      </c>
      <c r="B5" s="167">
        <v>16.989999999999998</v>
      </c>
      <c r="C5" s="167">
        <v>16.91</v>
      </c>
      <c r="D5" s="167">
        <v>17.760000000000002</v>
      </c>
      <c r="E5" s="167">
        <v>16.37</v>
      </c>
      <c r="F5" s="167">
        <v>51.47</v>
      </c>
      <c r="G5" s="323"/>
    </row>
    <row r="6" spans="1:7" ht="14.25" customHeight="1" thickBot="1" x14ac:dyDescent="0.3">
      <c r="A6" s="98" t="s">
        <v>803</v>
      </c>
      <c r="B6" s="167">
        <v>17.05</v>
      </c>
      <c r="C6" s="167">
        <v>17.11</v>
      </c>
      <c r="D6" s="167">
        <v>17.98</v>
      </c>
      <c r="E6" s="167">
        <v>16.510000000000002</v>
      </c>
      <c r="F6" s="167">
        <v>51.71</v>
      </c>
      <c r="G6" s="323"/>
    </row>
    <row r="7" spans="1:7" ht="14.25" customHeight="1" thickBot="1" x14ac:dyDescent="0.3">
      <c r="A7" s="98" t="s">
        <v>804</v>
      </c>
      <c r="B7" s="167">
        <v>17.239999999999998</v>
      </c>
      <c r="C7" s="167">
        <v>19.22</v>
      </c>
      <c r="D7" s="167">
        <v>20.010000000000002</v>
      </c>
      <c r="E7" s="167">
        <v>17.2</v>
      </c>
      <c r="F7" s="167">
        <v>52.76</v>
      </c>
      <c r="G7" s="323"/>
    </row>
    <row r="8" spans="1:7" ht="14.25" customHeight="1" thickBot="1" x14ac:dyDescent="0.3">
      <c r="A8" s="98" t="s">
        <v>805</v>
      </c>
      <c r="B8" s="167">
        <v>17.510000000000002</v>
      </c>
      <c r="C8" s="167">
        <v>19.23</v>
      </c>
      <c r="D8" s="167">
        <v>20.61</v>
      </c>
      <c r="E8" s="167">
        <v>16.48</v>
      </c>
      <c r="F8" s="167">
        <v>52.64</v>
      </c>
      <c r="G8" s="323"/>
    </row>
    <row r="9" spans="1:7" ht="14.25" customHeight="1" thickBot="1" x14ac:dyDescent="0.3">
      <c r="A9" s="98" t="s">
        <v>806</v>
      </c>
      <c r="B9" s="167">
        <v>17.149999999999999</v>
      </c>
      <c r="C9" s="167">
        <v>20.149999999999999</v>
      </c>
      <c r="D9" s="167">
        <v>22.04</v>
      </c>
      <c r="E9" s="167">
        <v>16.28</v>
      </c>
      <c r="F9" s="167">
        <v>62.07</v>
      </c>
      <c r="G9" s="323"/>
    </row>
    <row r="10" spans="1:7" ht="14.25" customHeight="1" thickBot="1" x14ac:dyDescent="0.3">
      <c r="A10" s="98" t="s">
        <v>807</v>
      </c>
      <c r="B10" s="167">
        <v>17.440000000000001</v>
      </c>
      <c r="C10" s="167">
        <v>21.66</v>
      </c>
      <c r="D10" s="167">
        <v>24.27</v>
      </c>
      <c r="E10" s="167">
        <v>17.37</v>
      </c>
      <c r="F10" s="167">
        <v>60.69</v>
      </c>
      <c r="G10" s="323"/>
    </row>
    <row r="11" spans="1:7" ht="14.25" customHeight="1" thickBot="1" x14ac:dyDescent="0.3">
      <c r="A11" s="98" t="s">
        <v>808</v>
      </c>
      <c r="B11" s="167">
        <v>17.440000000000001</v>
      </c>
      <c r="C11" s="167">
        <v>23.61</v>
      </c>
      <c r="D11" s="167">
        <v>26.06</v>
      </c>
      <c r="E11" s="167">
        <v>17.329999999999998</v>
      </c>
      <c r="F11" s="167">
        <v>60.98</v>
      </c>
      <c r="G11" s="323"/>
    </row>
    <row r="12" spans="1:7" ht="14.25" customHeight="1" thickBot="1" x14ac:dyDescent="0.3">
      <c r="A12" s="98" t="s">
        <v>809</v>
      </c>
      <c r="B12" s="167">
        <v>18.760000000000002</v>
      </c>
      <c r="C12" s="167">
        <v>21.92</v>
      </c>
      <c r="D12" s="167">
        <v>24.27</v>
      </c>
      <c r="E12" s="167">
        <v>17.37</v>
      </c>
      <c r="F12" s="167">
        <v>60.28</v>
      </c>
      <c r="G12" s="323"/>
    </row>
    <row r="13" spans="1:7" ht="14.25" customHeight="1" thickBot="1" x14ac:dyDescent="0.3">
      <c r="A13" s="98" t="s">
        <v>810</v>
      </c>
      <c r="B13" s="167">
        <v>18.71</v>
      </c>
      <c r="C13" s="167">
        <v>20.059999999999999</v>
      </c>
      <c r="D13" s="167">
        <v>22.05</v>
      </c>
      <c r="E13" s="167">
        <v>18.600000000000001</v>
      </c>
      <c r="F13" s="167">
        <v>58</v>
      </c>
      <c r="G13" s="323"/>
    </row>
    <row r="14" spans="1:7" ht="14.25" customHeight="1" thickBot="1" x14ac:dyDescent="0.3">
      <c r="A14" s="98" t="s">
        <v>811</v>
      </c>
      <c r="B14" s="167">
        <v>18.079999999999998</v>
      </c>
      <c r="C14" s="167">
        <v>19.32</v>
      </c>
      <c r="D14" s="167">
        <v>21.2</v>
      </c>
      <c r="E14" s="167">
        <v>19.62</v>
      </c>
      <c r="F14" s="167">
        <v>57.92</v>
      </c>
      <c r="G14" s="323"/>
    </row>
    <row r="15" spans="1:7" ht="14.25" customHeight="1" thickBot="1" x14ac:dyDescent="0.3">
      <c r="A15" s="98" t="s">
        <v>812</v>
      </c>
      <c r="B15" s="167">
        <v>18.239999999999998</v>
      </c>
      <c r="C15" s="167">
        <v>20.09</v>
      </c>
      <c r="D15" s="167">
        <v>21.93</v>
      </c>
      <c r="E15" s="167">
        <v>19.68</v>
      </c>
      <c r="F15" s="167">
        <v>57.71</v>
      </c>
      <c r="G15" s="323"/>
    </row>
    <row r="16" spans="1:7" ht="14.25" customHeight="1" thickBot="1" x14ac:dyDescent="0.3">
      <c r="A16" s="98" t="s">
        <v>813</v>
      </c>
      <c r="B16" s="167">
        <v>18.11</v>
      </c>
      <c r="C16" s="167">
        <v>20.010000000000002</v>
      </c>
      <c r="D16" s="167">
        <v>21.83</v>
      </c>
      <c r="E16" s="167">
        <v>19.7</v>
      </c>
      <c r="F16" s="167">
        <v>57.14</v>
      </c>
      <c r="G16" s="323"/>
    </row>
    <row r="19" spans="1:1" x14ac:dyDescent="0.25">
      <c r="A19" s="42" t="s">
        <v>421</v>
      </c>
    </row>
  </sheetData>
  <mergeCells count="4">
    <mergeCell ref="A3:A4"/>
    <mergeCell ref="B3:D3"/>
    <mergeCell ref="E3:E4"/>
    <mergeCell ref="A1:E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DEAD6-03FD-4D78-B514-30B0F43CC362}">
  <sheetPr>
    <tabColor rgb="FF0070C0"/>
  </sheetPr>
  <dimension ref="A1:G19"/>
  <sheetViews>
    <sheetView workbookViewId="0">
      <selection sqref="A1:E1"/>
    </sheetView>
  </sheetViews>
  <sheetFormatPr baseColWidth="10" defaultColWidth="11.42578125" defaultRowHeight="11.25" x14ac:dyDescent="0.2"/>
  <cols>
    <col min="1" max="5" width="11.42578125" style="16"/>
    <col min="6" max="6" width="10.28515625" style="16" bestFit="1" customWidth="1"/>
    <col min="7" max="16384" width="11.42578125" style="16"/>
  </cols>
  <sheetData>
    <row r="1" spans="1:7" ht="12" x14ac:dyDescent="0.2">
      <c r="A1" s="440" t="s">
        <v>822</v>
      </c>
      <c r="B1" s="440"/>
      <c r="C1" s="440"/>
      <c r="D1" s="440"/>
      <c r="E1" s="440"/>
      <c r="F1" s="439"/>
    </row>
    <row r="2" spans="1:7" ht="12" thickBot="1" x14ac:dyDescent="0.25"/>
    <row r="3" spans="1:7" ht="12" thickBot="1" x14ac:dyDescent="0.25">
      <c r="A3" s="300">
        <v>2022</v>
      </c>
      <c r="B3" s="217" t="s">
        <v>793</v>
      </c>
      <c r="C3" s="218"/>
      <c r="D3" s="219"/>
      <c r="E3" s="300" t="s">
        <v>773</v>
      </c>
      <c r="F3" s="94" t="s">
        <v>367</v>
      </c>
      <c r="G3" s="430"/>
    </row>
    <row r="4" spans="1:7" ht="23.25" thickBot="1" x14ac:dyDescent="0.25">
      <c r="A4" s="301"/>
      <c r="B4" s="91" t="s">
        <v>815</v>
      </c>
      <c r="C4" s="91" t="s">
        <v>796</v>
      </c>
      <c r="D4" s="91" t="s">
        <v>797</v>
      </c>
      <c r="E4" s="301"/>
      <c r="F4" s="91" t="s">
        <v>799</v>
      </c>
      <c r="G4" s="430"/>
    </row>
    <row r="5" spans="1:7" ht="12" thickBot="1" x14ac:dyDescent="0.25">
      <c r="A5" s="98" t="s">
        <v>802</v>
      </c>
      <c r="B5" s="167">
        <v>16.12</v>
      </c>
      <c r="C5" s="167">
        <v>17.14</v>
      </c>
      <c r="D5" s="167">
        <v>18.59</v>
      </c>
      <c r="E5" s="167">
        <v>16.97</v>
      </c>
      <c r="F5" s="167">
        <v>56.1</v>
      </c>
      <c r="G5" s="430"/>
    </row>
    <row r="6" spans="1:7" ht="12" thickBot="1" x14ac:dyDescent="0.25">
      <c r="A6" s="98" t="s">
        <v>803</v>
      </c>
      <c r="B6" s="167">
        <v>16.350000000000001</v>
      </c>
      <c r="C6" s="167">
        <v>17.29</v>
      </c>
      <c r="D6" s="167">
        <v>18.989999999999998</v>
      </c>
      <c r="E6" s="167">
        <v>17.07</v>
      </c>
      <c r="F6" s="167">
        <v>55.92</v>
      </c>
      <c r="G6" s="430"/>
    </row>
    <row r="7" spans="1:7" ht="12" thickBot="1" x14ac:dyDescent="0.25">
      <c r="A7" s="98" t="s">
        <v>804</v>
      </c>
      <c r="B7" s="167">
        <v>18.79</v>
      </c>
      <c r="C7" s="167">
        <v>19.579999999999998</v>
      </c>
      <c r="D7" s="167">
        <v>21.28</v>
      </c>
      <c r="E7" s="167">
        <v>17.920000000000002</v>
      </c>
      <c r="F7" s="167">
        <v>56.23</v>
      </c>
      <c r="G7" s="430"/>
    </row>
    <row r="8" spans="1:7" ht="12" thickBot="1" x14ac:dyDescent="0.25">
      <c r="A8" s="98" t="s">
        <v>805</v>
      </c>
      <c r="B8" s="167">
        <v>17.84</v>
      </c>
      <c r="C8" s="167">
        <v>19.66</v>
      </c>
      <c r="D8" s="167">
        <v>22.18</v>
      </c>
      <c r="E8" s="167">
        <v>16.79</v>
      </c>
      <c r="F8" s="167">
        <v>56.28</v>
      </c>
      <c r="G8" s="430"/>
    </row>
    <row r="9" spans="1:7" ht="12" thickBot="1" x14ac:dyDescent="0.25">
      <c r="A9" s="98" t="s">
        <v>806</v>
      </c>
      <c r="B9" s="167">
        <v>16.920000000000002</v>
      </c>
      <c r="C9" s="167">
        <v>20.38</v>
      </c>
      <c r="D9" s="167">
        <v>23.26</v>
      </c>
      <c r="E9" s="167">
        <v>17.43</v>
      </c>
      <c r="F9" s="167">
        <v>55.39</v>
      </c>
      <c r="G9" s="430"/>
    </row>
    <row r="10" spans="1:7" ht="12" thickBot="1" x14ac:dyDescent="0.25">
      <c r="A10" s="98" t="s">
        <v>807</v>
      </c>
      <c r="B10" s="167">
        <v>17.399999999999999</v>
      </c>
      <c r="C10" s="167">
        <v>23.2</v>
      </c>
      <c r="D10" s="167">
        <v>26.59</v>
      </c>
      <c r="E10" s="167">
        <v>18.61</v>
      </c>
      <c r="F10" s="167">
        <v>56.85</v>
      </c>
      <c r="G10" s="430"/>
    </row>
    <row r="11" spans="1:7" ht="12" thickBot="1" x14ac:dyDescent="0.25">
      <c r="A11" s="98" t="s">
        <v>808</v>
      </c>
      <c r="B11" s="167">
        <v>18.64</v>
      </c>
      <c r="C11" s="167">
        <v>24.22</v>
      </c>
      <c r="D11" s="167">
        <v>26.93</v>
      </c>
      <c r="E11" s="167">
        <v>18.71</v>
      </c>
      <c r="F11" s="167">
        <v>57.74</v>
      </c>
      <c r="G11" s="430"/>
    </row>
    <row r="12" spans="1:7" ht="12" thickBot="1" x14ac:dyDescent="0.25">
      <c r="A12" s="98" t="s">
        <v>809</v>
      </c>
      <c r="B12" s="167">
        <v>18.8</v>
      </c>
      <c r="C12" s="167">
        <v>22.58</v>
      </c>
      <c r="D12" s="167">
        <v>26.07</v>
      </c>
      <c r="E12" s="167">
        <v>18.72</v>
      </c>
      <c r="F12" s="167">
        <v>56.88</v>
      </c>
      <c r="G12" s="430"/>
    </row>
    <row r="13" spans="1:7" ht="12" thickBot="1" x14ac:dyDescent="0.25">
      <c r="A13" s="98" t="s">
        <v>810</v>
      </c>
      <c r="B13" s="167">
        <v>18.239999999999998</v>
      </c>
      <c r="C13" s="167">
        <v>20.99</v>
      </c>
      <c r="D13" s="167">
        <v>23.67</v>
      </c>
      <c r="E13" s="167">
        <v>19.78</v>
      </c>
      <c r="F13" s="167">
        <v>55.25</v>
      </c>
      <c r="G13" s="430"/>
    </row>
    <row r="14" spans="1:7" ht="12" thickBot="1" x14ac:dyDescent="0.25">
      <c r="A14" s="98" t="s">
        <v>811</v>
      </c>
      <c r="B14" s="167">
        <v>17.989999999999998</v>
      </c>
      <c r="C14" s="167">
        <v>20.94</v>
      </c>
      <c r="D14" s="167">
        <v>23.45</v>
      </c>
      <c r="E14" s="167">
        <v>20.84</v>
      </c>
      <c r="F14" s="167">
        <v>54.82</v>
      </c>
      <c r="G14" s="430"/>
    </row>
    <row r="15" spans="1:7" ht="12" thickBot="1" x14ac:dyDescent="0.25">
      <c r="A15" s="98" t="s">
        <v>812</v>
      </c>
      <c r="B15" s="167">
        <v>17.940000000000001</v>
      </c>
      <c r="C15" s="167">
        <v>21.44</v>
      </c>
      <c r="D15" s="167">
        <v>24.07</v>
      </c>
      <c r="E15" s="167">
        <v>21.13</v>
      </c>
      <c r="F15" s="167">
        <v>53.71</v>
      </c>
      <c r="G15" s="430"/>
    </row>
    <row r="16" spans="1:7" ht="12" thickBot="1" x14ac:dyDescent="0.25">
      <c r="A16" s="98" t="s">
        <v>813</v>
      </c>
      <c r="B16" s="167">
        <v>17.989999999999998</v>
      </c>
      <c r="C16" s="167">
        <v>20.62</v>
      </c>
      <c r="D16" s="167">
        <v>23.35</v>
      </c>
      <c r="E16" s="167">
        <v>21.07</v>
      </c>
      <c r="F16" s="167">
        <v>52.3</v>
      </c>
      <c r="G16" s="430"/>
    </row>
    <row r="19" spans="1:1" x14ac:dyDescent="0.2">
      <c r="A19" s="41" t="s">
        <v>322</v>
      </c>
    </row>
  </sheetData>
  <mergeCells count="4">
    <mergeCell ref="A3:A4"/>
    <mergeCell ref="B3:D3"/>
    <mergeCell ref="E3:E4"/>
    <mergeCell ref="A1:E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7823-1EAA-4E65-A55F-9B8ED65CD047}">
  <sheetPr>
    <tabColor rgb="FF0070C0"/>
  </sheetPr>
  <dimension ref="A1:E18"/>
  <sheetViews>
    <sheetView workbookViewId="0">
      <selection sqref="A1:E1"/>
    </sheetView>
  </sheetViews>
  <sheetFormatPr baseColWidth="10" defaultColWidth="11.42578125" defaultRowHeight="11.25" x14ac:dyDescent="0.2"/>
  <cols>
    <col min="1" max="16384" width="11.42578125" style="16"/>
  </cols>
  <sheetData>
    <row r="1" spans="1:5" ht="12" x14ac:dyDescent="0.2">
      <c r="A1" s="440" t="s">
        <v>823</v>
      </c>
      <c r="B1" s="440"/>
      <c r="C1" s="440"/>
      <c r="D1" s="440"/>
      <c r="E1" s="440"/>
    </row>
    <row r="2" spans="1:5" ht="12" thickBot="1" x14ac:dyDescent="0.25"/>
    <row r="3" spans="1:5" ht="12" thickBot="1" x14ac:dyDescent="0.25">
      <c r="A3" s="300">
        <v>2022</v>
      </c>
      <c r="B3" s="217" t="s">
        <v>793</v>
      </c>
      <c r="C3" s="219"/>
      <c r="D3" s="300" t="s">
        <v>773</v>
      </c>
      <c r="E3" s="94" t="s">
        <v>367</v>
      </c>
    </row>
    <row r="4" spans="1:5" ht="23.25" thickBot="1" x14ac:dyDescent="0.25">
      <c r="A4" s="301"/>
      <c r="B4" s="91" t="s">
        <v>815</v>
      </c>
      <c r="C4" s="91" t="s">
        <v>796</v>
      </c>
      <c r="D4" s="301"/>
      <c r="E4" s="91" t="s">
        <v>799</v>
      </c>
    </row>
    <row r="5" spans="1:5" ht="12" thickBot="1" x14ac:dyDescent="0.25">
      <c r="A5" s="98" t="s">
        <v>802</v>
      </c>
      <c r="B5" s="137">
        <v>16.22</v>
      </c>
      <c r="C5" s="137">
        <v>17.010000000000002</v>
      </c>
      <c r="D5" s="137">
        <v>15.75</v>
      </c>
      <c r="E5" s="137">
        <v>57.99</v>
      </c>
    </row>
    <row r="6" spans="1:5" ht="12" thickBot="1" x14ac:dyDescent="0.25">
      <c r="A6" s="98" t="s">
        <v>803</v>
      </c>
      <c r="B6" s="137">
        <v>16.38</v>
      </c>
      <c r="C6" s="137">
        <v>17.100000000000001</v>
      </c>
      <c r="D6" s="137">
        <v>15.75</v>
      </c>
      <c r="E6" s="137">
        <v>59.33</v>
      </c>
    </row>
    <row r="7" spans="1:5" ht="12" thickBot="1" x14ac:dyDescent="0.25">
      <c r="A7" s="98" t="s">
        <v>804</v>
      </c>
      <c r="B7" s="137">
        <v>18.54</v>
      </c>
      <c r="C7" s="137">
        <v>19.71</v>
      </c>
      <c r="D7" s="137">
        <v>16.88</v>
      </c>
      <c r="E7" s="137">
        <v>60.17</v>
      </c>
    </row>
    <row r="8" spans="1:5" ht="12" thickBot="1" x14ac:dyDescent="0.25">
      <c r="A8" s="98" t="s">
        <v>805</v>
      </c>
      <c r="B8" s="137">
        <v>18.5</v>
      </c>
      <c r="C8" s="137">
        <v>19.75</v>
      </c>
      <c r="D8" s="137">
        <v>15.93</v>
      </c>
      <c r="E8" s="137">
        <v>58.32</v>
      </c>
    </row>
    <row r="9" spans="1:5" ht="12" thickBot="1" x14ac:dyDescent="0.25">
      <c r="A9" s="98" t="s">
        <v>806</v>
      </c>
      <c r="B9" s="137">
        <v>17.21</v>
      </c>
      <c r="C9" s="137">
        <v>20.57</v>
      </c>
      <c r="D9" s="137">
        <v>16.28</v>
      </c>
      <c r="E9" s="137">
        <v>58.33</v>
      </c>
    </row>
    <row r="10" spans="1:5" ht="12" thickBot="1" x14ac:dyDescent="0.25">
      <c r="A10" s="98" t="s">
        <v>807</v>
      </c>
      <c r="B10" s="137">
        <v>17.82</v>
      </c>
      <c r="C10" s="137">
        <v>22.48</v>
      </c>
      <c r="D10" s="137">
        <v>17.21</v>
      </c>
      <c r="E10" s="137">
        <v>58.33</v>
      </c>
    </row>
    <row r="11" spans="1:5" ht="12" thickBot="1" x14ac:dyDescent="0.25">
      <c r="A11" s="98" t="s">
        <v>808</v>
      </c>
      <c r="B11" s="137">
        <v>19.09</v>
      </c>
      <c r="C11" s="137">
        <v>23.79</v>
      </c>
      <c r="D11" s="137">
        <v>17.3</v>
      </c>
      <c r="E11" s="137">
        <v>58</v>
      </c>
    </row>
    <row r="12" spans="1:5" ht="12" thickBot="1" x14ac:dyDescent="0.25">
      <c r="A12" s="98" t="s">
        <v>809</v>
      </c>
      <c r="B12" s="137">
        <v>18.72</v>
      </c>
      <c r="C12" s="137">
        <v>22.6</v>
      </c>
      <c r="D12" s="137">
        <v>17.82</v>
      </c>
      <c r="E12" s="137">
        <v>55.89</v>
      </c>
    </row>
    <row r="13" spans="1:5" ht="12" thickBot="1" x14ac:dyDescent="0.25">
      <c r="A13" s="98" t="s">
        <v>810</v>
      </c>
      <c r="B13" s="137">
        <v>17.97</v>
      </c>
      <c r="C13" s="137">
        <v>21.08</v>
      </c>
      <c r="D13" s="137">
        <v>18.809999999999999</v>
      </c>
      <c r="E13" s="137">
        <v>55.05</v>
      </c>
    </row>
    <row r="14" spans="1:5" ht="12" thickBot="1" x14ac:dyDescent="0.25">
      <c r="A14" s="98" t="s">
        <v>811</v>
      </c>
      <c r="B14" s="137">
        <v>17.350000000000001</v>
      </c>
      <c r="C14" s="137">
        <v>21.17</v>
      </c>
      <c r="D14" s="137">
        <v>19.829999999999998</v>
      </c>
      <c r="E14" s="137">
        <v>54.29</v>
      </c>
    </row>
    <row r="15" spans="1:5" ht="12" thickBot="1" x14ac:dyDescent="0.25">
      <c r="A15" s="98" t="s">
        <v>812</v>
      </c>
      <c r="B15" s="137">
        <v>17.57</v>
      </c>
      <c r="C15" s="137">
        <v>21.62</v>
      </c>
      <c r="D15" s="137">
        <v>19.920000000000002</v>
      </c>
      <c r="E15" s="137">
        <v>53.27</v>
      </c>
    </row>
    <row r="16" spans="1:5" ht="12" thickBot="1" x14ac:dyDescent="0.25">
      <c r="A16" s="98" t="s">
        <v>813</v>
      </c>
      <c r="B16" s="137">
        <v>17.489999999999998</v>
      </c>
      <c r="C16" s="137">
        <v>21.41</v>
      </c>
      <c r="D16" s="137">
        <v>19.91</v>
      </c>
      <c r="E16" s="137">
        <v>55</v>
      </c>
    </row>
    <row r="18" spans="1:1" x14ac:dyDescent="0.2">
      <c r="A18" s="41" t="s">
        <v>422</v>
      </c>
    </row>
  </sheetData>
  <mergeCells count="4">
    <mergeCell ref="A3:A4"/>
    <mergeCell ref="B3:C3"/>
    <mergeCell ref="D3:D4"/>
    <mergeCell ref="A1:E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1CE4-78DA-427C-A595-CDC830BAC40C}">
  <sheetPr>
    <tabColor rgb="FF0070C0"/>
  </sheetPr>
  <dimension ref="A1:H19"/>
  <sheetViews>
    <sheetView workbookViewId="0">
      <selection sqref="A1:E1"/>
    </sheetView>
  </sheetViews>
  <sheetFormatPr baseColWidth="10" defaultColWidth="11.42578125" defaultRowHeight="11.25" x14ac:dyDescent="0.2"/>
  <cols>
    <col min="1" max="16384" width="11.42578125" style="16"/>
  </cols>
  <sheetData>
    <row r="1" spans="1:8" ht="12" x14ac:dyDescent="0.2">
      <c r="A1" s="440" t="s">
        <v>824</v>
      </c>
      <c r="B1" s="440"/>
      <c r="C1" s="440"/>
      <c r="D1" s="440"/>
      <c r="E1" s="440"/>
      <c r="F1" s="439"/>
    </row>
    <row r="2" spans="1:8" ht="12" thickBot="1" x14ac:dyDescent="0.25"/>
    <row r="3" spans="1:8" ht="12" thickBot="1" x14ac:dyDescent="0.25">
      <c r="A3" s="300">
        <v>2022</v>
      </c>
      <c r="B3" s="217" t="s">
        <v>793</v>
      </c>
      <c r="C3" s="219"/>
      <c r="D3" s="300" t="s">
        <v>773</v>
      </c>
      <c r="E3" s="94" t="s">
        <v>367</v>
      </c>
      <c r="F3" s="432"/>
      <c r="G3" s="430"/>
      <c r="H3" s="430"/>
    </row>
    <row r="4" spans="1:8" ht="23.25" thickBot="1" x14ac:dyDescent="0.25">
      <c r="A4" s="301"/>
      <c r="B4" s="91" t="s">
        <v>796</v>
      </c>
      <c r="C4" s="91" t="s">
        <v>797</v>
      </c>
      <c r="D4" s="301"/>
      <c r="E4" s="91" t="s">
        <v>799</v>
      </c>
      <c r="F4" s="432"/>
      <c r="G4" s="430"/>
      <c r="H4" s="430"/>
    </row>
    <row r="5" spans="1:8" ht="12" thickBot="1" x14ac:dyDescent="0.25">
      <c r="A5" s="98" t="s">
        <v>802</v>
      </c>
      <c r="B5" s="167">
        <v>17.05</v>
      </c>
      <c r="C5" s="167">
        <v>17.43</v>
      </c>
      <c r="D5" s="167">
        <v>16</v>
      </c>
      <c r="E5" s="167">
        <v>56.84</v>
      </c>
      <c r="F5" s="433"/>
      <c r="G5" s="430"/>
      <c r="H5" s="430"/>
    </row>
    <row r="6" spans="1:8" ht="12" thickBot="1" x14ac:dyDescent="0.25">
      <c r="A6" s="98" t="s">
        <v>803</v>
      </c>
      <c r="B6" s="167">
        <v>17.34</v>
      </c>
      <c r="C6" s="167">
        <v>17.7</v>
      </c>
      <c r="D6" s="167">
        <v>16.09</v>
      </c>
      <c r="E6" s="167">
        <v>55.94</v>
      </c>
      <c r="F6" s="431"/>
      <c r="G6" s="430"/>
      <c r="H6" s="430"/>
    </row>
    <row r="7" spans="1:8" ht="12" thickBot="1" x14ac:dyDescent="0.25">
      <c r="A7" s="98" t="s">
        <v>804</v>
      </c>
      <c r="B7" s="167">
        <v>18.93</v>
      </c>
      <c r="C7" s="167">
        <v>19.45</v>
      </c>
      <c r="D7" s="167">
        <v>16.82</v>
      </c>
      <c r="E7" s="167">
        <v>56.08</v>
      </c>
      <c r="F7" s="433"/>
      <c r="G7" s="430"/>
      <c r="H7" s="430"/>
    </row>
    <row r="8" spans="1:8" ht="12" thickBot="1" x14ac:dyDescent="0.25">
      <c r="A8" s="98" t="s">
        <v>805</v>
      </c>
      <c r="B8" s="167">
        <v>18.77</v>
      </c>
      <c r="C8" s="167">
        <v>20.190000000000001</v>
      </c>
      <c r="D8" s="167">
        <v>15.72</v>
      </c>
      <c r="E8" s="167">
        <v>56.25</v>
      </c>
      <c r="F8" s="431"/>
      <c r="G8" s="430"/>
      <c r="H8" s="430"/>
    </row>
    <row r="9" spans="1:8" ht="12" thickBot="1" x14ac:dyDescent="0.25">
      <c r="A9" s="98" t="s">
        <v>806</v>
      </c>
      <c r="B9" s="167">
        <v>19.260000000000002</v>
      </c>
      <c r="C9" s="167">
        <v>21</v>
      </c>
      <c r="D9" s="167">
        <v>16.07</v>
      </c>
      <c r="E9" s="167">
        <v>56.19</v>
      </c>
      <c r="F9" s="433"/>
      <c r="G9" s="430"/>
      <c r="H9" s="430"/>
    </row>
    <row r="10" spans="1:8" ht="12" thickBot="1" x14ac:dyDescent="0.25">
      <c r="A10" s="98" t="s">
        <v>807</v>
      </c>
      <c r="B10" s="167">
        <v>20.97</v>
      </c>
      <c r="C10" s="167">
        <v>23.79</v>
      </c>
      <c r="D10" s="167">
        <v>17.22</v>
      </c>
      <c r="E10" s="167">
        <v>55.47</v>
      </c>
      <c r="F10" s="431"/>
      <c r="G10" s="430"/>
      <c r="H10" s="430"/>
    </row>
    <row r="11" spans="1:8" ht="12" thickBot="1" x14ac:dyDescent="0.25">
      <c r="A11" s="98" t="s">
        <v>808</v>
      </c>
      <c r="B11" s="167">
        <v>22.96</v>
      </c>
      <c r="C11" s="167">
        <v>25.4</v>
      </c>
      <c r="D11" s="167">
        <v>17.489999999999998</v>
      </c>
      <c r="E11" s="167">
        <v>56.22</v>
      </c>
      <c r="F11" s="433"/>
      <c r="G11" s="430"/>
      <c r="H11" s="430"/>
    </row>
    <row r="12" spans="1:8" ht="12" thickBot="1" x14ac:dyDescent="0.25">
      <c r="A12" s="98" t="s">
        <v>809</v>
      </c>
      <c r="B12" s="167">
        <v>21.92</v>
      </c>
      <c r="C12" s="167">
        <v>23.02</v>
      </c>
      <c r="D12" s="167">
        <v>17.37</v>
      </c>
      <c r="E12" s="167">
        <v>55.93</v>
      </c>
      <c r="F12" s="431"/>
      <c r="G12" s="430"/>
      <c r="H12" s="430"/>
    </row>
    <row r="13" spans="1:8" ht="12" thickBot="1" x14ac:dyDescent="0.25">
      <c r="A13" s="98" t="s">
        <v>810</v>
      </c>
      <c r="B13" s="167">
        <v>20.89</v>
      </c>
      <c r="C13" s="167">
        <v>21.48</v>
      </c>
      <c r="D13" s="167">
        <v>18.489999999999998</v>
      </c>
      <c r="E13" s="167">
        <v>55.49</v>
      </c>
      <c r="F13" s="433"/>
      <c r="G13" s="430"/>
      <c r="H13" s="430"/>
    </row>
    <row r="14" spans="1:8" ht="12" thickBot="1" x14ac:dyDescent="0.25">
      <c r="A14" s="98" t="s">
        <v>811</v>
      </c>
      <c r="B14" s="167">
        <v>20.72</v>
      </c>
      <c r="C14" s="167">
        <v>21.19</v>
      </c>
      <c r="D14" s="167">
        <v>19.47</v>
      </c>
      <c r="E14" s="167">
        <v>53.14</v>
      </c>
      <c r="F14" s="431"/>
      <c r="G14" s="430"/>
      <c r="H14" s="430"/>
    </row>
    <row r="15" spans="1:8" ht="12" thickBot="1" x14ac:dyDescent="0.25">
      <c r="A15" s="98" t="s">
        <v>812</v>
      </c>
      <c r="B15" s="167">
        <v>20.69</v>
      </c>
      <c r="C15" s="167">
        <v>21.29</v>
      </c>
      <c r="D15" s="167">
        <v>19.5</v>
      </c>
      <c r="E15" s="167">
        <v>52.98</v>
      </c>
      <c r="F15" s="433"/>
      <c r="G15" s="430"/>
      <c r="H15" s="430"/>
    </row>
    <row r="16" spans="1:8" ht="12" thickBot="1" x14ac:dyDescent="0.25">
      <c r="A16" s="98" t="s">
        <v>813</v>
      </c>
      <c r="B16" s="167">
        <v>20.22</v>
      </c>
      <c r="C16" s="167">
        <v>20.84</v>
      </c>
      <c r="D16" s="167">
        <v>19.5</v>
      </c>
      <c r="E16" s="167">
        <v>52.98</v>
      </c>
      <c r="F16" s="431"/>
      <c r="G16" s="430"/>
      <c r="H16" s="430"/>
    </row>
    <row r="19" spans="1:1" x14ac:dyDescent="0.2">
      <c r="A19" s="41" t="s">
        <v>423</v>
      </c>
    </row>
  </sheetData>
  <mergeCells count="4">
    <mergeCell ref="A3:A4"/>
    <mergeCell ref="A1:E1"/>
    <mergeCell ref="B3:C3"/>
    <mergeCell ref="D3:D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E9DB-B444-40B2-A253-CE178FE3703F}">
  <sheetPr>
    <tabColor rgb="FF0070C0"/>
  </sheetPr>
  <dimension ref="A1:F19"/>
  <sheetViews>
    <sheetView workbookViewId="0">
      <selection sqref="A1:E1"/>
    </sheetView>
  </sheetViews>
  <sheetFormatPr baseColWidth="10" defaultColWidth="11.42578125" defaultRowHeight="11.25" x14ac:dyDescent="0.2"/>
  <cols>
    <col min="1" max="16384" width="11.42578125" style="16"/>
  </cols>
  <sheetData>
    <row r="1" spans="1:6" ht="12" x14ac:dyDescent="0.2">
      <c r="A1" s="440" t="s">
        <v>825</v>
      </c>
      <c r="B1" s="440"/>
      <c r="C1" s="440"/>
      <c r="D1" s="440"/>
      <c r="E1" s="440"/>
      <c r="F1" s="439"/>
    </row>
    <row r="2" spans="1:6" ht="12" thickBot="1" x14ac:dyDescent="0.25"/>
    <row r="3" spans="1:6" s="430" customFormat="1" ht="12" thickBot="1" x14ac:dyDescent="0.25">
      <c r="A3" s="300">
        <v>2022</v>
      </c>
      <c r="B3" s="217" t="s">
        <v>793</v>
      </c>
      <c r="C3" s="219"/>
      <c r="D3" s="300" t="s">
        <v>773</v>
      </c>
      <c r="E3" s="94" t="s">
        <v>367</v>
      </c>
      <c r="F3" s="432"/>
    </row>
    <row r="4" spans="1:6" s="430" customFormat="1" ht="23.25" thickBot="1" x14ac:dyDescent="0.25">
      <c r="A4" s="301"/>
      <c r="B4" s="91" t="s">
        <v>796</v>
      </c>
      <c r="C4" s="91" t="s">
        <v>797</v>
      </c>
      <c r="D4" s="301"/>
      <c r="E4" s="91" t="s">
        <v>799</v>
      </c>
      <c r="F4" s="432"/>
    </row>
    <row r="5" spans="1:6" s="430" customFormat="1" ht="12" thickBot="1" x14ac:dyDescent="0.25">
      <c r="A5" s="98" t="s">
        <v>802</v>
      </c>
      <c r="B5" s="167">
        <v>16.77</v>
      </c>
      <c r="C5" s="167">
        <v>17.739999999999998</v>
      </c>
      <c r="D5" s="167">
        <v>16.059999999999999</v>
      </c>
      <c r="E5" s="167">
        <v>55.63</v>
      </c>
      <c r="F5" s="433"/>
    </row>
    <row r="6" spans="1:6" s="430" customFormat="1" ht="12" thickBot="1" x14ac:dyDescent="0.25">
      <c r="A6" s="98" t="s">
        <v>803</v>
      </c>
      <c r="B6" s="167">
        <v>16.86</v>
      </c>
      <c r="C6" s="167">
        <v>17.760000000000002</v>
      </c>
      <c r="D6" s="167">
        <v>16.149999999999999</v>
      </c>
      <c r="E6" s="167">
        <v>57.2</v>
      </c>
      <c r="F6" s="431"/>
    </row>
    <row r="7" spans="1:6" s="430" customFormat="1" ht="12" thickBot="1" x14ac:dyDescent="0.25">
      <c r="A7" s="98" t="s">
        <v>804</v>
      </c>
      <c r="B7" s="167">
        <v>18.940000000000001</v>
      </c>
      <c r="C7" s="167">
        <v>19.66</v>
      </c>
      <c r="D7" s="167">
        <v>16.989999999999998</v>
      </c>
      <c r="E7" s="167">
        <v>58.77</v>
      </c>
      <c r="F7" s="433"/>
    </row>
    <row r="8" spans="1:6" s="430" customFormat="1" ht="12" thickBot="1" x14ac:dyDescent="0.25">
      <c r="A8" s="98" t="s">
        <v>805</v>
      </c>
      <c r="B8" s="167">
        <v>19.34</v>
      </c>
      <c r="C8" s="167">
        <v>21.25</v>
      </c>
      <c r="D8" s="167">
        <v>15.83</v>
      </c>
      <c r="E8" s="167">
        <v>56.21</v>
      </c>
      <c r="F8" s="431"/>
    </row>
    <row r="9" spans="1:6" s="430" customFormat="1" ht="12" thickBot="1" x14ac:dyDescent="0.25">
      <c r="A9" s="98" t="s">
        <v>806</v>
      </c>
      <c r="B9" s="167">
        <v>19.89</v>
      </c>
      <c r="C9" s="167">
        <v>22.21</v>
      </c>
      <c r="D9" s="167">
        <v>16.440000000000001</v>
      </c>
      <c r="E9" s="167">
        <v>56.87</v>
      </c>
      <c r="F9" s="433"/>
    </row>
    <row r="10" spans="1:6" s="430" customFormat="1" ht="12" thickBot="1" x14ac:dyDescent="0.25">
      <c r="A10" s="98" t="s">
        <v>807</v>
      </c>
      <c r="B10" s="167">
        <v>22.74</v>
      </c>
      <c r="C10" s="167">
        <v>25.48</v>
      </c>
      <c r="D10" s="167">
        <v>17.45</v>
      </c>
      <c r="E10" s="167">
        <v>58.61</v>
      </c>
      <c r="F10" s="431"/>
    </row>
    <row r="11" spans="1:6" s="430" customFormat="1" ht="12" thickBot="1" x14ac:dyDescent="0.25">
      <c r="A11" s="98" t="s">
        <v>808</v>
      </c>
      <c r="B11" s="167">
        <v>23.66</v>
      </c>
      <c r="C11" s="167">
        <v>26.06</v>
      </c>
      <c r="D11" s="167">
        <v>17.52</v>
      </c>
      <c r="E11" s="167">
        <v>58.07</v>
      </c>
      <c r="F11" s="433"/>
    </row>
    <row r="12" spans="1:6" s="430" customFormat="1" ht="12" thickBot="1" x14ac:dyDescent="0.25">
      <c r="A12" s="98" t="s">
        <v>809</v>
      </c>
      <c r="B12" s="167">
        <v>22.09</v>
      </c>
      <c r="C12" s="167">
        <v>24.23</v>
      </c>
      <c r="D12" s="167">
        <v>17.59</v>
      </c>
      <c r="E12" s="167">
        <v>56.29</v>
      </c>
      <c r="F12" s="431"/>
    </row>
    <row r="13" spans="1:6" s="430" customFormat="1" ht="12" thickBot="1" x14ac:dyDescent="0.25">
      <c r="A13" s="98" t="s">
        <v>810</v>
      </c>
      <c r="B13" s="167">
        <v>19.489999999999998</v>
      </c>
      <c r="C13" s="167">
        <v>20.95</v>
      </c>
      <c r="D13" s="167">
        <v>18.670000000000002</v>
      </c>
      <c r="E13" s="167">
        <v>56.73</v>
      </c>
      <c r="F13" s="433"/>
    </row>
    <row r="14" spans="1:6" s="430" customFormat="1" ht="12" thickBot="1" x14ac:dyDescent="0.25">
      <c r="A14" s="98" t="s">
        <v>811</v>
      </c>
      <c r="B14" s="167">
        <v>19.47</v>
      </c>
      <c r="C14" s="167">
        <v>20.96</v>
      </c>
      <c r="D14" s="167">
        <v>19.79</v>
      </c>
      <c r="E14" s="167">
        <v>54.89</v>
      </c>
      <c r="F14" s="431"/>
    </row>
    <row r="15" spans="1:6" s="430" customFormat="1" ht="12" thickBot="1" x14ac:dyDescent="0.25">
      <c r="A15" s="98" t="s">
        <v>812</v>
      </c>
      <c r="B15" s="167">
        <v>20.149999999999999</v>
      </c>
      <c r="C15" s="167">
        <v>21.77</v>
      </c>
      <c r="D15" s="167">
        <v>20.100000000000001</v>
      </c>
      <c r="E15" s="167">
        <v>53.93</v>
      </c>
      <c r="F15" s="433"/>
    </row>
    <row r="16" spans="1:6" s="430" customFormat="1" ht="12" thickBot="1" x14ac:dyDescent="0.25">
      <c r="A16" s="98" t="s">
        <v>813</v>
      </c>
      <c r="B16" s="167">
        <v>19.18</v>
      </c>
      <c r="C16" s="167">
        <v>20.94</v>
      </c>
      <c r="D16" s="167">
        <v>20.100000000000001</v>
      </c>
      <c r="E16" s="167">
        <v>49.35</v>
      </c>
      <c r="F16" s="431"/>
    </row>
    <row r="19" spans="1:1" x14ac:dyDescent="0.2">
      <c r="A19" s="41" t="s">
        <v>424</v>
      </c>
    </row>
  </sheetData>
  <mergeCells count="4">
    <mergeCell ref="A3:A4"/>
    <mergeCell ref="A1:E1"/>
    <mergeCell ref="B3:C3"/>
    <mergeCell ref="D3:D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085A-51B5-4F83-B92A-9419FBD530A7}">
  <sheetPr>
    <tabColor theme="4"/>
  </sheetPr>
  <dimension ref="A1:I17"/>
  <sheetViews>
    <sheetView workbookViewId="0">
      <selection activeCell="D12" sqref="D12"/>
    </sheetView>
  </sheetViews>
  <sheetFormatPr baseColWidth="10" defaultColWidth="12.85546875" defaultRowHeight="11.25" x14ac:dyDescent="0.2"/>
  <cols>
    <col min="1" max="1" width="18.42578125" style="454" customWidth="1"/>
    <col min="2" max="16384" width="12.85546875" style="16"/>
  </cols>
  <sheetData>
    <row r="1" spans="1:9" ht="12" x14ac:dyDescent="0.2">
      <c r="A1" s="440" t="s">
        <v>500</v>
      </c>
      <c r="B1" s="440"/>
      <c r="C1" s="440"/>
      <c r="D1" s="440"/>
      <c r="E1" s="440"/>
      <c r="F1" s="440"/>
      <c r="G1" s="440"/>
      <c r="H1" s="440"/>
    </row>
    <row r="2" spans="1:9" ht="12" thickBot="1" x14ac:dyDescent="0.25"/>
    <row r="3" spans="1:9" s="430" customFormat="1" ht="15" customHeight="1" thickBot="1" x14ac:dyDescent="0.25">
      <c r="A3" s="217" t="s">
        <v>498</v>
      </c>
      <c r="B3" s="218"/>
      <c r="C3" s="218"/>
      <c r="D3" s="218"/>
      <c r="E3" s="218"/>
      <c r="F3" s="218"/>
      <c r="G3" s="218"/>
      <c r="H3" s="218"/>
      <c r="I3" s="218"/>
    </row>
    <row r="4" spans="1:9" s="430" customFormat="1" ht="12" thickBot="1" x14ac:dyDescent="0.25">
      <c r="A4" s="455" t="s">
        <v>362</v>
      </c>
      <c r="B4" s="91">
        <v>2015</v>
      </c>
      <c r="C4" s="91">
        <v>2016</v>
      </c>
      <c r="D4" s="91">
        <v>2017</v>
      </c>
      <c r="E4" s="91">
        <v>2018</v>
      </c>
      <c r="F4" s="91">
        <v>2019</v>
      </c>
      <c r="G4" s="91">
        <v>2020</v>
      </c>
      <c r="H4" s="91">
        <v>2021</v>
      </c>
      <c r="I4" s="91">
        <v>2022</v>
      </c>
    </row>
    <row r="5" spans="1:9" s="430" customFormat="1" ht="12" thickBot="1" x14ac:dyDescent="0.25">
      <c r="A5" s="448" t="s">
        <v>484</v>
      </c>
      <c r="B5" s="382">
        <v>2906.63</v>
      </c>
      <c r="C5" s="125">
        <v>845.25</v>
      </c>
      <c r="D5" s="125">
        <v>572.58000000000004</v>
      </c>
      <c r="E5" s="125">
        <v>2367.23</v>
      </c>
      <c r="F5" s="125">
        <v>2071.6799999999998</v>
      </c>
      <c r="G5" s="125">
        <v>4088.76</v>
      </c>
      <c r="H5" s="125">
        <v>4300.17</v>
      </c>
      <c r="I5" s="125">
        <v>6099.08</v>
      </c>
    </row>
    <row r="6" spans="1:9" s="430" customFormat="1" ht="12" thickBot="1" x14ac:dyDescent="0.25">
      <c r="A6" s="448" t="s">
        <v>496</v>
      </c>
      <c r="B6" s="108">
        <v>50898.879999999997</v>
      </c>
      <c r="C6" s="106">
        <v>60314.94</v>
      </c>
      <c r="D6" s="106">
        <v>51808.68</v>
      </c>
      <c r="E6" s="106">
        <v>51399.360000000001</v>
      </c>
      <c r="F6" s="106">
        <v>54715.39</v>
      </c>
      <c r="G6" s="106">
        <v>58398.68</v>
      </c>
      <c r="H6" s="106">
        <v>37106.54</v>
      </c>
      <c r="I6" s="106">
        <v>40837.15</v>
      </c>
    </row>
    <row r="7" spans="1:9" s="430" customFormat="1" ht="23.25" thickBot="1" x14ac:dyDescent="0.25">
      <c r="A7" s="448" t="s">
        <v>826</v>
      </c>
      <c r="B7" s="108">
        <v>1075.67</v>
      </c>
      <c r="C7" s="106">
        <v>1460.97</v>
      </c>
      <c r="D7" s="106">
        <v>607.97</v>
      </c>
      <c r="E7" s="106">
        <v>66.17</v>
      </c>
      <c r="F7" s="106">
        <v>0</v>
      </c>
      <c r="G7" s="106">
        <v>751.04</v>
      </c>
      <c r="H7" s="106">
        <v>0</v>
      </c>
      <c r="I7" s="106">
        <v>0</v>
      </c>
    </row>
    <row r="8" spans="1:9" s="430" customFormat="1" ht="12" thickBot="1" x14ac:dyDescent="0.25">
      <c r="A8" s="448" t="s">
        <v>486</v>
      </c>
      <c r="B8" s="108">
        <v>16707.740000000002</v>
      </c>
      <c r="C8" s="106">
        <v>18678.919999999998</v>
      </c>
      <c r="D8" s="106">
        <v>19961.240000000002</v>
      </c>
      <c r="E8" s="106">
        <v>17803.36</v>
      </c>
      <c r="F8" s="106">
        <v>15691.55</v>
      </c>
      <c r="G8" s="106">
        <v>13415.93</v>
      </c>
      <c r="H8" s="106">
        <v>13388.3</v>
      </c>
      <c r="I8" s="106">
        <v>12132.17</v>
      </c>
    </row>
    <row r="9" spans="1:9" s="430" customFormat="1" ht="12" thickBot="1" x14ac:dyDescent="0.25">
      <c r="A9" s="448" t="s">
        <v>487</v>
      </c>
      <c r="B9" s="108">
        <v>5843.29</v>
      </c>
      <c r="C9" s="106">
        <v>7606.35</v>
      </c>
      <c r="D9" s="106">
        <v>9054.49</v>
      </c>
      <c r="E9" s="106">
        <v>9190.9500000000007</v>
      </c>
      <c r="F9" s="106">
        <v>7790.53</v>
      </c>
      <c r="G9" s="106">
        <v>6941.07</v>
      </c>
      <c r="H9" s="106">
        <v>4210.26</v>
      </c>
      <c r="I9" s="106">
        <v>6218.83</v>
      </c>
    </row>
    <row r="10" spans="1:9" s="430" customFormat="1" ht="23.25" thickBot="1" x14ac:dyDescent="0.25">
      <c r="A10" s="448" t="s">
        <v>499</v>
      </c>
      <c r="B10" s="108">
        <v>9814.2999999999993</v>
      </c>
      <c r="C10" s="106">
        <v>12134.31</v>
      </c>
      <c r="D10" s="106">
        <v>16837.86</v>
      </c>
      <c r="E10" s="106">
        <v>16696.25</v>
      </c>
      <c r="F10" s="106">
        <v>13122.75</v>
      </c>
      <c r="G10" s="106">
        <v>4416.2299999999996</v>
      </c>
      <c r="H10" s="106">
        <v>7391.82</v>
      </c>
      <c r="I10" s="106">
        <v>8420.69</v>
      </c>
    </row>
    <row r="11" spans="1:9" s="430" customFormat="1" ht="12" thickBot="1" x14ac:dyDescent="0.25">
      <c r="A11" s="448" t="s">
        <v>488</v>
      </c>
      <c r="B11" s="108">
        <v>223.2</v>
      </c>
      <c r="C11" s="106">
        <v>111.53</v>
      </c>
      <c r="D11" s="106">
        <v>74.38</v>
      </c>
      <c r="E11" s="106">
        <v>90.29</v>
      </c>
      <c r="F11" s="106">
        <v>96.56</v>
      </c>
      <c r="G11" s="106">
        <v>265.05</v>
      </c>
      <c r="H11" s="106">
        <v>125.27</v>
      </c>
      <c r="I11" s="106">
        <v>166.71</v>
      </c>
    </row>
    <row r="12" spans="1:9" s="430" customFormat="1" x14ac:dyDescent="0.2">
      <c r="A12" s="456"/>
    </row>
    <row r="13" spans="1:9" s="430" customFormat="1" x14ac:dyDescent="0.2">
      <c r="A13" s="456"/>
    </row>
    <row r="14" spans="1:9" s="430" customFormat="1" x14ac:dyDescent="0.2">
      <c r="A14" s="456"/>
    </row>
    <row r="15" spans="1:9" s="430" customFormat="1" x14ac:dyDescent="0.2">
      <c r="A15" s="456"/>
    </row>
    <row r="16" spans="1:9" s="430" customFormat="1" x14ac:dyDescent="0.2">
      <c r="A16" s="456"/>
    </row>
    <row r="17" spans="1:1" s="430" customFormat="1" x14ac:dyDescent="0.2">
      <c r="A17" s="456"/>
    </row>
  </sheetData>
  <mergeCells count="3">
    <mergeCell ref="A3:I3"/>
    <mergeCell ref="A1:E1"/>
    <mergeCell ref="F1:H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F0C3-66AB-4679-BF85-EDB3A381055D}">
  <sheetPr>
    <tabColor theme="4"/>
  </sheetPr>
  <dimension ref="A1:I25"/>
  <sheetViews>
    <sheetView workbookViewId="0">
      <selection activeCell="G22" sqref="G22"/>
    </sheetView>
  </sheetViews>
  <sheetFormatPr baseColWidth="10" defaultColWidth="11.42578125" defaultRowHeight="11.25" x14ac:dyDescent="0.2"/>
  <cols>
    <col min="1" max="1" width="17.28515625" style="16" customWidth="1"/>
    <col min="2" max="3" width="11.5703125" style="16" bestFit="1" customWidth="1"/>
    <col min="4" max="5" width="12.140625" style="16" bestFit="1" customWidth="1"/>
    <col min="6" max="6" width="12.140625" style="16" customWidth="1"/>
    <col min="7" max="16384" width="11.42578125" style="16"/>
  </cols>
  <sheetData>
    <row r="1" spans="1:9" ht="12.75" x14ac:dyDescent="0.2">
      <c r="A1" s="452" t="s">
        <v>497</v>
      </c>
      <c r="B1" s="452"/>
      <c r="C1" s="452"/>
      <c r="D1" s="452"/>
      <c r="E1" s="452"/>
      <c r="F1" s="452"/>
      <c r="G1" s="452"/>
      <c r="H1" s="452"/>
      <c r="I1" s="337"/>
    </row>
    <row r="2" spans="1:9" ht="12" thickBot="1" x14ac:dyDescent="0.25">
      <c r="A2" s="337"/>
      <c r="B2" s="337"/>
      <c r="C2" s="337"/>
      <c r="D2" s="337"/>
      <c r="E2" s="337"/>
      <c r="F2" s="337"/>
      <c r="G2" s="337"/>
      <c r="H2" s="337"/>
      <c r="I2" s="337"/>
    </row>
    <row r="3" spans="1:9" ht="11.25" customHeight="1" thickBot="1" x14ac:dyDescent="0.25">
      <c r="A3" s="217" t="s">
        <v>827</v>
      </c>
      <c r="B3" s="218"/>
      <c r="C3" s="218"/>
      <c r="D3" s="218"/>
      <c r="E3" s="218"/>
      <c r="F3" s="218"/>
      <c r="G3" s="218"/>
      <c r="H3" s="218"/>
      <c r="I3" s="219"/>
    </row>
    <row r="4" spans="1:9" ht="12" thickBot="1" x14ac:dyDescent="0.25">
      <c r="A4" s="95" t="s">
        <v>362</v>
      </c>
      <c r="B4" s="91">
        <v>2015</v>
      </c>
      <c r="C4" s="91">
        <v>2016</v>
      </c>
      <c r="D4" s="91">
        <v>2017</v>
      </c>
      <c r="E4" s="91">
        <v>2018</v>
      </c>
      <c r="F4" s="91">
        <v>2019</v>
      </c>
      <c r="G4" s="91">
        <v>2020</v>
      </c>
      <c r="H4" s="91">
        <v>2021</v>
      </c>
      <c r="I4" s="91">
        <v>2022</v>
      </c>
    </row>
    <row r="5" spans="1:9" ht="12" thickBot="1" x14ac:dyDescent="0.25">
      <c r="A5" s="448" t="s">
        <v>484</v>
      </c>
      <c r="B5" s="441">
        <v>120071.32</v>
      </c>
      <c r="C5" s="441">
        <v>24015.81</v>
      </c>
      <c r="D5" s="441">
        <v>25644.31</v>
      </c>
      <c r="E5" s="441">
        <v>138873.88</v>
      </c>
      <c r="F5" s="441">
        <v>121952.4</v>
      </c>
      <c r="G5" s="441">
        <v>151659.41</v>
      </c>
      <c r="H5" s="441">
        <v>289657.34000000003</v>
      </c>
      <c r="I5" s="441">
        <v>521694.17</v>
      </c>
    </row>
    <row r="6" spans="1:9" x14ac:dyDescent="0.2">
      <c r="A6" s="449" t="s">
        <v>828</v>
      </c>
      <c r="B6" s="442">
        <v>449075.22</v>
      </c>
      <c r="C6" s="442">
        <v>522171.53</v>
      </c>
      <c r="D6" s="442">
        <v>747859.38</v>
      </c>
      <c r="E6" s="442">
        <v>998645.9</v>
      </c>
      <c r="F6" s="442">
        <v>600496.81000000006</v>
      </c>
      <c r="G6" s="442">
        <v>599332.36</v>
      </c>
      <c r="H6" s="442">
        <v>1781845.28</v>
      </c>
      <c r="I6" s="442">
        <v>2692457.94</v>
      </c>
    </row>
    <row r="7" spans="1:9" ht="13.5" customHeight="1" thickBot="1" x14ac:dyDescent="0.25">
      <c r="A7" s="450"/>
      <c r="B7" s="443"/>
      <c r="C7" s="443"/>
      <c r="D7" s="443"/>
      <c r="E7" s="443"/>
      <c r="F7" s="443"/>
      <c r="G7" s="443"/>
      <c r="H7" s="443"/>
      <c r="I7" s="443"/>
    </row>
    <row r="8" spans="1:9" ht="22.5" customHeight="1" x14ac:dyDescent="0.2">
      <c r="A8" s="449" t="s">
        <v>829</v>
      </c>
      <c r="B8" s="442">
        <v>34427.769999999997</v>
      </c>
      <c r="C8" s="442">
        <v>32047.07</v>
      </c>
      <c r="D8" s="442">
        <v>31875.49</v>
      </c>
      <c r="E8" s="442">
        <v>4192.79</v>
      </c>
      <c r="F8" s="445" t="s">
        <v>2</v>
      </c>
      <c r="G8" s="442">
        <v>39050.39</v>
      </c>
      <c r="H8" s="445" t="s">
        <v>2</v>
      </c>
      <c r="I8" s="445" t="s">
        <v>2</v>
      </c>
    </row>
    <row r="9" spans="1:9" ht="15" customHeight="1" x14ac:dyDescent="0.2">
      <c r="A9" s="451"/>
      <c r="B9" s="444"/>
      <c r="C9" s="444"/>
      <c r="D9" s="444"/>
      <c r="E9" s="444"/>
      <c r="F9" s="446"/>
      <c r="G9" s="444"/>
      <c r="H9" s="446"/>
      <c r="I9" s="446"/>
    </row>
    <row r="10" spans="1:9" ht="14.25" customHeight="1" thickBot="1" x14ac:dyDescent="0.25">
      <c r="A10" s="450"/>
      <c r="B10" s="443"/>
      <c r="C10" s="443"/>
      <c r="D10" s="443"/>
      <c r="E10" s="443"/>
      <c r="F10" s="447"/>
      <c r="G10" s="443"/>
      <c r="H10" s="447"/>
      <c r="I10" s="447"/>
    </row>
    <row r="11" spans="1:9" ht="12" thickBot="1" x14ac:dyDescent="0.25">
      <c r="A11" s="448" t="s">
        <v>486</v>
      </c>
      <c r="B11" s="441">
        <v>860197.63</v>
      </c>
      <c r="C11" s="441">
        <v>789710.14</v>
      </c>
      <c r="D11" s="441">
        <v>1091366.4099999999</v>
      </c>
      <c r="E11" s="441">
        <v>1182051.58</v>
      </c>
      <c r="F11" s="441">
        <v>883049.87</v>
      </c>
      <c r="G11" s="441">
        <v>533145.28</v>
      </c>
      <c r="H11" s="441">
        <v>904709.83</v>
      </c>
      <c r="I11" s="441">
        <v>1063484.3899999999</v>
      </c>
    </row>
    <row r="12" spans="1:9" ht="12" thickBot="1" x14ac:dyDescent="0.25">
      <c r="A12" s="448" t="s">
        <v>487</v>
      </c>
      <c r="B12" s="441">
        <v>436809.04</v>
      </c>
      <c r="C12" s="441">
        <v>449356.64</v>
      </c>
      <c r="D12" s="441">
        <v>589755.61</v>
      </c>
      <c r="E12" s="441">
        <v>783496.05</v>
      </c>
      <c r="F12" s="441">
        <v>677923.79</v>
      </c>
      <c r="G12" s="441">
        <v>600199.89</v>
      </c>
      <c r="H12" s="441">
        <v>399125.89</v>
      </c>
      <c r="I12" s="441">
        <v>834333.68</v>
      </c>
    </row>
    <row r="13" spans="1:9" ht="22.5" customHeight="1" x14ac:dyDescent="0.2">
      <c r="A13" s="449" t="s">
        <v>830</v>
      </c>
      <c r="B13" s="442">
        <v>385145.08</v>
      </c>
      <c r="C13" s="442">
        <v>406790.01</v>
      </c>
      <c r="D13" s="442">
        <v>727719.01</v>
      </c>
      <c r="E13" s="442">
        <v>1004710.6</v>
      </c>
      <c r="F13" s="442">
        <v>730018.87</v>
      </c>
      <c r="G13" s="442">
        <v>238635.31</v>
      </c>
      <c r="H13" s="442">
        <v>584203.26</v>
      </c>
      <c r="I13" s="442">
        <v>765359.49</v>
      </c>
    </row>
    <row r="14" spans="1:9" ht="15.75" customHeight="1" thickBot="1" x14ac:dyDescent="0.25">
      <c r="A14" s="450"/>
      <c r="B14" s="443"/>
      <c r="C14" s="443"/>
      <c r="D14" s="443"/>
      <c r="E14" s="443"/>
      <c r="F14" s="443"/>
      <c r="G14" s="443"/>
      <c r="H14" s="443"/>
      <c r="I14" s="443"/>
    </row>
    <row r="15" spans="1:9" ht="12" thickBot="1" x14ac:dyDescent="0.25">
      <c r="A15" s="448" t="s">
        <v>488</v>
      </c>
      <c r="B15" s="441">
        <v>26988.06</v>
      </c>
      <c r="C15" s="441">
        <v>19403.88</v>
      </c>
      <c r="D15" s="441">
        <v>17002.57</v>
      </c>
      <c r="E15" s="441">
        <v>25212.22</v>
      </c>
      <c r="F15" s="441">
        <v>26584.38</v>
      </c>
      <c r="G15" s="441">
        <v>22805.45</v>
      </c>
      <c r="H15" s="441">
        <v>33306.160000000003</v>
      </c>
      <c r="I15" s="441">
        <v>39265.69</v>
      </c>
    </row>
    <row r="16" spans="1:9" x14ac:dyDescent="0.2">
      <c r="A16" s="453"/>
      <c r="B16" s="453"/>
      <c r="C16" s="453"/>
      <c r="D16" s="453"/>
      <c r="E16" s="453"/>
      <c r="F16" s="453"/>
      <c r="G16" s="453"/>
      <c r="H16" s="453"/>
      <c r="I16" s="337"/>
    </row>
    <row r="17" spans="1:9" x14ac:dyDescent="0.2">
      <c r="A17" s="453"/>
      <c r="B17" s="453"/>
      <c r="C17" s="453"/>
      <c r="D17" s="453"/>
      <c r="E17" s="453"/>
      <c r="F17" s="453"/>
      <c r="G17" s="453"/>
      <c r="H17" s="453"/>
      <c r="I17" s="337"/>
    </row>
    <row r="18" spans="1:9" x14ac:dyDescent="0.2">
      <c r="A18" s="453"/>
      <c r="B18" s="453"/>
      <c r="C18" s="453"/>
      <c r="D18" s="453"/>
      <c r="E18" s="453"/>
      <c r="F18" s="453"/>
      <c r="G18" s="453"/>
      <c r="H18" s="453"/>
      <c r="I18" s="337"/>
    </row>
    <row r="19" spans="1:9" x14ac:dyDescent="0.2">
      <c r="A19" s="453"/>
      <c r="B19" s="453"/>
      <c r="C19" s="453"/>
      <c r="D19" s="453"/>
      <c r="E19" s="453"/>
      <c r="F19" s="453"/>
      <c r="G19" s="453"/>
      <c r="H19" s="453"/>
      <c r="I19" s="337"/>
    </row>
    <row r="20" spans="1:9" x14ac:dyDescent="0.2">
      <c r="A20" s="453"/>
      <c r="B20" s="453"/>
      <c r="C20" s="453"/>
      <c r="D20" s="453"/>
      <c r="E20" s="453"/>
      <c r="F20" s="453"/>
      <c r="G20" s="453"/>
      <c r="H20" s="453"/>
      <c r="I20" s="337"/>
    </row>
    <row r="21" spans="1:9" x14ac:dyDescent="0.2">
      <c r="A21" s="453"/>
      <c r="B21" s="453"/>
      <c r="C21" s="453"/>
      <c r="D21" s="453"/>
      <c r="E21" s="453"/>
      <c r="F21" s="453"/>
      <c r="G21" s="453"/>
      <c r="H21" s="453"/>
      <c r="I21" s="337"/>
    </row>
    <row r="22" spans="1:9" x14ac:dyDescent="0.2">
      <c r="A22" s="453"/>
      <c r="B22" s="453"/>
      <c r="C22" s="453"/>
      <c r="D22" s="453"/>
      <c r="E22" s="453"/>
      <c r="F22" s="453"/>
      <c r="G22" s="453"/>
      <c r="H22" s="453"/>
      <c r="I22" s="337"/>
    </row>
    <row r="23" spans="1:9" x14ac:dyDescent="0.2">
      <c r="A23" s="453"/>
      <c r="B23" s="453"/>
      <c r="C23" s="453"/>
      <c r="D23" s="453"/>
      <c r="E23" s="453"/>
      <c r="F23" s="453"/>
      <c r="G23" s="453"/>
      <c r="H23" s="453"/>
      <c r="I23" s="337"/>
    </row>
    <row r="24" spans="1:9" x14ac:dyDescent="0.2">
      <c r="A24" s="453"/>
      <c r="B24" s="453"/>
      <c r="C24" s="453"/>
      <c r="D24" s="453"/>
      <c r="E24" s="453"/>
      <c r="F24" s="453"/>
      <c r="G24" s="453"/>
      <c r="H24" s="453"/>
      <c r="I24" s="337"/>
    </row>
    <row r="25" spans="1:9" x14ac:dyDescent="0.2">
      <c r="A25" s="337"/>
      <c r="B25" s="337"/>
      <c r="C25" s="337"/>
      <c r="D25" s="337"/>
      <c r="E25" s="337"/>
      <c r="F25" s="337"/>
      <c r="G25" s="337"/>
      <c r="H25" s="337"/>
      <c r="I25" s="337"/>
    </row>
  </sheetData>
  <mergeCells count="29">
    <mergeCell ref="I13:I14"/>
    <mergeCell ref="A6:A7"/>
    <mergeCell ref="A8:A10"/>
    <mergeCell ref="A13:A14"/>
    <mergeCell ref="H6:H7"/>
    <mergeCell ref="I6:I7"/>
    <mergeCell ref="B8:B10"/>
    <mergeCell ref="C8:C10"/>
    <mergeCell ref="D8:D10"/>
    <mergeCell ref="E8:E10"/>
    <mergeCell ref="F8:F10"/>
    <mergeCell ref="G8:G10"/>
    <mergeCell ref="H8:H10"/>
    <mergeCell ref="I8:I10"/>
    <mergeCell ref="A1:H1"/>
    <mergeCell ref="A3:I3"/>
    <mergeCell ref="B6:B7"/>
    <mergeCell ref="C6:C7"/>
    <mergeCell ref="D6:D7"/>
    <mergeCell ref="E6:E7"/>
    <mergeCell ref="F6:F7"/>
    <mergeCell ref="G6:G7"/>
    <mergeCell ref="B13:B14"/>
    <mergeCell ref="C13:C14"/>
    <mergeCell ref="D13:D14"/>
    <mergeCell ref="E13:E14"/>
    <mergeCell ref="F13:F14"/>
    <mergeCell ref="G13:G14"/>
    <mergeCell ref="H13:H1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5B0B-66CC-4D8C-922C-472F91F5AB9A}">
  <sheetPr>
    <tabColor theme="4"/>
  </sheetPr>
  <dimension ref="A1:I17"/>
  <sheetViews>
    <sheetView workbookViewId="0">
      <selection activeCell="J34" sqref="J34"/>
    </sheetView>
  </sheetViews>
  <sheetFormatPr baseColWidth="10" defaultColWidth="11.42578125" defaultRowHeight="11.25" x14ac:dyDescent="0.2"/>
  <cols>
    <col min="1" max="1" width="18.28515625" style="16" customWidth="1"/>
    <col min="2" max="16384" width="11.42578125" style="16"/>
  </cols>
  <sheetData>
    <row r="1" spans="1:9" ht="12" x14ac:dyDescent="0.2">
      <c r="A1" s="316" t="s">
        <v>495</v>
      </c>
      <c r="B1" s="316"/>
      <c r="C1" s="316"/>
      <c r="D1" s="316"/>
      <c r="E1" s="316"/>
      <c r="F1" s="316"/>
      <c r="G1" s="316"/>
      <c r="H1" s="316"/>
    </row>
    <row r="3" spans="1:9" ht="11.25" customHeight="1" thickBot="1" x14ac:dyDescent="0.25">
      <c r="A3" s="387"/>
      <c r="B3" s="387"/>
      <c r="C3" s="387"/>
      <c r="D3" s="387"/>
      <c r="E3" s="387"/>
      <c r="F3" s="387"/>
      <c r="G3" s="387"/>
      <c r="H3" s="387"/>
    </row>
    <row r="4" spans="1:9" ht="12" thickBot="1" x14ac:dyDescent="0.25">
      <c r="A4" s="217" t="s">
        <v>493</v>
      </c>
      <c r="B4" s="218"/>
      <c r="C4" s="218"/>
      <c r="D4" s="218"/>
      <c r="E4" s="218"/>
      <c r="F4" s="218"/>
      <c r="G4" s="218"/>
      <c r="H4" s="218"/>
      <c r="I4" s="219"/>
    </row>
    <row r="5" spans="1:9" ht="12" thickBot="1" x14ac:dyDescent="0.25">
      <c r="A5" s="95" t="s">
        <v>362</v>
      </c>
      <c r="B5" s="91">
        <v>2015</v>
      </c>
      <c r="C5" s="91">
        <v>2016</v>
      </c>
      <c r="D5" s="91">
        <v>2017</v>
      </c>
      <c r="E5" s="91">
        <v>2018</v>
      </c>
      <c r="F5" s="91">
        <v>2019</v>
      </c>
      <c r="G5" s="91">
        <v>2020</v>
      </c>
      <c r="H5" s="91">
        <v>2021</v>
      </c>
      <c r="I5" s="91">
        <v>2022</v>
      </c>
    </row>
    <row r="6" spans="1:9" ht="15.75" customHeight="1" thickBot="1" x14ac:dyDescent="0.25">
      <c r="A6" s="96" t="s">
        <v>484</v>
      </c>
      <c r="B6" s="457">
        <v>31326.81</v>
      </c>
      <c r="C6" s="457">
        <v>38489.18</v>
      </c>
      <c r="D6" s="457">
        <v>45735.96</v>
      </c>
      <c r="E6" s="457">
        <v>41117.129999999997</v>
      </c>
      <c r="F6" s="457">
        <v>38295.300000000003</v>
      </c>
      <c r="G6" s="457">
        <v>14891.77</v>
      </c>
      <c r="H6" s="457">
        <v>24822.41</v>
      </c>
      <c r="I6" s="457">
        <v>24571.95</v>
      </c>
    </row>
    <row r="7" spans="1:9" ht="23.25" thickBot="1" x14ac:dyDescent="0.25">
      <c r="A7" s="96" t="s">
        <v>494</v>
      </c>
      <c r="B7" s="457">
        <v>1119.18</v>
      </c>
      <c r="C7" s="457">
        <v>1816.05</v>
      </c>
      <c r="D7" s="457">
        <v>2491.5300000000002</v>
      </c>
      <c r="E7" s="457">
        <v>4240.3</v>
      </c>
      <c r="F7" s="457">
        <v>4052.66</v>
      </c>
      <c r="G7" s="457">
        <v>4191.82</v>
      </c>
      <c r="H7" s="457">
        <v>6133.4</v>
      </c>
      <c r="I7" s="457">
        <v>6814.99</v>
      </c>
    </row>
    <row r="8" spans="1:9" ht="14.25" customHeight="1" thickBot="1" x14ac:dyDescent="0.25">
      <c r="A8" s="96" t="s">
        <v>486</v>
      </c>
      <c r="B8" s="457">
        <v>5063.3599999999997</v>
      </c>
      <c r="C8" s="457">
        <v>6979.09</v>
      </c>
      <c r="D8" s="457">
        <v>7776.87</v>
      </c>
      <c r="E8" s="457">
        <v>8428.9</v>
      </c>
      <c r="F8" s="457">
        <v>6682.49</v>
      </c>
      <c r="G8" s="457">
        <v>8887.77</v>
      </c>
      <c r="H8" s="457">
        <v>11900.43</v>
      </c>
      <c r="I8" s="457">
        <v>11118.15</v>
      </c>
    </row>
    <row r="9" spans="1:9" ht="12" thickBot="1" x14ac:dyDescent="0.25">
      <c r="A9" s="96" t="s">
        <v>487</v>
      </c>
      <c r="B9" s="457">
        <v>22074.73</v>
      </c>
      <c r="C9" s="457">
        <v>28310.89</v>
      </c>
      <c r="D9" s="457">
        <v>30881.23</v>
      </c>
      <c r="E9" s="457">
        <v>29994.93</v>
      </c>
      <c r="F9" s="457">
        <v>29288.19</v>
      </c>
      <c r="G9" s="457">
        <v>26958.53</v>
      </c>
      <c r="H9" s="457">
        <v>32742.65</v>
      </c>
      <c r="I9" s="457">
        <v>37862.11</v>
      </c>
    </row>
    <row r="10" spans="1:9" ht="15.75" customHeight="1" thickBot="1" x14ac:dyDescent="0.25">
      <c r="A10" s="96" t="s">
        <v>488</v>
      </c>
      <c r="B10" s="457">
        <v>1117.6400000000001</v>
      </c>
      <c r="C10" s="457">
        <v>1093.1300000000001</v>
      </c>
      <c r="D10" s="457">
        <v>1322.87</v>
      </c>
      <c r="E10" s="457">
        <v>1232.46</v>
      </c>
      <c r="F10" s="457">
        <v>1187.33</v>
      </c>
      <c r="G10" s="457">
        <v>1020.43</v>
      </c>
      <c r="H10" s="457">
        <v>1285.9100000000001</v>
      </c>
      <c r="I10" s="457">
        <v>1735.14</v>
      </c>
    </row>
    <row r="11" spans="1:9" x14ac:dyDescent="0.2">
      <c r="A11" s="97" t="s">
        <v>489</v>
      </c>
      <c r="B11" s="458">
        <v>0</v>
      </c>
      <c r="C11" s="458">
        <v>149.65</v>
      </c>
      <c r="D11" s="458">
        <v>149.86000000000001</v>
      </c>
      <c r="E11" s="458">
        <v>0</v>
      </c>
      <c r="F11" s="458">
        <v>207.37</v>
      </c>
      <c r="G11" s="458">
        <v>201.93</v>
      </c>
      <c r="H11" s="458">
        <v>368.59</v>
      </c>
      <c r="I11" s="458">
        <v>120.17</v>
      </c>
    </row>
    <row r="12" spans="1:9" ht="12" thickBot="1" x14ac:dyDescent="0.25">
      <c r="A12" s="96" t="s">
        <v>490</v>
      </c>
      <c r="B12" s="459"/>
      <c r="C12" s="459"/>
      <c r="D12" s="459"/>
      <c r="E12" s="459"/>
      <c r="F12" s="459"/>
      <c r="G12" s="459"/>
      <c r="H12" s="459"/>
      <c r="I12" s="459"/>
    </row>
    <row r="13" spans="1:9" x14ac:dyDescent="0.2">
      <c r="A13" s="430"/>
      <c r="B13" s="430"/>
      <c r="C13" s="430"/>
      <c r="D13" s="430"/>
      <c r="E13" s="430"/>
      <c r="F13" s="430"/>
      <c r="G13" s="430"/>
      <c r="H13" s="430"/>
    </row>
    <row r="14" spans="1:9" x14ac:dyDescent="0.2">
      <c r="A14" s="430"/>
      <c r="B14" s="430"/>
      <c r="C14" s="430"/>
      <c r="D14" s="430"/>
      <c r="E14" s="430"/>
      <c r="F14" s="430"/>
      <c r="G14" s="430"/>
      <c r="H14" s="430"/>
    </row>
    <row r="15" spans="1:9" x14ac:dyDescent="0.2">
      <c r="A15" s="430"/>
      <c r="B15" s="430"/>
      <c r="C15" s="430"/>
      <c r="D15" s="430"/>
      <c r="E15" s="430"/>
      <c r="F15" s="430"/>
      <c r="G15" s="430"/>
      <c r="H15" s="430"/>
    </row>
    <row r="16" spans="1:9" x14ac:dyDescent="0.2">
      <c r="A16" s="430"/>
      <c r="B16" s="430"/>
      <c r="C16" s="430"/>
      <c r="D16" s="430"/>
      <c r="E16" s="430"/>
      <c r="F16" s="430"/>
      <c r="G16" s="430"/>
      <c r="H16" s="430"/>
    </row>
    <row r="17" spans="1:8" x14ac:dyDescent="0.2">
      <c r="A17" s="430"/>
      <c r="B17" s="430"/>
      <c r="C17" s="430"/>
      <c r="D17" s="430"/>
      <c r="E17" s="430"/>
      <c r="F17" s="430"/>
      <c r="G17" s="430"/>
      <c r="H17" s="430"/>
    </row>
  </sheetData>
  <mergeCells count="10">
    <mergeCell ref="H11:H12"/>
    <mergeCell ref="I11:I12"/>
    <mergeCell ref="A1:H1"/>
    <mergeCell ref="A4:I4"/>
    <mergeCell ref="B11:B12"/>
    <mergeCell ref="C11:C12"/>
    <mergeCell ref="D11:D12"/>
    <mergeCell ref="E11:E12"/>
    <mergeCell ref="F11:F12"/>
    <mergeCell ref="G11:G1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749E-790E-41AB-B98A-B43673EAE901}">
  <sheetPr>
    <tabColor theme="4"/>
  </sheetPr>
  <dimension ref="A1:I18"/>
  <sheetViews>
    <sheetView workbookViewId="0">
      <selection sqref="A1:H1"/>
    </sheetView>
  </sheetViews>
  <sheetFormatPr baseColWidth="10" defaultColWidth="11.42578125" defaultRowHeight="11.25" x14ac:dyDescent="0.2"/>
  <cols>
    <col min="1" max="1" width="12.7109375" style="16" customWidth="1"/>
    <col min="2" max="5" width="12.140625" style="16" bestFit="1" customWidth="1"/>
    <col min="6" max="6" width="12.140625" style="16" customWidth="1"/>
    <col min="7" max="16384" width="11.42578125" style="16"/>
  </cols>
  <sheetData>
    <row r="1" spans="1:9" ht="12.75" x14ac:dyDescent="0.2">
      <c r="A1" s="452" t="s">
        <v>492</v>
      </c>
      <c r="B1" s="452"/>
      <c r="C1" s="452"/>
      <c r="D1" s="452"/>
      <c r="E1" s="452"/>
      <c r="F1" s="452"/>
      <c r="G1" s="452"/>
      <c r="H1" s="452"/>
    </row>
    <row r="2" spans="1:9" ht="12" thickBot="1" x14ac:dyDescent="0.25"/>
    <row r="3" spans="1:9" ht="11.25" customHeight="1" thickBot="1" x14ac:dyDescent="0.25">
      <c r="A3" s="217" t="s">
        <v>831</v>
      </c>
      <c r="B3" s="218"/>
      <c r="C3" s="218"/>
      <c r="D3" s="218"/>
      <c r="E3" s="218"/>
      <c r="F3" s="218"/>
      <c r="G3" s="218"/>
      <c r="H3" s="218"/>
      <c r="I3" s="219"/>
    </row>
    <row r="4" spans="1:9" ht="12" thickBot="1" x14ac:dyDescent="0.25">
      <c r="A4" s="95" t="s">
        <v>362</v>
      </c>
      <c r="B4" s="91">
        <v>2015</v>
      </c>
      <c r="C4" s="91">
        <v>2016</v>
      </c>
      <c r="D4" s="91">
        <v>2017</v>
      </c>
      <c r="E4" s="91">
        <v>2018</v>
      </c>
      <c r="F4" s="91">
        <v>2019</v>
      </c>
      <c r="G4" s="91">
        <v>2020</v>
      </c>
      <c r="H4" s="91">
        <v>2021</v>
      </c>
      <c r="I4" s="91">
        <v>2022</v>
      </c>
    </row>
    <row r="5" spans="1:9" ht="12" thickBot="1" x14ac:dyDescent="0.25">
      <c r="A5" s="98" t="s">
        <v>484</v>
      </c>
      <c r="B5" s="460">
        <v>1642254.88</v>
      </c>
      <c r="C5" s="460">
        <v>1600634.42</v>
      </c>
      <c r="D5" s="460">
        <v>2458799.19</v>
      </c>
      <c r="E5" s="460">
        <v>2853824.65</v>
      </c>
      <c r="F5" s="460">
        <v>2478976.83</v>
      </c>
      <c r="G5" s="460">
        <v>776421.82</v>
      </c>
      <c r="H5" s="460">
        <v>1816485.31</v>
      </c>
      <c r="I5" s="460">
        <v>2493933.4500000002</v>
      </c>
    </row>
    <row r="6" spans="1:9" ht="22.5" x14ac:dyDescent="0.2">
      <c r="A6" s="100" t="s">
        <v>494</v>
      </c>
      <c r="B6" s="461">
        <v>40171.64</v>
      </c>
      <c r="C6" s="461">
        <v>60123.61</v>
      </c>
      <c r="D6" s="461">
        <v>109991.91</v>
      </c>
      <c r="E6" s="461">
        <v>208664.13</v>
      </c>
      <c r="F6" s="461">
        <v>137615.38</v>
      </c>
      <c r="G6" s="461">
        <v>148553.79</v>
      </c>
      <c r="H6" s="461">
        <v>345370.44</v>
      </c>
      <c r="I6" s="461">
        <v>414582.96</v>
      </c>
    </row>
    <row r="7" spans="1:9" ht="12" customHeight="1" thickBot="1" x14ac:dyDescent="0.25">
      <c r="A7" s="98" t="s">
        <v>486</v>
      </c>
      <c r="B7" s="460">
        <v>380893.66</v>
      </c>
      <c r="C7" s="460">
        <v>423613.28</v>
      </c>
      <c r="D7" s="460">
        <v>559352.13</v>
      </c>
      <c r="E7" s="460">
        <v>716835.44</v>
      </c>
      <c r="F7" s="460">
        <v>509834.78</v>
      </c>
      <c r="G7" s="460">
        <v>491289.16</v>
      </c>
      <c r="H7" s="460">
        <v>1025052.12</v>
      </c>
      <c r="I7" s="460">
        <v>1396469.42</v>
      </c>
    </row>
    <row r="8" spans="1:9" ht="23.25" thickBot="1" x14ac:dyDescent="0.25">
      <c r="A8" s="98" t="s">
        <v>487</v>
      </c>
      <c r="B8" s="460">
        <v>1526737.05</v>
      </c>
      <c r="C8" s="460">
        <v>1602705.73</v>
      </c>
      <c r="D8" s="460">
        <v>2047809.66</v>
      </c>
      <c r="E8" s="460">
        <v>2661152.54</v>
      </c>
      <c r="F8" s="460">
        <v>2414391.4</v>
      </c>
      <c r="G8" s="460">
        <v>1551553.09</v>
      </c>
      <c r="H8" s="460">
        <v>2744447.38</v>
      </c>
      <c r="I8" s="460">
        <v>5662104.3200000003</v>
      </c>
    </row>
    <row r="9" spans="1:9" ht="14.25" customHeight="1" thickBot="1" x14ac:dyDescent="0.25">
      <c r="A9" s="98" t="s">
        <v>488</v>
      </c>
      <c r="B9" s="460">
        <v>258931.89</v>
      </c>
      <c r="C9" s="460">
        <v>276285.94</v>
      </c>
      <c r="D9" s="460">
        <v>267397.13</v>
      </c>
      <c r="E9" s="460">
        <v>321943.78999999998</v>
      </c>
      <c r="F9" s="460">
        <v>310819.01</v>
      </c>
      <c r="G9" s="460">
        <v>237693.8</v>
      </c>
      <c r="H9" s="460">
        <v>370456.69</v>
      </c>
      <c r="I9" s="460">
        <v>533748.80000000005</v>
      </c>
    </row>
    <row r="10" spans="1:9" ht="22.5" x14ac:dyDescent="0.2">
      <c r="A10" s="100" t="s">
        <v>499</v>
      </c>
      <c r="B10" s="159" t="s">
        <v>2</v>
      </c>
      <c r="C10" s="461">
        <v>6255.01</v>
      </c>
      <c r="D10" s="461">
        <v>7936.48</v>
      </c>
      <c r="E10" s="159" t="s">
        <v>2</v>
      </c>
      <c r="F10" s="461">
        <v>13019.77</v>
      </c>
      <c r="G10" s="461">
        <v>9306.86</v>
      </c>
      <c r="H10" s="461">
        <v>25707.65</v>
      </c>
      <c r="I10" s="461">
        <v>11909.64</v>
      </c>
    </row>
    <row r="11" spans="1:9" x14ac:dyDescent="0.2">
      <c r="A11" s="430"/>
      <c r="B11" s="430"/>
      <c r="C11" s="430"/>
      <c r="D11" s="430"/>
      <c r="E11" s="430"/>
      <c r="F11" s="430"/>
      <c r="G11" s="430"/>
      <c r="H11" s="430"/>
    </row>
    <row r="12" spans="1:9" x14ac:dyDescent="0.2">
      <c r="A12" s="430"/>
      <c r="B12" s="430"/>
      <c r="C12" s="430"/>
      <c r="D12" s="430"/>
      <c r="E12" s="430"/>
      <c r="F12" s="430"/>
      <c r="G12" s="430"/>
      <c r="H12" s="430"/>
    </row>
    <row r="13" spans="1:9" x14ac:dyDescent="0.2">
      <c r="A13" s="430"/>
      <c r="B13" s="430"/>
      <c r="C13" s="430"/>
      <c r="D13" s="430"/>
      <c r="E13" s="430"/>
      <c r="F13" s="430"/>
      <c r="G13" s="430"/>
      <c r="H13" s="430"/>
    </row>
    <row r="14" spans="1:9" x14ac:dyDescent="0.2">
      <c r="A14" s="430"/>
      <c r="B14" s="430"/>
      <c r="C14" s="430"/>
      <c r="D14" s="430"/>
      <c r="E14" s="430"/>
      <c r="F14" s="430"/>
      <c r="G14" s="430"/>
      <c r="H14" s="430"/>
    </row>
    <row r="15" spans="1:9" x14ac:dyDescent="0.2">
      <c r="A15" s="430"/>
      <c r="B15" s="430"/>
      <c r="C15" s="430"/>
      <c r="D15" s="430"/>
      <c r="E15" s="430"/>
      <c r="F15" s="430"/>
      <c r="G15" s="430"/>
      <c r="H15" s="430"/>
    </row>
    <row r="16" spans="1:9" x14ac:dyDescent="0.2">
      <c r="A16" s="430"/>
      <c r="B16" s="430"/>
      <c r="C16" s="430"/>
      <c r="D16" s="430"/>
      <c r="E16" s="430"/>
      <c r="F16" s="430"/>
      <c r="G16" s="430"/>
      <c r="H16" s="430"/>
    </row>
    <row r="17" spans="1:8" x14ac:dyDescent="0.2">
      <c r="A17" s="430"/>
      <c r="B17" s="430"/>
      <c r="C17" s="430"/>
      <c r="D17" s="430"/>
      <c r="E17" s="430"/>
      <c r="F17" s="430"/>
      <c r="G17" s="430"/>
      <c r="H17" s="430"/>
    </row>
    <row r="18" spans="1:8" x14ac:dyDescent="0.2">
      <c r="A18" s="430"/>
      <c r="B18" s="430"/>
      <c r="C18" s="430"/>
      <c r="D18" s="430"/>
      <c r="E18" s="430"/>
      <c r="F18" s="430"/>
      <c r="G18" s="430"/>
      <c r="H18" s="430"/>
    </row>
  </sheetData>
  <mergeCells count="2">
    <mergeCell ref="A1:H1"/>
    <mergeCell ref="A3:I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34EF-19D6-4644-A8BC-D84E29AF27E0}">
  <sheetPr>
    <tabColor theme="4"/>
  </sheetPr>
  <dimension ref="A1:I18"/>
  <sheetViews>
    <sheetView workbookViewId="0">
      <selection activeCell="J23" sqref="J23"/>
    </sheetView>
  </sheetViews>
  <sheetFormatPr baseColWidth="10" defaultRowHeight="15" x14ac:dyDescent="0.25"/>
  <cols>
    <col min="1" max="1" width="14" customWidth="1"/>
  </cols>
  <sheetData>
    <row r="1" spans="1:9" x14ac:dyDescent="0.25">
      <c r="A1" s="452" t="s">
        <v>482</v>
      </c>
      <c r="B1" s="452"/>
      <c r="C1" s="452"/>
      <c r="D1" s="452"/>
      <c r="E1" s="452"/>
      <c r="F1" s="452"/>
      <c r="G1" s="452"/>
      <c r="H1" s="452"/>
    </row>
    <row r="2" spans="1:9" ht="15.75" thickBot="1" x14ac:dyDescent="0.3"/>
    <row r="3" spans="1:9" s="323" customFormat="1" ht="15.75" customHeight="1" thickBot="1" x14ac:dyDescent="0.3">
      <c r="A3" s="217" t="s">
        <v>483</v>
      </c>
      <c r="B3" s="218"/>
      <c r="C3" s="218"/>
      <c r="D3" s="218"/>
      <c r="E3" s="218"/>
      <c r="F3" s="218"/>
      <c r="G3" s="218"/>
      <c r="H3" s="218"/>
      <c r="I3" s="219"/>
    </row>
    <row r="4" spans="1:9" s="323" customFormat="1" ht="34.5" thickBot="1" x14ac:dyDescent="0.3">
      <c r="A4" s="90" t="s">
        <v>464</v>
      </c>
      <c r="B4" s="91">
        <v>2015</v>
      </c>
      <c r="C4" s="91">
        <v>2016</v>
      </c>
      <c r="D4" s="91">
        <v>2017</v>
      </c>
      <c r="E4" s="91">
        <v>2018</v>
      </c>
      <c r="F4" s="91">
        <v>2019</v>
      </c>
      <c r="G4" s="91">
        <v>2020</v>
      </c>
      <c r="H4" s="91">
        <v>2021</v>
      </c>
      <c r="I4" s="91">
        <v>2022</v>
      </c>
    </row>
    <row r="5" spans="1:9" s="323" customFormat="1" ht="15.75" thickBot="1" x14ac:dyDescent="0.3">
      <c r="A5" s="64" t="s">
        <v>465</v>
      </c>
      <c r="B5" s="65">
        <v>1723.82</v>
      </c>
      <c r="C5" s="65">
        <v>1208.6600000000001</v>
      </c>
      <c r="D5" s="66">
        <v>332.47</v>
      </c>
      <c r="E5" s="66">
        <v>169.13</v>
      </c>
      <c r="F5" s="66" t="s">
        <v>2</v>
      </c>
      <c r="G5" s="66" t="s">
        <v>2</v>
      </c>
      <c r="H5" s="67" t="s">
        <v>2</v>
      </c>
      <c r="I5" s="67" t="s">
        <v>2</v>
      </c>
    </row>
    <row r="6" spans="1:9" s="323" customFormat="1" ht="15.75" thickBot="1" x14ac:dyDescent="0.3">
      <c r="A6" s="64" t="s">
        <v>466</v>
      </c>
      <c r="B6" s="66">
        <v>1E-3</v>
      </c>
      <c r="C6" s="66" t="s">
        <v>2</v>
      </c>
      <c r="D6" s="66">
        <v>12.81</v>
      </c>
      <c r="E6" s="66" t="s">
        <v>2</v>
      </c>
      <c r="F6" s="66" t="s">
        <v>2</v>
      </c>
      <c r="G6" s="66" t="s">
        <v>2</v>
      </c>
      <c r="H6" s="67" t="s">
        <v>2</v>
      </c>
      <c r="I6" s="67" t="s">
        <v>2</v>
      </c>
    </row>
    <row r="7" spans="1:9" s="323" customFormat="1" ht="15.75" thickBot="1" x14ac:dyDescent="0.3">
      <c r="A7" s="64" t="s">
        <v>467</v>
      </c>
      <c r="B7" s="66" t="s">
        <v>2</v>
      </c>
      <c r="C7" s="66">
        <v>115.08</v>
      </c>
      <c r="D7" s="66" t="s">
        <v>2</v>
      </c>
      <c r="E7" s="66" t="s">
        <v>2</v>
      </c>
      <c r="F7" s="66" t="s">
        <v>2</v>
      </c>
      <c r="G7" s="66" t="s">
        <v>2</v>
      </c>
      <c r="H7" s="67" t="s">
        <v>2</v>
      </c>
      <c r="I7" s="67" t="s">
        <v>2</v>
      </c>
    </row>
    <row r="8" spans="1:9" s="323" customFormat="1" ht="15.75" thickBot="1" x14ac:dyDescent="0.3">
      <c r="A8" s="64" t="s">
        <v>468</v>
      </c>
      <c r="B8" s="66">
        <v>250.88</v>
      </c>
      <c r="C8" s="66">
        <v>118.59</v>
      </c>
      <c r="D8" s="66">
        <v>999.43</v>
      </c>
      <c r="E8" s="66">
        <v>347.69</v>
      </c>
      <c r="F8" s="66" t="s">
        <v>2</v>
      </c>
      <c r="G8" s="66" t="s">
        <v>2</v>
      </c>
      <c r="H8" s="67">
        <v>218.77</v>
      </c>
      <c r="I8" s="67" t="s">
        <v>2</v>
      </c>
    </row>
    <row r="9" spans="1:9" s="323" customFormat="1" ht="15.75" thickBot="1" x14ac:dyDescent="0.3">
      <c r="A9" s="64" t="s">
        <v>469</v>
      </c>
      <c r="B9" s="66">
        <v>92.01</v>
      </c>
      <c r="C9" s="66" t="s">
        <v>2</v>
      </c>
      <c r="D9" s="66">
        <v>134.74</v>
      </c>
      <c r="E9" s="66">
        <v>365.26</v>
      </c>
      <c r="F9" s="66">
        <v>740.84</v>
      </c>
      <c r="G9" s="66">
        <v>418.72</v>
      </c>
      <c r="H9" s="67">
        <v>304.70999999999998</v>
      </c>
      <c r="I9" s="67" t="s">
        <v>2</v>
      </c>
    </row>
    <row r="10" spans="1:9" s="323" customFormat="1" ht="15.75" thickBot="1" x14ac:dyDescent="0.3">
      <c r="A10" s="64" t="s">
        <v>470</v>
      </c>
      <c r="B10" s="66" t="s">
        <v>2</v>
      </c>
      <c r="C10" s="66">
        <v>12.37</v>
      </c>
      <c r="D10" s="66" t="s">
        <v>2</v>
      </c>
      <c r="E10" s="66">
        <v>322.20999999999998</v>
      </c>
      <c r="F10" s="66" t="s">
        <v>2</v>
      </c>
      <c r="G10" s="66">
        <v>153.94</v>
      </c>
      <c r="H10" s="67">
        <v>153.25</v>
      </c>
      <c r="I10" s="67" t="s">
        <v>2</v>
      </c>
    </row>
    <row r="11" spans="1:9" s="323" customFormat="1" ht="15.75" thickBot="1" x14ac:dyDescent="0.3">
      <c r="A11" s="64" t="s">
        <v>471</v>
      </c>
      <c r="B11" s="66" t="s">
        <v>2</v>
      </c>
      <c r="C11" s="66">
        <v>612.59</v>
      </c>
      <c r="D11" s="66">
        <v>466.98</v>
      </c>
      <c r="E11" s="66">
        <v>135.63999999999999</v>
      </c>
      <c r="F11" s="66" t="s">
        <v>2</v>
      </c>
      <c r="G11" s="66" t="s">
        <v>2</v>
      </c>
      <c r="H11" s="67" t="s">
        <v>2</v>
      </c>
      <c r="I11" s="67" t="s">
        <v>2</v>
      </c>
    </row>
    <row r="12" spans="1:9" s="323" customFormat="1" ht="15.75" thickBot="1" x14ac:dyDescent="0.3">
      <c r="A12" s="64" t="s">
        <v>472</v>
      </c>
      <c r="B12" s="66" t="s">
        <v>2</v>
      </c>
      <c r="C12" s="66" t="s">
        <v>2</v>
      </c>
      <c r="D12" s="66">
        <v>0.01</v>
      </c>
      <c r="E12" s="66" t="s">
        <v>2</v>
      </c>
      <c r="F12" s="66" t="s">
        <v>2</v>
      </c>
      <c r="G12" s="66" t="s">
        <v>2</v>
      </c>
      <c r="H12" s="67" t="s">
        <v>2</v>
      </c>
      <c r="I12" s="67" t="s">
        <v>2</v>
      </c>
    </row>
    <row r="13" spans="1:9" s="323" customFormat="1" ht="15.75" thickBot="1" x14ac:dyDescent="0.3">
      <c r="A13" s="64" t="s">
        <v>473</v>
      </c>
      <c r="B13" s="66" t="s">
        <v>2</v>
      </c>
      <c r="C13" s="66" t="s">
        <v>2</v>
      </c>
      <c r="D13" s="66" t="s">
        <v>2</v>
      </c>
      <c r="E13" s="66">
        <v>48.97</v>
      </c>
      <c r="F13" s="66">
        <v>99.48</v>
      </c>
      <c r="G13" s="66" t="s">
        <v>2</v>
      </c>
      <c r="H13" s="67" t="s">
        <v>2</v>
      </c>
      <c r="I13" s="67">
        <v>29.82</v>
      </c>
    </row>
    <row r="14" spans="1:9" s="323" customFormat="1" ht="15.75" thickBot="1" x14ac:dyDescent="0.3">
      <c r="A14" s="64" t="s">
        <v>474</v>
      </c>
      <c r="B14" s="66" t="s">
        <v>2</v>
      </c>
      <c r="C14" s="66" t="s">
        <v>2</v>
      </c>
      <c r="D14" s="66" t="s">
        <v>2</v>
      </c>
      <c r="E14" s="66">
        <v>0.05</v>
      </c>
      <c r="F14" s="66" t="s">
        <v>2</v>
      </c>
      <c r="G14" s="66" t="s">
        <v>2</v>
      </c>
      <c r="H14" s="67" t="s">
        <v>2</v>
      </c>
      <c r="I14" s="67" t="s">
        <v>2</v>
      </c>
    </row>
    <row r="15" spans="1:9" s="323" customFormat="1" ht="15.75" thickBot="1" x14ac:dyDescent="0.3">
      <c r="A15" s="64" t="s">
        <v>475</v>
      </c>
      <c r="B15" s="66" t="s">
        <v>2</v>
      </c>
      <c r="C15" s="66" t="s">
        <v>2</v>
      </c>
      <c r="D15" s="66" t="s">
        <v>2</v>
      </c>
      <c r="E15" s="66" t="s">
        <v>2</v>
      </c>
      <c r="F15" s="66">
        <v>165.45</v>
      </c>
      <c r="G15" s="66" t="s">
        <v>2</v>
      </c>
      <c r="H15" s="67" t="s">
        <v>2</v>
      </c>
      <c r="I15" s="67" t="s">
        <v>2</v>
      </c>
    </row>
    <row r="16" spans="1:9" s="323" customFormat="1" ht="15.75" thickBot="1" x14ac:dyDescent="0.3">
      <c r="A16" s="64" t="s">
        <v>476</v>
      </c>
      <c r="B16" s="66" t="s">
        <v>2</v>
      </c>
      <c r="C16" s="66" t="s">
        <v>2</v>
      </c>
      <c r="D16" s="66" t="s">
        <v>2</v>
      </c>
      <c r="E16" s="66" t="s">
        <v>2</v>
      </c>
      <c r="F16" s="66" t="s">
        <v>2</v>
      </c>
      <c r="G16" s="66">
        <v>123.57</v>
      </c>
      <c r="H16" s="67">
        <v>59.58</v>
      </c>
      <c r="I16" s="67" t="s">
        <v>2</v>
      </c>
    </row>
    <row r="17" spans="1:9" s="323" customFormat="1" ht="15.75" thickBot="1" x14ac:dyDescent="0.3">
      <c r="A17" s="191" t="s">
        <v>29</v>
      </c>
      <c r="B17" s="68">
        <v>2066.71</v>
      </c>
      <c r="C17" s="68">
        <v>2067.29</v>
      </c>
      <c r="D17" s="68">
        <v>1946.45</v>
      </c>
      <c r="E17" s="68">
        <v>1388.94</v>
      </c>
      <c r="F17" s="68">
        <v>1005.77</v>
      </c>
      <c r="G17" s="69">
        <v>696.23</v>
      </c>
      <c r="H17" s="69">
        <v>736.31</v>
      </c>
      <c r="I17" s="69">
        <v>29.82</v>
      </c>
    </row>
    <row r="18" spans="1:9" s="323" customFormat="1" ht="23.25" thickBot="1" x14ac:dyDescent="0.3">
      <c r="A18" s="92" t="s">
        <v>364</v>
      </c>
      <c r="B18" s="93">
        <v>5.66</v>
      </c>
      <c r="C18" s="93">
        <v>5.65</v>
      </c>
      <c r="D18" s="93">
        <v>5.33</v>
      </c>
      <c r="E18" s="93">
        <v>3.81</v>
      </c>
      <c r="F18" s="93">
        <v>2.76</v>
      </c>
      <c r="G18" s="93">
        <v>1.91</v>
      </c>
      <c r="H18" s="93">
        <v>2.02</v>
      </c>
      <c r="I18" s="93">
        <v>0.19</v>
      </c>
    </row>
  </sheetData>
  <mergeCells count="2">
    <mergeCell ref="A1:H1"/>
    <mergeCell ref="A3:I3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D4C6-EE90-44CC-B095-48A9B103884F}">
  <sheetPr>
    <tabColor theme="9"/>
  </sheetPr>
  <dimension ref="A1:O29"/>
  <sheetViews>
    <sheetView showGridLines="0" topLeftCell="A10" zoomScale="80" zoomScaleNormal="80" workbookViewId="0">
      <selection activeCell="F35" sqref="F35"/>
    </sheetView>
  </sheetViews>
  <sheetFormatPr baseColWidth="10" defaultRowHeight="15" x14ac:dyDescent="0.25"/>
  <cols>
    <col min="2" max="2" width="10.85546875" customWidth="1"/>
  </cols>
  <sheetData>
    <row r="1" spans="1:14" hidden="1" x14ac:dyDescent="0.25">
      <c r="B1" t="s">
        <v>425</v>
      </c>
    </row>
    <row r="2" spans="1:14" ht="18.75" hidden="1" x14ac:dyDescent="0.3">
      <c r="B2" s="290" t="s">
        <v>478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hidden="1" x14ac:dyDescent="0.25"/>
    <row r="4" spans="1:14" hidden="1" x14ac:dyDescent="0.25">
      <c r="B4" s="43"/>
      <c r="C4" s="288">
        <v>2022</v>
      </c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</row>
    <row r="5" spans="1:14" hidden="1" x14ac:dyDescent="0.25">
      <c r="B5" s="44"/>
      <c r="C5" s="45" t="s">
        <v>426</v>
      </c>
      <c r="D5" s="45" t="s">
        <v>427</v>
      </c>
      <c r="E5" s="45" t="s">
        <v>428</v>
      </c>
      <c r="F5" s="45" t="s">
        <v>429</v>
      </c>
      <c r="G5" s="45" t="s">
        <v>430</v>
      </c>
      <c r="H5" s="45" t="s">
        <v>431</v>
      </c>
      <c r="I5" s="45" t="s">
        <v>432</v>
      </c>
      <c r="J5" s="45" t="s">
        <v>433</v>
      </c>
      <c r="K5" s="45" t="s">
        <v>434</v>
      </c>
      <c r="L5" s="45" t="s">
        <v>435</v>
      </c>
      <c r="M5" s="45" t="s">
        <v>436</v>
      </c>
      <c r="N5" s="45" t="s">
        <v>437</v>
      </c>
    </row>
    <row r="6" spans="1:14" hidden="1" x14ac:dyDescent="0.25">
      <c r="B6" s="46" t="s">
        <v>438</v>
      </c>
      <c r="C6" s="28">
        <v>14544</v>
      </c>
      <c r="D6" s="47">
        <v>12890</v>
      </c>
      <c r="E6" s="28">
        <v>12805</v>
      </c>
      <c r="F6" s="47">
        <v>13589</v>
      </c>
      <c r="G6" s="28">
        <v>11760</v>
      </c>
      <c r="H6" s="47">
        <v>13495</v>
      </c>
      <c r="I6" s="28">
        <v>10323</v>
      </c>
      <c r="J6" s="47">
        <v>3416</v>
      </c>
      <c r="K6" s="48">
        <v>7169</v>
      </c>
      <c r="L6" s="47">
        <v>11673</v>
      </c>
      <c r="M6" s="48">
        <v>12409</v>
      </c>
      <c r="N6" s="47">
        <v>10379</v>
      </c>
    </row>
    <row r="7" spans="1:14" hidden="1" x14ac:dyDescent="0.25">
      <c r="B7" s="46" t="s">
        <v>439</v>
      </c>
      <c r="C7" s="28">
        <v>34627</v>
      </c>
      <c r="D7" s="47">
        <v>31823</v>
      </c>
      <c r="E7" s="28">
        <v>36122</v>
      </c>
      <c r="F7" s="47">
        <v>33385</v>
      </c>
      <c r="G7" s="28">
        <v>36381</v>
      </c>
      <c r="H7" s="47">
        <v>35879</v>
      </c>
      <c r="I7" s="28">
        <v>30682</v>
      </c>
      <c r="J7" s="47">
        <v>27914</v>
      </c>
      <c r="K7" s="48">
        <v>26946</v>
      </c>
      <c r="L7" s="47">
        <v>34268</v>
      </c>
      <c r="M7" s="48">
        <v>33725</v>
      </c>
      <c r="N7" s="47">
        <v>40463</v>
      </c>
    </row>
    <row r="8" spans="1:14" hidden="1" x14ac:dyDescent="0.25">
      <c r="B8" s="44" t="s">
        <v>29</v>
      </c>
      <c r="C8" s="49">
        <f t="shared" ref="C8:N8" si="0">+C6+C7</f>
        <v>49171</v>
      </c>
      <c r="D8" s="49">
        <f t="shared" si="0"/>
        <v>44713</v>
      </c>
      <c r="E8" s="49">
        <f t="shared" si="0"/>
        <v>48927</v>
      </c>
      <c r="F8" s="49">
        <f t="shared" si="0"/>
        <v>46974</v>
      </c>
      <c r="G8" s="49">
        <f t="shared" si="0"/>
        <v>48141</v>
      </c>
      <c r="H8" s="49">
        <f t="shared" si="0"/>
        <v>49374</v>
      </c>
      <c r="I8" s="49">
        <f t="shared" si="0"/>
        <v>41005</v>
      </c>
      <c r="J8" s="49">
        <f t="shared" si="0"/>
        <v>31330</v>
      </c>
      <c r="K8" s="49">
        <f t="shared" si="0"/>
        <v>34115</v>
      </c>
      <c r="L8" s="49">
        <f t="shared" si="0"/>
        <v>45941</v>
      </c>
      <c r="M8" s="49">
        <f t="shared" si="0"/>
        <v>46134</v>
      </c>
      <c r="N8" s="49">
        <f t="shared" si="0"/>
        <v>50842</v>
      </c>
    </row>
    <row r="9" spans="1:14" ht="15" hidden="1" customHeight="1" x14ac:dyDescent="0.25">
      <c r="B9" s="289" t="s">
        <v>440</v>
      </c>
      <c r="C9" s="289"/>
      <c r="D9" s="289"/>
      <c r="E9" s="289"/>
      <c r="F9" s="289"/>
    </row>
    <row r="10" spans="1:14" x14ac:dyDescent="0.25">
      <c r="B10" s="50"/>
      <c r="C10" s="50"/>
      <c r="D10" s="50"/>
      <c r="E10" s="50"/>
      <c r="F10" s="50"/>
    </row>
    <row r="11" spans="1:14" ht="15" customHeight="1" x14ac:dyDescent="0.3">
      <c r="B11" s="339" t="s">
        <v>478</v>
      </c>
      <c r="C11" s="462"/>
      <c r="D11" s="462"/>
      <c r="E11" s="462"/>
      <c r="F11" s="463"/>
      <c r="G11" s="315"/>
      <c r="H11" s="315"/>
    </row>
    <row r="12" spans="1:14" ht="15.75" thickBot="1" x14ac:dyDescent="0.3">
      <c r="B12" s="315"/>
      <c r="C12" s="315"/>
      <c r="D12" s="315"/>
      <c r="E12" s="315"/>
      <c r="F12" s="315"/>
      <c r="G12" s="315"/>
      <c r="H12" s="315"/>
    </row>
    <row r="13" spans="1:14" ht="15.75" thickBot="1" x14ac:dyDescent="0.3">
      <c r="B13" s="135">
        <v>2022</v>
      </c>
      <c r="C13" s="94" t="s">
        <v>438</v>
      </c>
      <c r="D13" s="94" t="s">
        <v>439</v>
      </c>
      <c r="E13" s="94" t="s">
        <v>29</v>
      </c>
      <c r="F13" s="315"/>
      <c r="G13" s="315"/>
      <c r="H13" s="315"/>
    </row>
    <row r="14" spans="1:14" ht="15.75" thickBot="1" x14ac:dyDescent="0.3">
      <c r="A14" s="282"/>
      <c r="B14" s="136" t="s">
        <v>426</v>
      </c>
      <c r="C14" s="137">
        <v>14544</v>
      </c>
      <c r="D14" s="137">
        <v>34627</v>
      </c>
      <c r="E14" s="137">
        <v>49171</v>
      </c>
      <c r="F14" s="315"/>
      <c r="G14" s="315"/>
      <c r="H14" s="315"/>
    </row>
    <row r="15" spans="1:14" ht="15.75" thickBot="1" x14ac:dyDescent="0.3">
      <c r="A15" s="282"/>
      <c r="B15" s="136" t="s">
        <v>427</v>
      </c>
      <c r="C15" s="137">
        <v>12890</v>
      </c>
      <c r="D15" s="137">
        <v>31823</v>
      </c>
      <c r="E15" s="137">
        <v>44713</v>
      </c>
      <c r="F15" s="315"/>
      <c r="G15" s="315"/>
      <c r="H15" s="315"/>
    </row>
    <row r="16" spans="1:14" ht="15.75" thickBot="1" x14ac:dyDescent="0.3">
      <c r="A16" s="282"/>
      <c r="B16" s="136" t="s">
        <v>428</v>
      </c>
      <c r="C16" s="137">
        <v>12805</v>
      </c>
      <c r="D16" s="137">
        <v>36122</v>
      </c>
      <c r="E16" s="137">
        <v>48927</v>
      </c>
      <c r="F16" s="315"/>
      <c r="G16" s="315"/>
      <c r="H16" s="315"/>
    </row>
    <row r="17" spans="1:15" ht="15.75" thickBot="1" x14ac:dyDescent="0.3">
      <c r="A17" s="282"/>
      <c r="B17" s="136" t="s">
        <v>429</v>
      </c>
      <c r="C17" s="137">
        <v>13589</v>
      </c>
      <c r="D17" s="137">
        <v>33385</v>
      </c>
      <c r="E17" s="137">
        <v>46974</v>
      </c>
      <c r="F17" s="315"/>
      <c r="G17" s="315"/>
      <c r="H17" s="315"/>
    </row>
    <row r="18" spans="1:15" ht="15.75" thickBot="1" x14ac:dyDescent="0.3">
      <c r="A18" s="282"/>
      <c r="B18" s="136" t="s">
        <v>430</v>
      </c>
      <c r="C18" s="137">
        <v>11760</v>
      </c>
      <c r="D18" s="137">
        <v>36381</v>
      </c>
      <c r="E18" s="137">
        <v>48141</v>
      </c>
      <c r="F18" s="315"/>
      <c r="G18" s="315"/>
      <c r="H18" s="315"/>
    </row>
    <row r="19" spans="1:15" ht="15.75" thickBot="1" x14ac:dyDescent="0.3">
      <c r="A19" s="282"/>
      <c r="B19" s="136" t="s">
        <v>431</v>
      </c>
      <c r="C19" s="137">
        <v>13495</v>
      </c>
      <c r="D19" s="137">
        <v>35879</v>
      </c>
      <c r="E19" s="137">
        <v>49374</v>
      </c>
      <c r="F19" s="315"/>
      <c r="G19" s="315"/>
      <c r="H19" s="315"/>
    </row>
    <row r="20" spans="1:15" ht="15.75" thickBot="1" x14ac:dyDescent="0.3">
      <c r="A20" s="282"/>
      <c r="B20" s="136" t="s">
        <v>432</v>
      </c>
      <c r="C20" s="137">
        <v>10323</v>
      </c>
      <c r="D20" s="137">
        <v>30682</v>
      </c>
      <c r="E20" s="137">
        <v>41005</v>
      </c>
      <c r="F20" s="315"/>
      <c r="G20" s="315"/>
      <c r="H20" s="315"/>
    </row>
    <row r="21" spans="1:15" ht="15.75" thickBot="1" x14ac:dyDescent="0.3">
      <c r="A21" s="282"/>
      <c r="B21" s="136" t="s">
        <v>433</v>
      </c>
      <c r="C21" s="137">
        <v>3416</v>
      </c>
      <c r="D21" s="137">
        <v>27914</v>
      </c>
      <c r="E21" s="137">
        <v>31330</v>
      </c>
      <c r="F21" s="315"/>
      <c r="G21" s="315"/>
      <c r="H21" s="315"/>
    </row>
    <row r="22" spans="1:15" ht="15.75" thickBot="1" x14ac:dyDescent="0.3">
      <c r="A22" s="282"/>
      <c r="B22" s="136" t="s">
        <v>443</v>
      </c>
      <c r="C22" s="137">
        <v>7169</v>
      </c>
      <c r="D22" s="137">
        <v>26946</v>
      </c>
      <c r="E22" s="137">
        <v>34115</v>
      </c>
      <c r="F22" s="315"/>
      <c r="G22" s="315"/>
      <c r="H22" s="315"/>
    </row>
    <row r="23" spans="1:15" ht="15.75" thickBot="1" x14ac:dyDescent="0.3">
      <c r="A23" s="282"/>
      <c r="B23" s="136" t="s">
        <v>435</v>
      </c>
      <c r="C23" s="137">
        <v>11673</v>
      </c>
      <c r="D23" s="137">
        <v>34268</v>
      </c>
      <c r="E23" s="137">
        <v>45941</v>
      </c>
      <c r="F23" s="315"/>
      <c r="G23" s="315"/>
      <c r="H23" s="315"/>
    </row>
    <row r="24" spans="1:15" ht="15.75" thickBot="1" x14ac:dyDescent="0.3">
      <c r="A24" s="282"/>
      <c r="B24" s="136" t="s">
        <v>436</v>
      </c>
      <c r="C24" s="137">
        <v>12409</v>
      </c>
      <c r="D24" s="137">
        <v>33725</v>
      </c>
      <c r="E24" s="137">
        <v>46134</v>
      </c>
      <c r="F24" s="315"/>
      <c r="G24" s="315"/>
      <c r="H24" s="315"/>
    </row>
    <row r="25" spans="1:15" ht="15.75" thickBot="1" x14ac:dyDescent="0.3">
      <c r="A25" s="282"/>
      <c r="B25" s="136" t="s">
        <v>437</v>
      </c>
      <c r="C25" s="137">
        <v>10379</v>
      </c>
      <c r="D25" s="137">
        <v>40463</v>
      </c>
      <c r="E25" s="137">
        <v>50842</v>
      </c>
      <c r="F25" s="315"/>
      <c r="G25" s="315"/>
      <c r="H25" s="315"/>
    </row>
    <row r="26" spans="1:15" x14ac:dyDescent="0.25">
      <c r="B26" s="315"/>
      <c r="C26" s="315"/>
      <c r="D26" s="315"/>
      <c r="E26" s="315"/>
      <c r="F26" s="315"/>
      <c r="G26" s="315"/>
      <c r="H26" s="315"/>
    </row>
    <row r="27" spans="1:15" x14ac:dyDescent="0.25">
      <c r="B27" s="464" t="s">
        <v>832</v>
      </c>
      <c r="C27" s="315"/>
      <c r="D27" s="315"/>
      <c r="E27" s="315"/>
      <c r="F27" s="315"/>
      <c r="G27" s="315"/>
      <c r="H27" s="315"/>
    </row>
    <row r="28" spans="1:15" x14ac:dyDescent="0.25">
      <c r="B28" s="464" t="s">
        <v>833</v>
      </c>
      <c r="C28" s="315"/>
      <c r="D28" s="315"/>
      <c r="E28" s="315"/>
      <c r="F28" s="315"/>
      <c r="G28" s="315"/>
      <c r="H28" s="315"/>
    </row>
    <row r="29" spans="1:15" ht="18.75" x14ac:dyDescent="0.3">
      <c r="B29" s="467" t="s">
        <v>834</v>
      </c>
      <c r="C29" s="467"/>
      <c r="D29" s="466"/>
      <c r="E29" s="466"/>
      <c r="F29" s="466"/>
      <c r="G29" s="466"/>
      <c r="H29" s="466"/>
      <c r="I29" s="466"/>
      <c r="J29" s="466"/>
      <c r="K29" s="466"/>
      <c r="L29" s="466"/>
      <c r="M29" s="466"/>
      <c r="N29" s="466"/>
      <c r="O29" s="466"/>
    </row>
  </sheetData>
  <mergeCells count="5">
    <mergeCell ref="C4:N4"/>
    <mergeCell ref="B9:F9"/>
    <mergeCell ref="A14:A25"/>
    <mergeCell ref="B2:N2"/>
    <mergeCell ref="B29:C29"/>
  </mergeCells>
  <pageMargins left="0.7" right="0.7" top="0.75" bottom="0.75" header="0.3" footer="0.3"/>
  <pageSetup orientation="portrait" horizontalDpi="4294967295" verticalDpi="4294967295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E43E-67F9-4DA9-9F4C-D01B2EE7C341}">
  <sheetPr>
    <tabColor theme="9"/>
  </sheetPr>
  <dimension ref="A2:Q28"/>
  <sheetViews>
    <sheetView showGridLines="0" workbookViewId="0">
      <selection activeCell="D29" sqref="D29"/>
    </sheetView>
  </sheetViews>
  <sheetFormatPr baseColWidth="10" defaultRowHeight="15" x14ac:dyDescent="0.25"/>
  <cols>
    <col min="3" max="3" width="13" bestFit="1" customWidth="1"/>
    <col min="11" max="11" width="13" bestFit="1" customWidth="1"/>
  </cols>
  <sheetData>
    <row r="2" spans="1:13" ht="15.75" hidden="1" x14ac:dyDescent="0.25">
      <c r="A2" s="291" t="s">
        <v>479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</row>
    <row r="3" spans="1:13" hidden="1" x14ac:dyDescent="0.25">
      <c r="A3" t="s">
        <v>444</v>
      </c>
    </row>
    <row r="4" spans="1:13" hidden="1" x14ac:dyDescent="0.25">
      <c r="A4" s="43"/>
      <c r="B4" s="288">
        <v>2022</v>
      </c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</row>
    <row r="5" spans="1:13" hidden="1" x14ac:dyDescent="0.25">
      <c r="A5" s="44"/>
      <c r="B5" s="45" t="s">
        <v>426</v>
      </c>
      <c r="C5" s="45" t="s">
        <v>427</v>
      </c>
      <c r="D5" s="45" t="s">
        <v>428</v>
      </c>
      <c r="E5" s="45" t="s">
        <v>429</v>
      </c>
      <c r="F5" s="45" t="s">
        <v>430</v>
      </c>
      <c r="G5" s="45" t="s">
        <v>431</v>
      </c>
      <c r="H5" s="45" t="s">
        <v>432</v>
      </c>
      <c r="I5" s="45" t="s">
        <v>433</v>
      </c>
      <c r="J5" s="45" t="s">
        <v>434</v>
      </c>
      <c r="K5" s="45" t="s">
        <v>435</v>
      </c>
      <c r="L5" s="45" t="s">
        <v>436</v>
      </c>
      <c r="M5" s="45" t="s">
        <v>437</v>
      </c>
    </row>
    <row r="6" spans="1:13" hidden="1" x14ac:dyDescent="0.25">
      <c r="A6" s="46" t="s">
        <v>438</v>
      </c>
      <c r="B6" s="51">
        <v>584600</v>
      </c>
      <c r="C6" s="52">
        <v>515400</v>
      </c>
      <c r="D6" s="51">
        <v>538900</v>
      </c>
      <c r="E6" s="52">
        <v>548600</v>
      </c>
      <c r="F6" s="51">
        <v>417100</v>
      </c>
      <c r="G6" s="52">
        <v>591000</v>
      </c>
      <c r="H6" s="51">
        <v>575200</v>
      </c>
      <c r="I6" s="52">
        <v>160100</v>
      </c>
      <c r="J6" s="51">
        <v>414000</v>
      </c>
      <c r="K6" s="52">
        <v>471600</v>
      </c>
      <c r="L6" s="51">
        <v>471600</v>
      </c>
      <c r="M6" s="52">
        <v>466000</v>
      </c>
    </row>
    <row r="7" spans="1:13" hidden="1" x14ac:dyDescent="0.25">
      <c r="A7" s="46" t="s">
        <v>439</v>
      </c>
      <c r="B7" s="51">
        <v>1600200</v>
      </c>
      <c r="C7" s="52">
        <v>1450200</v>
      </c>
      <c r="D7" s="51">
        <v>1646900</v>
      </c>
      <c r="E7" s="52">
        <v>1544900</v>
      </c>
      <c r="F7" s="51">
        <v>1657200</v>
      </c>
      <c r="G7" s="52">
        <v>1584800</v>
      </c>
      <c r="H7" s="51">
        <v>1408900</v>
      </c>
      <c r="I7" s="52">
        <v>1295800</v>
      </c>
      <c r="J7" s="51">
        <v>1225200</v>
      </c>
      <c r="K7" s="52">
        <v>1482300000</v>
      </c>
      <c r="L7" s="51">
        <v>1487400</v>
      </c>
      <c r="M7" s="52">
        <v>1696000</v>
      </c>
    </row>
    <row r="8" spans="1:13" hidden="1" x14ac:dyDescent="0.25">
      <c r="A8" s="53" t="s">
        <v>29</v>
      </c>
      <c r="B8" s="49">
        <f t="shared" ref="B8:M8" si="0">+B6+B7</f>
        <v>2184800</v>
      </c>
      <c r="C8" s="49">
        <f t="shared" si="0"/>
        <v>1965600</v>
      </c>
      <c r="D8" s="49">
        <f t="shared" si="0"/>
        <v>2185800</v>
      </c>
      <c r="E8" s="49">
        <f t="shared" si="0"/>
        <v>2093500</v>
      </c>
      <c r="F8" s="49">
        <f t="shared" si="0"/>
        <v>2074300</v>
      </c>
      <c r="G8" s="49">
        <f t="shared" si="0"/>
        <v>2175800</v>
      </c>
      <c r="H8" s="49">
        <f t="shared" si="0"/>
        <v>1984100</v>
      </c>
      <c r="I8" s="49">
        <f t="shared" si="0"/>
        <v>1455900</v>
      </c>
      <c r="J8" s="49">
        <f t="shared" si="0"/>
        <v>1639200</v>
      </c>
      <c r="K8" s="49">
        <f t="shared" si="0"/>
        <v>1482771600</v>
      </c>
      <c r="L8" s="49">
        <f t="shared" si="0"/>
        <v>1959000</v>
      </c>
      <c r="M8" s="49">
        <f t="shared" si="0"/>
        <v>2162000</v>
      </c>
    </row>
    <row r="9" spans="1:13" hidden="1" x14ac:dyDescent="0.25">
      <c r="A9" s="289" t="s">
        <v>440</v>
      </c>
      <c r="B9" s="289"/>
      <c r="C9" s="289"/>
      <c r="D9" s="289"/>
      <c r="E9" s="289"/>
    </row>
    <row r="10" spans="1:13" x14ac:dyDescent="0.25">
      <c r="A10" s="315"/>
      <c r="B10" s="315"/>
      <c r="C10" s="315"/>
      <c r="D10" s="315"/>
      <c r="E10" s="315"/>
      <c r="F10" s="315"/>
    </row>
    <row r="11" spans="1:13" ht="15.75" thickBot="1" x14ac:dyDescent="0.3">
      <c r="A11" s="316" t="s">
        <v>479</v>
      </c>
      <c r="B11" s="316"/>
      <c r="C11" s="316"/>
      <c r="D11" s="316"/>
      <c r="E11" s="316"/>
      <c r="F11" s="316"/>
    </row>
    <row r="12" spans="1:13" ht="15.75" thickBot="1" x14ac:dyDescent="0.3">
      <c r="A12" s="135">
        <v>2022</v>
      </c>
      <c r="B12" s="94" t="s">
        <v>438</v>
      </c>
      <c r="C12" s="94" t="s">
        <v>439</v>
      </c>
      <c r="D12" s="94" t="s">
        <v>29</v>
      </c>
      <c r="E12" s="315"/>
      <c r="F12" s="315"/>
    </row>
    <row r="13" spans="1:13" ht="15.75" thickBot="1" x14ac:dyDescent="0.3">
      <c r="A13" s="95" t="s">
        <v>426</v>
      </c>
      <c r="B13" s="137">
        <v>584600</v>
      </c>
      <c r="C13" s="137">
        <v>1600200</v>
      </c>
      <c r="D13" s="137">
        <v>2184800</v>
      </c>
      <c r="E13" s="315"/>
      <c r="F13" s="315"/>
    </row>
    <row r="14" spans="1:13" ht="15.75" thickBot="1" x14ac:dyDescent="0.3">
      <c r="A14" s="95" t="s">
        <v>427</v>
      </c>
      <c r="B14" s="137">
        <v>515400</v>
      </c>
      <c r="C14" s="137">
        <v>1450200</v>
      </c>
      <c r="D14" s="137">
        <v>1965600</v>
      </c>
      <c r="E14" s="315"/>
      <c r="F14" s="315"/>
    </row>
    <row r="15" spans="1:13" ht="15.75" thickBot="1" x14ac:dyDescent="0.3">
      <c r="A15" s="95" t="s">
        <v>428</v>
      </c>
      <c r="B15" s="137">
        <v>538900</v>
      </c>
      <c r="C15" s="137">
        <v>1646900</v>
      </c>
      <c r="D15" s="137">
        <v>2185800</v>
      </c>
      <c r="E15" s="315"/>
      <c r="F15" s="315"/>
    </row>
    <row r="16" spans="1:13" ht="15.75" thickBot="1" x14ac:dyDescent="0.3">
      <c r="A16" s="95" t="s">
        <v>429</v>
      </c>
      <c r="B16" s="137">
        <v>548600</v>
      </c>
      <c r="C16" s="137">
        <v>1544900</v>
      </c>
      <c r="D16" s="137">
        <v>2093500</v>
      </c>
      <c r="E16" s="315"/>
      <c r="F16" s="315"/>
    </row>
    <row r="17" spans="1:17" ht="15.75" thickBot="1" x14ac:dyDescent="0.3">
      <c r="A17" s="95" t="s">
        <v>430</v>
      </c>
      <c r="B17" s="137">
        <v>417100</v>
      </c>
      <c r="C17" s="137">
        <v>1657200</v>
      </c>
      <c r="D17" s="137">
        <v>2074300</v>
      </c>
      <c r="E17" s="315"/>
      <c r="F17" s="315"/>
    </row>
    <row r="18" spans="1:17" ht="15.75" thickBot="1" x14ac:dyDescent="0.3">
      <c r="A18" s="95" t="s">
        <v>431</v>
      </c>
      <c r="B18" s="137">
        <v>591000</v>
      </c>
      <c r="C18" s="137">
        <v>1584800</v>
      </c>
      <c r="D18" s="137">
        <v>2175800</v>
      </c>
      <c r="E18" s="315"/>
      <c r="F18" s="315"/>
    </row>
    <row r="19" spans="1:17" ht="15.75" thickBot="1" x14ac:dyDescent="0.3">
      <c r="A19" s="95" t="s">
        <v>432</v>
      </c>
      <c r="B19" s="137">
        <v>575200</v>
      </c>
      <c r="C19" s="137">
        <v>1408900</v>
      </c>
      <c r="D19" s="137">
        <v>1984100</v>
      </c>
      <c r="E19" s="315"/>
      <c r="F19" s="315"/>
    </row>
    <row r="20" spans="1:17" ht="15.75" thickBot="1" x14ac:dyDescent="0.3">
      <c r="A20" s="95" t="s">
        <v>433</v>
      </c>
      <c r="B20" s="137">
        <v>160100</v>
      </c>
      <c r="C20" s="137">
        <v>1295800</v>
      </c>
      <c r="D20" s="137">
        <v>1455900</v>
      </c>
      <c r="E20" s="315"/>
      <c r="F20" s="315"/>
    </row>
    <row r="21" spans="1:17" ht="15.75" thickBot="1" x14ac:dyDescent="0.3">
      <c r="A21" s="95" t="s">
        <v>443</v>
      </c>
      <c r="B21" s="137">
        <v>414000</v>
      </c>
      <c r="C21" s="137">
        <v>1225200</v>
      </c>
      <c r="D21" s="137">
        <v>1639200</v>
      </c>
      <c r="E21" s="315"/>
      <c r="F21" s="468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</row>
    <row r="22" spans="1:17" ht="15.75" thickBot="1" x14ac:dyDescent="0.3">
      <c r="A22" s="95" t="s">
        <v>435</v>
      </c>
      <c r="B22" s="137">
        <v>471600</v>
      </c>
      <c r="C22" s="137">
        <v>1482300</v>
      </c>
      <c r="D22" s="137">
        <v>1953900</v>
      </c>
      <c r="E22" s="315"/>
      <c r="F22" s="315"/>
    </row>
    <row r="23" spans="1:17" ht="15.75" thickBot="1" x14ac:dyDescent="0.3">
      <c r="A23" s="95" t="s">
        <v>436</v>
      </c>
      <c r="B23" s="137">
        <v>471600</v>
      </c>
      <c r="C23" s="137">
        <v>1487400</v>
      </c>
      <c r="D23" s="137">
        <v>1959000</v>
      </c>
      <c r="E23" s="315"/>
      <c r="F23" s="315"/>
    </row>
    <row r="24" spans="1:17" ht="15.75" thickBot="1" x14ac:dyDescent="0.3">
      <c r="A24" s="95" t="s">
        <v>437</v>
      </c>
      <c r="B24" s="137">
        <v>466000</v>
      </c>
      <c r="C24" s="137">
        <v>1696000</v>
      </c>
      <c r="D24" s="137">
        <v>2162000</v>
      </c>
      <c r="E24" s="315"/>
      <c r="F24" s="315"/>
    </row>
    <row r="25" spans="1:17" x14ac:dyDescent="0.25">
      <c r="A25" s="315"/>
      <c r="B25" s="315"/>
      <c r="C25" s="315"/>
      <c r="D25" s="315"/>
      <c r="E25" s="315"/>
      <c r="F25" s="315"/>
    </row>
    <row r="26" spans="1:17" x14ac:dyDescent="0.25">
      <c r="A26" s="464" t="s">
        <v>832</v>
      </c>
      <c r="B26" s="315"/>
      <c r="C26" s="315"/>
      <c r="D26" s="315"/>
      <c r="E26" s="315"/>
      <c r="F26" s="315"/>
    </row>
    <row r="27" spans="1:17" x14ac:dyDescent="0.25">
      <c r="A27" s="464" t="s">
        <v>833</v>
      </c>
      <c r="B27" s="315"/>
      <c r="C27" s="315"/>
      <c r="D27" s="315"/>
      <c r="E27" s="315"/>
      <c r="F27" s="315"/>
    </row>
    <row r="28" spans="1:17" ht="22.5" x14ac:dyDescent="0.25">
      <c r="A28" s="465" t="s">
        <v>834</v>
      </c>
    </row>
  </sheetData>
  <mergeCells count="4">
    <mergeCell ref="B4:M4"/>
    <mergeCell ref="A9:E9"/>
    <mergeCell ref="A2:M2"/>
    <mergeCell ref="A11:F1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8195-F091-49BB-AD8B-C7BDC16C7A3E}">
  <sheetPr>
    <tabColor theme="9"/>
  </sheetPr>
  <dimension ref="A2:Y25"/>
  <sheetViews>
    <sheetView showGridLines="0" topLeftCell="N1" zoomScale="110" zoomScaleNormal="110" workbookViewId="0">
      <selection activeCell="T13" sqref="T13"/>
    </sheetView>
  </sheetViews>
  <sheetFormatPr baseColWidth="10" defaultRowHeight="15" x14ac:dyDescent="0.25"/>
  <cols>
    <col min="2" max="13" width="0" hidden="1" customWidth="1"/>
    <col min="17" max="17" width="13.42578125" customWidth="1"/>
  </cols>
  <sheetData>
    <row r="2" spans="1:25" x14ac:dyDescent="0.25"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315"/>
      <c r="O2" s="315"/>
      <c r="Q2" s="315"/>
      <c r="R2" s="315"/>
      <c r="S2" s="315"/>
      <c r="T2" s="315"/>
      <c r="U2" s="315"/>
    </row>
    <row r="3" spans="1:25" hidden="1" x14ac:dyDescent="0.25">
      <c r="A3" t="s">
        <v>425</v>
      </c>
      <c r="N3" s="315"/>
      <c r="O3" s="315"/>
      <c r="P3" s="315"/>
      <c r="Q3" s="315"/>
      <c r="R3" s="315"/>
      <c r="S3" s="315"/>
      <c r="T3" s="315"/>
      <c r="U3" s="315"/>
    </row>
    <row r="4" spans="1:25" hidden="1" x14ac:dyDescent="0.25">
      <c r="A4" s="292"/>
      <c r="B4" s="73" t="s">
        <v>426</v>
      </c>
      <c r="C4" s="75" t="s">
        <v>427</v>
      </c>
      <c r="D4" s="75" t="s">
        <v>428</v>
      </c>
      <c r="E4" s="75" t="s">
        <v>429</v>
      </c>
      <c r="F4" s="75" t="s">
        <v>430</v>
      </c>
      <c r="G4" s="75" t="s">
        <v>431</v>
      </c>
      <c r="H4" s="75" t="s">
        <v>432</v>
      </c>
      <c r="I4" s="75" t="s">
        <v>433</v>
      </c>
      <c r="J4" s="75" t="s">
        <v>434</v>
      </c>
      <c r="K4" s="75" t="s">
        <v>435</v>
      </c>
      <c r="L4" s="75" t="s">
        <v>436</v>
      </c>
      <c r="M4" s="75" t="s">
        <v>437</v>
      </c>
      <c r="N4" s="469" t="s">
        <v>426</v>
      </c>
      <c r="O4" s="469" t="s">
        <v>427</v>
      </c>
      <c r="P4" s="469" t="s">
        <v>428</v>
      </c>
      <c r="Q4" s="469" t="s">
        <v>429</v>
      </c>
      <c r="R4" s="469" t="s">
        <v>430</v>
      </c>
      <c r="S4" s="469" t="s">
        <v>431</v>
      </c>
      <c r="T4" s="469" t="s">
        <v>432</v>
      </c>
      <c r="U4" s="469" t="s">
        <v>433</v>
      </c>
      <c r="V4" s="75" t="s">
        <v>443</v>
      </c>
      <c r="W4" s="75" t="s">
        <v>435</v>
      </c>
      <c r="X4" s="75" t="s">
        <v>436</v>
      </c>
      <c r="Y4" s="75" t="s">
        <v>437</v>
      </c>
    </row>
    <row r="5" spans="1:25" hidden="1" x14ac:dyDescent="0.25">
      <c r="A5" s="293"/>
      <c r="B5" s="74">
        <v>21</v>
      </c>
      <c r="C5" s="76">
        <v>21</v>
      </c>
      <c r="D5" s="76">
        <v>21</v>
      </c>
      <c r="E5" s="76">
        <v>21</v>
      </c>
      <c r="F5" s="76">
        <v>21</v>
      </c>
      <c r="G5" s="76">
        <v>21</v>
      </c>
      <c r="H5" s="76">
        <v>21</v>
      </c>
      <c r="I5" s="76">
        <v>21</v>
      </c>
      <c r="J5" s="76">
        <v>21</v>
      </c>
      <c r="K5" s="76">
        <v>21</v>
      </c>
      <c r="L5" s="76">
        <v>21</v>
      </c>
      <c r="M5" s="76">
        <v>21</v>
      </c>
      <c r="N5" s="470">
        <v>22</v>
      </c>
      <c r="O5" s="470">
        <v>22</v>
      </c>
      <c r="P5" s="470">
        <v>22</v>
      </c>
      <c r="Q5" s="470">
        <v>22</v>
      </c>
      <c r="R5" s="470">
        <v>22</v>
      </c>
      <c r="S5" s="470">
        <v>22</v>
      </c>
      <c r="T5" s="470">
        <v>22</v>
      </c>
      <c r="U5" s="470">
        <v>22</v>
      </c>
      <c r="V5" s="76">
        <v>22</v>
      </c>
      <c r="W5" s="76">
        <v>22</v>
      </c>
      <c r="X5" s="76">
        <v>22</v>
      </c>
      <c r="Y5" s="76">
        <v>22</v>
      </c>
    </row>
    <row r="6" spans="1:25" ht="22.5" hidden="1" x14ac:dyDescent="0.25">
      <c r="A6" s="63" t="s">
        <v>445</v>
      </c>
      <c r="B6" s="71">
        <v>14531.005716439402</v>
      </c>
      <c r="C6" s="71">
        <v>13852.720239957729</v>
      </c>
      <c r="D6" s="71">
        <v>15820.476695179897</v>
      </c>
      <c r="E6" s="71">
        <v>13339.531428418095</v>
      </c>
      <c r="F6" s="71">
        <v>19108.72824684238</v>
      </c>
      <c r="G6" s="71">
        <v>21030.442791401889</v>
      </c>
      <c r="H6" s="71">
        <v>21566.645731947141</v>
      </c>
      <c r="I6" s="71">
        <v>23494.98813730371</v>
      </c>
      <c r="J6" s="71">
        <v>23153.74890836365</v>
      </c>
      <c r="K6" s="71">
        <v>27541.636808643445</v>
      </c>
      <c r="L6" s="71">
        <v>20189.033062584323</v>
      </c>
      <c r="M6" s="71">
        <v>18558.709568197617</v>
      </c>
      <c r="N6" s="471">
        <v>17420.915326652466</v>
      </c>
      <c r="O6" s="471">
        <v>15577.935718193248</v>
      </c>
      <c r="P6" s="471">
        <v>17183.703368683491</v>
      </c>
      <c r="Q6" s="471">
        <v>15203.849219931421</v>
      </c>
      <c r="R6" s="471">
        <v>20245.600277563677</v>
      </c>
      <c r="S6" s="471">
        <v>21950.005968494977</v>
      </c>
      <c r="T6" s="471">
        <v>24280.227340830032</v>
      </c>
      <c r="U6" s="471">
        <v>24334.338561769564</v>
      </c>
      <c r="V6" s="71">
        <v>24285.765634582123</v>
      </c>
      <c r="W6" s="71">
        <v>24957.198228720958</v>
      </c>
      <c r="X6" s="71">
        <v>25778.693710812404</v>
      </c>
      <c r="Y6" s="71">
        <v>24667.079386003461</v>
      </c>
    </row>
    <row r="7" spans="1:25" hidden="1" x14ac:dyDescent="0.25">
      <c r="A7" s="63" t="s">
        <v>446</v>
      </c>
      <c r="B7" s="71">
        <v>18941.386455286549</v>
      </c>
      <c r="C7" s="71">
        <v>16616.278089195712</v>
      </c>
      <c r="D7" s="71">
        <v>14695.359431354</v>
      </c>
      <c r="E7" s="71">
        <v>10880.0751383513</v>
      </c>
      <c r="F7" s="71">
        <v>3076.3318685293652</v>
      </c>
      <c r="G7" s="71">
        <v>8646.3308311706696</v>
      </c>
      <c r="H7" s="71">
        <v>1790.0868495787001</v>
      </c>
      <c r="I7" s="71">
        <v>379.34368724071999</v>
      </c>
      <c r="J7" s="71">
        <v>11946.291417230899</v>
      </c>
      <c r="K7" s="71">
        <v>18517.343270402402</v>
      </c>
      <c r="L7" s="71">
        <v>20083.39508951455</v>
      </c>
      <c r="M7" s="71">
        <v>21046.196347856861</v>
      </c>
      <c r="N7" s="471">
        <v>21883.830549990053</v>
      </c>
      <c r="O7" s="471">
        <v>19566.606247543121</v>
      </c>
      <c r="P7" s="471">
        <v>19170.93598801201</v>
      </c>
      <c r="Q7" s="471">
        <v>20463.496276426769</v>
      </c>
      <c r="R7" s="471">
        <v>20013.647874656479</v>
      </c>
      <c r="S7" s="471">
        <v>18449.552523577</v>
      </c>
      <c r="T7" s="471">
        <v>2986.5954027245198</v>
      </c>
      <c r="U7" s="471">
        <v>6267.6851004648697</v>
      </c>
      <c r="V7" s="71">
        <v>10000.733039619989</v>
      </c>
      <c r="W7" s="71">
        <v>17955.987738667012</v>
      </c>
      <c r="X7" s="71">
        <v>18059.822668854027</v>
      </c>
      <c r="Y7" s="71">
        <v>14353.914953551899</v>
      </c>
    </row>
    <row r="8" spans="1:25" hidden="1" x14ac:dyDescent="0.25">
      <c r="A8" s="63" t="s">
        <v>29</v>
      </c>
      <c r="B8" s="72">
        <f>+B6+B7</f>
        <v>33472.392171725951</v>
      </c>
      <c r="C8" s="72">
        <f t="shared" ref="C8:Y8" si="0">+C6+C7</f>
        <v>30468.998329153441</v>
      </c>
      <c r="D8" s="72">
        <f t="shared" si="0"/>
        <v>30515.836126533897</v>
      </c>
      <c r="E8" s="72">
        <f t="shared" si="0"/>
        <v>24219.606566769395</v>
      </c>
      <c r="F8" s="72">
        <f t="shared" si="0"/>
        <v>22185.060115371743</v>
      </c>
      <c r="G8" s="72">
        <f t="shared" si="0"/>
        <v>29676.77362257256</v>
      </c>
      <c r="H8" s="72">
        <f t="shared" si="0"/>
        <v>23356.732581525841</v>
      </c>
      <c r="I8" s="72">
        <f t="shared" si="0"/>
        <v>23874.331824544428</v>
      </c>
      <c r="J8" s="72">
        <f t="shared" si="0"/>
        <v>35100.040325594549</v>
      </c>
      <c r="K8" s="72">
        <f t="shared" si="0"/>
        <v>46058.980079045847</v>
      </c>
      <c r="L8" s="72">
        <f t="shared" si="0"/>
        <v>40272.428152098873</v>
      </c>
      <c r="M8" s="72">
        <f t="shared" si="0"/>
        <v>39604.905916054478</v>
      </c>
      <c r="N8" s="472">
        <f t="shared" si="0"/>
        <v>39304.745876642519</v>
      </c>
      <c r="O8" s="472">
        <f t="shared" si="0"/>
        <v>35144.541965736367</v>
      </c>
      <c r="P8" s="472">
        <f t="shared" si="0"/>
        <v>36354.639356695501</v>
      </c>
      <c r="Q8" s="472">
        <f t="shared" si="0"/>
        <v>35667.34549635819</v>
      </c>
      <c r="R8" s="472">
        <f t="shared" si="0"/>
        <v>40259.248152220156</v>
      </c>
      <c r="S8" s="472">
        <f t="shared" si="0"/>
        <v>40399.558492071978</v>
      </c>
      <c r="T8" s="472">
        <f t="shared" si="0"/>
        <v>27266.822743554552</v>
      </c>
      <c r="U8" s="472">
        <f t="shared" si="0"/>
        <v>30602.023662234435</v>
      </c>
      <c r="V8" s="72">
        <f t="shared" si="0"/>
        <v>34286.498674202114</v>
      </c>
      <c r="W8" s="72">
        <f t="shared" si="0"/>
        <v>42913.185967387966</v>
      </c>
      <c r="X8" s="72">
        <f t="shared" si="0"/>
        <v>43838.516379666427</v>
      </c>
      <c r="Y8" s="72">
        <f t="shared" si="0"/>
        <v>39020.994339555356</v>
      </c>
    </row>
    <row r="9" spans="1:25" hidden="1" x14ac:dyDescent="0.25">
      <c r="N9" s="315"/>
      <c r="O9" s="315"/>
      <c r="P9" s="315"/>
      <c r="Q9" s="315"/>
      <c r="R9" s="315"/>
      <c r="S9" s="315"/>
      <c r="T9" s="315"/>
      <c r="U9" s="315"/>
    </row>
    <row r="10" spans="1:25" x14ac:dyDescent="0.25">
      <c r="N10" s="315"/>
      <c r="O10" s="339" t="s">
        <v>480</v>
      </c>
      <c r="P10" s="315"/>
      <c r="Q10" s="315"/>
      <c r="R10" s="315"/>
      <c r="S10" s="315"/>
      <c r="T10" s="315"/>
      <c r="U10" s="315"/>
    </row>
    <row r="11" spans="1:25" ht="15.75" thickBot="1" x14ac:dyDescent="0.3">
      <c r="N11" s="315"/>
      <c r="O11" s="315"/>
      <c r="P11" s="315"/>
      <c r="Q11" s="315"/>
      <c r="R11" s="315"/>
      <c r="S11" s="315"/>
      <c r="T11" s="315"/>
      <c r="U11" s="315"/>
    </row>
    <row r="12" spans="1:25" ht="23.25" thickBot="1" x14ac:dyDescent="0.3">
      <c r="N12" s="315"/>
      <c r="O12" s="138">
        <v>2022</v>
      </c>
      <c r="P12" s="94" t="s">
        <v>560</v>
      </c>
      <c r="Q12" s="94" t="s">
        <v>561</v>
      </c>
      <c r="R12" s="94" t="s">
        <v>29</v>
      </c>
      <c r="S12" s="315"/>
      <c r="T12" s="315"/>
      <c r="U12" s="315"/>
    </row>
    <row r="13" spans="1:25" ht="23.25" thickBot="1" x14ac:dyDescent="0.3">
      <c r="B13" s="77">
        <v>2021</v>
      </c>
      <c r="C13" s="78" t="s">
        <v>445</v>
      </c>
      <c r="D13" s="78" t="s">
        <v>446</v>
      </c>
      <c r="E13" s="79" t="s">
        <v>29</v>
      </c>
      <c r="N13" s="315"/>
      <c r="O13" s="95" t="s">
        <v>426</v>
      </c>
      <c r="P13" s="137">
        <v>17420.919999999998</v>
      </c>
      <c r="Q13" s="137">
        <v>21883.83</v>
      </c>
      <c r="R13" s="137">
        <v>39304.75</v>
      </c>
      <c r="S13" s="315"/>
      <c r="T13" s="315"/>
      <c r="U13" s="315"/>
    </row>
    <row r="14" spans="1:25" ht="15.75" thickBot="1" x14ac:dyDescent="0.3">
      <c r="B14" s="80" t="s">
        <v>441</v>
      </c>
      <c r="C14" s="70">
        <v>14531.005716439402</v>
      </c>
      <c r="D14" s="70">
        <v>18941.386455286549</v>
      </c>
      <c r="E14" s="81">
        <f>+C14+D14</f>
        <v>33472.392171725951</v>
      </c>
      <c r="N14" s="315"/>
      <c r="O14" s="95" t="s">
        <v>427</v>
      </c>
      <c r="P14" s="137">
        <v>15577.94</v>
      </c>
      <c r="Q14" s="137">
        <v>19566.61</v>
      </c>
      <c r="R14" s="137">
        <v>35144.54</v>
      </c>
      <c r="S14" s="315"/>
      <c r="T14" s="315"/>
      <c r="U14" s="315"/>
    </row>
    <row r="15" spans="1:25" ht="15.75" thickBot="1" x14ac:dyDescent="0.3">
      <c r="B15" s="82" t="s">
        <v>442</v>
      </c>
      <c r="C15" s="70">
        <v>13852.720239957729</v>
      </c>
      <c r="D15" s="70">
        <v>16616.278089195712</v>
      </c>
      <c r="E15" s="81">
        <f t="shared" ref="E15:E25" si="1">+C15+D15</f>
        <v>30468.998329153441</v>
      </c>
      <c r="N15" s="315"/>
      <c r="O15" s="95" t="s">
        <v>428</v>
      </c>
      <c r="P15" s="137">
        <v>17183.7</v>
      </c>
      <c r="Q15" s="137">
        <v>19170.939999999999</v>
      </c>
      <c r="R15" s="137">
        <v>36354.639999999999</v>
      </c>
      <c r="S15" s="315"/>
      <c r="T15" s="315"/>
      <c r="U15" s="315"/>
    </row>
    <row r="16" spans="1:25" ht="15.75" thickBot="1" x14ac:dyDescent="0.3">
      <c r="B16" s="83" t="s">
        <v>428</v>
      </c>
      <c r="C16" s="70">
        <v>15820.476695179897</v>
      </c>
      <c r="D16" s="70">
        <v>14695.359431354</v>
      </c>
      <c r="E16" s="81">
        <f t="shared" si="1"/>
        <v>30515.836126533897</v>
      </c>
      <c r="N16" s="315"/>
      <c r="O16" s="95" t="s">
        <v>429</v>
      </c>
      <c r="P16" s="137">
        <v>15203.85</v>
      </c>
      <c r="Q16" s="137">
        <v>20463.5</v>
      </c>
      <c r="R16" s="137">
        <v>35667.35</v>
      </c>
      <c r="S16" s="315"/>
      <c r="T16" s="315"/>
      <c r="U16" s="315"/>
    </row>
    <row r="17" spans="2:21" ht="15.75" thickBot="1" x14ac:dyDescent="0.3">
      <c r="B17" s="83" t="s">
        <v>429</v>
      </c>
      <c r="C17" s="70">
        <v>13339.531428418095</v>
      </c>
      <c r="D17" s="70">
        <v>10880.0751383513</v>
      </c>
      <c r="E17" s="81">
        <f t="shared" si="1"/>
        <v>24219.606566769395</v>
      </c>
      <c r="N17" s="315"/>
      <c r="O17" s="95" t="s">
        <v>430</v>
      </c>
      <c r="P17" s="137">
        <v>20245.599999999999</v>
      </c>
      <c r="Q17" s="137">
        <v>20013.650000000001</v>
      </c>
      <c r="R17" s="137">
        <v>40259.25</v>
      </c>
      <c r="S17" s="315"/>
      <c r="T17" s="315"/>
      <c r="U17" s="315"/>
    </row>
    <row r="18" spans="2:21" ht="15.75" thickBot="1" x14ac:dyDescent="0.3">
      <c r="B18" s="83" t="s">
        <v>430</v>
      </c>
      <c r="C18" s="70">
        <v>19108.72824684238</v>
      </c>
      <c r="D18" s="70">
        <v>3076.3318685293652</v>
      </c>
      <c r="E18" s="81">
        <f t="shared" si="1"/>
        <v>22185.060115371743</v>
      </c>
      <c r="N18" s="315"/>
      <c r="O18" s="95" t="s">
        <v>431</v>
      </c>
      <c r="P18" s="137">
        <v>21950.01</v>
      </c>
      <c r="Q18" s="137">
        <v>18449.55</v>
      </c>
      <c r="R18" s="137">
        <v>40399.56</v>
      </c>
      <c r="S18" s="315"/>
      <c r="T18" s="315"/>
      <c r="U18" s="315"/>
    </row>
    <row r="19" spans="2:21" ht="15.75" thickBot="1" x14ac:dyDescent="0.3">
      <c r="B19" s="83" t="s">
        <v>431</v>
      </c>
      <c r="C19" s="70">
        <v>21030.442791401889</v>
      </c>
      <c r="D19" s="70">
        <v>8646.3308311706696</v>
      </c>
      <c r="E19" s="81">
        <f t="shared" si="1"/>
        <v>29676.77362257256</v>
      </c>
      <c r="N19" s="315"/>
      <c r="O19" s="95" t="s">
        <v>432</v>
      </c>
      <c r="P19" s="137">
        <v>24280.23</v>
      </c>
      <c r="Q19" s="137">
        <v>2986.6</v>
      </c>
      <c r="R19" s="137">
        <v>27266.82</v>
      </c>
      <c r="S19" s="315"/>
      <c r="T19" s="315"/>
      <c r="U19" s="315"/>
    </row>
    <row r="20" spans="2:21" ht="15.75" thickBot="1" x14ac:dyDescent="0.3">
      <c r="B20" s="83" t="s">
        <v>432</v>
      </c>
      <c r="C20" s="70">
        <v>21566.645731947141</v>
      </c>
      <c r="D20" s="70">
        <v>1790.0868495787001</v>
      </c>
      <c r="E20" s="81">
        <f t="shared" si="1"/>
        <v>23356.732581525841</v>
      </c>
      <c r="N20" s="315"/>
      <c r="O20" s="95" t="s">
        <v>433</v>
      </c>
      <c r="P20" s="137">
        <v>24334.34</v>
      </c>
      <c r="Q20" s="137">
        <v>6267.69</v>
      </c>
      <c r="R20" s="137">
        <v>30602.02</v>
      </c>
      <c r="S20" s="315"/>
      <c r="T20" s="315"/>
      <c r="U20" s="315"/>
    </row>
    <row r="21" spans="2:21" ht="15.75" thickBot="1" x14ac:dyDescent="0.3">
      <c r="B21" s="83" t="s">
        <v>433</v>
      </c>
      <c r="C21" s="70">
        <v>23494.98813730371</v>
      </c>
      <c r="D21" s="70">
        <v>379.34368724071999</v>
      </c>
      <c r="E21" s="81">
        <f t="shared" si="1"/>
        <v>23874.331824544428</v>
      </c>
      <c r="N21" s="315"/>
      <c r="O21" s="95" t="s">
        <v>443</v>
      </c>
      <c r="P21" s="137">
        <v>24285.77</v>
      </c>
      <c r="Q21" s="137">
        <v>10000.73</v>
      </c>
      <c r="R21" s="137">
        <v>34286.5</v>
      </c>
      <c r="S21" s="315"/>
      <c r="T21" s="315"/>
      <c r="U21" s="315"/>
    </row>
    <row r="22" spans="2:21" ht="15.75" thickBot="1" x14ac:dyDescent="0.3">
      <c r="B22" s="83" t="s">
        <v>443</v>
      </c>
      <c r="C22" s="70">
        <v>23153.74890836365</v>
      </c>
      <c r="D22" s="70">
        <v>11946.291417230899</v>
      </c>
      <c r="E22" s="81">
        <f t="shared" si="1"/>
        <v>35100.040325594549</v>
      </c>
      <c r="N22" s="315"/>
      <c r="O22" s="95" t="s">
        <v>435</v>
      </c>
      <c r="P22" s="137">
        <v>24957.200000000001</v>
      </c>
      <c r="Q22" s="137">
        <v>17955.990000000002</v>
      </c>
      <c r="R22" s="137">
        <v>42913.19</v>
      </c>
      <c r="S22" s="315"/>
      <c r="T22" s="315"/>
      <c r="U22" s="315"/>
    </row>
    <row r="23" spans="2:21" ht="15.75" thickBot="1" x14ac:dyDescent="0.3">
      <c r="B23" s="83" t="s">
        <v>435</v>
      </c>
      <c r="C23" s="70">
        <v>27541.636808643445</v>
      </c>
      <c r="D23" s="70">
        <v>18517.343270402402</v>
      </c>
      <c r="E23" s="81">
        <f t="shared" si="1"/>
        <v>46058.980079045847</v>
      </c>
      <c r="N23" s="315"/>
      <c r="O23" s="95" t="s">
        <v>436</v>
      </c>
      <c r="P23" s="137">
        <v>25778.69</v>
      </c>
      <c r="Q23" s="137">
        <v>18059.82</v>
      </c>
      <c r="R23" s="137">
        <v>43838.52</v>
      </c>
      <c r="S23" s="315"/>
      <c r="T23" s="315"/>
      <c r="U23" s="315"/>
    </row>
    <row r="24" spans="2:21" ht="15.75" thickBot="1" x14ac:dyDescent="0.3">
      <c r="B24" s="83" t="s">
        <v>436</v>
      </c>
      <c r="C24" s="70">
        <v>20189.033062584323</v>
      </c>
      <c r="D24" s="70">
        <v>20083.39508951455</v>
      </c>
      <c r="E24" s="81">
        <f t="shared" si="1"/>
        <v>40272.428152098873</v>
      </c>
      <c r="N24" s="315"/>
      <c r="O24" s="95" t="s">
        <v>437</v>
      </c>
      <c r="P24" s="137">
        <v>24667.08</v>
      </c>
      <c r="Q24" s="137">
        <v>14353.91</v>
      </c>
      <c r="R24" s="137">
        <v>39020.99</v>
      </c>
      <c r="S24" s="315"/>
      <c r="T24" s="315"/>
      <c r="U24" s="315"/>
    </row>
    <row r="25" spans="2:21" x14ac:dyDescent="0.25">
      <c r="B25" s="83" t="s">
        <v>437</v>
      </c>
      <c r="C25" s="70">
        <v>18558.709568197617</v>
      </c>
      <c r="D25" s="70">
        <v>21046.196347856861</v>
      </c>
      <c r="E25" s="81">
        <f t="shared" si="1"/>
        <v>39604.905916054478</v>
      </c>
      <c r="N25" s="315"/>
      <c r="O25" s="315"/>
      <c r="P25" s="315"/>
      <c r="Q25" s="315"/>
      <c r="R25" s="315"/>
      <c r="S25" s="315"/>
      <c r="T25" s="315"/>
      <c r="U25" s="315"/>
    </row>
  </sheetData>
  <mergeCells count="1">
    <mergeCell ref="A4:A5"/>
  </mergeCells>
  <phoneticPr fontId="1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4B44-05A6-4000-B5B1-9ABF72C2316F}">
  <sheetPr>
    <tabColor theme="9"/>
  </sheetPr>
  <dimension ref="A1:Z75"/>
  <sheetViews>
    <sheetView showGridLines="0" zoomScale="70" zoomScaleNormal="70" workbookViewId="0">
      <selection activeCell="I30" sqref="I30"/>
    </sheetView>
  </sheetViews>
  <sheetFormatPr baseColWidth="10" defaultRowHeight="15" x14ac:dyDescent="0.25"/>
  <cols>
    <col min="1" max="1" width="33.5703125" style="473" customWidth="1"/>
    <col min="2" max="7" width="10.28515625" bestFit="1" customWidth="1"/>
    <col min="8" max="13" width="9.28515625" bestFit="1" customWidth="1"/>
    <col min="14" max="19" width="9.5703125" bestFit="1" customWidth="1"/>
    <col min="20" max="20" width="8.7109375" bestFit="1" customWidth="1"/>
    <col min="21" max="25" width="7.85546875" bestFit="1" customWidth="1"/>
  </cols>
  <sheetData>
    <row r="1" spans="1:26" x14ac:dyDescent="0.25">
      <c r="A1" s="473" t="s">
        <v>447</v>
      </c>
    </row>
    <row r="2" spans="1:26" x14ac:dyDescent="0.25">
      <c r="A2" s="285" t="s">
        <v>569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</row>
    <row r="3" spans="1:26" ht="15.75" thickBot="1" x14ac:dyDescent="0.3"/>
    <row r="4" spans="1:26" ht="15.75" thickBot="1" x14ac:dyDescent="0.3">
      <c r="A4" s="474"/>
      <c r="B4" s="217">
        <v>2022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9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</row>
    <row r="5" spans="1:26" ht="15.75" thickBot="1" x14ac:dyDescent="0.3">
      <c r="A5" s="475"/>
      <c r="B5" s="91" t="s">
        <v>426</v>
      </c>
      <c r="C5" s="91" t="s">
        <v>427</v>
      </c>
      <c r="D5" s="91" t="s">
        <v>428</v>
      </c>
      <c r="E5" s="91" t="s">
        <v>429</v>
      </c>
      <c r="F5" s="91" t="s">
        <v>430</v>
      </c>
      <c r="G5" s="91" t="s">
        <v>431</v>
      </c>
      <c r="H5" s="91" t="s">
        <v>432</v>
      </c>
      <c r="I5" s="91" t="s">
        <v>433</v>
      </c>
      <c r="J5" s="91" t="s">
        <v>443</v>
      </c>
      <c r="K5" s="91" t="s">
        <v>435</v>
      </c>
      <c r="L5" s="91" t="s">
        <v>436</v>
      </c>
      <c r="M5" s="91" t="s">
        <v>437</v>
      </c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</row>
    <row r="6" spans="1:26" ht="15.75" thickBot="1" x14ac:dyDescent="0.3">
      <c r="A6" s="455" t="s">
        <v>562</v>
      </c>
      <c r="B6" s="99">
        <v>1313060</v>
      </c>
      <c r="C6" s="99">
        <v>1336274</v>
      </c>
      <c r="D6" s="99">
        <v>1362273</v>
      </c>
      <c r="E6" s="99">
        <v>1384359</v>
      </c>
      <c r="F6" s="99">
        <v>1412582</v>
      </c>
      <c r="G6" s="99">
        <v>1416996</v>
      </c>
      <c r="H6" s="99">
        <v>1426138</v>
      </c>
      <c r="I6" s="99">
        <v>1438275</v>
      </c>
      <c r="J6" s="99">
        <v>1449975</v>
      </c>
      <c r="K6" s="99">
        <v>1481228</v>
      </c>
      <c r="L6" s="99">
        <v>1513761</v>
      </c>
      <c r="M6" s="99">
        <v>1536035</v>
      </c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</row>
    <row r="7" spans="1:26" ht="15.75" thickBot="1" x14ac:dyDescent="0.3">
      <c r="A7" s="455" t="s">
        <v>567</v>
      </c>
      <c r="B7" s="99">
        <v>3498</v>
      </c>
      <c r="C7" s="99">
        <v>3523</v>
      </c>
      <c r="D7" s="99">
        <v>3493</v>
      </c>
      <c r="E7" s="99">
        <v>3525</v>
      </c>
      <c r="F7" s="99">
        <v>3579</v>
      </c>
      <c r="G7" s="99">
        <v>3561</v>
      </c>
      <c r="H7" s="99">
        <v>3629</v>
      </c>
      <c r="I7" s="99">
        <v>3598</v>
      </c>
      <c r="J7" s="99">
        <v>3628</v>
      </c>
      <c r="K7" s="99">
        <v>3660</v>
      </c>
      <c r="L7" s="99">
        <v>3716</v>
      </c>
      <c r="M7" s="99">
        <v>3763</v>
      </c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</row>
    <row r="8" spans="1:26" ht="15.75" thickBot="1" x14ac:dyDescent="0.3">
      <c r="A8" s="455" t="s">
        <v>414</v>
      </c>
      <c r="B8" s="67">
        <v>280</v>
      </c>
      <c r="C8" s="67">
        <v>280</v>
      </c>
      <c r="D8" s="67">
        <v>279</v>
      </c>
      <c r="E8" s="67">
        <v>279</v>
      </c>
      <c r="F8" s="67">
        <v>280</v>
      </c>
      <c r="G8" s="67">
        <v>280</v>
      </c>
      <c r="H8" s="67">
        <v>280</v>
      </c>
      <c r="I8" s="67">
        <v>279</v>
      </c>
      <c r="J8" s="67">
        <v>280</v>
      </c>
      <c r="K8" s="67">
        <v>280</v>
      </c>
      <c r="L8" s="67">
        <v>281</v>
      </c>
      <c r="M8" s="67">
        <v>280</v>
      </c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</row>
    <row r="9" spans="1:26" ht="15.75" thickBot="1" x14ac:dyDescent="0.3">
      <c r="A9" s="455" t="s">
        <v>564</v>
      </c>
      <c r="B9" s="67">
        <v>650</v>
      </c>
      <c r="C9" s="67">
        <v>649</v>
      </c>
      <c r="D9" s="67">
        <v>650</v>
      </c>
      <c r="E9" s="67">
        <v>652</v>
      </c>
      <c r="F9" s="67">
        <v>658</v>
      </c>
      <c r="G9" s="67">
        <v>663</v>
      </c>
      <c r="H9" s="67">
        <v>664</v>
      </c>
      <c r="I9" s="67">
        <v>667</v>
      </c>
      <c r="J9" s="67">
        <v>667</v>
      </c>
      <c r="K9" s="67">
        <v>669</v>
      </c>
      <c r="L9" s="67">
        <v>673</v>
      </c>
      <c r="M9" s="67">
        <v>684</v>
      </c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</row>
    <row r="10" spans="1:26" ht="15.75" thickBot="1" x14ac:dyDescent="0.3">
      <c r="A10" s="455" t="s">
        <v>565</v>
      </c>
      <c r="B10" s="67">
        <v>29</v>
      </c>
      <c r="C10" s="67">
        <v>29</v>
      </c>
      <c r="D10" s="67">
        <v>29</v>
      </c>
      <c r="E10" s="67">
        <v>29</v>
      </c>
      <c r="F10" s="67">
        <v>30</v>
      </c>
      <c r="G10" s="67">
        <v>30</v>
      </c>
      <c r="H10" s="67">
        <v>30</v>
      </c>
      <c r="I10" s="67">
        <v>30</v>
      </c>
      <c r="J10" s="67">
        <v>30</v>
      </c>
      <c r="K10" s="67">
        <v>30</v>
      </c>
      <c r="L10" s="67">
        <v>30</v>
      </c>
      <c r="M10" s="67">
        <v>30</v>
      </c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</row>
    <row r="11" spans="1:26" ht="15.75" thickBot="1" x14ac:dyDescent="0.3">
      <c r="A11" s="476" t="s">
        <v>29</v>
      </c>
      <c r="B11" s="145">
        <v>1317517</v>
      </c>
      <c r="C11" s="145">
        <v>1340755</v>
      </c>
      <c r="D11" s="145">
        <v>1366724</v>
      </c>
      <c r="E11" s="145">
        <v>1388844</v>
      </c>
      <c r="F11" s="145">
        <v>1417129</v>
      </c>
      <c r="G11" s="145">
        <v>1421530</v>
      </c>
      <c r="H11" s="145">
        <v>1430741</v>
      </c>
      <c r="I11" s="145">
        <v>1442849</v>
      </c>
      <c r="J11" s="145">
        <v>1454580</v>
      </c>
      <c r="K11" s="145">
        <v>1485867</v>
      </c>
      <c r="L11" s="145">
        <v>1518461</v>
      </c>
      <c r="M11" s="145">
        <v>1540792</v>
      </c>
    </row>
    <row r="12" spans="1:26" ht="20.25" customHeight="1" x14ac:dyDescent="0.25">
      <c r="A12" s="285" t="s">
        <v>568</v>
      </c>
      <c r="B12" s="285"/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</row>
    <row r="13" spans="1:26" ht="21.75" customHeight="1" thickBot="1" x14ac:dyDescent="0.3">
      <c r="A13" s="294" t="s">
        <v>448</v>
      </c>
      <c r="B13" s="294"/>
      <c r="C13" s="35" t="s">
        <v>425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spans="1:26" ht="15.75" thickBot="1" x14ac:dyDescent="0.3">
      <c r="A14" s="474"/>
      <c r="B14" s="217">
        <v>2022</v>
      </c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9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</row>
    <row r="15" spans="1:26" ht="15.75" thickBot="1" x14ac:dyDescent="0.3">
      <c r="A15" s="475"/>
      <c r="B15" s="91" t="s">
        <v>426</v>
      </c>
      <c r="C15" s="91" t="s">
        <v>427</v>
      </c>
      <c r="D15" s="91" t="s">
        <v>428</v>
      </c>
      <c r="E15" s="91" t="s">
        <v>429</v>
      </c>
      <c r="F15" s="91" t="s">
        <v>430</v>
      </c>
      <c r="G15" s="91" t="s">
        <v>431</v>
      </c>
      <c r="H15" s="91" t="s">
        <v>432</v>
      </c>
      <c r="I15" s="91" t="s">
        <v>433</v>
      </c>
      <c r="J15" s="91" t="s">
        <v>443</v>
      </c>
      <c r="K15" s="91" t="s">
        <v>435</v>
      </c>
      <c r="L15" s="91" t="s">
        <v>436</v>
      </c>
      <c r="M15" s="91" t="s">
        <v>437</v>
      </c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55"/>
    </row>
    <row r="16" spans="1:26" ht="15.75" thickBot="1" x14ac:dyDescent="0.3">
      <c r="A16" s="455" t="s">
        <v>562</v>
      </c>
      <c r="B16" s="67">
        <v>547.52</v>
      </c>
      <c r="C16" s="67">
        <v>523.87</v>
      </c>
      <c r="D16" s="67">
        <v>600.84</v>
      </c>
      <c r="E16" s="67">
        <v>591.55999999999995</v>
      </c>
      <c r="F16" s="67">
        <v>650.62</v>
      </c>
      <c r="G16" s="67">
        <v>674.12</v>
      </c>
      <c r="H16" s="67">
        <v>693.82</v>
      </c>
      <c r="I16" s="67">
        <v>649.63</v>
      </c>
      <c r="J16" s="67">
        <v>683.68</v>
      </c>
      <c r="K16" s="67">
        <v>695.54</v>
      </c>
      <c r="L16" s="67">
        <v>706.55</v>
      </c>
      <c r="M16" s="67">
        <v>657.12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55"/>
    </row>
    <row r="17" spans="1:26" ht="15.75" thickBot="1" x14ac:dyDescent="0.3">
      <c r="A17" s="455" t="s">
        <v>567</v>
      </c>
      <c r="B17" s="67">
        <v>89.86</v>
      </c>
      <c r="C17" s="67">
        <v>90.83</v>
      </c>
      <c r="D17" s="67">
        <v>100.57</v>
      </c>
      <c r="E17" s="67">
        <v>101.48</v>
      </c>
      <c r="F17" s="67">
        <v>109.31</v>
      </c>
      <c r="G17" s="67">
        <v>106.96</v>
      </c>
      <c r="H17" s="67">
        <v>114.77</v>
      </c>
      <c r="I17" s="67">
        <v>104.12</v>
      </c>
      <c r="J17" s="67">
        <v>107.26</v>
      </c>
      <c r="K17" s="67">
        <v>113.37</v>
      </c>
      <c r="L17" s="67">
        <v>109.98</v>
      </c>
      <c r="M17" s="67">
        <v>103.48</v>
      </c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55"/>
    </row>
    <row r="18" spans="1:26" ht="15.75" thickBot="1" x14ac:dyDescent="0.3">
      <c r="A18" s="455" t="s">
        <v>414</v>
      </c>
      <c r="B18" s="106">
        <v>1675.44</v>
      </c>
      <c r="C18" s="106">
        <v>1681.9</v>
      </c>
      <c r="D18" s="106">
        <v>1914.4</v>
      </c>
      <c r="E18" s="106">
        <v>1836.15</v>
      </c>
      <c r="F18" s="106">
        <v>1986.22</v>
      </c>
      <c r="G18" s="106">
        <v>1932.1</v>
      </c>
      <c r="H18" s="106">
        <v>2015.1</v>
      </c>
      <c r="I18" s="106">
        <v>2052.2800000000002</v>
      </c>
      <c r="J18" s="106">
        <v>2019.23</v>
      </c>
      <c r="K18" s="106">
        <v>2121.7399999999998</v>
      </c>
      <c r="L18" s="106">
        <v>2068.91</v>
      </c>
      <c r="M18" s="106">
        <v>2175.77</v>
      </c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55"/>
    </row>
    <row r="19" spans="1:26" ht="15.75" thickBot="1" x14ac:dyDescent="0.3">
      <c r="A19" s="455" t="s">
        <v>564</v>
      </c>
      <c r="B19" s="106">
        <v>3767.77</v>
      </c>
      <c r="C19" s="106">
        <v>3800.37</v>
      </c>
      <c r="D19" s="106">
        <v>4383.16</v>
      </c>
      <c r="E19" s="106">
        <v>3871.54</v>
      </c>
      <c r="F19" s="106">
        <v>4788.91</v>
      </c>
      <c r="G19" s="106">
        <v>4681.74</v>
      </c>
      <c r="H19" s="106">
        <v>4632.67</v>
      </c>
      <c r="I19" s="106">
        <v>4591.16</v>
      </c>
      <c r="J19" s="106">
        <v>4488.0200000000004</v>
      </c>
      <c r="K19" s="106">
        <v>4283.97</v>
      </c>
      <c r="L19" s="106">
        <v>4449.66</v>
      </c>
      <c r="M19" s="106">
        <v>4277.2700000000004</v>
      </c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55"/>
    </row>
    <row r="20" spans="1:26" ht="15.75" thickBot="1" x14ac:dyDescent="0.3">
      <c r="A20" s="455" t="s">
        <v>565</v>
      </c>
      <c r="B20" s="106">
        <v>10443.780000000001</v>
      </c>
      <c r="C20" s="106">
        <v>8707.86</v>
      </c>
      <c r="D20" s="106">
        <v>9350.86</v>
      </c>
      <c r="E20" s="106">
        <v>7949.88</v>
      </c>
      <c r="F20" s="106">
        <v>11503</v>
      </c>
      <c r="G20" s="106">
        <v>13711.45</v>
      </c>
      <c r="H20" s="106">
        <v>15321.37</v>
      </c>
      <c r="I20" s="106">
        <v>16077.23</v>
      </c>
      <c r="J20" s="106">
        <v>16182.85</v>
      </c>
      <c r="K20" s="106">
        <v>16886.310000000001</v>
      </c>
      <c r="L20" s="106">
        <v>17555.900000000001</v>
      </c>
      <c r="M20" s="106">
        <v>16483.419999999998</v>
      </c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</row>
    <row r="21" spans="1:26" ht="15.75" thickBot="1" x14ac:dyDescent="0.3">
      <c r="A21" s="476" t="s">
        <v>29</v>
      </c>
      <c r="B21" s="112">
        <v>16524.38</v>
      </c>
      <c r="C21" s="112">
        <v>14804.84</v>
      </c>
      <c r="D21" s="112">
        <v>16349.83</v>
      </c>
      <c r="E21" s="112">
        <v>14350.61</v>
      </c>
      <c r="F21" s="112">
        <v>19038.060000000001</v>
      </c>
      <c r="G21" s="112">
        <v>21106.38</v>
      </c>
      <c r="H21" s="112">
        <v>22777.73</v>
      </c>
      <c r="I21" s="112">
        <v>23474.42</v>
      </c>
      <c r="J21" s="112">
        <v>23481.040000000001</v>
      </c>
      <c r="K21" s="112">
        <v>24100.94</v>
      </c>
      <c r="L21" s="112">
        <v>24891</v>
      </c>
      <c r="M21" s="112">
        <v>23697.06</v>
      </c>
    </row>
    <row r="22" spans="1:26" x14ac:dyDescent="0.25">
      <c r="A22" s="400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</row>
    <row r="23" spans="1:26" ht="15" customHeight="1" x14ac:dyDescent="0.25">
      <c r="A23" s="285" t="s">
        <v>570</v>
      </c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P23" s="285"/>
      <c r="Q23" s="285"/>
    </row>
    <row r="24" spans="1:26" ht="20.25" customHeight="1" thickBot="1" x14ac:dyDescent="0.3">
      <c r="A24" s="294" t="s">
        <v>449</v>
      </c>
      <c r="B24" s="294"/>
      <c r="C24" s="294"/>
      <c r="D24" s="35"/>
      <c r="E24" s="35"/>
      <c r="F24" s="35"/>
      <c r="G24" s="35"/>
      <c r="H24" s="35"/>
      <c r="I24" s="294"/>
      <c r="J24" s="294"/>
      <c r="K24" s="35"/>
      <c r="L24" s="35"/>
      <c r="M24" s="35"/>
      <c r="N24" s="35"/>
    </row>
    <row r="25" spans="1:26" ht="15.75" thickBot="1" x14ac:dyDescent="0.3">
      <c r="A25" s="477"/>
      <c r="B25" s="94">
        <v>2017</v>
      </c>
      <c r="C25" s="94">
        <v>2018</v>
      </c>
      <c r="D25" s="94">
        <v>2019</v>
      </c>
      <c r="E25" s="94">
        <v>2020</v>
      </c>
      <c r="F25" s="94">
        <v>2021</v>
      </c>
      <c r="G25" s="94">
        <v>2022</v>
      </c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</row>
    <row r="26" spans="1:26" ht="15.75" thickBot="1" x14ac:dyDescent="0.3">
      <c r="A26" s="455" t="s">
        <v>562</v>
      </c>
      <c r="B26" s="99">
        <v>520845</v>
      </c>
      <c r="C26" s="99">
        <v>745642</v>
      </c>
      <c r="D26" s="99">
        <v>945986</v>
      </c>
      <c r="E26" s="99">
        <v>1037421</v>
      </c>
      <c r="F26" s="99">
        <v>1291935</v>
      </c>
      <c r="G26" s="99">
        <v>1536035</v>
      </c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</row>
    <row r="27" spans="1:26" ht="15.75" thickBot="1" x14ac:dyDescent="0.3">
      <c r="A27" s="455" t="s">
        <v>563</v>
      </c>
      <c r="B27" s="99">
        <v>2363</v>
      </c>
      <c r="C27" s="99">
        <v>2611</v>
      </c>
      <c r="D27" s="99">
        <v>3225</v>
      </c>
      <c r="E27" s="99">
        <v>2585</v>
      </c>
      <c r="F27" s="99">
        <v>3465</v>
      </c>
      <c r="G27" s="99">
        <v>3763</v>
      </c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</row>
    <row r="28" spans="1:26" ht="15.75" thickBot="1" x14ac:dyDescent="0.3">
      <c r="A28" s="455" t="s">
        <v>414</v>
      </c>
      <c r="B28" s="67">
        <v>257</v>
      </c>
      <c r="C28" s="67">
        <v>272</v>
      </c>
      <c r="D28" s="67">
        <v>276</v>
      </c>
      <c r="E28" s="67">
        <v>281</v>
      </c>
      <c r="F28" s="67">
        <v>280</v>
      </c>
      <c r="G28" s="67">
        <v>280</v>
      </c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</row>
    <row r="29" spans="1:26" ht="15.75" thickBot="1" x14ac:dyDescent="0.3">
      <c r="A29" s="455" t="s">
        <v>564</v>
      </c>
      <c r="B29" s="67">
        <v>541</v>
      </c>
      <c r="C29" s="67">
        <v>556</v>
      </c>
      <c r="D29" s="67">
        <v>599</v>
      </c>
      <c r="E29" s="67">
        <v>612</v>
      </c>
      <c r="F29" s="67">
        <v>654</v>
      </c>
      <c r="G29" s="67">
        <v>684</v>
      </c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</row>
    <row r="30" spans="1:26" ht="15.75" thickBot="1" x14ac:dyDescent="0.3">
      <c r="A30" s="455" t="s">
        <v>565</v>
      </c>
      <c r="B30" s="67">
        <v>22</v>
      </c>
      <c r="C30" s="67">
        <v>22</v>
      </c>
      <c r="D30" s="67">
        <v>24</v>
      </c>
      <c r="E30" s="67">
        <v>26</v>
      </c>
      <c r="F30" s="67">
        <v>28</v>
      </c>
      <c r="G30" s="67">
        <v>30</v>
      </c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</row>
    <row r="31" spans="1:26" ht="15.75" thickBot="1" x14ac:dyDescent="0.3">
      <c r="A31" s="476" t="s">
        <v>29</v>
      </c>
      <c r="B31" s="145">
        <v>524028</v>
      </c>
      <c r="C31" s="145">
        <v>749103</v>
      </c>
      <c r="D31" s="145">
        <v>950110</v>
      </c>
      <c r="E31" s="145">
        <v>1040925</v>
      </c>
      <c r="F31" s="145">
        <v>1296362</v>
      </c>
      <c r="G31" s="145">
        <v>1540792</v>
      </c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</row>
    <row r="32" spans="1:26" x14ac:dyDescent="0.25">
      <c r="A32" s="478" t="s">
        <v>450</v>
      </c>
      <c r="B32" s="5"/>
      <c r="C32" s="5"/>
      <c r="D32" s="5"/>
      <c r="E32" s="5"/>
      <c r="F32" s="5"/>
      <c r="G32" s="5"/>
      <c r="H32" s="15"/>
      <c r="I32" s="15"/>
      <c r="J32" s="15"/>
      <c r="K32" s="15"/>
      <c r="L32" s="15"/>
      <c r="M32" s="15"/>
      <c r="N32" s="15"/>
    </row>
    <row r="33" spans="1:20" x14ac:dyDescent="0.25">
      <c r="A33" s="478" t="s">
        <v>451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20" x14ac:dyDescent="0.25">
      <c r="A34" s="478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20" x14ac:dyDescent="0.25">
      <c r="A35" s="413" t="s">
        <v>566</v>
      </c>
      <c r="B35" s="413"/>
      <c r="C35" s="413"/>
      <c r="D35" s="413"/>
      <c r="E35" s="413"/>
      <c r="F35" s="413"/>
      <c r="G35" s="413"/>
      <c r="H35" s="413"/>
      <c r="I35" s="413"/>
      <c r="J35" s="413"/>
      <c r="K35" s="413"/>
      <c r="L35" s="413"/>
      <c r="M35" s="413"/>
      <c r="N35" s="285"/>
      <c r="O35" s="285"/>
      <c r="P35" s="285"/>
      <c r="Q35" s="285"/>
      <c r="R35" s="285"/>
      <c r="S35" s="285"/>
    </row>
    <row r="36" spans="1:20" ht="15" customHeight="1" thickBot="1" x14ac:dyDescent="0.3">
      <c r="A36" s="485" t="s">
        <v>452</v>
      </c>
      <c r="B36" s="485"/>
      <c r="C36" s="406" t="s">
        <v>425</v>
      </c>
      <c r="D36" s="406"/>
      <c r="E36" s="406"/>
      <c r="F36" s="406"/>
      <c r="G36" s="315"/>
      <c r="H36" s="315"/>
      <c r="I36" s="315"/>
      <c r="J36" s="315"/>
      <c r="K36" s="315"/>
      <c r="L36" s="315"/>
      <c r="M36" s="315"/>
    </row>
    <row r="37" spans="1:20" ht="15.75" thickBot="1" x14ac:dyDescent="0.3">
      <c r="A37" s="477"/>
      <c r="B37" s="94">
        <v>2017</v>
      </c>
      <c r="C37" s="94">
        <v>2018</v>
      </c>
      <c r="D37" s="94">
        <v>2019</v>
      </c>
      <c r="E37" s="94">
        <v>2020</v>
      </c>
      <c r="F37" s="94">
        <v>2021</v>
      </c>
      <c r="G37" s="94">
        <v>2022</v>
      </c>
      <c r="H37" s="486"/>
      <c r="I37" s="486"/>
      <c r="J37" s="486"/>
      <c r="K37" s="486"/>
      <c r="L37" s="486"/>
      <c r="M37" s="486"/>
      <c r="N37" s="61"/>
      <c r="O37" s="61"/>
      <c r="P37" s="61"/>
      <c r="Q37" s="61"/>
      <c r="R37" s="61"/>
      <c r="S37" s="61"/>
      <c r="T37" s="61"/>
    </row>
    <row r="38" spans="1:20" ht="15.75" thickBot="1" x14ac:dyDescent="0.3">
      <c r="A38" s="455" t="s">
        <v>562</v>
      </c>
      <c r="B38" s="106">
        <v>3283.63</v>
      </c>
      <c r="C38" s="106">
        <v>4048.12</v>
      </c>
      <c r="D38" s="106">
        <v>5078.8999999999996</v>
      </c>
      <c r="E38" s="106">
        <v>6261.08</v>
      </c>
      <c r="F38" s="106">
        <v>6686.8</v>
      </c>
      <c r="G38" s="106">
        <v>7674.87</v>
      </c>
      <c r="H38" s="487"/>
      <c r="I38" s="487"/>
      <c r="J38" s="487"/>
      <c r="K38" s="487"/>
      <c r="L38" s="487"/>
      <c r="M38" s="487"/>
      <c r="N38" s="140"/>
      <c r="O38" s="140"/>
      <c r="P38" s="140"/>
      <c r="Q38" s="140"/>
      <c r="R38" s="140"/>
      <c r="S38" s="140"/>
      <c r="T38" s="140"/>
    </row>
    <row r="39" spans="1:20" ht="15.75" thickBot="1" x14ac:dyDescent="0.3">
      <c r="A39" s="455" t="s">
        <v>563</v>
      </c>
      <c r="B39" s="67">
        <v>886.74</v>
      </c>
      <c r="C39" s="106">
        <v>1074.76</v>
      </c>
      <c r="D39" s="106">
        <v>1239.8599999999999</v>
      </c>
      <c r="E39" s="67">
        <v>993.44</v>
      </c>
      <c r="F39" s="106">
        <v>1186.04</v>
      </c>
      <c r="G39" s="106">
        <v>1252</v>
      </c>
      <c r="H39" s="487"/>
      <c r="I39" s="487"/>
      <c r="J39" s="487"/>
      <c r="K39" s="487"/>
      <c r="L39" s="487"/>
      <c r="M39" s="487"/>
      <c r="N39" s="140"/>
      <c r="O39" s="140"/>
      <c r="P39" s="140"/>
      <c r="Q39" s="140"/>
      <c r="R39" s="140"/>
      <c r="S39" s="140"/>
      <c r="T39" s="140"/>
    </row>
    <row r="40" spans="1:20" ht="15.75" thickBot="1" x14ac:dyDescent="0.3">
      <c r="A40" s="455" t="s">
        <v>414</v>
      </c>
      <c r="B40" s="106">
        <v>23777.79</v>
      </c>
      <c r="C40" s="106">
        <v>23468.63</v>
      </c>
      <c r="D40" s="106">
        <v>23296.240000000002</v>
      </c>
      <c r="E40" s="106">
        <v>15858.96</v>
      </c>
      <c r="F40" s="106">
        <v>18668.46</v>
      </c>
      <c r="G40" s="106">
        <v>23479.23</v>
      </c>
      <c r="H40" s="487"/>
      <c r="I40" s="487"/>
      <c r="J40" s="487"/>
      <c r="K40" s="487"/>
      <c r="L40" s="487"/>
      <c r="M40" s="487"/>
      <c r="N40" s="140"/>
      <c r="O40" s="140"/>
      <c r="P40" s="140"/>
      <c r="Q40" s="140"/>
      <c r="R40" s="140"/>
      <c r="S40" s="140"/>
      <c r="T40" s="140"/>
    </row>
    <row r="41" spans="1:20" ht="15.75" thickBot="1" x14ac:dyDescent="0.3">
      <c r="A41" s="455" t="s">
        <v>564</v>
      </c>
      <c r="B41" s="106">
        <v>44876.75</v>
      </c>
      <c r="C41" s="106">
        <v>48629.32</v>
      </c>
      <c r="D41" s="106">
        <v>46933.62</v>
      </c>
      <c r="E41" s="106">
        <v>36988.21</v>
      </c>
      <c r="F41" s="106">
        <v>51185.95</v>
      </c>
      <c r="G41" s="106">
        <v>52016.26</v>
      </c>
      <c r="H41" s="487"/>
      <c r="I41" s="487"/>
      <c r="J41" s="487"/>
      <c r="K41" s="487"/>
      <c r="L41" s="487"/>
      <c r="M41" s="487"/>
      <c r="N41" s="140"/>
      <c r="O41" s="140"/>
      <c r="P41" s="140"/>
      <c r="Q41" s="140"/>
      <c r="R41" s="140"/>
      <c r="S41" s="140"/>
      <c r="T41" s="140"/>
    </row>
    <row r="42" spans="1:20" ht="15.75" thickBot="1" x14ac:dyDescent="0.3">
      <c r="A42" s="455" t="s">
        <v>565</v>
      </c>
      <c r="B42" s="106">
        <v>121715.52</v>
      </c>
      <c r="C42" s="106">
        <v>125465.99</v>
      </c>
      <c r="D42" s="106">
        <v>139304.85</v>
      </c>
      <c r="E42" s="106">
        <v>112804.81</v>
      </c>
      <c r="F42" s="106">
        <v>136975.28</v>
      </c>
      <c r="G42" s="106">
        <v>160173.92000000001</v>
      </c>
      <c r="H42" s="487"/>
      <c r="I42" s="487"/>
      <c r="J42" s="487"/>
      <c r="K42" s="487"/>
      <c r="L42" s="487"/>
      <c r="M42" s="487"/>
      <c r="N42" s="140"/>
      <c r="O42" s="140"/>
      <c r="P42" s="140"/>
      <c r="Q42" s="140"/>
      <c r="R42" s="140"/>
      <c r="S42" s="140"/>
      <c r="T42" s="140"/>
    </row>
    <row r="43" spans="1:20" ht="15.75" thickBot="1" x14ac:dyDescent="0.3">
      <c r="A43" s="476" t="s">
        <v>29</v>
      </c>
      <c r="B43" s="112">
        <v>194540.43</v>
      </c>
      <c r="C43" s="112">
        <v>202686.82</v>
      </c>
      <c r="D43" s="112">
        <v>215853.47</v>
      </c>
      <c r="E43" s="112">
        <v>172906.51</v>
      </c>
      <c r="F43" s="112">
        <v>214702.53</v>
      </c>
      <c r="G43" s="112">
        <v>244596.28</v>
      </c>
      <c r="H43" s="488"/>
      <c r="I43" s="488"/>
      <c r="J43" s="488"/>
      <c r="K43" s="488"/>
      <c r="L43" s="488"/>
      <c r="M43" s="488"/>
      <c r="N43" s="141"/>
      <c r="O43" s="141"/>
      <c r="P43" s="141"/>
      <c r="Q43" s="141"/>
      <c r="R43" s="141"/>
      <c r="S43" s="141"/>
      <c r="T43" s="141"/>
    </row>
    <row r="44" spans="1:20" x14ac:dyDescent="0.25">
      <c r="A44" s="489" t="s">
        <v>450</v>
      </c>
      <c r="B44" s="315"/>
      <c r="C44" s="315"/>
      <c r="D44" s="315"/>
      <c r="E44" s="315"/>
      <c r="F44" s="315"/>
      <c r="G44" s="315"/>
      <c r="H44" s="315"/>
      <c r="I44" s="315"/>
      <c r="J44" s="315"/>
      <c r="K44" s="315"/>
      <c r="L44" s="315"/>
      <c r="M44" s="315"/>
    </row>
    <row r="45" spans="1:20" x14ac:dyDescent="0.25">
      <c r="A45" s="489" t="s">
        <v>451</v>
      </c>
      <c r="B45" s="315"/>
      <c r="C45" s="315"/>
      <c r="D45" s="315"/>
      <c r="E45" s="315"/>
      <c r="F45" s="315"/>
      <c r="G45" s="315"/>
      <c r="H45" s="315"/>
      <c r="I45" s="315"/>
      <c r="J45" s="315"/>
      <c r="K45" s="315"/>
      <c r="L45" s="315"/>
      <c r="M45" s="315"/>
    </row>
    <row r="46" spans="1:20" x14ac:dyDescent="0.25">
      <c r="A46" s="490"/>
      <c r="B46" s="491"/>
      <c r="C46" s="491"/>
      <c r="D46" s="491"/>
      <c r="E46" s="491"/>
      <c r="F46" s="491"/>
      <c r="G46" s="491"/>
      <c r="H46" s="491"/>
      <c r="I46" s="491"/>
      <c r="J46" s="491"/>
      <c r="K46" s="491"/>
      <c r="L46" s="491"/>
      <c r="M46" s="315"/>
    </row>
    <row r="47" spans="1:20" x14ac:dyDescent="0.25">
      <c r="A47" s="479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 spans="1:20" x14ac:dyDescent="0.25">
      <c r="A48" s="480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</row>
    <row r="49" spans="1:12" x14ac:dyDescent="0.25">
      <c r="A49" s="480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</row>
    <row r="50" spans="1:12" x14ac:dyDescent="0.25">
      <c r="A50" s="481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</row>
    <row r="51" spans="1:12" x14ac:dyDescent="0.25">
      <c r="A51" s="481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</row>
    <row r="52" spans="1:12" x14ac:dyDescent="0.25">
      <c r="A52" s="481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</row>
    <row r="53" spans="1:12" x14ac:dyDescent="0.25">
      <c r="A53" s="481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</row>
    <row r="54" spans="1:12" x14ac:dyDescent="0.25">
      <c r="A54" s="481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</row>
    <row r="55" spans="1:12" x14ac:dyDescent="0.25">
      <c r="A55" s="479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</row>
    <row r="56" spans="1:12" x14ac:dyDescent="0.25">
      <c r="A56" s="482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</row>
    <row r="57" spans="1:12" x14ac:dyDescent="0.25">
      <c r="A57" s="483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spans="1:12" x14ac:dyDescent="0.25">
      <c r="A58" s="480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2" x14ac:dyDescent="0.25">
      <c r="A59" s="481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</row>
    <row r="60" spans="1:12" x14ac:dyDescent="0.25">
      <c r="A60" s="481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</row>
    <row r="61" spans="1:12" x14ac:dyDescent="0.25">
      <c r="A61" s="481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</row>
    <row r="62" spans="1:12" x14ac:dyDescent="0.25">
      <c r="A62" s="481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</row>
    <row r="63" spans="1:12" x14ac:dyDescent="0.25">
      <c r="A63" s="479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</row>
    <row r="64" spans="1:12" x14ac:dyDescent="0.25">
      <c r="A64" s="484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</row>
    <row r="65" spans="1:12" x14ac:dyDescent="0.25">
      <c r="A65" s="482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</row>
    <row r="66" spans="1:12" x14ac:dyDescent="0.25">
      <c r="A66" s="482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</row>
    <row r="67" spans="1:12" x14ac:dyDescent="0.25">
      <c r="A67" s="483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</row>
    <row r="68" spans="1:12" x14ac:dyDescent="0.25">
      <c r="A68" s="480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</row>
    <row r="69" spans="1:12" x14ac:dyDescent="0.25">
      <c r="A69" s="481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</row>
    <row r="70" spans="1:12" x14ac:dyDescent="0.25">
      <c r="A70" s="481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</row>
    <row r="71" spans="1:12" x14ac:dyDescent="0.25">
      <c r="A71" s="481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</row>
    <row r="72" spans="1:12" x14ac:dyDescent="0.25">
      <c r="A72" s="481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</row>
    <row r="73" spans="1:12" x14ac:dyDescent="0.25">
      <c r="A73" s="481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</row>
    <row r="74" spans="1:12" x14ac:dyDescent="0.25">
      <c r="A74" s="481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</row>
    <row r="75" spans="1:12" x14ac:dyDescent="0.25">
      <c r="A75" s="481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</row>
  </sheetData>
  <mergeCells count="15">
    <mergeCell ref="B4:M4"/>
    <mergeCell ref="A36:B36"/>
    <mergeCell ref="R35:S35"/>
    <mergeCell ref="A2:M2"/>
    <mergeCell ref="A12:M12"/>
    <mergeCell ref="A23:M23"/>
    <mergeCell ref="N23:Q23"/>
    <mergeCell ref="A35:M35"/>
    <mergeCell ref="N35:Q35"/>
    <mergeCell ref="A13:B13"/>
    <mergeCell ref="A24:C24"/>
    <mergeCell ref="I24:J24"/>
    <mergeCell ref="A14:A15"/>
    <mergeCell ref="B14:M14"/>
    <mergeCell ref="A4:A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3352-08D7-4356-9EBF-5D5A48743642}">
  <sheetPr>
    <tabColor theme="9"/>
  </sheetPr>
  <dimension ref="A1:Y44"/>
  <sheetViews>
    <sheetView showGridLines="0" topLeftCell="A4" zoomScale="80" zoomScaleNormal="80" workbookViewId="0">
      <selection activeCell="I20" sqref="I20"/>
    </sheetView>
  </sheetViews>
  <sheetFormatPr baseColWidth="10" defaultRowHeight="15" x14ac:dyDescent="0.25"/>
  <cols>
    <col min="1" max="1" width="14.5703125" bestFit="1" customWidth="1"/>
    <col min="2" max="3" width="9.85546875" bestFit="1" customWidth="1"/>
    <col min="4" max="6" width="9.42578125" bestFit="1" customWidth="1"/>
    <col min="7" max="7" width="9.85546875" bestFit="1" customWidth="1"/>
    <col min="8" max="8" width="8.42578125" bestFit="1" customWidth="1"/>
    <col min="9" max="12" width="8.7109375" bestFit="1" customWidth="1"/>
    <col min="13" max="13" width="8.42578125" bestFit="1" customWidth="1"/>
    <col min="14" max="25" width="7" bestFit="1" customWidth="1"/>
  </cols>
  <sheetData>
    <row r="1" spans="1:25" x14ac:dyDescent="0.25">
      <c r="A1" s="315"/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</row>
    <row r="2" spans="1:25" x14ac:dyDescent="0.25">
      <c r="A2" s="452" t="s">
        <v>573</v>
      </c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2"/>
    </row>
    <row r="3" spans="1:25" ht="15.75" thickBot="1" x14ac:dyDescent="0.3">
      <c r="A3" s="315" t="s">
        <v>447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</row>
    <row r="4" spans="1:25" ht="15.75" thickBot="1" x14ac:dyDescent="0.3">
      <c r="A4" s="295"/>
      <c r="B4" s="217">
        <v>2022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9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</row>
    <row r="5" spans="1:25" ht="15.75" thickBot="1" x14ac:dyDescent="0.3">
      <c r="A5" s="296"/>
      <c r="B5" s="91" t="s">
        <v>426</v>
      </c>
      <c r="C5" s="91" t="s">
        <v>427</v>
      </c>
      <c r="D5" s="91" t="s">
        <v>428</v>
      </c>
      <c r="E5" s="91" t="s">
        <v>429</v>
      </c>
      <c r="F5" s="91" t="s">
        <v>430</v>
      </c>
      <c r="G5" s="91" t="s">
        <v>431</v>
      </c>
      <c r="H5" s="91" t="s">
        <v>432</v>
      </c>
      <c r="I5" s="91" t="s">
        <v>433</v>
      </c>
      <c r="J5" s="91" t="s">
        <v>443</v>
      </c>
      <c r="K5" s="91" t="s">
        <v>435</v>
      </c>
      <c r="L5" s="91" t="s">
        <v>436</v>
      </c>
      <c r="M5" s="91" t="s">
        <v>437</v>
      </c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</row>
    <row r="6" spans="1:25" ht="15.75" thickBot="1" x14ac:dyDescent="0.3">
      <c r="A6" s="90" t="s">
        <v>562</v>
      </c>
      <c r="B6" s="99">
        <v>69323</v>
      </c>
      <c r="C6" s="99">
        <v>69786</v>
      </c>
      <c r="D6" s="99">
        <v>70260</v>
      </c>
      <c r="E6" s="99">
        <v>70622</v>
      </c>
      <c r="F6" s="99">
        <v>70900</v>
      </c>
      <c r="G6" s="99">
        <v>70938</v>
      </c>
      <c r="H6" s="99">
        <v>71222</v>
      </c>
      <c r="I6" s="99">
        <v>71662</v>
      </c>
      <c r="J6" s="99">
        <v>72089</v>
      </c>
      <c r="K6" s="99">
        <v>72683</v>
      </c>
      <c r="L6" s="99">
        <v>73398</v>
      </c>
      <c r="M6" s="99">
        <v>74047</v>
      </c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</row>
    <row r="7" spans="1:25" ht="15.75" thickBot="1" x14ac:dyDescent="0.3">
      <c r="A7" s="90" t="s">
        <v>567</v>
      </c>
      <c r="B7" s="67">
        <v>164</v>
      </c>
      <c r="C7" s="67">
        <v>164</v>
      </c>
      <c r="D7" s="67">
        <v>164</v>
      </c>
      <c r="E7" s="67">
        <v>164</v>
      </c>
      <c r="F7" s="67">
        <v>164</v>
      </c>
      <c r="G7" s="67">
        <v>164</v>
      </c>
      <c r="H7" s="67">
        <v>164</v>
      </c>
      <c r="I7" s="67">
        <v>164</v>
      </c>
      <c r="J7" s="67">
        <v>164</v>
      </c>
      <c r="K7" s="67">
        <v>164</v>
      </c>
      <c r="L7" s="67">
        <v>164</v>
      </c>
      <c r="M7" s="67">
        <v>164</v>
      </c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</row>
    <row r="8" spans="1:25" ht="15.75" thickBot="1" x14ac:dyDescent="0.3">
      <c r="A8" s="90" t="s">
        <v>414</v>
      </c>
      <c r="B8" s="67">
        <v>31</v>
      </c>
      <c r="C8" s="67">
        <v>31</v>
      </c>
      <c r="D8" s="67">
        <v>31</v>
      </c>
      <c r="E8" s="67">
        <v>31</v>
      </c>
      <c r="F8" s="67">
        <v>31</v>
      </c>
      <c r="G8" s="67">
        <v>31</v>
      </c>
      <c r="H8" s="67">
        <v>31</v>
      </c>
      <c r="I8" s="67">
        <v>31</v>
      </c>
      <c r="J8" s="67">
        <v>31</v>
      </c>
      <c r="K8" s="67">
        <v>31</v>
      </c>
      <c r="L8" s="67">
        <v>31</v>
      </c>
      <c r="M8" s="67">
        <v>31</v>
      </c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</row>
    <row r="9" spans="1:25" ht="15.75" thickBot="1" x14ac:dyDescent="0.3">
      <c r="A9" s="90" t="s">
        <v>564</v>
      </c>
      <c r="B9" s="67">
        <v>15</v>
      </c>
      <c r="C9" s="67">
        <v>15</v>
      </c>
      <c r="D9" s="67">
        <v>15</v>
      </c>
      <c r="E9" s="67">
        <v>15</v>
      </c>
      <c r="F9" s="67">
        <v>15</v>
      </c>
      <c r="G9" s="67">
        <v>15</v>
      </c>
      <c r="H9" s="67">
        <v>15</v>
      </c>
      <c r="I9" s="67">
        <v>15</v>
      </c>
      <c r="J9" s="67">
        <v>15</v>
      </c>
      <c r="K9" s="67">
        <v>15</v>
      </c>
      <c r="L9" s="67">
        <v>15</v>
      </c>
      <c r="M9" s="67">
        <v>15</v>
      </c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</row>
    <row r="10" spans="1:25" ht="23.25" thickBot="1" x14ac:dyDescent="0.3">
      <c r="A10" s="90" t="s">
        <v>565</v>
      </c>
      <c r="B10" s="67">
        <v>8</v>
      </c>
      <c r="C10" s="67">
        <v>8</v>
      </c>
      <c r="D10" s="67">
        <v>8</v>
      </c>
      <c r="E10" s="67">
        <v>8</v>
      </c>
      <c r="F10" s="67">
        <v>8</v>
      </c>
      <c r="G10" s="67">
        <v>8</v>
      </c>
      <c r="H10" s="67">
        <v>8</v>
      </c>
      <c r="I10" s="67">
        <v>8</v>
      </c>
      <c r="J10" s="67">
        <v>8</v>
      </c>
      <c r="K10" s="67">
        <v>8</v>
      </c>
      <c r="L10" s="67">
        <v>8</v>
      </c>
      <c r="M10" s="67">
        <v>8</v>
      </c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</row>
    <row r="11" spans="1:25" ht="15.75" thickBot="1" x14ac:dyDescent="0.3">
      <c r="A11" s="139" t="s">
        <v>29</v>
      </c>
      <c r="B11" s="152">
        <v>69541</v>
      </c>
      <c r="C11" s="152">
        <v>70004</v>
      </c>
      <c r="D11" s="152">
        <v>70478</v>
      </c>
      <c r="E11" s="152">
        <v>70840</v>
      </c>
      <c r="F11" s="152">
        <v>71118</v>
      </c>
      <c r="G11" s="152">
        <v>71156</v>
      </c>
      <c r="H11" s="152">
        <v>71440</v>
      </c>
      <c r="I11" s="152">
        <v>71880</v>
      </c>
      <c r="J11" s="152">
        <v>72307</v>
      </c>
      <c r="K11" s="152">
        <v>72901</v>
      </c>
      <c r="L11" s="152">
        <v>73616</v>
      </c>
      <c r="M11" s="152">
        <v>74265</v>
      </c>
    </row>
    <row r="12" spans="1:25" s="366" customFormat="1" x14ac:dyDescent="0.25">
      <c r="A12" s="429"/>
      <c r="B12" s="492"/>
      <c r="C12" s="492"/>
      <c r="D12" s="492"/>
      <c r="E12" s="492"/>
      <c r="F12" s="492"/>
      <c r="G12" s="492"/>
      <c r="H12" s="492"/>
      <c r="I12" s="492"/>
      <c r="J12" s="492"/>
      <c r="K12" s="492"/>
      <c r="L12" s="492"/>
      <c r="M12" s="492"/>
    </row>
    <row r="13" spans="1:25" ht="19.5" customHeight="1" x14ac:dyDescent="0.25">
      <c r="A13" s="494" t="s">
        <v>572</v>
      </c>
      <c r="B13" s="494"/>
      <c r="C13" s="494"/>
      <c r="D13" s="494"/>
      <c r="E13" s="494"/>
      <c r="F13" s="494"/>
      <c r="G13" s="494"/>
      <c r="H13" s="494"/>
      <c r="I13" s="494"/>
      <c r="J13" s="494"/>
      <c r="K13" s="494"/>
      <c r="L13" s="494"/>
      <c r="M13" s="494"/>
    </row>
    <row r="14" spans="1:25" ht="20.25" customHeight="1" thickBot="1" x14ac:dyDescent="0.3">
      <c r="A14" s="495" t="s">
        <v>453</v>
      </c>
      <c r="B14" s="495"/>
      <c r="C14" s="406" t="s">
        <v>425</v>
      </c>
      <c r="D14" s="406"/>
      <c r="E14" s="406"/>
      <c r="F14" s="406"/>
      <c r="G14" s="406"/>
      <c r="H14" s="406"/>
      <c r="I14" s="406"/>
      <c r="J14" s="406"/>
      <c r="K14" s="406"/>
      <c r="L14" s="406"/>
      <c r="M14" s="406"/>
    </row>
    <row r="15" spans="1:25" ht="15.75" thickBot="1" x14ac:dyDescent="0.3">
      <c r="A15" s="295"/>
      <c r="B15" s="217">
        <v>2022</v>
      </c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9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</row>
    <row r="16" spans="1:25" ht="15.75" thickBot="1" x14ac:dyDescent="0.3">
      <c r="A16" s="296"/>
      <c r="B16" s="91" t="s">
        <v>426</v>
      </c>
      <c r="C16" s="91" t="s">
        <v>427</v>
      </c>
      <c r="D16" s="91" t="s">
        <v>428</v>
      </c>
      <c r="E16" s="91" t="s">
        <v>429</v>
      </c>
      <c r="F16" s="91" t="s">
        <v>430</v>
      </c>
      <c r="G16" s="91" t="s">
        <v>431</v>
      </c>
      <c r="H16" s="91" t="s">
        <v>432</v>
      </c>
      <c r="I16" s="91" t="s">
        <v>433</v>
      </c>
      <c r="J16" s="91" t="s">
        <v>443</v>
      </c>
      <c r="K16" s="91" t="s">
        <v>435</v>
      </c>
      <c r="L16" s="91" t="s">
        <v>436</v>
      </c>
      <c r="M16" s="91" t="s">
        <v>437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</row>
    <row r="17" spans="1:25" ht="15.75" thickBot="1" x14ac:dyDescent="0.3">
      <c r="A17" s="90" t="s">
        <v>562</v>
      </c>
      <c r="B17" s="67">
        <v>30.93</v>
      </c>
      <c r="C17" s="67">
        <v>28.36</v>
      </c>
      <c r="D17" s="67">
        <v>26.97</v>
      </c>
      <c r="E17" s="67">
        <v>29.77</v>
      </c>
      <c r="F17" s="67">
        <v>30.16</v>
      </c>
      <c r="G17" s="67">
        <v>28.2</v>
      </c>
      <c r="H17" s="67">
        <v>30.57</v>
      </c>
      <c r="I17" s="67">
        <v>31.67</v>
      </c>
      <c r="J17" s="67">
        <v>31.93</v>
      </c>
      <c r="K17" s="67">
        <v>29.65</v>
      </c>
      <c r="L17" s="67">
        <v>31.04</v>
      </c>
      <c r="M17" s="67">
        <v>30.2</v>
      </c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</row>
    <row r="18" spans="1:25" ht="15.75" thickBot="1" x14ac:dyDescent="0.3">
      <c r="A18" s="90" t="s">
        <v>567</v>
      </c>
      <c r="B18" s="67">
        <v>5.22</v>
      </c>
      <c r="C18" s="67">
        <v>5.08</v>
      </c>
      <c r="D18" s="67">
        <v>5.0599999999999996</v>
      </c>
      <c r="E18" s="67">
        <v>5.51</v>
      </c>
      <c r="F18" s="67">
        <v>7.3</v>
      </c>
      <c r="G18" s="67">
        <v>6.67</v>
      </c>
      <c r="H18" s="67">
        <v>6.67</v>
      </c>
      <c r="I18" s="67">
        <v>6.91</v>
      </c>
      <c r="J18" s="67">
        <v>7.19</v>
      </c>
      <c r="K18" s="67">
        <v>5.91</v>
      </c>
      <c r="L18" s="67">
        <v>6.54</v>
      </c>
      <c r="M18" s="67">
        <v>6.01</v>
      </c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</row>
    <row r="19" spans="1:25" ht="15.75" thickBot="1" x14ac:dyDescent="0.3">
      <c r="A19" s="90" t="s">
        <v>414</v>
      </c>
      <c r="B19" s="67">
        <v>89.35</v>
      </c>
      <c r="C19" s="67">
        <v>84.24</v>
      </c>
      <c r="D19" s="67">
        <v>83.67</v>
      </c>
      <c r="E19" s="67">
        <v>95.64</v>
      </c>
      <c r="F19" s="67">
        <v>0</v>
      </c>
      <c r="G19" s="67">
        <v>118.34</v>
      </c>
      <c r="H19" s="67">
        <v>116.95</v>
      </c>
      <c r="I19" s="67">
        <v>130.68</v>
      </c>
      <c r="J19" s="67">
        <v>134.6</v>
      </c>
      <c r="K19" s="67">
        <v>136.1</v>
      </c>
      <c r="L19" s="67">
        <v>144.97</v>
      </c>
      <c r="M19" s="67">
        <v>140.77000000000001</v>
      </c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</row>
    <row r="20" spans="1:25" ht="15.75" thickBot="1" x14ac:dyDescent="0.3">
      <c r="A20" s="90" t="s">
        <v>564</v>
      </c>
      <c r="B20" s="106">
        <v>1658.5</v>
      </c>
      <c r="C20" s="106">
        <v>1375.59</v>
      </c>
      <c r="D20" s="106">
        <v>1260.03</v>
      </c>
      <c r="E20" s="106">
        <v>1357.34</v>
      </c>
      <c r="F20" s="106">
        <v>1252.53</v>
      </c>
      <c r="G20" s="67">
        <v>547.54</v>
      </c>
      <c r="H20" s="67">
        <v>517.91999999999996</v>
      </c>
      <c r="I20" s="67">
        <v>545.6</v>
      </c>
      <c r="J20" s="67">
        <v>524.73</v>
      </c>
      <c r="K20" s="67">
        <v>517.12</v>
      </c>
      <c r="L20" s="67">
        <v>539.80999999999995</v>
      </c>
      <c r="M20" s="67">
        <v>558.30999999999995</v>
      </c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</row>
    <row r="21" spans="1:25" ht="23.25" thickBot="1" x14ac:dyDescent="0.3">
      <c r="A21" s="90" t="s">
        <v>565</v>
      </c>
      <c r="B21" s="67">
        <v>0</v>
      </c>
      <c r="C21" s="67">
        <v>0</v>
      </c>
      <c r="D21" s="67">
        <v>0</v>
      </c>
      <c r="E21" s="67">
        <v>0</v>
      </c>
      <c r="F21" s="67">
        <v>0.03</v>
      </c>
      <c r="G21" s="67">
        <v>519.15</v>
      </c>
      <c r="H21" s="67">
        <v>506.97</v>
      </c>
      <c r="I21" s="67">
        <v>562.03</v>
      </c>
      <c r="J21" s="67">
        <v>530.55999999999995</v>
      </c>
      <c r="K21" s="67">
        <v>563.57000000000005</v>
      </c>
      <c r="L21" s="67">
        <v>545.23</v>
      </c>
      <c r="M21" s="67">
        <v>612.61</v>
      </c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</row>
    <row r="22" spans="1:25" ht="15.75" thickBot="1" x14ac:dyDescent="0.3">
      <c r="A22" s="139" t="s">
        <v>29</v>
      </c>
      <c r="B22" s="112">
        <v>1784</v>
      </c>
      <c r="C22" s="112">
        <v>1493.28</v>
      </c>
      <c r="D22" s="112">
        <v>1375.73</v>
      </c>
      <c r="E22" s="112">
        <v>1488.26</v>
      </c>
      <c r="F22" s="112">
        <v>1290.03</v>
      </c>
      <c r="G22" s="112">
        <v>1219.9000000000001</v>
      </c>
      <c r="H22" s="112">
        <v>1179.08</v>
      </c>
      <c r="I22" s="112">
        <v>1276.8900000000001</v>
      </c>
      <c r="J22" s="112">
        <v>1229.02</v>
      </c>
      <c r="K22" s="112">
        <v>1252.3399999999999</v>
      </c>
      <c r="L22" s="112">
        <v>1267.5999999999999</v>
      </c>
      <c r="M22" s="112">
        <v>1347.91</v>
      </c>
    </row>
    <row r="23" spans="1:25" s="366" customFormat="1" x14ac:dyDescent="0.25">
      <c r="A23" s="429"/>
      <c r="B23" s="493"/>
      <c r="C23" s="493"/>
      <c r="D23" s="493"/>
      <c r="E23" s="493"/>
      <c r="F23" s="493"/>
      <c r="G23" s="493"/>
      <c r="H23" s="493"/>
      <c r="I23" s="493"/>
      <c r="J23" s="493"/>
      <c r="K23" s="493"/>
      <c r="L23" s="493"/>
      <c r="M23" s="493"/>
    </row>
    <row r="24" spans="1:25" ht="24.75" customHeight="1" x14ac:dyDescent="0.25">
      <c r="A24" s="496" t="s">
        <v>574</v>
      </c>
      <c r="B24" s="497"/>
      <c r="C24" s="497"/>
      <c r="D24" s="497"/>
      <c r="E24" s="497"/>
      <c r="F24" s="497"/>
      <c r="G24" s="497"/>
      <c r="H24" s="497"/>
      <c r="I24" s="497"/>
      <c r="J24" s="497"/>
      <c r="K24" s="497"/>
      <c r="L24" s="486"/>
      <c r="M24" s="486"/>
    </row>
    <row r="25" spans="1:25" ht="15.75" thickBot="1" x14ac:dyDescent="0.3">
      <c r="A25" s="495" t="s">
        <v>835</v>
      </c>
      <c r="B25" s="495"/>
      <c r="C25" s="495"/>
      <c r="D25" s="406"/>
      <c r="E25" s="406"/>
      <c r="F25" s="406"/>
      <c r="G25" s="406"/>
      <c r="H25" s="315"/>
      <c r="I25" s="315"/>
      <c r="J25" s="315"/>
      <c r="K25" s="315"/>
      <c r="L25" s="315"/>
      <c r="M25" s="315"/>
    </row>
    <row r="26" spans="1:25" ht="15.75" thickBot="1" x14ac:dyDescent="0.3">
      <c r="A26" s="135"/>
      <c r="B26" s="94">
        <v>2017</v>
      </c>
      <c r="C26" s="94">
        <v>2018</v>
      </c>
      <c r="D26" s="94">
        <v>2019</v>
      </c>
      <c r="E26" s="94">
        <v>2020</v>
      </c>
      <c r="F26" s="94">
        <v>2021</v>
      </c>
      <c r="G26" s="94">
        <v>2022</v>
      </c>
      <c r="H26" s="486"/>
      <c r="I26" s="486"/>
      <c r="J26" s="486"/>
      <c r="K26" s="486"/>
      <c r="L26" s="486"/>
      <c r="M26" s="315"/>
    </row>
    <row r="27" spans="1:25" ht="15.75" thickBot="1" x14ac:dyDescent="0.3">
      <c r="A27" s="90" t="s">
        <v>562</v>
      </c>
      <c r="B27" s="99">
        <v>45328</v>
      </c>
      <c r="C27" s="99">
        <v>54213</v>
      </c>
      <c r="D27" s="99">
        <v>61249</v>
      </c>
      <c r="E27" s="99">
        <v>62520</v>
      </c>
      <c r="F27" s="99">
        <v>68883</v>
      </c>
      <c r="G27" s="99">
        <v>74047</v>
      </c>
      <c r="H27" s="498"/>
      <c r="I27" s="498"/>
      <c r="J27" s="498"/>
      <c r="K27" s="499"/>
      <c r="L27" s="499"/>
      <c r="M27" s="315"/>
    </row>
    <row r="28" spans="1:25" ht="15.75" thickBot="1" x14ac:dyDescent="0.3">
      <c r="A28" s="90" t="s">
        <v>567</v>
      </c>
      <c r="B28" s="99">
        <v>98</v>
      </c>
      <c r="C28" s="99">
        <v>133</v>
      </c>
      <c r="D28" s="99">
        <v>158</v>
      </c>
      <c r="E28" s="99">
        <v>162</v>
      </c>
      <c r="F28" s="99">
        <v>164</v>
      </c>
      <c r="G28" s="99">
        <v>164</v>
      </c>
      <c r="H28" s="498"/>
      <c r="I28" s="498"/>
      <c r="J28" s="498"/>
      <c r="K28" s="500"/>
      <c r="L28" s="500"/>
      <c r="M28" s="315"/>
    </row>
    <row r="29" spans="1:25" ht="15.75" thickBot="1" x14ac:dyDescent="0.3">
      <c r="A29" s="90" t="s">
        <v>414</v>
      </c>
      <c r="B29" s="99">
        <v>21</v>
      </c>
      <c r="C29" s="99">
        <v>27</v>
      </c>
      <c r="D29" s="99">
        <v>28</v>
      </c>
      <c r="E29" s="99">
        <v>30</v>
      </c>
      <c r="F29" s="99">
        <v>31</v>
      </c>
      <c r="G29" s="99">
        <v>31</v>
      </c>
      <c r="H29" s="498"/>
      <c r="I29" s="498"/>
      <c r="J29" s="498"/>
      <c r="K29" s="500"/>
      <c r="L29" s="500"/>
      <c r="M29" s="315"/>
    </row>
    <row r="30" spans="1:25" ht="15.75" thickBot="1" x14ac:dyDescent="0.3">
      <c r="A30" s="90" t="s">
        <v>564</v>
      </c>
      <c r="B30" s="99">
        <v>15</v>
      </c>
      <c r="C30" s="99">
        <v>15</v>
      </c>
      <c r="D30" s="99">
        <v>15</v>
      </c>
      <c r="E30" s="99">
        <v>15</v>
      </c>
      <c r="F30" s="99">
        <v>15</v>
      </c>
      <c r="G30" s="99">
        <v>15</v>
      </c>
      <c r="H30" s="498"/>
      <c r="I30" s="498"/>
      <c r="J30" s="498"/>
      <c r="K30" s="500"/>
      <c r="L30" s="500"/>
      <c r="M30" s="315"/>
    </row>
    <row r="31" spans="1:25" ht="23.25" thickBot="1" x14ac:dyDescent="0.3">
      <c r="A31" s="90" t="s">
        <v>565</v>
      </c>
      <c r="B31" s="99">
        <v>6</v>
      </c>
      <c r="C31" s="99">
        <v>8</v>
      </c>
      <c r="D31" s="99">
        <v>8</v>
      </c>
      <c r="E31" s="99">
        <v>8</v>
      </c>
      <c r="F31" s="99">
        <v>8</v>
      </c>
      <c r="G31" s="99">
        <v>8</v>
      </c>
      <c r="H31" s="498"/>
      <c r="I31" s="498"/>
      <c r="J31" s="498"/>
      <c r="K31" s="500"/>
      <c r="L31" s="500"/>
      <c r="M31" s="315"/>
    </row>
    <row r="32" spans="1:25" ht="15.75" thickBot="1" x14ac:dyDescent="0.3">
      <c r="A32" s="139" t="s">
        <v>29</v>
      </c>
      <c r="B32" s="145">
        <v>45468</v>
      </c>
      <c r="C32" s="145">
        <v>54396</v>
      </c>
      <c r="D32" s="145">
        <v>61458</v>
      </c>
      <c r="E32" s="145">
        <v>62735</v>
      </c>
      <c r="F32" s="145">
        <v>69101</v>
      </c>
      <c r="G32" s="145">
        <v>74265</v>
      </c>
      <c r="H32" s="501"/>
      <c r="I32" s="501"/>
      <c r="J32" s="501"/>
      <c r="K32" s="501"/>
      <c r="L32" s="501"/>
      <c r="M32" s="315"/>
    </row>
    <row r="33" spans="1:13" x14ac:dyDescent="0.25">
      <c r="A33" s="337"/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</row>
    <row r="34" spans="1:13" x14ac:dyDescent="0.25">
      <c r="A34" s="315"/>
      <c r="B34" s="315"/>
      <c r="C34" s="315"/>
      <c r="D34" s="315"/>
      <c r="E34" s="315"/>
      <c r="F34" s="315"/>
      <c r="G34" s="315"/>
      <c r="H34" s="315"/>
      <c r="I34" s="315"/>
      <c r="J34" s="315"/>
      <c r="K34" s="315"/>
      <c r="L34" s="337"/>
      <c r="M34" s="337"/>
    </row>
    <row r="35" spans="1:13" x14ac:dyDescent="0.25">
      <c r="A35" s="452" t="s">
        <v>571</v>
      </c>
      <c r="B35" s="452"/>
      <c r="C35" s="452"/>
      <c r="D35" s="452"/>
      <c r="E35" s="452"/>
      <c r="F35" s="452"/>
      <c r="G35" s="452"/>
      <c r="H35" s="452"/>
      <c r="I35" s="452"/>
      <c r="J35" s="452"/>
      <c r="K35" s="452"/>
      <c r="L35" s="337"/>
      <c r="M35" s="337"/>
    </row>
    <row r="36" spans="1:13" ht="15.75" thickBot="1" x14ac:dyDescent="0.3">
      <c r="A36" s="485" t="s">
        <v>836</v>
      </c>
      <c r="B36" s="485"/>
      <c r="C36" s="485"/>
      <c r="D36" s="406"/>
      <c r="E36" s="406"/>
      <c r="F36" s="406"/>
      <c r="G36" s="406"/>
      <c r="H36" s="406"/>
      <c r="I36" s="337"/>
      <c r="J36" s="337"/>
      <c r="K36" s="337"/>
      <c r="L36" s="337"/>
      <c r="M36" s="337"/>
    </row>
    <row r="37" spans="1:13" ht="15.75" thickBot="1" x14ac:dyDescent="0.3">
      <c r="A37" s="135"/>
      <c r="B37" s="94">
        <v>2017</v>
      </c>
      <c r="C37" s="94">
        <v>2018</v>
      </c>
      <c r="D37" s="94">
        <v>2019</v>
      </c>
      <c r="E37" s="94">
        <v>2020</v>
      </c>
      <c r="F37" s="94">
        <v>2021</v>
      </c>
      <c r="G37" s="94">
        <v>2022</v>
      </c>
      <c r="H37" s="486"/>
      <c r="I37" s="486"/>
      <c r="J37" s="486"/>
      <c r="K37" s="486"/>
      <c r="L37" s="486"/>
      <c r="M37" s="337"/>
    </row>
    <row r="38" spans="1:13" ht="15.75" thickBot="1" x14ac:dyDescent="0.3">
      <c r="A38" s="90" t="s">
        <v>562</v>
      </c>
      <c r="B38" s="67">
        <v>232.01</v>
      </c>
      <c r="C38" s="67">
        <v>276.45999999999998</v>
      </c>
      <c r="D38" s="67">
        <v>318.14</v>
      </c>
      <c r="E38" s="67">
        <v>368.71</v>
      </c>
      <c r="F38" s="67">
        <v>354.84</v>
      </c>
      <c r="G38" s="67">
        <v>359.45</v>
      </c>
      <c r="H38" s="502"/>
      <c r="I38" s="502"/>
      <c r="J38" s="502"/>
      <c r="K38" s="502"/>
      <c r="L38" s="502"/>
      <c r="M38" s="315"/>
    </row>
    <row r="39" spans="1:13" ht="15.75" thickBot="1" x14ac:dyDescent="0.3">
      <c r="A39" s="90" t="s">
        <v>567</v>
      </c>
      <c r="B39" s="67">
        <v>29.86</v>
      </c>
      <c r="C39" s="67">
        <v>38.47</v>
      </c>
      <c r="D39" s="67">
        <v>55.49</v>
      </c>
      <c r="E39" s="67">
        <v>58.79</v>
      </c>
      <c r="F39" s="67">
        <v>60.91</v>
      </c>
      <c r="G39" s="67">
        <v>74.08</v>
      </c>
      <c r="H39" s="502"/>
      <c r="I39" s="502"/>
      <c r="J39" s="502"/>
      <c r="K39" s="502"/>
      <c r="L39" s="502"/>
      <c r="M39" s="315"/>
    </row>
    <row r="40" spans="1:13" ht="15.75" thickBot="1" x14ac:dyDescent="0.3">
      <c r="A40" s="90" t="s">
        <v>414</v>
      </c>
      <c r="B40" s="67">
        <v>801.9</v>
      </c>
      <c r="C40" s="67">
        <v>807.8</v>
      </c>
      <c r="D40" s="67">
        <v>919.05</v>
      </c>
      <c r="E40" s="67">
        <v>746.61</v>
      </c>
      <c r="F40" s="67">
        <v>954.29</v>
      </c>
      <c r="G40" s="106">
        <v>1275.32</v>
      </c>
      <c r="H40" s="502"/>
      <c r="I40" s="502"/>
      <c r="J40" s="502"/>
      <c r="K40" s="502"/>
      <c r="L40" s="502"/>
      <c r="M40" s="315"/>
    </row>
    <row r="41" spans="1:13" ht="15.75" thickBot="1" x14ac:dyDescent="0.3">
      <c r="A41" s="90" t="s">
        <v>564</v>
      </c>
      <c r="B41" s="106">
        <v>2714.17</v>
      </c>
      <c r="C41" s="106">
        <v>2826.62</v>
      </c>
      <c r="D41" s="106">
        <v>2609.38</v>
      </c>
      <c r="E41" s="106">
        <v>2268.5300000000002</v>
      </c>
      <c r="F41" s="106">
        <v>2585.8200000000002</v>
      </c>
      <c r="G41" s="106">
        <v>10655.01</v>
      </c>
      <c r="H41" s="502"/>
      <c r="I41" s="502"/>
      <c r="J41" s="502"/>
      <c r="K41" s="502"/>
      <c r="L41" s="502"/>
      <c r="M41" s="315"/>
    </row>
    <row r="42" spans="1:13" ht="23.25" thickBot="1" x14ac:dyDescent="0.3">
      <c r="A42" s="90" t="s">
        <v>565</v>
      </c>
      <c r="B42" s="106">
        <v>13695.64</v>
      </c>
      <c r="C42" s="106">
        <v>13748.1</v>
      </c>
      <c r="D42" s="106">
        <v>14264.36</v>
      </c>
      <c r="E42" s="106">
        <v>14449.37</v>
      </c>
      <c r="F42" s="106">
        <v>13954.46</v>
      </c>
      <c r="G42" s="106">
        <v>3840.16</v>
      </c>
      <c r="H42" s="502"/>
      <c r="I42" s="502"/>
      <c r="J42" s="502"/>
      <c r="K42" s="502"/>
      <c r="L42" s="502"/>
      <c r="M42" s="315"/>
    </row>
    <row r="43" spans="1:13" ht="15.75" thickBot="1" x14ac:dyDescent="0.3">
      <c r="A43" s="151" t="s">
        <v>29</v>
      </c>
      <c r="B43" s="112">
        <v>17473.580000000002</v>
      </c>
      <c r="C43" s="112">
        <v>17697.45</v>
      </c>
      <c r="D43" s="112">
        <v>18166.419999999998</v>
      </c>
      <c r="E43" s="112">
        <v>17892.009999999998</v>
      </c>
      <c r="F43" s="112">
        <v>17910.330000000002</v>
      </c>
      <c r="G43" s="112">
        <v>16204.03</v>
      </c>
      <c r="H43" s="503"/>
      <c r="I43" s="503"/>
      <c r="J43" s="503"/>
      <c r="K43" s="503"/>
      <c r="L43" s="503"/>
      <c r="M43" s="315"/>
    </row>
    <row r="44" spans="1:13" x14ac:dyDescent="0.25">
      <c r="A44" s="315"/>
      <c r="B44" s="315"/>
      <c r="C44" s="315"/>
      <c r="D44" s="315"/>
      <c r="E44" s="315"/>
      <c r="F44" s="315"/>
      <c r="G44" s="315"/>
      <c r="H44" s="315"/>
      <c r="I44" s="315"/>
      <c r="J44" s="315"/>
      <c r="K44" s="315"/>
      <c r="L44" s="315"/>
      <c r="M44" s="315"/>
    </row>
  </sheetData>
  <mergeCells count="11">
    <mergeCell ref="A2:M2"/>
    <mergeCell ref="A24:K24"/>
    <mergeCell ref="A14:B14"/>
    <mergeCell ref="A25:C25"/>
    <mergeCell ref="A36:C36"/>
    <mergeCell ref="A35:K35"/>
    <mergeCell ref="A13:M13"/>
    <mergeCell ref="A15:A16"/>
    <mergeCell ref="B15:M15"/>
    <mergeCell ref="A4:A5"/>
    <mergeCell ref="B4:M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12B2-8DE6-4FEF-82A9-35C761EB1D0C}">
  <sheetPr>
    <tabColor theme="9"/>
  </sheetPr>
  <dimension ref="A1:Z49"/>
  <sheetViews>
    <sheetView showGridLines="0" zoomScale="70" zoomScaleNormal="70" workbookViewId="0">
      <selection activeCell="B24" sqref="B24"/>
    </sheetView>
  </sheetViews>
  <sheetFormatPr baseColWidth="10" defaultRowHeight="15" x14ac:dyDescent="0.25"/>
  <cols>
    <col min="1" max="1" width="15.5703125" style="315" customWidth="1"/>
    <col min="2" max="2" width="16" style="315" bestFit="1" customWidth="1"/>
    <col min="3" max="3" width="15.7109375" style="315" bestFit="1" customWidth="1"/>
    <col min="4" max="4" width="15.85546875" style="315" bestFit="1" customWidth="1"/>
    <col min="5" max="5" width="15.42578125" style="315" bestFit="1" customWidth="1"/>
    <col min="6" max="6" width="16.42578125" style="315" bestFit="1" customWidth="1"/>
    <col min="7" max="7" width="15.42578125" style="315" bestFit="1" customWidth="1"/>
    <col min="8" max="8" width="14.28515625" style="315" bestFit="1" customWidth="1"/>
    <col min="9" max="9" width="16.28515625" style="315" bestFit="1" customWidth="1"/>
    <col min="10" max="10" width="12.7109375" style="315" bestFit="1" customWidth="1"/>
    <col min="11" max="11" width="15.28515625" style="315" bestFit="1" customWidth="1"/>
    <col min="12" max="12" width="16.28515625" style="315" bestFit="1" customWidth="1"/>
    <col min="13" max="13" width="15.140625" style="315" bestFit="1" customWidth="1"/>
    <col min="14" max="14" width="11.42578125" style="315"/>
  </cols>
  <sheetData>
    <row r="1" spans="1:26" x14ac:dyDescent="0.25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</row>
    <row r="2" spans="1:26" x14ac:dyDescent="0.25">
      <c r="A2" s="452" t="s">
        <v>577</v>
      </c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2"/>
    </row>
    <row r="3" spans="1:26" ht="15.75" thickBot="1" x14ac:dyDescent="0.3">
      <c r="A3" s="315" t="s">
        <v>447</v>
      </c>
    </row>
    <row r="4" spans="1:26" ht="15.75" thickBot="1" x14ac:dyDescent="0.3">
      <c r="A4" s="295"/>
      <c r="B4" s="217">
        <v>2022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9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</row>
    <row r="5" spans="1:26" ht="16.5" thickBot="1" x14ac:dyDescent="0.3">
      <c r="A5" s="296"/>
      <c r="B5" s="91" t="s">
        <v>426</v>
      </c>
      <c r="C5" s="91" t="s">
        <v>427</v>
      </c>
      <c r="D5" s="91" t="s">
        <v>428</v>
      </c>
      <c r="E5" s="91" t="s">
        <v>429</v>
      </c>
      <c r="F5" s="91" t="s">
        <v>430</v>
      </c>
      <c r="G5" s="91" t="s">
        <v>431</v>
      </c>
      <c r="H5" s="91" t="s">
        <v>432</v>
      </c>
      <c r="I5" s="91" t="s">
        <v>433</v>
      </c>
      <c r="J5" s="91" t="s">
        <v>443</v>
      </c>
      <c r="K5" s="91" t="s">
        <v>435</v>
      </c>
      <c r="L5" s="91" t="s">
        <v>436</v>
      </c>
      <c r="M5" s="91" t="s">
        <v>437</v>
      </c>
      <c r="N5" s="319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</row>
    <row r="6" spans="1:26" ht="16.5" thickBot="1" x14ac:dyDescent="0.3">
      <c r="A6" s="156" t="s">
        <v>837</v>
      </c>
      <c r="B6" s="104">
        <v>163197</v>
      </c>
      <c r="C6" s="104">
        <v>167103</v>
      </c>
      <c r="D6" s="104">
        <v>169773</v>
      </c>
      <c r="E6" s="104">
        <v>169145</v>
      </c>
      <c r="F6" s="104">
        <v>173704</v>
      </c>
      <c r="G6" s="104">
        <v>176431</v>
      </c>
      <c r="H6" s="104">
        <v>178270</v>
      </c>
      <c r="I6" s="104">
        <v>181657</v>
      </c>
      <c r="J6" s="104">
        <v>184307</v>
      </c>
      <c r="K6" s="104">
        <v>188440</v>
      </c>
      <c r="L6" s="104">
        <v>188643</v>
      </c>
      <c r="M6" s="104">
        <v>196977</v>
      </c>
      <c r="N6" s="512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</row>
    <row r="7" spans="1:26" ht="16.5" thickBot="1" x14ac:dyDescent="0.3">
      <c r="A7" s="156" t="s">
        <v>838</v>
      </c>
      <c r="B7" s="102">
        <v>185</v>
      </c>
      <c r="C7" s="102">
        <v>184</v>
      </c>
      <c r="D7" s="102">
        <v>191</v>
      </c>
      <c r="E7" s="102">
        <v>187</v>
      </c>
      <c r="F7" s="102">
        <v>166</v>
      </c>
      <c r="G7" s="102">
        <v>164</v>
      </c>
      <c r="H7" s="102">
        <v>165</v>
      </c>
      <c r="I7" s="102">
        <v>260</v>
      </c>
      <c r="J7" s="102">
        <v>279</v>
      </c>
      <c r="K7" s="102">
        <v>324</v>
      </c>
      <c r="L7" s="102">
        <v>303</v>
      </c>
      <c r="M7" s="102">
        <v>330</v>
      </c>
      <c r="N7" s="512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</row>
    <row r="8" spans="1:26" ht="15" customHeight="1" thickBot="1" x14ac:dyDescent="0.3">
      <c r="A8" s="156" t="s">
        <v>839</v>
      </c>
      <c r="B8" s="102">
        <v>2</v>
      </c>
      <c r="C8" s="102">
        <v>2</v>
      </c>
      <c r="D8" s="102">
        <v>2</v>
      </c>
      <c r="E8" s="102">
        <v>2</v>
      </c>
      <c r="F8" s="102">
        <v>2</v>
      </c>
      <c r="G8" s="102">
        <v>2</v>
      </c>
      <c r="H8" s="102">
        <v>2</v>
      </c>
      <c r="I8" s="102">
        <v>2</v>
      </c>
      <c r="J8" s="102">
        <v>2</v>
      </c>
      <c r="K8" s="102">
        <v>2</v>
      </c>
      <c r="L8" s="102">
        <v>2</v>
      </c>
      <c r="M8" s="102">
        <v>2</v>
      </c>
      <c r="N8" s="512"/>
    </row>
    <row r="9" spans="1:26" ht="15" customHeight="1" x14ac:dyDescent="0.25">
      <c r="A9" s="156" t="s">
        <v>840</v>
      </c>
      <c r="B9" s="102">
        <v>44</v>
      </c>
      <c r="C9" s="102">
        <v>46</v>
      </c>
      <c r="D9" s="102">
        <v>46</v>
      </c>
      <c r="E9" s="102">
        <v>46</v>
      </c>
      <c r="F9" s="102">
        <v>46</v>
      </c>
      <c r="G9" s="102">
        <v>46</v>
      </c>
      <c r="H9" s="102">
        <v>48</v>
      </c>
      <c r="I9" s="102">
        <v>47</v>
      </c>
      <c r="J9" s="102">
        <v>47</v>
      </c>
      <c r="K9" s="102">
        <v>49</v>
      </c>
      <c r="L9" s="102">
        <v>47</v>
      </c>
      <c r="M9" s="102">
        <v>50</v>
      </c>
      <c r="N9" s="512"/>
    </row>
    <row r="10" spans="1:26" ht="16.5" thickBot="1" x14ac:dyDescent="0.3">
      <c r="A10" s="157" t="s">
        <v>29</v>
      </c>
      <c r="B10" s="145">
        <v>163428</v>
      </c>
      <c r="C10" s="145">
        <v>167335</v>
      </c>
      <c r="D10" s="145">
        <v>170012</v>
      </c>
      <c r="E10" s="145">
        <v>169380</v>
      </c>
      <c r="F10" s="145">
        <v>173918</v>
      </c>
      <c r="G10" s="145">
        <v>176643</v>
      </c>
      <c r="H10" s="145">
        <v>178485</v>
      </c>
      <c r="I10" s="145">
        <v>181966</v>
      </c>
      <c r="J10" s="145">
        <v>184635</v>
      </c>
      <c r="K10" s="145">
        <v>188815</v>
      </c>
      <c r="L10" s="145">
        <v>188995</v>
      </c>
      <c r="M10" s="145">
        <v>197359</v>
      </c>
      <c r="N10" s="319"/>
    </row>
    <row r="12" spans="1:26" x14ac:dyDescent="0.25">
      <c r="A12" s="494" t="s">
        <v>576</v>
      </c>
      <c r="B12" s="494"/>
      <c r="C12" s="494"/>
      <c r="D12" s="494"/>
      <c r="E12" s="494"/>
      <c r="F12" s="494"/>
      <c r="G12" s="494"/>
      <c r="H12" s="494"/>
      <c r="I12" s="494"/>
      <c r="J12" s="494"/>
      <c r="K12" s="494"/>
      <c r="L12" s="494"/>
      <c r="M12" s="494"/>
    </row>
    <row r="13" spans="1:26" ht="15.75" thickBot="1" x14ac:dyDescent="0.3">
      <c r="A13" s="485" t="s">
        <v>454</v>
      </c>
      <c r="B13" s="485"/>
      <c r="C13" s="406" t="s">
        <v>425</v>
      </c>
      <c r="D13" s="406"/>
      <c r="E13" s="406"/>
      <c r="F13" s="406"/>
      <c r="G13" s="406"/>
      <c r="H13" s="406"/>
      <c r="I13" s="406"/>
      <c r="J13" s="406"/>
      <c r="K13" s="406"/>
      <c r="L13" s="406"/>
      <c r="M13" s="406"/>
    </row>
    <row r="14" spans="1:26" ht="15.75" thickBot="1" x14ac:dyDescent="0.3">
      <c r="A14" s="295"/>
      <c r="B14" s="217">
        <v>2022</v>
      </c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9"/>
      <c r="N14" s="505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</row>
    <row r="15" spans="1:26" ht="15.75" thickBot="1" x14ac:dyDescent="0.3">
      <c r="A15" s="296"/>
      <c r="B15" s="91" t="s">
        <v>426</v>
      </c>
      <c r="C15" s="91" t="s">
        <v>427</v>
      </c>
      <c r="D15" s="91" t="s">
        <v>428</v>
      </c>
      <c r="E15" s="91" t="s">
        <v>429</v>
      </c>
      <c r="F15" s="91" t="s">
        <v>430</v>
      </c>
      <c r="G15" s="91" t="s">
        <v>431</v>
      </c>
      <c r="H15" s="91" t="s">
        <v>432</v>
      </c>
      <c r="I15" s="91" t="s">
        <v>433</v>
      </c>
      <c r="J15" s="91" t="s">
        <v>443</v>
      </c>
      <c r="K15" s="91" t="s">
        <v>435</v>
      </c>
      <c r="L15" s="91" t="s">
        <v>436</v>
      </c>
      <c r="M15" s="91" t="s">
        <v>437</v>
      </c>
      <c r="N15" s="506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62"/>
    </row>
    <row r="16" spans="1:26" ht="15.75" thickBot="1" x14ac:dyDescent="0.3">
      <c r="A16" s="90" t="s">
        <v>562</v>
      </c>
      <c r="B16" s="153">
        <v>66.16</v>
      </c>
      <c r="C16" s="153">
        <v>63.4</v>
      </c>
      <c r="D16" s="153">
        <v>60.74</v>
      </c>
      <c r="E16" s="153">
        <v>67.260000000000005</v>
      </c>
      <c r="F16" s="153">
        <v>68.28</v>
      </c>
      <c r="G16" s="153">
        <v>72.37</v>
      </c>
      <c r="H16" s="153">
        <v>71.180000000000007</v>
      </c>
      <c r="I16" s="153">
        <v>74.73</v>
      </c>
      <c r="J16" s="153">
        <v>75.8</v>
      </c>
      <c r="K16" s="153">
        <v>80.56</v>
      </c>
      <c r="L16" s="153">
        <v>77</v>
      </c>
      <c r="M16" s="153">
        <v>74.84</v>
      </c>
      <c r="N16" s="506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62"/>
    </row>
    <row r="17" spans="1:26" ht="15.75" thickBot="1" x14ac:dyDescent="0.3">
      <c r="A17" s="90" t="s">
        <v>567</v>
      </c>
      <c r="B17" s="153">
        <v>1.56</v>
      </c>
      <c r="C17" s="153">
        <v>1.3</v>
      </c>
      <c r="D17" s="153">
        <v>1.25</v>
      </c>
      <c r="E17" s="153">
        <v>1.45</v>
      </c>
      <c r="F17" s="153">
        <v>1.17</v>
      </c>
      <c r="G17" s="153">
        <v>1.37</v>
      </c>
      <c r="H17" s="153">
        <v>1.93</v>
      </c>
      <c r="I17" s="153">
        <v>2.5</v>
      </c>
      <c r="J17" s="153">
        <v>2.54</v>
      </c>
      <c r="K17" s="153">
        <v>4.3</v>
      </c>
      <c r="L17" s="153">
        <v>3.27</v>
      </c>
      <c r="M17" s="153">
        <v>3.07</v>
      </c>
      <c r="N17" s="506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62"/>
    </row>
    <row r="18" spans="1:26" ht="15.75" thickBot="1" x14ac:dyDescent="0.3">
      <c r="A18" s="90" t="s">
        <v>414</v>
      </c>
      <c r="B18" s="153">
        <v>13.08</v>
      </c>
      <c r="C18" s="153">
        <v>11.52</v>
      </c>
      <c r="D18" s="153">
        <v>11.23</v>
      </c>
      <c r="E18" s="153">
        <v>11.5</v>
      </c>
      <c r="F18" s="153">
        <v>11.5</v>
      </c>
      <c r="G18" s="153">
        <v>13.49</v>
      </c>
      <c r="H18" s="153">
        <v>15.34</v>
      </c>
      <c r="I18" s="153">
        <v>17.21</v>
      </c>
      <c r="J18" s="153">
        <v>18.79</v>
      </c>
      <c r="K18" s="153">
        <v>19.48</v>
      </c>
      <c r="L18" s="153">
        <v>22.07</v>
      </c>
      <c r="M18" s="153">
        <v>21.56</v>
      </c>
      <c r="N18" s="506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62"/>
    </row>
    <row r="19" spans="1:26" ht="15.75" thickBot="1" x14ac:dyDescent="0.3">
      <c r="A19" s="90" t="s">
        <v>564</v>
      </c>
      <c r="B19" s="153">
        <v>289.82</v>
      </c>
      <c r="C19" s="153">
        <v>226.43</v>
      </c>
      <c r="D19" s="153">
        <v>184.88</v>
      </c>
      <c r="E19" s="153">
        <v>179.77</v>
      </c>
      <c r="F19" s="153">
        <v>150.51</v>
      </c>
      <c r="G19" s="153">
        <v>268.20999999999998</v>
      </c>
      <c r="H19" s="153">
        <v>214.35</v>
      </c>
      <c r="I19" s="153">
        <v>196.67</v>
      </c>
      <c r="J19" s="153">
        <v>108.01</v>
      </c>
      <c r="K19" s="153">
        <v>147.58000000000001</v>
      </c>
      <c r="L19" s="153">
        <v>140.96</v>
      </c>
      <c r="M19" s="153">
        <v>163.19999999999999</v>
      </c>
      <c r="N19" s="507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</row>
    <row r="20" spans="1:26" ht="15.75" thickBot="1" x14ac:dyDescent="0.3">
      <c r="A20" s="151" t="s">
        <v>29</v>
      </c>
      <c r="B20" s="154">
        <v>370.62</v>
      </c>
      <c r="C20" s="154">
        <v>302.64999999999998</v>
      </c>
      <c r="D20" s="154">
        <v>258.11</v>
      </c>
      <c r="E20" s="154">
        <v>259.98</v>
      </c>
      <c r="F20" s="154">
        <v>231.46</v>
      </c>
      <c r="G20" s="154">
        <v>355.44</v>
      </c>
      <c r="H20" s="154">
        <v>302.8</v>
      </c>
      <c r="I20" s="154">
        <v>291.11</v>
      </c>
      <c r="J20" s="154">
        <v>205.14</v>
      </c>
      <c r="K20" s="154">
        <v>251.93</v>
      </c>
      <c r="L20" s="154">
        <v>243.29</v>
      </c>
      <c r="M20" s="154">
        <v>262.67</v>
      </c>
    </row>
    <row r="21" spans="1:26" ht="30" customHeight="1" thickBot="1" x14ac:dyDescent="0.3">
      <c r="H21" s="406"/>
    </row>
    <row r="22" spans="1:26" ht="27" customHeight="1" x14ac:dyDescent="0.25">
      <c r="A22" s="510" t="s">
        <v>579</v>
      </c>
      <c r="B22" s="510"/>
      <c r="C22" s="510"/>
      <c r="D22" s="510"/>
      <c r="E22" s="510"/>
      <c r="F22" s="510"/>
      <c r="G22" s="510"/>
      <c r="H22" s="406"/>
      <c r="I22" s="406"/>
      <c r="J22" s="406"/>
      <c r="K22" s="406"/>
      <c r="L22" s="406"/>
      <c r="M22" s="406"/>
    </row>
    <row r="23" spans="1:26" ht="15.75" thickBot="1" x14ac:dyDescent="0.3">
      <c r="A23" s="485" t="s">
        <v>455</v>
      </c>
      <c r="B23" s="485"/>
      <c r="C23" s="485"/>
      <c r="D23" s="406"/>
      <c r="E23" s="337"/>
      <c r="F23" s="337"/>
    </row>
    <row r="24" spans="1:26" ht="15.75" thickBot="1" x14ac:dyDescent="0.3">
      <c r="A24" s="135"/>
      <c r="B24" s="94">
        <v>2017</v>
      </c>
      <c r="C24" s="94">
        <v>2018</v>
      </c>
      <c r="D24" s="94">
        <v>2019</v>
      </c>
      <c r="E24" s="94">
        <v>2020</v>
      </c>
      <c r="F24" s="94">
        <v>2021</v>
      </c>
      <c r="G24" s="94">
        <v>2022</v>
      </c>
    </row>
    <row r="25" spans="1:26" ht="15.75" thickBot="1" x14ac:dyDescent="0.3">
      <c r="A25" s="136" t="s">
        <v>562</v>
      </c>
      <c r="B25" s="67">
        <v>51</v>
      </c>
      <c r="C25" s="99">
        <v>21501</v>
      </c>
      <c r="D25" s="99">
        <v>87345</v>
      </c>
      <c r="E25" s="99">
        <v>115753</v>
      </c>
      <c r="F25" s="99">
        <v>158665</v>
      </c>
      <c r="G25" s="99">
        <v>196977</v>
      </c>
    </row>
    <row r="26" spans="1:26" ht="15.75" thickBot="1" x14ac:dyDescent="0.3">
      <c r="A26" s="136" t="s">
        <v>567</v>
      </c>
      <c r="B26" s="67" t="s">
        <v>578</v>
      </c>
      <c r="C26" s="67">
        <v>10</v>
      </c>
      <c r="D26" s="67">
        <v>118</v>
      </c>
      <c r="E26" s="67">
        <v>135</v>
      </c>
      <c r="F26" s="67">
        <v>185</v>
      </c>
      <c r="G26" s="67">
        <v>330</v>
      </c>
    </row>
    <row r="27" spans="1:26" ht="15.75" thickBot="1" x14ac:dyDescent="0.3">
      <c r="A27" s="136" t="s">
        <v>414</v>
      </c>
      <c r="B27" s="67" t="s">
        <v>578</v>
      </c>
      <c r="C27" s="67">
        <v>1</v>
      </c>
      <c r="D27" s="67">
        <v>1</v>
      </c>
      <c r="E27" s="67">
        <v>1</v>
      </c>
      <c r="F27" s="67">
        <v>2</v>
      </c>
      <c r="G27" s="67">
        <v>2</v>
      </c>
    </row>
    <row r="28" spans="1:26" ht="15.75" thickBot="1" x14ac:dyDescent="0.3">
      <c r="A28" s="136" t="s">
        <v>564</v>
      </c>
      <c r="B28" s="67" t="s">
        <v>578</v>
      </c>
      <c r="C28" s="67">
        <v>14</v>
      </c>
      <c r="D28" s="67">
        <v>26</v>
      </c>
      <c r="E28" s="67">
        <v>32</v>
      </c>
      <c r="F28" s="67">
        <v>45</v>
      </c>
      <c r="G28" s="67">
        <v>50</v>
      </c>
    </row>
    <row r="29" spans="1:26" ht="15.75" thickBot="1" x14ac:dyDescent="0.3">
      <c r="A29" s="139" t="s">
        <v>29</v>
      </c>
      <c r="B29" s="93">
        <v>51</v>
      </c>
      <c r="C29" s="145">
        <v>21526</v>
      </c>
      <c r="D29" s="145">
        <v>87490</v>
      </c>
      <c r="E29" s="145">
        <v>115921</v>
      </c>
      <c r="F29" s="145">
        <v>158897</v>
      </c>
      <c r="G29" s="145">
        <v>197359</v>
      </c>
    </row>
    <row r="30" spans="1:26" x14ac:dyDescent="0.25">
      <c r="J30" s="508"/>
      <c r="K30" s="508"/>
      <c r="L30" s="508"/>
    </row>
    <row r="32" spans="1:26" x14ac:dyDescent="0.25">
      <c r="A32" s="511" t="s">
        <v>575</v>
      </c>
      <c r="B32" s="511"/>
      <c r="C32" s="511"/>
      <c r="D32" s="511"/>
      <c r="E32" s="511"/>
      <c r="F32" s="511"/>
      <c r="G32" s="511"/>
      <c r="H32" s="511"/>
    </row>
    <row r="34" spans="1:12" ht="15.75" thickBot="1" x14ac:dyDescent="0.3">
      <c r="A34" s="485" t="s">
        <v>456</v>
      </c>
      <c r="B34" s="485"/>
      <c r="C34" s="406" t="s">
        <v>425</v>
      </c>
      <c r="D34" s="406"/>
      <c r="E34" s="406"/>
    </row>
    <row r="35" spans="1:12" ht="15.75" thickBot="1" x14ac:dyDescent="0.3">
      <c r="A35" s="135"/>
      <c r="B35" s="94">
        <v>2018</v>
      </c>
      <c r="C35" s="94">
        <v>2019</v>
      </c>
      <c r="D35" s="94">
        <v>2020</v>
      </c>
      <c r="E35" s="94">
        <v>2021</v>
      </c>
      <c r="F35" s="94">
        <v>2022</v>
      </c>
    </row>
    <row r="36" spans="1:12" ht="15.75" thickBot="1" x14ac:dyDescent="0.3">
      <c r="A36" s="90" t="s">
        <v>562</v>
      </c>
      <c r="B36" s="99">
        <v>25.81</v>
      </c>
      <c r="C36" s="99">
        <v>251.66</v>
      </c>
      <c r="D36" s="99">
        <v>579.66999999999996</v>
      </c>
      <c r="E36" s="99">
        <v>712.78499999999997</v>
      </c>
      <c r="F36" s="99">
        <v>922.22500000000002</v>
      </c>
    </row>
    <row r="37" spans="1:12" ht="15.75" thickBot="1" x14ac:dyDescent="0.3">
      <c r="A37" s="90" t="s">
        <v>567</v>
      </c>
      <c r="B37" s="99">
        <v>0</v>
      </c>
      <c r="C37" s="99">
        <v>4.83</v>
      </c>
      <c r="D37" s="99">
        <v>10.99</v>
      </c>
      <c r="E37" s="99">
        <v>15.617000000000001</v>
      </c>
      <c r="F37" s="99">
        <v>27.405999999999999</v>
      </c>
    </row>
    <row r="38" spans="1:12" ht="15.75" thickBot="1" x14ac:dyDescent="0.3">
      <c r="A38" s="90" t="s">
        <v>414</v>
      </c>
      <c r="B38" s="99">
        <v>22.67</v>
      </c>
      <c r="C38" s="99">
        <v>38.21</v>
      </c>
      <c r="D38" s="99">
        <v>24.38</v>
      </c>
      <c r="E38" s="99">
        <v>70.744</v>
      </c>
      <c r="F38" s="99">
        <v>196.59899999999999</v>
      </c>
    </row>
    <row r="39" spans="1:12" ht="15.75" thickBot="1" x14ac:dyDescent="0.3">
      <c r="A39" s="90" t="s">
        <v>564</v>
      </c>
      <c r="B39" s="99">
        <v>207.38</v>
      </c>
      <c r="C39" s="99">
        <v>294.7</v>
      </c>
      <c r="D39" s="99">
        <v>1983.65</v>
      </c>
      <c r="E39" s="99">
        <v>2237.2269999999999</v>
      </c>
      <c r="F39" s="99">
        <v>2551.7600000000002</v>
      </c>
      <c r="H39" s="509"/>
      <c r="I39" s="509"/>
      <c r="J39" s="509"/>
      <c r="K39" s="509"/>
      <c r="L39" s="509"/>
    </row>
    <row r="40" spans="1:12" ht="15.75" thickBot="1" x14ac:dyDescent="0.3">
      <c r="A40" s="151" t="s">
        <v>29</v>
      </c>
      <c r="B40" s="145">
        <v>255.86</v>
      </c>
      <c r="C40" s="145">
        <v>589.39</v>
      </c>
      <c r="D40" s="145">
        <v>2598.6999999999998</v>
      </c>
      <c r="E40" s="145">
        <v>3036.37</v>
      </c>
      <c r="F40" s="145">
        <v>3697.99</v>
      </c>
    </row>
    <row r="49" spans="1:12" x14ac:dyDescent="0.25">
      <c r="A49" s="509"/>
      <c r="B49" s="509"/>
      <c r="C49" s="509"/>
      <c r="D49" s="509"/>
      <c r="E49" s="509"/>
      <c r="F49" s="509"/>
      <c r="G49" s="509"/>
      <c r="H49" s="509"/>
      <c r="I49" s="509"/>
      <c r="J49" s="509"/>
      <c r="K49" s="509"/>
      <c r="L49" s="509"/>
    </row>
  </sheetData>
  <mergeCells count="12">
    <mergeCell ref="A32:H32"/>
    <mergeCell ref="A22:G22"/>
    <mergeCell ref="A1:M1"/>
    <mergeCell ref="A12:M12"/>
    <mergeCell ref="A2:M2"/>
    <mergeCell ref="A4:A5"/>
    <mergeCell ref="B4:N4"/>
    <mergeCell ref="A34:B34"/>
    <mergeCell ref="A13:B13"/>
    <mergeCell ref="A23:C23"/>
    <mergeCell ref="A14:A15"/>
    <mergeCell ref="B14:M1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9174-92E7-4A9C-AFF3-1D043FE61902}">
  <sheetPr>
    <tabColor theme="9"/>
  </sheetPr>
  <dimension ref="A2:Z40"/>
  <sheetViews>
    <sheetView showGridLines="0" topLeftCell="C1" zoomScale="70" zoomScaleNormal="70" workbookViewId="0">
      <selection activeCell="I32" sqref="I32"/>
    </sheetView>
  </sheetViews>
  <sheetFormatPr baseColWidth="10" defaultRowHeight="15" x14ac:dyDescent="0.25"/>
  <cols>
    <col min="1" max="1" width="14.85546875" bestFit="1" customWidth="1"/>
    <col min="2" max="2" width="9.7109375" bestFit="1" customWidth="1"/>
    <col min="3" max="3" width="15.7109375" bestFit="1" customWidth="1"/>
    <col min="4" max="4" width="15.85546875" bestFit="1" customWidth="1"/>
    <col min="5" max="5" width="15.42578125" bestFit="1" customWidth="1"/>
    <col min="6" max="6" width="16.42578125" bestFit="1" customWidth="1"/>
    <col min="7" max="7" width="15.42578125" bestFit="1" customWidth="1"/>
    <col min="8" max="8" width="15.140625" bestFit="1" customWidth="1"/>
    <col min="9" max="9" width="16.28515625" bestFit="1" customWidth="1"/>
    <col min="10" max="10" width="15.140625" bestFit="1" customWidth="1"/>
    <col min="11" max="11" width="15.28515625" bestFit="1" customWidth="1"/>
    <col min="12" max="12" width="16.28515625" bestFit="1" customWidth="1"/>
    <col min="13" max="13" width="15.140625" bestFit="1" customWidth="1"/>
  </cols>
  <sheetData>
    <row r="2" spans="1:26" x14ac:dyDescent="0.25">
      <c r="A2" s="297" t="s">
        <v>582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</row>
    <row r="3" spans="1:26" ht="15.75" thickBot="1" x14ac:dyDescent="0.3">
      <c r="A3" t="s">
        <v>447</v>
      </c>
    </row>
    <row r="4" spans="1:26" ht="15.75" thickBot="1" x14ac:dyDescent="0.3">
      <c r="A4" s="300"/>
      <c r="B4" s="217">
        <v>2022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9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</row>
    <row r="5" spans="1:26" ht="15.75" thickBot="1" x14ac:dyDescent="0.3">
      <c r="A5" s="301"/>
      <c r="B5" s="91" t="s">
        <v>426</v>
      </c>
      <c r="C5" s="91" t="s">
        <v>427</v>
      </c>
      <c r="D5" s="91" t="s">
        <v>428</v>
      </c>
      <c r="E5" s="91" t="s">
        <v>429</v>
      </c>
      <c r="F5" s="91" t="s">
        <v>430</v>
      </c>
      <c r="G5" s="91" t="s">
        <v>431</v>
      </c>
      <c r="H5" s="91" t="s">
        <v>432</v>
      </c>
      <c r="I5" s="91" t="s">
        <v>433</v>
      </c>
      <c r="J5" s="91" t="s">
        <v>443</v>
      </c>
      <c r="K5" s="91" t="s">
        <v>435</v>
      </c>
      <c r="L5" s="91" t="s">
        <v>436</v>
      </c>
      <c r="M5" s="91" t="s">
        <v>437</v>
      </c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</row>
    <row r="6" spans="1:26" ht="15.75" thickBot="1" x14ac:dyDescent="0.3">
      <c r="A6" s="136" t="s">
        <v>562</v>
      </c>
      <c r="B6" s="99">
        <v>12846</v>
      </c>
      <c r="C6" s="99">
        <v>12846</v>
      </c>
      <c r="D6" s="99">
        <v>12846</v>
      </c>
      <c r="E6" s="99">
        <v>12846</v>
      </c>
      <c r="F6" s="99">
        <v>12846</v>
      </c>
      <c r="G6" s="99">
        <v>12846</v>
      </c>
      <c r="H6" s="99">
        <v>12846</v>
      </c>
      <c r="I6" s="99">
        <v>12846</v>
      </c>
      <c r="J6" s="99">
        <v>12846</v>
      </c>
      <c r="K6" s="99">
        <v>12846</v>
      </c>
      <c r="L6" s="99">
        <v>12846</v>
      </c>
      <c r="M6" s="99">
        <v>12846</v>
      </c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</row>
    <row r="7" spans="1:26" ht="15.75" thickBot="1" x14ac:dyDescent="0.3">
      <c r="A7" s="136" t="s">
        <v>567</v>
      </c>
      <c r="B7" s="67">
        <v>29</v>
      </c>
      <c r="C7" s="67">
        <v>29</v>
      </c>
      <c r="D7" s="67">
        <v>29</v>
      </c>
      <c r="E7" s="67">
        <v>29</v>
      </c>
      <c r="F7" s="67">
        <v>29</v>
      </c>
      <c r="G7" s="67">
        <v>29</v>
      </c>
      <c r="H7" s="67">
        <v>29</v>
      </c>
      <c r="I7" s="67">
        <v>29</v>
      </c>
      <c r="J7" s="67">
        <v>29</v>
      </c>
      <c r="K7" s="67">
        <v>29</v>
      </c>
      <c r="L7" s="67">
        <v>29</v>
      </c>
      <c r="M7" s="67">
        <v>29</v>
      </c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</row>
    <row r="8" spans="1:26" ht="15.75" thickBot="1" x14ac:dyDescent="0.3">
      <c r="A8" s="136" t="s">
        <v>414</v>
      </c>
      <c r="B8" s="67">
        <v>0</v>
      </c>
      <c r="C8" s="67">
        <v>0</v>
      </c>
      <c r="D8" s="67">
        <v>0</v>
      </c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67">
        <v>0</v>
      </c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</row>
    <row r="9" spans="1:26" ht="15.75" thickBot="1" x14ac:dyDescent="0.3">
      <c r="A9" s="136" t="s">
        <v>564</v>
      </c>
      <c r="B9" s="67">
        <v>20</v>
      </c>
      <c r="C9" s="67">
        <v>20</v>
      </c>
      <c r="D9" s="67">
        <v>20</v>
      </c>
      <c r="E9" s="67">
        <v>20</v>
      </c>
      <c r="F9" s="67">
        <v>20</v>
      </c>
      <c r="G9" s="67">
        <v>20</v>
      </c>
      <c r="H9" s="67">
        <v>20</v>
      </c>
      <c r="I9" s="67">
        <v>20</v>
      </c>
      <c r="J9" s="67">
        <v>20</v>
      </c>
      <c r="K9" s="67">
        <v>20</v>
      </c>
      <c r="L9" s="67">
        <v>20</v>
      </c>
      <c r="M9" s="67">
        <v>20</v>
      </c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</row>
    <row r="10" spans="1:26" ht="15.75" thickBot="1" x14ac:dyDescent="0.3">
      <c r="A10" s="139" t="s">
        <v>29</v>
      </c>
      <c r="B10" s="145">
        <v>12895</v>
      </c>
      <c r="C10" s="145">
        <v>12895</v>
      </c>
      <c r="D10" s="145">
        <v>12895</v>
      </c>
      <c r="E10" s="145">
        <v>12895</v>
      </c>
      <c r="F10" s="145">
        <v>12895</v>
      </c>
      <c r="G10" s="145">
        <v>12895</v>
      </c>
      <c r="H10" s="145">
        <v>12895</v>
      </c>
      <c r="I10" s="145">
        <v>12895</v>
      </c>
      <c r="J10" s="145">
        <v>12895</v>
      </c>
      <c r="K10" s="145">
        <v>12895</v>
      </c>
      <c r="L10" s="145">
        <v>12895</v>
      </c>
      <c r="M10" s="145">
        <v>12895</v>
      </c>
    </row>
    <row r="12" spans="1:26" x14ac:dyDescent="0.25">
      <c r="A12" s="297" t="s">
        <v>583</v>
      </c>
      <c r="B12" s="297"/>
      <c r="C12" s="297"/>
      <c r="D12" s="297"/>
      <c r="E12" s="297"/>
      <c r="F12" s="297"/>
      <c r="G12" s="297"/>
      <c r="H12" s="297"/>
      <c r="I12" s="297"/>
      <c r="J12" s="297"/>
      <c r="K12" s="297"/>
      <c r="L12" s="297"/>
      <c r="M12" s="297"/>
    </row>
    <row r="13" spans="1:26" ht="15.75" thickBot="1" x14ac:dyDescent="0.3">
      <c r="A13" s="294" t="s">
        <v>457</v>
      </c>
      <c r="B13" s="294"/>
      <c r="C13" s="35" t="s">
        <v>425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spans="1:26" ht="15.75" thickBot="1" x14ac:dyDescent="0.3">
      <c r="A14" s="295"/>
      <c r="B14" s="217">
        <v>2022</v>
      </c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9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</row>
    <row r="15" spans="1:26" ht="15.75" thickBot="1" x14ac:dyDescent="0.3">
      <c r="A15" s="296"/>
      <c r="B15" s="91" t="s">
        <v>426</v>
      </c>
      <c r="C15" s="91" t="s">
        <v>427</v>
      </c>
      <c r="D15" s="91" t="s">
        <v>428</v>
      </c>
      <c r="E15" s="91" t="s">
        <v>429</v>
      </c>
      <c r="F15" s="91" t="s">
        <v>430</v>
      </c>
      <c r="G15" s="91" t="s">
        <v>431</v>
      </c>
      <c r="H15" s="91" t="s">
        <v>432</v>
      </c>
      <c r="I15" s="91" t="s">
        <v>433</v>
      </c>
      <c r="J15" s="91" t="s">
        <v>443</v>
      </c>
      <c r="K15" s="91" t="s">
        <v>435</v>
      </c>
      <c r="L15" s="91" t="s">
        <v>436</v>
      </c>
      <c r="M15" s="91" t="s">
        <v>437</v>
      </c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62"/>
    </row>
    <row r="16" spans="1:26" ht="15.75" thickBot="1" x14ac:dyDescent="0.3">
      <c r="A16" s="90" t="s">
        <v>562</v>
      </c>
      <c r="B16" s="67">
        <v>4.24</v>
      </c>
      <c r="C16" s="67">
        <v>4.29</v>
      </c>
      <c r="D16" s="67">
        <v>4.5999999999999996</v>
      </c>
      <c r="E16" s="67">
        <v>4.29</v>
      </c>
      <c r="F16" s="67">
        <v>4.51</v>
      </c>
      <c r="G16" s="67">
        <v>4.29</v>
      </c>
      <c r="H16" s="67">
        <v>4.54</v>
      </c>
      <c r="I16" s="67">
        <v>4.5999999999999996</v>
      </c>
      <c r="J16" s="67">
        <v>4.8099999999999996</v>
      </c>
      <c r="K16" s="67">
        <v>4.3600000000000003</v>
      </c>
      <c r="L16" s="67">
        <v>4.78</v>
      </c>
      <c r="M16" s="67">
        <v>4.2</v>
      </c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62"/>
    </row>
    <row r="17" spans="1:26" ht="15.75" thickBot="1" x14ac:dyDescent="0.3">
      <c r="A17" s="90" t="s">
        <v>567</v>
      </c>
      <c r="B17" s="67">
        <v>2.95</v>
      </c>
      <c r="C17" s="67">
        <v>2.82</v>
      </c>
      <c r="D17" s="67">
        <v>2.97</v>
      </c>
      <c r="E17" s="67">
        <v>3.18</v>
      </c>
      <c r="F17" s="67">
        <v>3.19</v>
      </c>
      <c r="G17" s="67">
        <v>3.18</v>
      </c>
      <c r="H17" s="67">
        <v>3.44</v>
      </c>
      <c r="I17" s="67">
        <v>3.2</v>
      </c>
      <c r="J17" s="67">
        <v>3.27</v>
      </c>
      <c r="K17" s="67">
        <v>3.33</v>
      </c>
      <c r="L17" s="67">
        <v>3.3</v>
      </c>
      <c r="M17" s="67">
        <v>3.2</v>
      </c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62"/>
    </row>
    <row r="18" spans="1:26" ht="15.75" thickBot="1" x14ac:dyDescent="0.3">
      <c r="A18" s="90" t="s">
        <v>414</v>
      </c>
      <c r="B18" s="67">
        <v>0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62"/>
    </row>
    <row r="19" spans="1:26" ht="15.75" thickBot="1" x14ac:dyDescent="0.3">
      <c r="A19" s="90" t="s">
        <v>564</v>
      </c>
      <c r="B19" s="67">
        <v>101.73</v>
      </c>
      <c r="C19" s="67">
        <v>110.51</v>
      </c>
      <c r="D19" s="67">
        <v>110.26</v>
      </c>
      <c r="E19" s="67">
        <v>115.43</v>
      </c>
      <c r="F19" s="67">
        <v>93.26</v>
      </c>
      <c r="G19" s="67">
        <v>115.43</v>
      </c>
      <c r="H19" s="67">
        <v>102.07</v>
      </c>
      <c r="I19" s="67">
        <v>107.59</v>
      </c>
      <c r="J19" s="67">
        <v>107.51</v>
      </c>
      <c r="K19" s="67">
        <v>104.78</v>
      </c>
      <c r="L19" s="67">
        <v>105.86</v>
      </c>
      <c r="M19" s="67">
        <v>95.43</v>
      </c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</row>
    <row r="20" spans="1:26" ht="15.75" thickBot="1" x14ac:dyDescent="0.3">
      <c r="A20" s="151" t="s">
        <v>29</v>
      </c>
      <c r="B20" s="93">
        <v>108.93</v>
      </c>
      <c r="C20" s="93">
        <v>117.62</v>
      </c>
      <c r="D20" s="93">
        <v>117.84</v>
      </c>
      <c r="E20" s="93">
        <v>122.9</v>
      </c>
      <c r="F20" s="93">
        <v>100.96</v>
      </c>
      <c r="G20" s="93">
        <v>122.9</v>
      </c>
      <c r="H20" s="93">
        <v>110.06</v>
      </c>
      <c r="I20" s="93">
        <v>115.38</v>
      </c>
      <c r="J20" s="93">
        <v>115.59</v>
      </c>
      <c r="K20" s="93">
        <v>112.47</v>
      </c>
      <c r="L20" s="93">
        <v>113.94</v>
      </c>
      <c r="M20" s="93">
        <v>102.83</v>
      </c>
    </row>
    <row r="21" spans="1:26" ht="30.75" customHeight="1" x14ac:dyDescent="0.25">
      <c r="G21" s="84"/>
    </row>
    <row r="22" spans="1:26" ht="30" customHeight="1" x14ac:dyDescent="0.25">
      <c r="A22" s="297" t="s">
        <v>581</v>
      </c>
      <c r="B22" s="297"/>
      <c r="C22" s="297"/>
      <c r="D22" s="297"/>
      <c r="E22" s="297"/>
      <c r="F22" s="297"/>
      <c r="G22" s="35"/>
      <c r="H22" s="298"/>
      <c r="I22" s="298"/>
      <c r="J22" s="298"/>
      <c r="K22" s="298"/>
      <c r="L22" s="298"/>
      <c r="M22" s="35"/>
    </row>
    <row r="23" spans="1:26" ht="15" customHeight="1" thickBot="1" x14ac:dyDescent="0.3">
      <c r="A23" s="294" t="s">
        <v>458</v>
      </c>
      <c r="B23" s="294"/>
      <c r="C23" s="294"/>
      <c r="D23" s="35"/>
    </row>
    <row r="24" spans="1:26" ht="15.75" thickBot="1" x14ac:dyDescent="0.3">
      <c r="A24" s="135"/>
      <c r="B24" s="94">
        <v>2017</v>
      </c>
      <c r="C24" s="94">
        <v>2018</v>
      </c>
      <c r="D24" s="94">
        <v>2019</v>
      </c>
      <c r="E24" s="94">
        <v>2020</v>
      </c>
      <c r="F24" s="94">
        <v>2021</v>
      </c>
      <c r="G24" s="94">
        <v>2022</v>
      </c>
    </row>
    <row r="25" spans="1:26" ht="15.75" thickBot="1" x14ac:dyDescent="0.3">
      <c r="A25" s="136" t="s">
        <v>562</v>
      </c>
      <c r="B25" s="99">
        <v>4216</v>
      </c>
      <c r="C25" s="99">
        <v>11714</v>
      </c>
      <c r="D25" s="99">
        <v>12815</v>
      </c>
      <c r="E25" s="99">
        <v>12846</v>
      </c>
      <c r="F25" s="99">
        <v>12846</v>
      </c>
      <c r="G25" s="99">
        <v>12846</v>
      </c>
    </row>
    <row r="26" spans="1:26" ht="15.75" thickBot="1" x14ac:dyDescent="0.3">
      <c r="A26" s="136" t="s">
        <v>567</v>
      </c>
      <c r="B26" s="67" t="s">
        <v>460</v>
      </c>
      <c r="C26" s="67">
        <v>1</v>
      </c>
      <c r="D26" s="67">
        <v>19</v>
      </c>
      <c r="E26" s="67">
        <v>29</v>
      </c>
      <c r="F26" s="67">
        <v>29</v>
      </c>
      <c r="G26" s="67">
        <v>29</v>
      </c>
    </row>
    <row r="27" spans="1:26" ht="15.75" thickBot="1" x14ac:dyDescent="0.3">
      <c r="A27" s="136" t="s">
        <v>414</v>
      </c>
      <c r="B27" s="67" t="s">
        <v>460</v>
      </c>
      <c r="C27" s="67" t="s">
        <v>460</v>
      </c>
      <c r="D27" s="67" t="s">
        <v>460</v>
      </c>
      <c r="E27" s="67">
        <v>0</v>
      </c>
      <c r="F27" s="67">
        <v>0</v>
      </c>
      <c r="G27" s="67">
        <v>0</v>
      </c>
    </row>
    <row r="28" spans="1:26" ht="15.75" thickBot="1" x14ac:dyDescent="0.3">
      <c r="A28" s="136" t="s">
        <v>564</v>
      </c>
      <c r="B28" s="67" t="s">
        <v>460</v>
      </c>
      <c r="C28" s="67">
        <v>11</v>
      </c>
      <c r="D28" s="67">
        <v>19</v>
      </c>
      <c r="E28" s="67">
        <v>19</v>
      </c>
      <c r="F28" s="67">
        <v>20</v>
      </c>
      <c r="G28" s="67">
        <v>20</v>
      </c>
    </row>
    <row r="29" spans="1:26" ht="15.75" thickBot="1" x14ac:dyDescent="0.3">
      <c r="A29" s="139" t="s">
        <v>29</v>
      </c>
      <c r="B29" s="145">
        <v>4216</v>
      </c>
      <c r="C29" s="145">
        <v>11726</v>
      </c>
      <c r="D29" s="145">
        <v>12853</v>
      </c>
      <c r="E29" s="145">
        <v>12894</v>
      </c>
      <c r="F29" s="145">
        <v>12895</v>
      </c>
      <c r="G29" s="145">
        <v>12895</v>
      </c>
    </row>
    <row r="30" spans="1:26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spans="1:26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spans="1:26" ht="36.75" customHeight="1" x14ac:dyDescent="0.25">
      <c r="A32" s="297" t="s">
        <v>580</v>
      </c>
      <c r="B32" s="297"/>
      <c r="C32" s="297"/>
      <c r="D32" s="297"/>
      <c r="E32" s="297"/>
      <c r="F32" s="297"/>
      <c r="G32" s="297"/>
      <c r="H32" s="297"/>
      <c r="I32" s="16"/>
      <c r="J32" s="16"/>
      <c r="K32" s="16"/>
      <c r="L32" s="16"/>
      <c r="M32" s="16"/>
    </row>
    <row r="33" spans="1:13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3" ht="15.75" thickBot="1" x14ac:dyDescent="0.3">
      <c r="A34" s="299" t="s">
        <v>459</v>
      </c>
      <c r="B34" s="299"/>
      <c r="C34" s="87"/>
      <c r="D34" s="35" t="s">
        <v>425</v>
      </c>
      <c r="E34" s="35"/>
      <c r="G34" s="16"/>
      <c r="H34" s="16"/>
      <c r="I34" s="16"/>
      <c r="J34" s="16"/>
      <c r="K34" s="16"/>
      <c r="L34" s="16"/>
      <c r="M34" s="16"/>
    </row>
    <row r="35" spans="1:13" ht="15.75" thickBot="1" x14ac:dyDescent="0.3">
      <c r="A35" s="135"/>
      <c r="B35" s="94">
        <v>2018</v>
      </c>
      <c r="C35" s="94">
        <v>2019</v>
      </c>
      <c r="D35" s="94">
        <v>2020</v>
      </c>
      <c r="E35" s="94">
        <v>2021</v>
      </c>
      <c r="F35" s="94">
        <v>2022</v>
      </c>
    </row>
    <row r="36" spans="1:13" ht="15.75" thickBot="1" x14ac:dyDescent="0.3">
      <c r="A36" s="90" t="s">
        <v>562</v>
      </c>
      <c r="B36" s="67">
        <v>35.909999999999997</v>
      </c>
      <c r="C36" s="67">
        <v>52.02</v>
      </c>
      <c r="D36" s="67">
        <v>62.04</v>
      </c>
      <c r="E36" s="67">
        <v>55.93</v>
      </c>
      <c r="F36" s="67">
        <v>53.52</v>
      </c>
    </row>
    <row r="37" spans="1:13" ht="15.75" thickBot="1" x14ac:dyDescent="0.3">
      <c r="A37" s="90" t="s">
        <v>567</v>
      </c>
      <c r="B37" s="67" t="s">
        <v>460</v>
      </c>
      <c r="C37" s="67">
        <v>3.98</v>
      </c>
      <c r="D37" s="67">
        <v>19.3</v>
      </c>
      <c r="E37" s="67">
        <v>33.31</v>
      </c>
      <c r="F37" s="67">
        <v>38.020000000000003</v>
      </c>
    </row>
    <row r="38" spans="1:13" ht="15.75" thickBot="1" x14ac:dyDescent="0.3">
      <c r="A38" s="90" t="s">
        <v>414</v>
      </c>
      <c r="B38" s="67" t="s">
        <v>460</v>
      </c>
      <c r="C38" s="67" t="s">
        <v>460</v>
      </c>
      <c r="D38" s="67" t="s">
        <v>460</v>
      </c>
      <c r="E38" s="67">
        <v>0</v>
      </c>
      <c r="F38" s="67">
        <v>0</v>
      </c>
    </row>
    <row r="39" spans="1:13" ht="15.75" thickBot="1" x14ac:dyDescent="0.3">
      <c r="A39" s="90" t="s">
        <v>564</v>
      </c>
      <c r="B39" s="67">
        <v>252.01</v>
      </c>
      <c r="C39" s="67">
        <v>935.77</v>
      </c>
      <c r="D39" s="106">
        <v>1052.49</v>
      </c>
      <c r="E39" s="106">
        <v>1162</v>
      </c>
      <c r="F39" s="106">
        <v>1269.8699999999999</v>
      </c>
    </row>
    <row r="40" spans="1:13" ht="15.75" thickBot="1" x14ac:dyDescent="0.3">
      <c r="A40" s="151" t="s">
        <v>29</v>
      </c>
      <c r="B40" s="93">
        <v>287.92</v>
      </c>
      <c r="C40" s="93">
        <v>991.77</v>
      </c>
      <c r="D40" s="112">
        <v>1133.83</v>
      </c>
      <c r="E40" s="112">
        <v>1251.25</v>
      </c>
      <c r="F40" s="112">
        <v>1361.41</v>
      </c>
    </row>
  </sheetData>
  <mergeCells count="12">
    <mergeCell ref="A2:M2"/>
    <mergeCell ref="A13:B13"/>
    <mergeCell ref="A23:C23"/>
    <mergeCell ref="A12:M12"/>
    <mergeCell ref="H22:L22"/>
    <mergeCell ref="A22:F22"/>
    <mergeCell ref="A34:B34"/>
    <mergeCell ref="A4:A5"/>
    <mergeCell ref="B4:M4"/>
    <mergeCell ref="A14:A15"/>
    <mergeCell ref="B14:M14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52</vt:i4>
      </vt:variant>
      <vt:variant>
        <vt:lpstr>Rangos con nombre</vt:lpstr>
      </vt:variant>
      <vt:variant>
        <vt:i4>8</vt:i4>
      </vt:variant>
    </vt:vector>
  </HeadingPairs>
  <TitlesOfParts>
    <vt:vector size="60" baseType="lpstr">
      <vt:lpstr>DEEH 01</vt:lpstr>
      <vt:lpstr>DEEH 02</vt:lpstr>
      <vt:lpstr>DEEH 03</vt:lpstr>
      <vt:lpstr>DEEH 04</vt:lpstr>
      <vt:lpstr>DEEH 05</vt:lpstr>
      <vt:lpstr>DEEH 06</vt:lpstr>
      <vt:lpstr>DEEH 07-08-09</vt:lpstr>
      <vt:lpstr>DEEH 10</vt:lpstr>
      <vt:lpstr>DEEH 11</vt:lpstr>
      <vt:lpstr>DEEH 12</vt:lpstr>
      <vt:lpstr>DEEH 13</vt:lpstr>
      <vt:lpstr>DEEH 14</vt:lpstr>
      <vt:lpstr>DEEH 15</vt:lpstr>
      <vt:lpstr>DEEH 16</vt:lpstr>
      <vt:lpstr>DGGN 17</vt:lpstr>
      <vt:lpstr>DEEH 18</vt:lpstr>
      <vt:lpstr>DEEH 19</vt:lpstr>
      <vt:lpstr>DEEH 20</vt:lpstr>
      <vt:lpstr>DEEH 21</vt:lpstr>
      <vt:lpstr>DEEH 22</vt:lpstr>
      <vt:lpstr>DEEH 23</vt:lpstr>
      <vt:lpstr>DPTC 24</vt:lpstr>
      <vt:lpstr>DPTC 25</vt:lpstr>
      <vt:lpstr>DPTC 26</vt:lpstr>
      <vt:lpstr>DPTC 27</vt:lpstr>
      <vt:lpstr>DPTC 28</vt:lpstr>
      <vt:lpstr>DPTC 29</vt:lpstr>
      <vt:lpstr>DPTC 30</vt:lpstr>
      <vt:lpstr>DPTC 31</vt:lpstr>
      <vt:lpstr>DPTC 32</vt:lpstr>
      <vt:lpstr>DPTC 33</vt:lpstr>
      <vt:lpstr>DPTC 34</vt:lpstr>
      <vt:lpstr>DPTC 35</vt:lpstr>
      <vt:lpstr>DPTC 36</vt:lpstr>
      <vt:lpstr>DPTC 37</vt:lpstr>
      <vt:lpstr>DPTC 38</vt:lpstr>
      <vt:lpstr>DPTC 39</vt:lpstr>
      <vt:lpstr>DPTC 40</vt:lpstr>
      <vt:lpstr>DPTC 41</vt:lpstr>
      <vt:lpstr>DPTC 42</vt:lpstr>
      <vt:lpstr>DPTC 43</vt:lpstr>
      <vt:lpstr>DPTC 44</vt:lpstr>
      <vt:lpstr>DPTC 45</vt:lpstr>
      <vt:lpstr>DPTC 46</vt:lpstr>
      <vt:lpstr>DPTC 47</vt:lpstr>
      <vt:lpstr>DGGN 48</vt:lpstr>
      <vt:lpstr>DGGN49</vt:lpstr>
      <vt:lpstr>DGGN50</vt:lpstr>
      <vt:lpstr>DGGN 51-52-53-54</vt:lpstr>
      <vt:lpstr>DGGN 55-56-57-58</vt:lpstr>
      <vt:lpstr>DGGN 59-60-61-62</vt:lpstr>
      <vt:lpstr>DGGN 63-64-65-66</vt:lpstr>
      <vt:lpstr>'DEEH 16'!_Hlk119493623</vt:lpstr>
      <vt:lpstr>'DEEH 07-08-09'!_Hlk121234094</vt:lpstr>
      <vt:lpstr>'DEEH 07-08-09'!_Hlk121234108</vt:lpstr>
      <vt:lpstr>'DGGN 17'!_Toc121298167</vt:lpstr>
      <vt:lpstr>'DPTC 25'!_Toc121298186</vt:lpstr>
      <vt:lpstr>'DPTC 29'!_Toc121298194</vt:lpstr>
      <vt:lpstr>'DPTC 28'!_Toc140243533</vt:lpstr>
      <vt:lpstr>'DPTC 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FUERTE CUIPA LEIDY ROCIO</dc:creator>
  <cp:lastModifiedBy>MANRIQUE VILLEGAS MARIA CORINA</cp:lastModifiedBy>
  <dcterms:created xsi:type="dcterms:W3CDTF">2021-03-23T21:55:39Z</dcterms:created>
  <dcterms:modified xsi:type="dcterms:W3CDTF">2023-10-03T18:42:37Z</dcterms:modified>
</cp:coreProperties>
</file>