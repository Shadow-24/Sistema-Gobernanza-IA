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ml.chartshapes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MINEM\04. Comunicaciones\05. Publicaciones\10. Anuario Estadístico\ANUARIO 2021\"/>
    </mc:Choice>
  </mc:AlternateContent>
  <xr:revisionPtr revIDLastSave="0" documentId="13_ncr:1_{1FA601B7-99C3-48F1-A90E-41670EA58767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-08-09" sheetId="54" r:id="rId7"/>
    <sheet name="10" sheetId="9" r:id="rId8"/>
    <sheet name="11" sheetId="10" r:id="rId9"/>
    <sheet name="12" sheetId="11" r:id="rId10"/>
    <sheet name="13" sheetId="12" r:id="rId11"/>
    <sheet name="14" sheetId="14" r:id="rId12"/>
    <sheet name="15" sheetId="13" r:id="rId13"/>
    <sheet name="16" sheetId="15" r:id="rId14"/>
    <sheet name="17" sheetId="87" r:id="rId15"/>
    <sheet name="18" sheetId="16" r:id="rId16"/>
    <sheet name="19" sheetId="55" r:id="rId17"/>
    <sheet name="20" sheetId="17" r:id="rId18"/>
    <sheet name="21" sheetId="18" r:id="rId19"/>
    <sheet name="22" sheetId="19" r:id="rId20"/>
    <sheet name="23" sheetId="56" r:id="rId21"/>
    <sheet name="24" sheetId="57" r:id="rId22"/>
    <sheet name="25" sheetId="58" r:id="rId23"/>
    <sheet name="26" sheetId="59" r:id="rId24"/>
    <sheet name="27" sheetId="60" r:id="rId25"/>
    <sheet name="28" sheetId="61" r:id="rId26"/>
    <sheet name="29" sheetId="62" r:id="rId27"/>
    <sheet name="30" sheetId="63" r:id="rId28"/>
    <sheet name="31" sheetId="64" r:id="rId29"/>
    <sheet name="32" sheetId="65" r:id="rId30"/>
    <sheet name="33" sheetId="66" r:id="rId31"/>
    <sheet name="34" sheetId="67" r:id="rId32"/>
    <sheet name="35" sheetId="68" r:id="rId33"/>
    <sheet name="36" sheetId="69" r:id="rId34"/>
    <sheet name="37" sheetId="70" r:id="rId35"/>
    <sheet name="38" sheetId="71" r:id="rId36"/>
    <sheet name="39" sheetId="72" r:id="rId37"/>
    <sheet name="40" sheetId="73" r:id="rId38"/>
    <sheet name="41" sheetId="74" r:id="rId39"/>
    <sheet name="42" sheetId="75" r:id="rId40"/>
    <sheet name="43" sheetId="76" r:id="rId41"/>
    <sheet name="44" sheetId="77" r:id="rId42"/>
    <sheet name="45" sheetId="78" r:id="rId43"/>
    <sheet name="46" sheetId="79" r:id="rId44"/>
    <sheet name="47" sheetId="88" r:id="rId45"/>
    <sheet name="48" sheetId="80" r:id="rId46"/>
    <sheet name="49" sheetId="81" r:id="rId47"/>
    <sheet name="50" sheetId="82" r:id="rId48"/>
    <sheet name="51-52-53-54" sheetId="83" r:id="rId49"/>
    <sheet name="55-56-57-58" sheetId="84" r:id="rId50"/>
    <sheet name="59-60-61-62" sheetId="85" r:id="rId51"/>
    <sheet name="63-64-65-66" sheetId="86" r:id="rId52"/>
  </sheets>
  <externalReferences>
    <externalReference r:id="rId53"/>
    <externalReference r:id="rId54"/>
  </externalReferences>
  <definedNames>
    <definedName name="_Toc121298167" localSheetId="14">'17'!$A$2</definedName>
    <definedName name="_Toc121298186" localSheetId="22">'25'!$A$2</definedName>
    <definedName name="_xlnm.Print_Area" localSheetId="22">'25'!$A$1:$G$59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7" l="1"/>
  <c r="L29" i="86"/>
  <c r="K29" i="86"/>
  <c r="J29" i="86"/>
  <c r="I29" i="86"/>
  <c r="F29" i="86"/>
  <c r="E29" i="86"/>
  <c r="D29" i="86"/>
  <c r="C29" i="86"/>
  <c r="B29" i="86"/>
  <c r="M19" i="86"/>
  <c r="L19" i="86"/>
  <c r="K19" i="86"/>
  <c r="J19" i="86"/>
  <c r="I19" i="86"/>
  <c r="H19" i="86"/>
  <c r="G19" i="86"/>
  <c r="F19" i="86"/>
  <c r="E19" i="86"/>
  <c r="D19" i="86"/>
  <c r="C19" i="86"/>
  <c r="B19" i="86"/>
  <c r="M9" i="86"/>
  <c r="L9" i="86"/>
  <c r="K9" i="86"/>
  <c r="J9" i="86"/>
  <c r="I9" i="86"/>
  <c r="H9" i="86"/>
  <c r="G9" i="86"/>
  <c r="F9" i="86"/>
  <c r="E9" i="86"/>
  <c r="D9" i="86"/>
  <c r="C9" i="86"/>
  <c r="B9" i="86"/>
  <c r="M33" i="85"/>
  <c r="L33" i="85"/>
  <c r="K33" i="85"/>
  <c r="J33" i="85"/>
  <c r="F33" i="85"/>
  <c r="E33" i="85"/>
  <c r="D33" i="85"/>
  <c r="M23" i="85"/>
  <c r="L23" i="85"/>
  <c r="K23" i="85"/>
  <c r="J23" i="85"/>
  <c r="I23" i="85"/>
  <c r="H23" i="85"/>
  <c r="G23" i="85"/>
  <c r="F23" i="85"/>
  <c r="E23" i="85"/>
  <c r="D23" i="85"/>
  <c r="C23" i="85"/>
  <c r="B23" i="85"/>
  <c r="M9" i="85"/>
  <c r="L9" i="85"/>
  <c r="K9" i="85"/>
  <c r="J9" i="85"/>
  <c r="I9" i="85"/>
  <c r="H9" i="85"/>
  <c r="G9" i="85"/>
  <c r="F9" i="85"/>
  <c r="E9" i="85"/>
  <c r="D9" i="85"/>
  <c r="C9" i="85"/>
  <c r="B9" i="85"/>
  <c r="K41" i="84"/>
  <c r="J41" i="84"/>
  <c r="I41" i="84"/>
  <c r="H41" i="84"/>
  <c r="G41" i="84"/>
  <c r="F41" i="84"/>
  <c r="E41" i="84"/>
  <c r="D41" i="84"/>
  <c r="C41" i="84"/>
  <c r="B41" i="84"/>
  <c r="K30" i="84"/>
  <c r="J30" i="84"/>
  <c r="I30" i="84"/>
  <c r="H30" i="84"/>
  <c r="G30" i="84"/>
  <c r="F30" i="84"/>
  <c r="E30" i="84"/>
  <c r="D30" i="84"/>
  <c r="C30" i="84"/>
  <c r="B30" i="84"/>
  <c r="M20" i="84"/>
  <c r="L20" i="84"/>
  <c r="K20" i="84"/>
  <c r="J20" i="84"/>
  <c r="I20" i="84"/>
  <c r="H20" i="84"/>
  <c r="G20" i="84"/>
  <c r="F20" i="84"/>
  <c r="E20" i="84"/>
  <c r="D20" i="84"/>
  <c r="C20" i="84"/>
  <c r="B20" i="84"/>
  <c r="M10" i="84"/>
  <c r="L10" i="84"/>
  <c r="K10" i="84"/>
  <c r="J10" i="84"/>
  <c r="I10" i="84"/>
  <c r="H10" i="84"/>
  <c r="G10" i="84"/>
  <c r="F10" i="84"/>
  <c r="E10" i="84"/>
  <c r="D10" i="84"/>
  <c r="C10" i="84"/>
  <c r="B10" i="84"/>
  <c r="S43" i="83"/>
  <c r="R43" i="83"/>
  <c r="Q43" i="83"/>
  <c r="P43" i="83"/>
  <c r="O43" i="83"/>
  <c r="N43" i="83"/>
  <c r="M43" i="83"/>
  <c r="L43" i="83"/>
  <c r="K43" i="83"/>
  <c r="J43" i="83"/>
  <c r="I43" i="83"/>
  <c r="H43" i="83"/>
  <c r="G43" i="83"/>
  <c r="F43" i="83"/>
  <c r="E43" i="83"/>
  <c r="D43" i="83"/>
  <c r="C43" i="83"/>
  <c r="B43" i="83"/>
  <c r="S31" i="83"/>
  <c r="R31" i="83"/>
  <c r="Q31" i="83"/>
  <c r="P31" i="83"/>
  <c r="O31" i="83"/>
  <c r="N31" i="83"/>
  <c r="M31" i="83"/>
  <c r="L31" i="83"/>
  <c r="K31" i="83"/>
  <c r="J31" i="83"/>
  <c r="I31" i="83"/>
  <c r="H31" i="83"/>
  <c r="G31" i="83"/>
  <c r="F31" i="83"/>
  <c r="E31" i="83"/>
  <c r="D31" i="83"/>
  <c r="C31" i="83"/>
  <c r="B31" i="83"/>
  <c r="M20" i="83"/>
  <c r="L20" i="83"/>
  <c r="K20" i="83"/>
  <c r="J20" i="83"/>
  <c r="I20" i="83"/>
  <c r="H20" i="83"/>
  <c r="G20" i="83"/>
  <c r="F20" i="83"/>
  <c r="E20" i="83"/>
  <c r="D20" i="83"/>
  <c r="C20" i="83"/>
  <c r="B20" i="83"/>
  <c r="M10" i="83"/>
  <c r="L10" i="83"/>
  <c r="K10" i="83"/>
  <c r="J10" i="83"/>
  <c r="I10" i="83"/>
  <c r="H10" i="83"/>
  <c r="G10" i="83"/>
  <c r="F10" i="83"/>
  <c r="E10" i="83"/>
  <c r="D10" i="83"/>
  <c r="C10" i="83"/>
  <c r="B10" i="83"/>
  <c r="E25" i="82"/>
  <c r="E24" i="82"/>
  <c r="E23" i="82"/>
  <c r="E22" i="82"/>
  <c r="E21" i="82"/>
  <c r="E20" i="82"/>
  <c r="E19" i="82"/>
  <c r="E18" i="82"/>
  <c r="E17" i="82"/>
  <c r="E16" i="82"/>
  <c r="E15" i="82"/>
  <c r="E14" i="82"/>
  <c r="M8" i="82"/>
  <c r="L8" i="82"/>
  <c r="K8" i="82"/>
  <c r="J8" i="82"/>
  <c r="I8" i="82"/>
  <c r="H8" i="82"/>
  <c r="G8" i="82"/>
  <c r="F8" i="82"/>
  <c r="E8" i="82"/>
  <c r="D8" i="82"/>
  <c r="C8" i="82"/>
  <c r="B8" i="82"/>
  <c r="D24" i="81"/>
  <c r="D23" i="81"/>
  <c r="D22" i="81"/>
  <c r="D21" i="81"/>
  <c r="D20" i="81"/>
  <c r="D19" i="81"/>
  <c r="D18" i="81"/>
  <c r="D17" i="81"/>
  <c r="D16" i="81"/>
  <c r="D15" i="81"/>
  <c r="D14" i="81"/>
  <c r="D13" i="81"/>
  <c r="M8" i="81"/>
  <c r="L8" i="81"/>
  <c r="K8" i="81"/>
  <c r="J8" i="81"/>
  <c r="I8" i="81"/>
  <c r="H8" i="81"/>
  <c r="G8" i="81"/>
  <c r="F8" i="81"/>
  <c r="E8" i="81"/>
  <c r="D8" i="81"/>
  <c r="C8" i="81"/>
  <c r="B8" i="81"/>
  <c r="E25" i="80"/>
  <c r="E24" i="80"/>
  <c r="E23" i="80"/>
  <c r="E22" i="80"/>
  <c r="E21" i="80"/>
  <c r="E20" i="80"/>
  <c r="E19" i="80"/>
  <c r="E18" i="80"/>
  <c r="E17" i="80"/>
  <c r="E16" i="80"/>
  <c r="E15" i="80"/>
  <c r="E14" i="80"/>
  <c r="N8" i="80"/>
  <c r="M8" i="80"/>
  <c r="L8" i="80"/>
  <c r="K8" i="80"/>
  <c r="J8" i="80"/>
  <c r="I8" i="80"/>
  <c r="H8" i="80"/>
  <c r="G8" i="80"/>
  <c r="F8" i="80"/>
  <c r="E8" i="80"/>
  <c r="D8" i="80"/>
  <c r="C8" i="80"/>
  <c r="J25" i="63" l="1"/>
  <c r="J26" i="63" s="1"/>
  <c r="I25" i="63"/>
  <c r="I26" i="63" s="1"/>
  <c r="H25" i="63"/>
  <c r="H26" i="63" s="1"/>
  <c r="G25" i="63"/>
  <c r="F25" i="63"/>
  <c r="E25" i="63"/>
  <c r="D25" i="63"/>
  <c r="C25" i="63"/>
  <c r="B25" i="63"/>
  <c r="F61" i="62"/>
  <c r="E61" i="62"/>
  <c r="D61" i="62"/>
  <c r="C61" i="62"/>
  <c r="B61" i="62"/>
  <c r="G33" i="62"/>
  <c r="G32" i="62"/>
  <c r="G31" i="62"/>
  <c r="G30" i="62"/>
  <c r="G29" i="62"/>
  <c r="G28" i="62"/>
  <c r="G27" i="62"/>
  <c r="G26" i="62"/>
  <c r="G25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G7" i="62"/>
  <c r="G5" i="62"/>
  <c r="J20" i="61"/>
  <c r="I20" i="61"/>
  <c r="H20" i="61"/>
  <c r="G20" i="61"/>
  <c r="F20" i="61"/>
  <c r="E20" i="61"/>
  <c r="D20" i="61"/>
  <c r="C20" i="61"/>
  <c r="B20" i="61"/>
  <c r="J13" i="61"/>
  <c r="I13" i="61"/>
  <c r="I25" i="61" s="1"/>
  <c r="H13" i="61"/>
  <c r="G13" i="61"/>
  <c r="F13" i="61"/>
  <c r="E13" i="61"/>
  <c r="D13" i="61"/>
  <c r="C13" i="61"/>
  <c r="B13" i="61"/>
  <c r="J10" i="61"/>
  <c r="I10" i="61"/>
  <c r="H10" i="61"/>
  <c r="G10" i="61"/>
  <c r="F10" i="61"/>
  <c r="E10" i="61"/>
  <c r="D10" i="61"/>
  <c r="C10" i="61"/>
  <c r="B10" i="61"/>
  <c r="J5" i="61"/>
  <c r="I5" i="61"/>
  <c r="H5" i="61"/>
  <c r="G5" i="61"/>
  <c r="F5" i="61"/>
  <c r="E5" i="61"/>
  <c r="D5" i="61"/>
  <c r="C5" i="61"/>
  <c r="B5" i="61"/>
  <c r="H9" i="60"/>
  <c r="G9" i="60"/>
  <c r="F9" i="60"/>
  <c r="E9" i="60"/>
  <c r="D9" i="60"/>
  <c r="C9" i="60"/>
  <c r="B9" i="60"/>
  <c r="I8" i="60"/>
  <c r="I7" i="60"/>
  <c r="I6" i="60"/>
  <c r="I5" i="60"/>
  <c r="B58" i="58"/>
  <c r="B57" i="58"/>
  <c r="B56" i="58"/>
  <c r="G55" i="58"/>
  <c r="G59" i="58" s="1"/>
  <c r="F55" i="58"/>
  <c r="F59" i="58" s="1"/>
  <c r="E55" i="58"/>
  <c r="E59" i="58" s="1"/>
  <c r="D55" i="58"/>
  <c r="C55" i="58"/>
  <c r="B54" i="58"/>
  <c r="B53" i="58"/>
  <c r="B52" i="58"/>
  <c r="B51" i="58"/>
  <c r="B50" i="58"/>
  <c r="B49" i="58"/>
  <c r="B48" i="58"/>
  <c r="B47" i="58"/>
  <c r="B46" i="58"/>
  <c r="B45" i="58"/>
  <c r="B44" i="58"/>
  <c r="B43" i="58"/>
  <c r="B42" i="58"/>
  <c r="B41" i="58"/>
  <c r="B40" i="58"/>
  <c r="B39" i="58"/>
  <c r="B38" i="58"/>
  <c r="B37" i="58"/>
  <c r="B36" i="58"/>
  <c r="B35" i="58"/>
  <c r="G33" i="58"/>
  <c r="F33" i="58"/>
  <c r="E33" i="58"/>
  <c r="D33" i="58"/>
  <c r="C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20" i="58"/>
  <c r="B19" i="58"/>
  <c r="B18" i="58"/>
  <c r="B17" i="58"/>
  <c r="B16" i="58"/>
  <c r="J6" i="58" s="1"/>
  <c r="K6" i="58" s="1"/>
  <c r="B15" i="58"/>
  <c r="B14" i="58"/>
  <c r="B13" i="58"/>
  <c r="B12" i="58"/>
  <c r="B11" i="58"/>
  <c r="B10" i="58"/>
  <c r="B9" i="58"/>
  <c r="B8" i="58"/>
  <c r="B7" i="58"/>
  <c r="B6" i="58"/>
  <c r="B5" i="58"/>
  <c r="J4" i="58" s="1"/>
  <c r="I42" i="57"/>
  <c r="I43" i="57" s="1"/>
  <c r="H42" i="57"/>
  <c r="G42" i="57"/>
  <c r="F42" i="57"/>
  <c r="E42" i="57"/>
  <c r="D41" i="57"/>
  <c r="D40" i="57"/>
  <c r="D39" i="57"/>
  <c r="D38" i="57"/>
  <c r="D37" i="57"/>
  <c r="D36" i="57"/>
  <c r="D35" i="57"/>
  <c r="D34" i="57"/>
  <c r="D33" i="57"/>
  <c r="D32" i="57"/>
  <c r="I29" i="57"/>
  <c r="H29" i="57"/>
  <c r="G29" i="57"/>
  <c r="F29" i="57"/>
  <c r="E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I7" i="57"/>
  <c r="H7" i="57"/>
  <c r="G7" i="57"/>
  <c r="F7" i="57"/>
  <c r="E7" i="57"/>
  <c r="D6" i="57"/>
  <c r="D5" i="57"/>
  <c r="C25" i="61" l="1"/>
  <c r="F25" i="61"/>
  <c r="G25" i="61"/>
  <c r="B25" i="61"/>
  <c r="I9" i="60"/>
  <c r="J9" i="58"/>
  <c r="K9" i="58" s="1"/>
  <c r="I45" i="57"/>
  <c r="E43" i="57"/>
  <c r="E45" i="57" s="1"/>
  <c r="F43" i="57"/>
  <c r="H43" i="57"/>
  <c r="H45" i="57" s="1"/>
  <c r="F45" i="57"/>
  <c r="C59" i="58"/>
  <c r="D59" i="58"/>
  <c r="D29" i="57"/>
  <c r="G43" i="57"/>
  <c r="G45" i="57" s="1"/>
  <c r="G61" i="62"/>
  <c r="D25" i="61"/>
  <c r="E25" i="61"/>
  <c r="D42" i="57"/>
  <c r="D43" i="57" s="1"/>
  <c r="J7" i="58"/>
  <c r="K7" i="58" s="1"/>
  <c r="D7" i="57"/>
  <c r="J8" i="58"/>
  <c r="K8" i="58" s="1"/>
  <c r="J25" i="61"/>
  <c r="H25" i="61"/>
  <c r="B55" i="58"/>
  <c r="J10" i="58"/>
  <c r="K10" i="58" s="1"/>
  <c r="J5" i="58"/>
  <c r="K5" i="58" s="1"/>
  <c r="K4" i="58"/>
  <c r="B33" i="58"/>
  <c r="D45" i="57" l="1"/>
  <c r="B59" i="58"/>
  <c r="J11" i="58"/>
  <c r="K11" i="58" s="1"/>
  <c r="L4" i="58" s="1"/>
  <c r="L10" i="58"/>
  <c r="L8" i="58"/>
  <c r="L5" i="58" l="1"/>
  <c r="L7" i="58"/>
  <c r="L6" i="58"/>
  <c r="L9" i="58"/>
  <c r="L22" i="18"/>
  <c r="L21" i="18"/>
  <c r="L11" i="58" l="1"/>
  <c r="P8" i="9"/>
  <c r="B40" i="6" l="1"/>
  <c r="I51" i="13" l="1"/>
  <c r="L51" i="13"/>
  <c r="K16" i="54" l="1"/>
  <c r="L14" i="54" s="1"/>
  <c r="L15" i="54" l="1"/>
  <c r="L13" i="54"/>
  <c r="L7" i="14" l="1"/>
  <c r="J11" i="18" l="1"/>
  <c r="K14" i="18" s="1"/>
  <c r="K10" i="17"/>
  <c r="K14" i="17"/>
  <c r="K12" i="17"/>
  <c r="K15" i="17" l="1"/>
  <c r="O36" i="16"/>
  <c r="O22" i="16"/>
  <c r="C18" i="16"/>
  <c r="C27" i="16"/>
  <c r="C30" i="16"/>
  <c r="C49" i="16"/>
  <c r="D41" i="16"/>
  <c r="C41" i="16"/>
  <c r="O48" i="16"/>
  <c r="O38" i="16"/>
  <c r="C31" i="16" l="1"/>
  <c r="M8" i="6"/>
  <c r="M9" i="6"/>
  <c r="M10" i="6"/>
  <c r="M11" i="6"/>
  <c r="M12" i="6"/>
  <c r="M13" i="6"/>
  <c r="M14" i="6"/>
  <c r="M15" i="6"/>
  <c r="M17" i="6"/>
  <c r="M18" i="6"/>
  <c r="M20" i="6"/>
  <c r="M21" i="6"/>
  <c r="M22" i="6"/>
  <c r="M23" i="6"/>
  <c r="M24" i="6"/>
  <c r="M7" i="6"/>
  <c r="M8" i="3"/>
  <c r="M9" i="3"/>
  <c r="M10" i="3"/>
  <c r="M11" i="3"/>
  <c r="M12" i="3"/>
  <c r="M13" i="3"/>
  <c r="M14" i="3"/>
  <c r="M15" i="3"/>
  <c r="M17" i="3"/>
  <c r="M18" i="3"/>
  <c r="M19" i="3"/>
  <c r="M21" i="3"/>
  <c r="M22" i="3"/>
  <c r="M23" i="3"/>
  <c r="M24" i="3"/>
  <c r="M25" i="3"/>
  <c r="M26" i="3"/>
  <c r="M27" i="3"/>
  <c r="M28" i="3"/>
  <c r="M29" i="3"/>
  <c r="M30" i="3"/>
  <c r="M31" i="3"/>
  <c r="M32" i="3"/>
  <c r="M34" i="3"/>
  <c r="M7" i="3"/>
  <c r="F9" i="15" l="1"/>
  <c r="L8" i="14"/>
  <c r="J9" i="14"/>
  <c r="O7" i="13"/>
  <c r="K16" i="12" l="1"/>
  <c r="K21" i="12"/>
  <c r="K14" i="12"/>
  <c r="O8" i="11"/>
  <c r="K22" i="12" l="1"/>
  <c r="K23" i="12" s="1"/>
  <c r="K8" i="10" l="1"/>
  <c r="K19" i="10" s="1"/>
  <c r="S58" i="10"/>
  <c r="K47" i="10"/>
  <c r="K42" i="10"/>
  <c r="J42" i="10"/>
  <c r="K35" i="10"/>
  <c r="K24" i="10"/>
  <c r="J19" i="10"/>
  <c r="C43" i="9"/>
  <c r="D43" i="9"/>
  <c r="K36" i="10" l="1"/>
  <c r="K37" i="10" s="1"/>
  <c r="K48" i="10"/>
  <c r="K49" i="10" l="1"/>
  <c r="K51" i="10"/>
  <c r="K52" i="10" s="1"/>
  <c r="D34" i="19" l="1"/>
  <c r="D31" i="19"/>
  <c r="D29" i="19"/>
  <c r="D24" i="19"/>
  <c r="D18" i="19"/>
  <c r="D11" i="19"/>
  <c r="I11" i="18"/>
  <c r="K11" i="18" s="1"/>
  <c r="H9" i="18"/>
  <c r="H8" i="18"/>
  <c r="H7" i="18"/>
  <c r="J14" i="17"/>
  <c r="E14" i="17"/>
  <c r="I13" i="17"/>
  <c r="I14" i="17" s="1"/>
  <c r="H13" i="17"/>
  <c r="H14" i="17" s="1"/>
  <c r="G13" i="17"/>
  <c r="G14" i="17" s="1"/>
  <c r="F13" i="17"/>
  <c r="F14" i="17" s="1"/>
  <c r="E13" i="17"/>
  <c r="D13" i="17"/>
  <c r="D14" i="17" s="1"/>
  <c r="C13" i="17"/>
  <c r="C14" i="17" s="1"/>
  <c r="J12" i="17"/>
  <c r="I12" i="17"/>
  <c r="H12" i="17"/>
  <c r="G12" i="17"/>
  <c r="F12" i="17"/>
  <c r="E12" i="17"/>
  <c r="D12" i="17"/>
  <c r="C12" i="17"/>
  <c r="J10" i="17"/>
  <c r="G10" i="17"/>
  <c r="D10" i="17"/>
  <c r="D15" i="17" s="1"/>
  <c r="I7" i="17"/>
  <c r="I10" i="17" s="1"/>
  <c r="H7" i="17"/>
  <c r="H10" i="17" s="1"/>
  <c r="G7" i="17"/>
  <c r="F7" i="17"/>
  <c r="F10" i="17" s="1"/>
  <c r="E7" i="17"/>
  <c r="E10" i="17" s="1"/>
  <c r="D7" i="17"/>
  <c r="C7" i="17"/>
  <c r="C10" i="17" s="1"/>
  <c r="N49" i="16"/>
  <c r="M49" i="16"/>
  <c r="L49" i="16"/>
  <c r="K49" i="16"/>
  <c r="J49" i="16"/>
  <c r="I49" i="16"/>
  <c r="H49" i="16"/>
  <c r="G49" i="16"/>
  <c r="F49" i="16"/>
  <c r="E49" i="16"/>
  <c r="D49" i="16"/>
  <c r="O47" i="16"/>
  <c r="O46" i="16"/>
  <c r="O45" i="16"/>
  <c r="O44" i="16"/>
  <c r="O43" i="16"/>
  <c r="O42" i="16"/>
  <c r="N41" i="16"/>
  <c r="M41" i="16"/>
  <c r="L41" i="16"/>
  <c r="K41" i="16"/>
  <c r="K50" i="16" s="1"/>
  <c r="J41" i="16"/>
  <c r="I41" i="16"/>
  <c r="H41" i="16"/>
  <c r="G41" i="16"/>
  <c r="F41" i="16"/>
  <c r="E41" i="16"/>
  <c r="C50" i="16"/>
  <c r="O40" i="16"/>
  <c r="O39" i="16"/>
  <c r="O37" i="16"/>
  <c r="O35" i="16"/>
  <c r="N30" i="16"/>
  <c r="M30" i="16"/>
  <c r="L30" i="16"/>
  <c r="K30" i="16"/>
  <c r="J30" i="16"/>
  <c r="I30" i="16"/>
  <c r="H30" i="16"/>
  <c r="G30" i="16"/>
  <c r="F30" i="16"/>
  <c r="E30" i="16"/>
  <c r="D30" i="16"/>
  <c r="O29" i="16"/>
  <c r="O28" i="16"/>
  <c r="N27" i="16"/>
  <c r="M27" i="16"/>
  <c r="L27" i="16"/>
  <c r="K27" i="16"/>
  <c r="J27" i="16"/>
  <c r="I27" i="16"/>
  <c r="H27" i="16"/>
  <c r="G27" i="16"/>
  <c r="F27" i="16"/>
  <c r="E27" i="16"/>
  <c r="D27" i="16"/>
  <c r="O26" i="16"/>
  <c r="O25" i="16"/>
  <c r="O24" i="16"/>
  <c r="O23" i="16"/>
  <c r="O21" i="16"/>
  <c r="O20" i="16"/>
  <c r="O19" i="16"/>
  <c r="N18" i="16"/>
  <c r="M18" i="16"/>
  <c r="L18" i="16"/>
  <c r="K18" i="16"/>
  <c r="J18" i="16"/>
  <c r="I18" i="16"/>
  <c r="H18" i="16"/>
  <c r="G18" i="16"/>
  <c r="F18" i="16"/>
  <c r="E18" i="16"/>
  <c r="D18" i="16"/>
  <c r="O17" i="16"/>
  <c r="O16" i="16"/>
  <c r="O15" i="16"/>
  <c r="O14" i="16"/>
  <c r="O13" i="16"/>
  <c r="O12" i="16"/>
  <c r="O11" i="16"/>
  <c r="O10" i="16"/>
  <c r="O9" i="16"/>
  <c r="E9" i="15"/>
  <c r="D9" i="15"/>
  <c r="C9" i="15"/>
  <c r="B9" i="15"/>
  <c r="I9" i="14"/>
  <c r="L9" i="14" s="1"/>
  <c r="H9" i="14"/>
  <c r="G9" i="14"/>
  <c r="F9" i="14"/>
  <c r="E9" i="14"/>
  <c r="D9" i="14"/>
  <c r="C9" i="14"/>
  <c r="B9" i="14"/>
  <c r="N51" i="13"/>
  <c r="M51" i="13"/>
  <c r="K51" i="13"/>
  <c r="J51" i="13"/>
  <c r="H51" i="13"/>
  <c r="G51" i="13"/>
  <c r="F51" i="13"/>
  <c r="E51" i="13"/>
  <c r="D51" i="13"/>
  <c r="C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N21" i="11"/>
  <c r="N27" i="11" s="1"/>
  <c r="N33" i="11" s="1"/>
  <c r="M21" i="11"/>
  <c r="M27" i="11" s="1"/>
  <c r="M33" i="11" s="1"/>
  <c r="L21" i="11"/>
  <c r="L27" i="11" s="1"/>
  <c r="L33" i="11" s="1"/>
  <c r="K21" i="11"/>
  <c r="K27" i="11" s="1"/>
  <c r="K33" i="11" s="1"/>
  <c r="J21" i="11"/>
  <c r="J27" i="11" s="1"/>
  <c r="J33" i="11" s="1"/>
  <c r="I21" i="11"/>
  <c r="I27" i="11" s="1"/>
  <c r="I33" i="11" s="1"/>
  <c r="H21" i="11"/>
  <c r="H27" i="11" s="1"/>
  <c r="H33" i="11" s="1"/>
  <c r="G21" i="11"/>
  <c r="G27" i="11" s="1"/>
  <c r="G33" i="11" s="1"/>
  <c r="F21" i="11"/>
  <c r="F27" i="11" s="1"/>
  <c r="F33" i="11" s="1"/>
  <c r="E21" i="11"/>
  <c r="E27" i="11" s="1"/>
  <c r="E33" i="11" s="1"/>
  <c r="D21" i="11"/>
  <c r="D27" i="11" s="1"/>
  <c r="D33" i="11" s="1"/>
  <c r="C21" i="11"/>
  <c r="C27" i="11" s="1"/>
  <c r="C33" i="11" s="1"/>
  <c r="O20" i="11"/>
  <c r="O19" i="11"/>
  <c r="O18" i="11"/>
  <c r="O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15" i="11"/>
  <c r="O16" i="11" s="1"/>
  <c r="N14" i="11"/>
  <c r="M14" i="11"/>
  <c r="L14" i="11"/>
  <c r="K14" i="11"/>
  <c r="J14" i="11"/>
  <c r="I14" i="11"/>
  <c r="H14" i="11"/>
  <c r="G14" i="11"/>
  <c r="F14" i="11"/>
  <c r="E14" i="11"/>
  <c r="D14" i="11"/>
  <c r="C14" i="11"/>
  <c r="O13" i="11"/>
  <c r="O12" i="11"/>
  <c r="O11" i="11"/>
  <c r="O10" i="11"/>
  <c r="O9" i="11"/>
  <c r="O7" i="11"/>
  <c r="R58" i="10"/>
  <c r="Q58" i="10"/>
  <c r="P58" i="10"/>
  <c r="O58" i="10"/>
  <c r="J47" i="10"/>
  <c r="J48" i="10" s="1"/>
  <c r="J49" i="10" s="1"/>
  <c r="T40" i="10" s="1"/>
  <c r="I47" i="10"/>
  <c r="I42" i="10"/>
  <c r="J35" i="10"/>
  <c r="I35" i="10"/>
  <c r="J24" i="10"/>
  <c r="I24" i="10"/>
  <c r="I19" i="10"/>
  <c r="N43" i="9"/>
  <c r="M43" i="9"/>
  <c r="L43" i="9"/>
  <c r="K43" i="9"/>
  <c r="J43" i="9"/>
  <c r="I43" i="9"/>
  <c r="H43" i="9"/>
  <c r="G43" i="9"/>
  <c r="F43" i="9"/>
  <c r="E43" i="9"/>
  <c r="O42" i="9"/>
  <c r="O41" i="9"/>
  <c r="O40" i="9"/>
  <c r="O39" i="9"/>
  <c r="N37" i="9"/>
  <c r="M37" i="9"/>
  <c r="L37" i="9"/>
  <c r="K37" i="9"/>
  <c r="J37" i="9"/>
  <c r="I37" i="9"/>
  <c r="H37" i="9"/>
  <c r="G37" i="9"/>
  <c r="F37" i="9"/>
  <c r="E37" i="9"/>
  <c r="D37" i="9"/>
  <c r="D45" i="9" s="1"/>
  <c r="C37" i="9"/>
  <c r="C45" i="9" s="1"/>
  <c r="O36" i="9"/>
  <c r="O37" i="9" s="1"/>
  <c r="N31" i="9"/>
  <c r="M31" i="9"/>
  <c r="L31" i="9"/>
  <c r="K31" i="9"/>
  <c r="J31" i="9"/>
  <c r="I31" i="9"/>
  <c r="H31" i="9"/>
  <c r="G31" i="9"/>
  <c r="F31" i="9"/>
  <c r="E31" i="9"/>
  <c r="D31" i="9"/>
  <c r="C31" i="9"/>
  <c r="O30" i="9"/>
  <c r="O29" i="9"/>
  <c r="O28" i="9"/>
  <c r="O27" i="9"/>
  <c r="O26" i="9"/>
  <c r="N24" i="9"/>
  <c r="M24" i="9"/>
  <c r="L24" i="9"/>
  <c r="K24" i="9"/>
  <c r="J24" i="9"/>
  <c r="I24" i="9"/>
  <c r="H24" i="9"/>
  <c r="G24" i="9"/>
  <c r="F24" i="9"/>
  <c r="E24" i="9"/>
  <c r="D24" i="9"/>
  <c r="C24" i="9"/>
  <c r="O23" i="9"/>
  <c r="O22" i="9"/>
  <c r="O21" i="9"/>
  <c r="O24" i="9" s="1"/>
  <c r="T47" i="9" s="1"/>
  <c r="N19" i="9"/>
  <c r="M19" i="9"/>
  <c r="L19" i="9"/>
  <c r="K19" i="9"/>
  <c r="J19" i="9"/>
  <c r="I19" i="9"/>
  <c r="H19" i="9"/>
  <c r="G19" i="9"/>
  <c r="F19" i="9"/>
  <c r="E19" i="9"/>
  <c r="D19" i="9"/>
  <c r="C19" i="9"/>
  <c r="O18" i="9"/>
  <c r="O17" i="9"/>
  <c r="O16" i="9"/>
  <c r="O15" i="9"/>
  <c r="O14" i="9"/>
  <c r="O13" i="9"/>
  <c r="O12" i="9"/>
  <c r="O11" i="9"/>
  <c r="O10" i="9"/>
  <c r="O9" i="9"/>
  <c r="O8" i="9"/>
  <c r="J26" i="6"/>
  <c r="I26" i="6"/>
  <c r="G26" i="6"/>
  <c r="F26" i="6"/>
  <c r="E26" i="6"/>
  <c r="D26" i="6"/>
  <c r="C26" i="6"/>
  <c r="L25" i="6"/>
  <c r="M25" i="6" s="1"/>
  <c r="L19" i="6"/>
  <c r="M19" i="6" s="1"/>
  <c r="L16" i="6"/>
  <c r="H16" i="6"/>
  <c r="K13" i="4"/>
  <c r="L33" i="3"/>
  <c r="K33" i="3"/>
  <c r="M33" i="3" s="1"/>
  <c r="L20" i="3"/>
  <c r="K20" i="3"/>
  <c r="T19" i="2"/>
  <c r="L32" i="2" s="1"/>
  <c r="S19" i="2"/>
  <c r="L31" i="2" s="1"/>
  <c r="R19" i="2"/>
  <c r="L30" i="2" s="1"/>
  <c r="Q19" i="2"/>
  <c r="P19" i="2"/>
  <c r="L28" i="2" s="1"/>
  <c r="U18" i="2"/>
  <c r="L29" i="2"/>
  <c r="U17" i="2"/>
  <c r="U16" i="2"/>
  <c r="U15" i="2"/>
  <c r="U14" i="2"/>
  <c r="U13" i="2"/>
  <c r="U12" i="2"/>
  <c r="L16" i="2"/>
  <c r="K16" i="2"/>
  <c r="J16" i="2"/>
  <c r="I16" i="2"/>
  <c r="H16" i="2"/>
  <c r="G16" i="2"/>
  <c r="F16" i="2"/>
  <c r="E16" i="2"/>
  <c r="D16" i="2"/>
  <c r="C16" i="2"/>
  <c r="U33" i="1"/>
  <c r="L45" i="1" s="1"/>
  <c r="T33" i="1"/>
  <c r="L44" i="1" s="1"/>
  <c r="S33" i="1"/>
  <c r="L43" i="1" s="1"/>
  <c r="R33" i="1"/>
  <c r="L42" i="1" s="1"/>
  <c r="Q33" i="1"/>
  <c r="L41" i="1" s="1"/>
  <c r="V32" i="1"/>
  <c r="V31" i="1"/>
  <c r="V30" i="1"/>
  <c r="V29" i="1"/>
  <c r="V28" i="1"/>
  <c r="V27" i="1"/>
  <c r="V26" i="1"/>
  <c r="L30" i="1"/>
  <c r="J30" i="1"/>
  <c r="I30" i="1"/>
  <c r="H30" i="1"/>
  <c r="G30" i="1"/>
  <c r="F30" i="1"/>
  <c r="E30" i="1"/>
  <c r="D30" i="1"/>
  <c r="C30" i="1"/>
  <c r="K29" i="1"/>
  <c r="K16" i="1"/>
  <c r="K10" i="1"/>
  <c r="O31" i="9" l="1"/>
  <c r="O49" i="16"/>
  <c r="J15" i="17"/>
  <c r="E15" i="17"/>
  <c r="K30" i="1"/>
  <c r="E45" i="9"/>
  <c r="I26" i="11"/>
  <c r="O43" i="9"/>
  <c r="O45" i="9" s="1"/>
  <c r="Q45" i="9" s="1"/>
  <c r="I45" i="9"/>
  <c r="J36" i="10"/>
  <c r="J37" i="10" s="1"/>
  <c r="T17" i="10" s="1"/>
  <c r="C26" i="11"/>
  <c r="C29" i="11" s="1"/>
  <c r="C30" i="11" s="1"/>
  <c r="F15" i="17"/>
  <c r="U19" i="2"/>
  <c r="L33" i="2" s="1"/>
  <c r="M16" i="6"/>
  <c r="I36" i="10"/>
  <c r="I37" i="10" s="1"/>
  <c r="O41" i="16"/>
  <c r="C15" i="17"/>
  <c r="G15" i="17"/>
  <c r="O33" i="9"/>
  <c r="Q33" i="9" s="1"/>
  <c r="O19" i="9"/>
  <c r="I48" i="10"/>
  <c r="I49" i="10" s="1"/>
  <c r="E26" i="11"/>
  <c r="E29" i="11" s="1"/>
  <c r="E30" i="11" s="1"/>
  <c r="V33" i="1"/>
  <c r="D26" i="11"/>
  <c r="L40" i="1"/>
  <c r="L27" i="2"/>
  <c r="G45" i="9"/>
  <c r="H15" i="17"/>
  <c r="H11" i="18"/>
  <c r="M20" i="3"/>
  <c r="D35" i="19"/>
  <c r="O18" i="16"/>
  <c r="O27" i="16"/>
  <c r="M50" i="16"/>
  <c r="E50" i="16"/>
  <c r="F50" i="16"/>
  <c r="N50" i="16"/>
  <c r="O30" i="16"/>
  <c r="H31" i="16"/>
  <c r="G31" i="16"/>
  <c r="I31" i="16"/>
  <c r="J31" i="16"/>
  <c r="G50" i="16"/>
  <c r="C52" i="16"/>
  <c r="C55" i="16" s="1"/>
  <c r="K31" i="16"/>
  <c r="K52" i="16" s="1"/>
  <c r="K55" i="16" s="1"/>
  <c r="H50" i="16"/>
  <c r="F31" i="16"/>
  <c r="N31" i="16"/>
  <c r="J50" i="16"/>
  <c r="D50" i="16"/>
  <c r="L50" i="16"/>
  <c r="E31" i="16"/>
  <c r="M31" i="16"/>
  <c r="D31" i="16"/>
  <c r="L31" i="16"/>
  <c r="I50" i="16"/>
  <c r="L46" i="1"/>
  <c r="I15" i="17"/>
  <c r="K45" i="9"/>
  <c r="F26" i="11"/>
  <c r="F29" i="11" s="1"/>
  <c r="F30" i="11" s="1"/>
  <c r="N26" i="11"/>
  <c r="N29" i="11" s="1"/>
  <c r="N30" i="11" s="1"/>
  <c r="H26" i="6"/>
  <c r="I33" i="9"/>
  <c r="I47" i="9" s="1"/>
  <c r="F45" i="9"/>
  <c r="M45" i="9"/>
  <c r="J26" i="11"/>
  <c r="J32" i="11" s="1"/>
  <c r="H45" i="9"/>
  <c r="J45" i="9"/>
  <c r="L26" i="6"/>
  <c r="O51" i="13"/>
  <c r="J21" i="12"/>
  <c r="G22" i="11"/>
  <c r="K22" i="11"/>
  <c r="L26" i="11"/>
  <c r="L32" i="11" s="1"/>
  <c r="G26" i="11"/>
  <c r="G32" i="11" s="1"/>
  <c r="O21" i="11"/>
  <c r="M22" i="11"/>
  <c r="N22" i="11"/>
  <c r="J16" i="12"/>
  <c r="H26" i="11"/>
  <c r="H32" i="11" s="1"/>
  <c r="K26" i="11"/>
  <c r="K29" i="11" s="1"/>
  <c r="K30" i="11" s="1"/>
  <c r="M26" i="11"/>
  <c r="M32" i="11" s="1"/>
  <c r="L22" i="11"/>
  <c r="O14" i="11"/>
  <c r="I32" i="11"/>
  <c r="I29" i="11"/>
  <c r="I30" i="11" s="1"/>
  <c r="D32" i="11"/>
  <c r="D29" i="11"/>
  <c r="D30" i="11" s="1"/>
  <c r="E32" i="11"/>
  <c r="C22" i="11"/>
  <c r="D22" i="11"/>
  <c r="J14" i="12"/>
  <c r="E22" i="11"/>
  <c r="F22" i="11"/>
  <c r="H22" i="11"/>
  <c r="I22" i="11"/>
  <c r="J22" i="11"/>
  <c r="N45" i="9"/>
  <c r="L45" i="9"/>
  <c r="N33" i="9"/>
  <c r="N49" i="9" s="1"/>
  <c r="L33" i="9"/>
  <c r="L47" i="9" s="1"/>
  <c r="M33" i="9"/>
  <c r="E33" i="9"/>
  <c r="E47" i="9" s="1"/>
  <c r="G33" i="9"/>
  <c r="G47" i="9" s="1"/>
  <c r="H33" i="9"/>
  <c r="H47" i="9" s="1"/>
  <c r="C33" i="9"/>
  <c r="C47" i="9" s="1"/>
  <c r="D33" i="9"/>
  <c r="D47" i="9" s="1"/>
  <c r="F33" i="9"/>
  <c r="J33" i="9"/>
  <c r="J47" i="9" s="1"/>
  <c r="K33" i="9"/>
  <c r="T49" i="9"/>
  <c r="J51" i="10" l="1"/>
  <c r="J52" i="10" s="1"/>
  <c r="N32" i="11"/>
  <c r="F32" i="11"/>
  <c r="G29" i="11"/>
  <c r="G30" i="11" s="1"/>
  <c r="L29" i="11"/>
  <c r="L30" i="11" s="1"/>
  <c r="J29" i="11"/>
  <c r="J30" i="11" s="1"/>
  <c r="I51" i="10"/>
  <c r="C32" i="11"/>
  <c r="O47" i="9"/>
  <c r="B34" i="6"/>
  <c r="H52" i="16"/>
  <c r="H55" i="16" s="1"/>
  <c r="F52" i="16"/>
  <c r="F55" i="16" s="1"/>
  <c r="M52" i="16"/>
  <c r="M55" i="16" s="1"/>
  <c r="E52" i="16"/>
  <c r="E55" i="16" s="1"/>
  <c r="O50" i="16"/>
  <c r="N52" i="16"/>
  <c r="N55" i="16" s="1"/>
  <c r="D52" i="16"/>
  <c r="D55" i="16" s="1"/>
  <c r="G52" i="16"/>
  <c r="G55" i="16" s="1"/>
  <c r="J52" i="16"/>
  <c r="J55" i="16" s="1"/>
  <c r="I52" i="16"/>
  <c r="I55" i="16" s="1"/>
  <c r="L52" i="16"/>
  <c r="L55" i="16" s="1"/>
  <c r="O31" i="16"/>
  <c r="K47" i="9"/>
  <c r="M47" i="9"/>
  <c r="F47" i="9"/>
  <c r="J22" i="12"/>
  <c r="J23" i="12" s="1"/>
  <c r="M33" i="12" s="1"/>
  <c r="O22" i="11"/>
  <c r="Q21" i="11" s="1"/>
  <c r="Q22" i="11" s="1"/>
  <c r="K32" i="11"/>
  <c r="M29" i="11"/>
  <c r="M30" i="11" s="1"/>
  <c r="H29" i="11"/>
  <c r="H30" i="11" s="1"/>
  <c r="N47" i="9"/>
  <c r="T48" i="9"/>
  <c r="T50" i="9" s="1"/>
  <c r="O52" i="16" l="1"/>
  <c r="O55" i="16" s="1"/>
  <c r="K16" i="3"/>
  <c r="M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TEMP_DGH129</author>
  </authors>
  <commentList>
    <comment ref="E2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TEMP_DGH129:</t>
        </r>
        <r>
          <rPr>
            <sz val="9"/>
            <color indexed="81"/>
            <rFont val="Tahoma"/>
            <family val="2"/>
          </rPr>
          <t xml:space="preserve">
Fecha DS: 27.11.1996</t>
        </r>
      </text>
    </comment>
    <comment ref="F10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TEMP_DGH129:</t>
        </r>
        <r>
          <rPr>
            <sz val="9"/>
            <color indexed="81"/>
            <rFont val="Tahoma"/>
            <family val="2"/>
          </rPr>
          <t xml:space="preserve">
Error en pàgina de PERUPETRO.
Clàusula 3.1</t>
        </r>
      </text>
    </comment>
  </commentList>
</comments>
</file>

<file path=xl/sharedStrings.xml><?xml version="1.0" encoding="utf-8"?>
<sst xmlns="http://schemas.openxmlformats.org/spreadsheetml/2006/main" count="2669" uniqueCount="867">
  <si>
    <t>Compañía</t>
  </si>
  <si>
    <t>Lote</t>
  </si>
  <si>
    <t>GOLD OIL</t>
  </si>
  <si>
    <t>XXI</t>
  </si>
  <si>
    <t>-</t>
  </si>
  <si>
    <t>VETRA</t>
  </si>
  <si>
    <t>XXV</t>
  </si>
  <si>
    <t>OLIMPYC</t>
  </si>
  <si>
    <t>XIII</t>
  </si>
  <si>
    <t xml:space="preserve">TOTAL  COSTA </t>
  </si>
  <si>
    <t xml:space="preserve">SAVIA </t>
  </si>
  <si>
    <t>Z-33</t>
  </si>
  <si>
    <t>ANADARKO</t>
  </si>
  <si>
    <t>Z-61</t>
  </si>
  <si>
    <t>Z-62</t>
  </si>
  <si>
    <t>Z-63</t>
  </si>
  <si>
    <t>CONVENIO GX-T</t>
  </si>
  <si>
    <t>Otros (*)</t>
  </si>
  <si>
    <t xml:space="preserve">TOTAL  ZÓCALO </t>
  </si>
  <si>
    <t>PETROLÍFERA</t>
  </si>
  <si>
    <t>SUBANDEAN</t>
  </si>
  <si>
    <t>BURLINGTON</t>
  </si>
  <si>
    <t>GRAN TIERRA</t>
  </si>
  <si>
    <t>CNPC</t>
  </si>
  <si>
    <t>CEPSA</t>
  </si>
  <si>
    <t>PACIFIC STRATUS</t>
  </si>
  <si>
    <t>PLUSPETROL</t>
  </si>
  <si>
    <t>REPSOL</t>
  </si>
  <si>
    <t>TOTAL  SELVA</t>
  </si>
  <si>
    <t>TOTAL PAÍS</t>
  </si>
  <si>
    <t xml:space="preserve">Fuente: Perupetro S.A. </t>
  </si>
  <si>
    <t>EXPLORACIÓN</t>
  </si>
  <si>
    <t>PROYECCION DE SISMICA 2D KM</t>
  </si>
  <si>
    <t>TOTAL
2D KM</t>
  </si>
  <si>
    <t>Z-38</t>
  </si>
  <si>
    <t>XXIII</t>
  </si>
  <si>
    <t>XXIX</t>
  </si>
  <si>
    <t>Z-64</t>
  </si>
  <si>
    <t>Z-67</t>
  </si>
  <si>
    <t>Z-68</t>
  </si>
  <si>
    <t>XXVII</t>
  </si>
  <si>
    <t>TOTAL</t>
  </si>
  <si>
    <t>BPZ</t>
  </si>
  <si>
    <t>Z-1</t>
  </si>
  <si>
    <t>Z-46</t>
  </si>
  <si>
    <t>Z-48</t>
  </si>
  <si>
    <r>
      <t>PROYECCION DE SISMICA 3D KM</t>
    </r>
    <r>
      <rPr>
        <b/>
        <vertAlign val="superscript"/>
        <sz val="9"/>
        <color theme="1"/>
        <rFont val="Arial"/>
        <family val="2"/>
      </rPr>
      <t>2</t>
    </r>
  </si>
  <si>
    <r>
      <t>TOTAL
3D KM</t>
    </r>
    <r>
      <rPr>
        <b/>
        <vertAlign val="superscript"/>
        <sz val="9"/>
        <color theme="1"/>
        <rFont val="Arial"/>
        <family val="2"/>
      </rPr>
      <t>2</t>
    </r>
  </si>
  <si>
    <t>GMP</t>
  </si>
  <si>
    <t>IV</t>
  </si>
  <si>
    <t>III</t>
  </si>
  <si>
    <t>X</t>
  </si>
  <si>
    <t>OLYMPIC</t>
  </si>
  <si>
    <t>UPLAND</t>
  </si>
  <si>
    <t>XXIV</t>
  </si>
  <si>
    <t>FAULKNER</t>
  </si>
  <si>
    <t>IX</t>
  </si>
  <si>
    <t>SAVIA</t>
  </si>
  <si>
    <t>Z-2B</t>
  </si>
  <si>
    <t>BPZ EXPLORACIÓN Y EXPLOTACIÓN S.R.L.</t>
  </si>
  <si>
    <t>KEI</t>
  </si>
  <si>
    <t xml:space="preserve">TALISMAN </t>
  </si>
  <si>
    <t>HUNT OIL</t>
  </si>
  <si>
    <t>PETROTAL</t>
  </si>
  <si>
    <t>PETROMINERALES</t>
  </si>
  <si>
    <t xml:space="preserve">CONTRATOS EN EXPLORACIÓN VIGENTES </t>
  </si>
  <si>
    <t>Zona</t>
  </si>
  <si>
    <t>Compañías/ Consorcios</t>
  </si>
  <si>
    <t xml:space="preserve">Decreto </t>
  </si>
  <si>
    <t>Fecha</t>
  </si>
  <si>
    <t>Tipo</t>
  </si>
  <si>
    <t>Supremo</t>
  </si>
  <si>
    <t>D.S.</t>
  </si>
  <si>
    <t>Suscripción</t>
  </si>
  <si>
    <t>Contrato</t>
  </si>
  <si>
    <t>Selva Central</t>
  </si>
  <si>
    <t>PETROLÍFERA PETROLEUM  DEL PERU S.A.C.( 100%)</t>
  </si>
  <si>
    <t>029-2005-EM</t>
  </si>
  <si>
    <t>LICENCIA</t>
  </si>
  <si>
    <t>A/D 109-2007</t>
  </si>
  <si>
    <t>Contratos vigentes en exploración</t>
  </si>
  <si>
    <t xml:space="preserve">050-2010-EM </t>
  </si>
  <si>
    <t xml:space="preserve"> 009-2015-EM</t>
  </si>
  <si>
    <t>Noroeste</t>
  </si>
  <si>
    <t>002-2017- EM</t>
  </si>
  <si>
    <t>Zócalo</t>
  </si>
  <si>
    <t>034-2018-EM</t>
  </si>
  <si>
    <t>GOLD OIL PERU S.A.C (100%)</t>
  </si>
  <si>
    <t>024-2006-EM</t>
  </si>
  <si>
    <t>018-2012-EM</t>
  </si>
  <si>
    <t>030-2015-EM</t>
  </si>
  <si>
    <t>UPLAND OIL &amp; GAS LLC (100%)</t>
  </si>
  <si>
    <t>062-2007-EM</t>
  </si>
  <si>
    <t>016-2016-EM</t>
  </si>
  <si>
    <t>PETRO BAYOVAR INC. S.A., SUCURSAL DEL PERU (100%)</t>
  </si>
  <si>
    <t>023-2009-EM</t>
  </si>
  <si>
    <t>034-2016-EM</t>
  </si>
  <si>
    <t>RICOIL S.A.</t>
  </si>
  <si>
    <t>ANADARKO PERÚ B.V., SUCURSAL DEL PERÚ (100%)</t>
  </si>
  <si>
    <t>029-2017-EM</t>
  </si>
  <si>
    <t>030-2017-EM</t>
  </si>
  <si>
    <t>031-2017-EM</t>
  </si>
  <si>
    <t xml:space="preserve">LICENCIA </t>
  </si>
  <si>
    <t>TOTAL CONTRATOS EXPLORACIÓN</t>
  </si>
  <si>
    <t>ZONA</t>
  </si>
  <si>
    <t>LOTE</t>
  </si>
  <si>
    <t>OPERADOR</t>
  </si>
  <si>
    <t>FASE</t>
  </si>
  <si>
    <t>ÚLTIMO DÍA DE VIGENCIA</t>
  </si>
  <si>
    <t>SELVA</t>
  </si>
  <si>
    <t>PLUSPETROL LOTE 56 S.A.</t>
  </si>
  <si>
    <t>Exploración</t>
  </si>
  <si>
    <t>Explotación</t>
  </si>
  <si>
    <t>I</t>
  </si>
  <si>
    <t>PETROMONT</t>
  </si>
  <si>
    <t>II</t>
  </si>
  <si>
    <t>V</t>
  </si>
  <si>
    <t>SAPET</t>
  </si>
  <si>
    <t>VII/VI</t>
  </si>
  <si>
    <t>XV</t>
  </si>
  <si>
    <t>XX</t>
  </si>
  <si>
    <t>AGUAYTIA</t>
  </si>
  <si>
    <t>31-C</t>
  </si>
  <si>
    <t>Z-6</t>
  </si>
  <si>
    <t>PERENCO</t>
  </si>
  <si>
    <t>TOTAL PAIS</t>
  </si>
  <si>
    <t>Decreto</t>
  </si>
  <si>
    <t>Fecha de Publicación</t>
  </si>
  <si>
    <t>Fecha de Suscripción</t>
  </si>
  <si>
    <t>Tipo de Contrato</t>
  </si>
  <si>
    <t>SERVICIOS</t>
  </si>
  <si>
    <t>PETROLERA MONTERRICO S.A. (100%)</t>
  </si>
  <si>
    <t>030-2005-EM</t>
  </si>
  <si>
    <t xml:space="preserve"> 024-2015-EM</t>
  </si>
  <si>
    <t>004-2015-EM</t>
  </si>
  <si>
    <t>005-2015-EM</t>
  </si>
  <si>
    <t>031-2002-EM</t>
  </si>
  <si>
    <t>VI / VII</t>
  </si>
  <si>
    <t>SAPET DEVELOPMENT PERU INC.,SUC.PERU (100%)</t>
  </si>
  <si>
    <t>040-93-EM</t>
  </si>
  <si>
    <t>001-96-EM</t>
  </si>
  <si>
    <t>005-2000-EM</t>
  </si>
  <si>
    <t>016-2003-EM</t>
  </si>
  <si>
    <t>003-2006-EM</t>
  </si>
  <si>
    <t>048-2014-EM</t>
  </si>
  <si>
    <t>EMPRESA PETROLERA UNIPETRO ABC S.A.C. (100%)</t>
  </si>
  <si>
    <t>014-2015-EM</t>
  </si>
  <si>
    <t>CNPC  PERU S.A. (100%)</t>
  </si>
  <si>
    <t>035-2004-EM</t>
  </si>
  <si>
    <t xml:space="preserve"> 017-2014-EM</t>
  </si>
  <si>
    <t>011-2019-EM</t>
  </si>
  <si>
    <t>OLYMPIC PERU, INC., SUC.DEL PERU (100%)</t>
  </si>
  <si>
    <t>015-96-EM</t>
  </si>
  <si>
    <t>019-2008-EM</t>
  </si>
  <si>
    <t xml:space="preserve">051-2011-EM </t>
  </si>
  <si>
    <t>013-98-EM</t>
  </si>
  <si>
    <t>001-2000-EM</t>
  </si>
  <si>
    <t>049-2008-EM</t>
  </si>
  <si>
    <t>SAVIA PERUANA S.A. (100%)</t>
  </si>
  <si>
    <t>OPERACIONES</t>
  </si>
  <si>
    <t>BPZ EXPLORACION &amp; PRODUCCION S.R.L.(51%)
FRONTERA ENERGY OFF SHORE PERU S.R.L(49%)</t>
  </si>
  <si>
    <t xml:space="preserve"> 002-2005-EM</t>
  </si>
  <si>
    <t>060-2008-EM</t>
  </si>
  <si>
    <t xml:space="preserve"> 049-2012-EM</t>
  </si>
  <si>
    <t>SAVIA PERU S.A. (100%)</t>
  </si>
  <si>
    <t>005-2002-EM</t>
  </si>
  <si>
    <t>037-2005-EM</t>
  </si>
  <si>
    <t>PLUSPETROL NORTE S.A. (60%)
KOREA NATIONAL OIL CORP.,SUC. PERUANA(20%)
DAEWOO INTERNATIONAL CORP., SUC.PERUANA (11,67%)
SK CORPORATION, SUC. PERUANA  (8.33 %)</t>
  </si>
  <si>
    <t>16-94-EM</t>
  </si>
  <si>
    <t>030-96-EM</t>
  </si>
  <si>
    <t>028-2002-EM</t>
  </si>
  <si>
    <t xml:space="preserve"> 009-2003-EM</t>
  </si>
  <si>
    <t>PERENCO PERÚ PETROLEUM LIMITED, SUCURSAL DEL PERÚ (20%)
PERENCO PERÚ BLOCK 39 LIMITED, SUCURSAL DEL PERÚ (9.5%)
PERENCO PERÚ PETROIL LIMITED, SUCURSAL DEL PERÚ (25.5%)
PVEP PERÚ, SUCURSAL PERUANA (35%)
RELIANCE EXPLORATION &amp; PRODUCTION DMCC, SUCURSAL DEL PERÚ (10%)</t>
  </si>
  <si>
    <t>028-99-EM</t>
  </si>
  <si>
    <t>008-2001-EM</t>
  </si>
  <si>
    <t>039-2002-EM</t>
  </si>
  <si>
    <t>014-2003-EM</t>
  </si>
  <si>
    <t>038-2003-EM</t>
  </si>
  <si>
    <t>018-2005-EM</t>
  </si>
  <si>
    <t>029-2006-EM</t>
  </si>
  <si>
    <t>GEOPARK PERÚ S.A.C.(75%)/PETROLEOS DEL PERU - PETROPERU S.A.(25%)</t>
  </si>
  <si>
    <t>33-95-EM</t>
  </si>
  <si>
    <t>049-99-EM</t>
  </si>
  <si>
    <t>005-2001-EM</t>
  </si>
  <si>
    <t>006-2004-EM</t>
  </si>
  <si>
    <t>027-2004-EM</t>
  </si>
  <si>
    <t>077-2007-EM</t>
  </si>
  <si>
    <t>009-2010-EM</t>
  </si>
  <si>
    <t>021-2010-EM</t>
  </si>
  <si>
    <t>011-2013-EM</t>
  </si>
  <si>
    <t>PERENCO PERU PETROLEUM LIMITED, SUCURSAL DEL PERÚ(5%)/PVEP - PERENCO PERU LIMITED, SUCURSAL DEL PERU(95%)</t>
  </si>
  <si>
    <t>38-95-EM</t>
  </si>
  <si>
    <t>048-99-EM</t>
  </si>
  <si>
    <t>007-2001-EM</t>
  </si>
  <si>
    <t>008-2003-EM</t>
  </si>
  <si>
    <t>044-2005-EM</t>
  </si>
  <si>
    <t>056-2007-EM</t>
  </si>
  <si>
    <t>043-2010-EM</t>
  </si>
  <si>
    <t>PETROTAL PERU S.R.L. (100%)</t>
  </si>
  <si>
    <t>010-2005-EM</t>
  </si>
  <si>
    <t>AGUAYTIA ENERGY DEL PERU S.R.L.(100%)</t>
  </si>
  <si>
    <t>21-94-EM</t>
  </si>
  <si>
    <t>021-99-EM</t>
  </si>
  <si>
    <t>036-2001-EM</t>
  </si>
  <si>
    <t>PLUSPETROL PERU CORPORATION S.A.(2,2%)/SONATRACH PERU CORPORATION S.A.C.(10%)/PLUSPETROL LOTE 56 S.A.(42.6%)/TECPETROL BLOQUE 56 S.A.C.(10%)/HUNT OIL COMPANY OF PERU L.L.C.,SUCURSAL DEL PERU(25,2%)/REPSOL EXPLORACIÓN PERÚ, SUCURSAL DEL PERÚ(10%)</t>
  </si>
  <si>
    <t>033-2004-EM</t>
  </si>
  <si>
    <t>060-2005-EM</t>
  </si>
  <si>
    <t>039-2006-EM</t>
  </si>
  <si>
    <t>066-2009-EM</t>
  </si>
  <si>
    <t>PLUSPETROL PERU CORPORATION S.A.(2,2%)/PLUSPETROL CAMISEA S.A.(42.6%)/HUNT OIL COMPANY OF PERU L.L.C.,SUCURSAL DEL PERU(25,2%)/TECPETROL DEL PERU S.A.C.(10%)/SONATRACH PERU CORPORATION S.A.C.(10%)/REPSOL EXPLORACIÓN PERÚ, SUCURSAL DEL PERÚ(10%)</t>
  </si>
  <si>
    <t>021-2000-EM</t>
  </si>
  <si>
    <t>032-2003-EM</t>
  </si>
  <si>
    <t>023-2004-EM</t>
  </si>
  <si>
    <t>061-2005-EM</t>
  </si>
  <si>
    <t>006-2006-EM</t>
  </si>
  <si>
    <t>064-2006-EM</t>
  </si>
  <si>
    <t>063-2009-EM</t>
  </si>
  <si>
    <t>023-2014-EM</t>
  </si>
  <si>
    <t>REPSOL EXPLORACION PERU, SUCURSAL DEL PERU(53,84%)/CNPC PERU S.A.(46,16%)</t>
  </si>
  <si>
    <t>043-2003-EM</t>
  </si>
  <si>
    <t>048-2006-EM</t>
  </si>
  <si>
    <t>055-2007-EM</t>
  </si>
  <si>
    <t>018-2014-EM</t>
  </si>
  <si>
    <t>CNPC PERU S.A.(100%)</t>
  </si>
  <si>
    <t>017-2005-EM</t>
  </si>
  <si>
    <t>009-2013-EM</t>
  </si>
  <si>
    <t>019-2014-EM</t>
  </si>
  <si>
    <t xml:space="preserve">Costa </t>
  </si>
  <si>
    <t>Zocalo</t>
  </si>
  <si>
    <t>042-2013-EM</t>
  </si>
  <si>
    <t>Selva</t>
  </si>
  <si>
    <t>075-2007-EM</t>
  </si>
  <si>
    <t>042-2008-EM</t>
  </si>
  <si>
    <t>013-2017-EM</t>
  </si>
  <si>
    <t>045-2017-EM</t>
  </si>
  <si>
    <t>PRODUCCIÓN FISCALIZADA MENSUAL DE HIDROCARBUROS LÍQUIDOS (BLS)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</si>
  <si>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</si>
  <si>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</si>
  <si>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</si>
  <si>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</si>
  <si>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</si>
  <si>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</si>
  <si>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</si>
  <si>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</si>
  <si>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</si>
  <si>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</si>
  <si>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</si>
  <si>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</si>
  <si>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  PETRÓLEO</t>
  </si>
  <si>
    <t>PET. MONTERRICO</t>
  </si>
  <si>
    <t>VI/VII</t>
  </si>
  <si>
    <t>UNIPETRO</t>
  </si>
  <si>
    <t xml:space="preserve">TOTAL COSTA </t>
  </si>
  <si>
    <t>FRONTERA OFF SHORE</t>
  </si>
  <si>
    <t>TOTAL  ZÓCALO</t>
  </si>
  <si>
    <t>FRONTERA</t>
  </si>
  <si>
    <t>PLUSPETROL NORTE</t>
  </si>
  <si>
    <t>MAPLE</t>
  </si>
  <si>
    <t>TOTAL SELVA</t>
  </si>
  <si>
    <t>TOTAL PAÍS PETROLEO</t>
  </si>
  <si>
    <t>LÍQUIDOS DEL GAS NATURAL</t>
  </si>
  <si>
    <t>TOTAL ZÓCALO</t>
  </si>
  <si>
    <t xml:space="preserve">AGUAYTIA  </t>
  </si>
  <si>
    <t xml:space="preserve">TOTAL SELVA </t>
  </si>
  <si>
    <t>TOTAL PAIS LÍQUIDOS DEL GAS NATURAL</t>
  </si>
  <si>
    <t>TOTAL PAIS HIDROCARBUROS LIQUIDOS (BLS)</t>
  </si>
  <si>
    <t>ZÓCALO</t>
  </si>
  <si>
    <t>COSTA</t>
  </si>
  <si>
    <r>
      <t>PETRÓLEO</t>
    </r>
    <r>
      <rPr>
        <b/>
        <sz val="8"/>
        <color rgb="FF000000"/>
        <rFont val="Arial"/>
        <family val="2"/>
      </rPr>
      <t> </t>
    </r>
  </si>
  <si>
    <t xml:space="preserve">II </t>
  </si>
  <si>
    <t>VII-VI</t>
  </si>
  <si>
    <t xml:space="preserve">Z-2B  </t>
  </si>
  <si>
    <t xml:space="preserve">TOTAL ZÓCALO </t>
  </si>
  <si>
    <t>1-AB</t>
  </si>
  <si>
    <t>PLUSPETROL E&amp;P</t>
  </si>
  <si>
    <t>31 B / D</t>
  </si>
  <si>
    <t xml:space="preserve">31-E  </t>
  </si>
  <si>
    <t>TOTAL PETRÓLEO (MBLS)</t>
  </si>
  <si>
    <t>TOTAL PETRÓLEO (MBPD))</t>
  </si>
  <si>
    <t>LÍQUIDOS DE GAS NATURAL</t>
  </si>
  <si>
    <t>31 C</t>
  </si>
  <si>
    <t>TOTAL LÍQUIDOS DE GAS NATURAL (MBLS)</t>
  </si>
  <si>
    <t>TOTAL LÍQUIDOS DE GAS NATURAL (MBPD)</t>
  </si>
  <si>
    <t>TOTAL HIDROCARBUROS LÍQUIDOS (MBLS)</t>
  </si>
  <si>
    <t>TOTAL HIDROCARBUROS LÍQUIDOS (MBPD)</t>
  </si>
  <si>
    <t>Petróleo</t>
  </si>
  <si>
    <t>Líquidos de Gas Natural</t>
  </si>
  <si>
    <t>Total</t>
  </si>
  <si>
    <t xml:space="preserve">TOTAL ZOCALO </t>
  </si>
  <si>
    <t xml:space="preserve">PLUSPETROL </t>
  </si>
  <si>
    <t>Total Costa y Zócalo</t>
  </si>
  <si>
    <t xml:space="preserve">Total Selva </t>
  </si>
  <si>
    <t>Total (MMPC)</t>
  </si>
  <si>
    <t>OLIMPIC</t>
  </si>
  <si>
    <t>TOTAL PAIS (MMPCD)</t>
  </si>
  <si>
    <t>Gas Natural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</si>
  <si>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</si>
  <si>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</si>
  <si>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</si>
  <si>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</si>
  <si>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</si>
  <si>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</si>
  <si>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</si>
  <si>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</si>
  <si>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</si>
  <si>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</si>
  <si>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</si>
  <si>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</si>
  <si>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AGUAYTIA ENERGY DEL PERÚ S.R.L.</t>
  </si>
  <si>
    <t>PACIFIC OFF SHORE PERU S.R.L</t>
  </si>
  <si>
    <t>CEPSA PERUANA S.AC.</t>
  </si>
  <si>
    <t>CNPC PERU S.A.</t>
  </si>
  <si>
    <t>FRONTERA ENERGY DEL PERU S.A.</t>
  </si>
  <si>
    <t>COMPAÑÍA CONSULTORA DE PETROLEO S.A.</t>
  </si>
  <si>
    <t xml:space="preserve">-   </t>
  </si>
  <si>
    <t>EMPRESA PETROLERA UNIPETRO ABC S.A.C.</t>
  </si>
  <si>
    <t>GEOPARK PERÚ S.A.C.</t>
  </si>
  <si>
    <t>GOLD OIL PERÚ S.A.C.</t>
  </si>
  <si>
    <t>PETROTAL PERU S.R.L.</t>
  </si>
  <si>
    <t>PERENCO PERU PETROLEUM LIMITED, SUCURSAL DEL PERÚ</t>
  </si>
  <si>
    <t>KEI (PERU Z-38) PTY LTD., SUCURSAL DEL PERU</t>
  </si>
  <si>
    <t>MAPLE GAS CORPORATION DEL PERÚ S.R.L.</t>
  </si>
  <si>
    <t>31E</t>
  </si>
  <si>
    <t>OLYMPIC PERU INC., SUCURSAL DEL PERÚ S.A.</t>
  </si>
  <si>
    <t>PETROLERA MONTERRICO S.A.</t>
  </si>
  <si>
    <t>PETRO BAYOVAR INC., SUCURSAL DEL PERU</t>
  </si>
  <si>
    <t>PETROLERA MONTERICO S.A.</t>
  </si>
  <si>
    <t>PETROLÍFERA PETROLEUM DEL PERÚ S.R.L.</t>
  </si>
  <si>
    <t>PLUSPETROL NORTE S.A.</t>
  </si>
  <si>
    <t>PLUSPETROL PERU CORPORATION S.A.</t>
  </si>
  <si>
    <t>REPSOL EXPLORACION PERU, SUCURSAL DEL PERU</t>
  </si>
  <si>
    <t>SAPET DEVELOPMENT PERU INC., SUCURSAL DEL PERU</t>
  </si>
  <si>
    <t>VII_VI</t>
  </si>
  <si>
    <t>SAVIA PERU S.A.</t>
  </si>
  <si>
    <t>ANADARKO PERU B.V. SUCURSAL PERUANA</t>
  </si>
  <si>
    <t>TULLOW PERU LIMITED, SUCURSAL DEL PERÚ</t>
  </si>
  <si>
    <t>UPLAND OIL AND GAS L.L.C., SUCURSAL DEL PERU</t>
  </si>
  <si>
    <t>EXPLOTACIÓN</t>
  </si>
  <si>
    <t>Fase</t>
  </si>
  <si>
    <t>HIDROCARBUROS LÍQUIDOS</t>
  </si>
  <si>
    <t>VI-VII</t>
  </si>
  <si>
    <t>TOTAL NORTE</t>
  </si>
  <si>
    <t xml:space="preserve">AGUAYTIA </t>
  </si>
  <si>
    <t xml:space="preserve"> TOTAL H.L.</t>
  </si>
  <si>
    <t>GAS NATURAL </t>
  </si>
  <si>
    <t>56 Mercado ext.</t>
  </si>
  <si>
    <t>TOTAL G.N.</t>
  </si>
  <si>
    <t>TOTAL REGALÍAS</t>
  </si>
  <si>
    <t>NORTE</t>
  </si>
  <si>
    <t>ZOCALO</t>
  </si>
  <si>
    <t xml:space="preserve">TOTAL </t>
  </si>
  <si>
    <t xml:space="preserve">Gas Natural </t>
  </si>
  <si>
    <t>Condensados</t>
  </si>
  <si>
    <t>TOTAL INGRESOS</t>
  </si>
  <si>
    <t>Gráfico N°16: Evolución de los ingresos del Estado por Contratos de Licencia y de Servicio (US$ Millones)</t>
  </si>
  <si>
    <t>Entidad</t>
  </si>
  <si>
    <t>%        Participación</t>
  </si>
  <si>
    <t>LORETO</t>
  </si>
  <si>
    <t>SERVICIO DE DEUDA</t>
  </si>
  <si>
    <t>(D. LEY Nº 21678/D.U. 027-98)</t>
  </si>
  <si>
    <t>GOBIERNO REGIONAL (vía PCM)</t>
  </si>
  <si>
    <t>UNIVERSIDAD NACIONAL AMAZONIA</t>
  </si>
  <si>
    <t>INSTITUTO PERUANO AMAZONÍA</t>
  </si>
  <si>
    <t>MUNICIPALIDADES (vía PCM)</t>
  </si>
  <si>
    <t>TOTAL LORETO</t>
  </si>
  <si>
    <t>UCAYALI</t>
  </si>
  <si>
    <t>GOBIERNO REGIONAL (Vía PCM)</t>
  </si>
  <si>
    <t>52-20</t>
  </si>
  <si>
    <t>(D. LEY Nº 23350/D.U. 027-98)</t>
  </si>
  <si>
    <t>GOBIERNO REGIONAL-INSTITUTOS</t>
  </si>
  <si>
    <t>0-3</t>
  </si>
  <si>
    <t>UNIVERSIDAD NACIONAL DE UCAYALI</t>
  </si>
  <si>
    <t>U. N. INTERCULTURAL DE LA AMAZONÍA</t>
  </si>
  <si>
    <t>3-2</t>
  </si>
  <si>
    <t>40-70</t>
  </si>
  <si>
    <t>TOTAL UCAYALI</t>
  </si>
  <si>
    <t>PIURA</t>
  </si>
  <si>
    <t>(D. LEY Nº 23630)</t>
  </si>
  <si>
    <t>UNIVERSIDAD NACIONAL  DE PIURA</t>
  </si>
  <si>
    <t>UNIVERSIDAD NACIONAL  DE FRONTERA</t>
  </si>
  <si>
    <t>INSTITUTOS TECNOLÓGICOS</t>
  </si>
  <si>
    <t>TOTAL PIURA</t>
  </si>
  <si>
    <t>TUMBES</t>
  </si>
  <si>
    <t>(D. LEY Nº 23871)</t>
  </si>
  <si>
    <t>UNIVERSIDAD NACIONAL</t>
  </si>
  <si>
    <t>TOTAL TUMBES</t>
  </si>
  <si>
    <t>PUERTO INCA - HUANUCO (Provincia)</t>
  </si>
  <si>
    <t>TOTAL PUERTO INCA HUANUCO</t>
  </si>
  <si>
    <t>CUSCO</t>
  </si>
  <si>
    <t>(D. LEY Nº 27506)</t>
  </si>
  <si>
    <t>TOTAL CUSCO</t>
  </si>
  <si>
    <t>Fuente: Perupetro S.A. Elaboración: DGH - MINEM</t>
  </si>
  <si>
    <t>CEPSA PERUANA S.A.C. (100%)</t>
  </si>
  <si>
    <t>Región</t>
  </si>
  <si>
    <t>Transferencias de Canon y sobrecanon</t>
  </si>
  <si>
    <t>Acum. (2017-2021)</t>
  </si>
  <si>
    <t>Acum. (2022-2026)</t>
  </si>
  <si>
    <t>Gráfico N° 01: Proyección de sísmica 2D (Km), 2022-2026</t>
  </si>
  <si>
    <r>
      <t>Gráfico N° 02: Proyección de sísmica 3D (Km</t>
    </r>
    <r>
      <rPr>
        <b/>
        <vertAlign val="super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), 2022-2026</t>
    </r>
  </si>
  <si>
    <t>La compañía Anadarko Peru BV, Sucursal del Perú (Lotes Z-61 y Z-63) tiene programado la ejecución de 2,000 Km de sísmica 2D en el periodo 2022- 2026.</t>
  </si>
  <si>
    <r>
      <t>La Compañía Anadarko (Lote Z-62) tienen programado la ejecución de 1,500 Km</t>
    </r>
    <r>
      <rPr>
        <vertAlign val="superscript"/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de sísmica 3D en el periodo 2022- 2026.</t>
    </r>
  </si>
  <si>
    <t>UNNA ENERGIA</t>
  </si>
  <si>
    <t>Gráfico N° 03: Contratos en Fase de Exploración,
según zona geográfica, 2021</t>
  </si>
  <si>
    <t>Tabla N°04: Contratos en Exploración Vigentes, 2021</t>
  </si>
  <si>
    <t>AL 31/12/2021</t>
  </si>
  <si>
    <t>El 86% de los Contratos de Exploración que se encuentran en fase de Exploración se ubican en Zócalo y Noroeste.</t>
  </si>
  <si>
    <t>Tabla N°05: Contratos Terminados, 2021</t>
  </si>
  <si>
    <t>CONTRATOS TERMINADOS AL 31.12.2021</t>
  </si>
  <si>
    <t>NOROESTE</t>
  </si>
  <si>
    <t>Frontera Energy del Perú S.A.</t>
  </si>
  <si>
    <t>Ricoil S.A.</t>
  </si>
  <si>
    <t>UNNA Energía S.A.</t>
  </si>
  <si>
    <t>Tullow Peru Limited, Sucursal Perú</t>
  </si>
  <si>
    <t>KEI (Peru Z-38) PTY LTD., Sucursal del Perú</t>
  </si>
  <si>
    <t>Gráfico N° 04: Proyección del número de Pozos de Desarrollo Perforados, 2022 - 2026</t>
  </si>
  <si>
    <t>UNNA Energía</t>
  </si>
  <si>
    <t>Entre el 2022 y 2026, se estima realizar la perforación de 325 pozos de desarrollo.</t>
  </si>
  <si>
    <t>CONTRATOS EN EXPLOTACIÓN VIGENTES AL 31/12/2021</t>
  </si>
  <si>
    <t>PETROLEOS DEL PERU S.A. - PETROPERU S.A. (100%)</t>
  </si>
  <si>
    <t>030-2021-EM</t>
  </si>
  <si>
    <t>LICENCIA TEMPORAL</t>
  </si>
  <si>
    <t>UNNA ENERGIA  S.A. (100%)</t>
  </si>
  <si>
    <t>UNNA ENERGIA   S.A. (100%)</t>
  </si>
  <si>
    <t>042-96-EM</t>
  </si>
  <si>
    <t>024-2017-EM</t>
  </si>
  <si>
    <t>020-2017-EM</t>
  </si>
  <si>
    <t>007-2019-EM</t>
  </si>
  <si>
    <t>012-2020-EM</t>
  </si>
  <si>
    <t>034-2012-EM / 006-2013-EM</t>
  </si>
  <si>
    <t>001-2006-EM</t>
  </si>
  <si>
    <t>017-2016-EM</t>
  </si>
  <si>
    <t>014-2017-EM</t>
  </si>
  <si>
    <t>El 44% de los Contratos de Exploración y Explotación de hidrocarburos que se encuentran en Fase de explotación se ubican en la zona Selva, mientras que el 44% en la zona Costa. Asimismo el 12% se ubica en el Zócalo.</t>
  </si>
  <si>
    <t>UNNA</t>
  </si>
  <si>
    <t>PETROPERU</t>
  </si>
  <si>
    <t>Gráfico N° 06: Evolución de la producción fiscalizada mensual de Hidrocarburos Líquidos 2021 (BLS)</t>
  </si>
  <si>
    <t>Gráfico N° 07: Producción de Hidrocarburos Líquidos, según zona geográfica, 2021</t>
  </si>
  <si>
    <t>Gráfico N°10: Proyección de la Producción Fiscalizada de
Petróleo y Líquidos de Gas Natural, 2022-2026</t>
  </si>
  <si>
    <t>Tabla N°10: Producción Fiscalizada de Gas Natural (MPC), 2021</t>
  </si>
  <si>
    <t>I(T)</t>
  </si>
  <si>
    <t>Gráfico N°11: Producción fiscalizada de Gas Natural (MMPC) en el 2021</t>
  </si>
  <si>
    <t>Gráfico N°12: Evolución de la Producción Fiscalizada de Gas Natural (MMPCD), 2013-2021</t>
  </si>
  <si>
    <t>Gráfico N°13: Proyección de la producción fiscalizada de Gas Natural (MMPCD), 2022 - 2026</t>
  </si>
  <si>
    <t>UNNA ENERGIA S.A.</t>
  </si>
  <si>
    <t>88 P. Melchorita</t>
  </si>
  <si>
    <t>88 P. Pisco</t>
  </si>
  <si>
    <t>38-96-EM</t>
  </si>
  <si>
    <t>044-1993-EM</t>
  </si>
  <si>
    <t>015-2010-EM</t>
  </si>
  <si>
    <t>041-2009-EM</t>
  </si>
  <si>
    <t>025-2012-EM</t>
  </si>
  <si>
    <t>001-2019-EM</t>
  </si>
  <si>
    <t>026-2014-EM</t>
  </si>
  <si>
    <t>024-2021-EM</t>
  </si>
  <si>
    <t>050-2011-EM</t>
  </si>
  <si>
    <t>001-2013-EM</t>
  </si>
  <si>
    <t>033-2018-EM</t>
  </si>
  <si>
    <t>014-2020-EM</t>
  </si>
  <si>
    <t>032-2001-EM</t>
  </si>
  <si>
    <t>040-2006-EM / 063-2006-EM</t>
  </si>
  <si>
    <t>024-2014-EM</t>
  </si>
  <si>
    <t>031-99-EM</t>
  </si>
  <si>
    <t>018-97-EM</t>
  </si>
  <si>
    <t>039-95-EM</t>
  </si>
  <si>
    <t xml:space="preserve"> 013-2004-EM</t>
  </si>
  <si>
    <t>001-2005-EM</t>
  </si>
  <si>
    <t>038-93-EM</t>
  </si>
  <si>
    <t>17-95-EM</t>
  </si>
  <si>
    <t>15-94-EM</t>
  </si>
  <si>
    <t>006-2000-EM</t>
  </si>
  <si>
    <t>027-2001-EM</t>
  </si>
  <si>
    <t>020-2004-EM</t>
  </si>
  <si>
    <t xml:space="preserve"> 047-2014-EM</t>
  </si>
  <si>
    <t>052-2001-EM</t>
  </si>
  <si>
    <t>045-2002-EM</t>
  </si>
  <si>
    <t>003-2004-EM</t>
  </si>
  <si>
    <t>031-2016-MEM</t>
  </si>
  <si>
    <t>032-97-EM</t>
  </si>
  <si>
    <t>026-96-EM</t>
  </si>
  <si>
    <t>RS 079-2006-EM</t>
  </si>
  <si>
    <t>DISTRIBUCIÓN DEL CANON DE HIDROCARBUROS (Nuevos Soles) - 2021</t>
  </si>
  <si>
    <t>En el 2021, la producción de petróleo se redujo en un 3%  con respecto al 2020.</t>
  </si>
  <si>
    <t>En el 2021, la producción fiscalizada de líquidos de gas natural se redujo en 5% con respecto al 2020.</t>
  </si>
  <si>
    <t>En el 2021, la producción fiscalizada de gas natural se redujo en 5% con respecto al 2020.</t>
  </si>
  <si>
    <t>En el 2021, las inversiones en
Exploración se redujeron
en 95% y las inversiones en
Explotación se aumentaron en 68% con respecto al 2020.</t>
  </si>
  <si>
    <t>Gráfico N° 05: Contratos en fase de explotación según zona geográfica, 2021</t>
  </si>
  <si>
    <t>La producción de Hidrocarburos Líquidos se concentra principalmente en la Región Selva (77%).</t>
  </si>
  <si>
    <t>Gráfico N°08: Evolución de la producción fiscalizada de petróleo (MBPD), 2014-2021</t>
  </si>
  <si>
    <t>regalias</t>
  </si>
  <si>
    <t>equivalentes</t>
  </si>
  <si>
    <t>En el nivel de inversión de proyectos en fase exploratoria, se hace un ajuste debido a la terminación del contrato del  Lote XXI, comunicado mediante Carta N° GGRL-SUPC-GFCE-00955-2022</t>
  </si>
  <si>
    <t>Tabla N°03: Número de Pozos Exploratorios Perforados, 2013 -2021</t>
  </si>
  <si>
    <t>Tabla N°06: Pozos de Desarrollo Perforados, 2013 - 2021</t>
  </si>
  <si>
    <t>Tabla N°01: Sísmica 2D registrada en áreas de exploración (KM) 2013 -2021</t>
  </si>
  <si>
    <r>
      <t>Tabla N°02: Sísmica 3D registrada en áreas de exploración (KM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 2013 -2021</t>
    </r>
  </si>
  <si>
    <t>Gráfico N°9: Evolución de la producción fiscalizada de Líquidos de Gas Natural (MBPD), 2013-2021</t>
  </si>
  <si>
    <t>Gráfico N°14: Evolución de las Inversiones en Exploración y Explotación de
Hidrocarburos (US$ Millones), 2014 - 2021</t>
  </si>
  <si>
    <t>LOTES/ AÑO</t>
  </si>
  <si>
    <t xml:space="preserve"> II </t>
  </si>
  <si>
    <t xml:space="preserve"> III </t>
  </si>
  <si>
    <t xml:space="preserve"> IV </t>
  </si>
  <si>
    <t xml:space="preserve"> IX. </t>
  </si>
  <si>
    <t xml:space="preserve">                  -   </t>
  </si>
  <si>
    <t xml:space="preserve"> VII_VI </t>
  </si>
  <si>
    <t xml:space="preserve"> X </t>
  </si>
  <si>
    <t xml:space="preserve"> XIII </t>
  </si>
  <si>
    <t xml:space="preserve"> XIV </t>
  </si>
  <si>
    <t xml:space="preserve">                -   </t>
  </si>
  <si>
    <t xml:space="preserve">                     -   </t>
  </si>
  <si>
    <t xml:space="preserve">                    -   </t>
  </si>
  <si>
    <t xml:space="preserve"> XV </t>
  </si>
  <si>
    <t xml:space="preserve"> XX </t>
  </si>
  <si>
    <t xml:space="preserve"> 31B Y 31D </t>
  </si>
  <si>
    <t xml:space="preserve"> 31-C </t>
  </si>
  <si>
    <t xml:space="preserve"> 31-E </t>
  </si>
  <si>
    <t xml:space="preserve"> 1-AB </t>
  </si>
  <si>
    <t xml:space="preserve"> Z-1 </t>
  </si>
  <si>
    <t xml:space="preserve"> Z-6 </t>
  </si>
  <si>
    <t xml:space="preserve"> TOTAL (MMUS$) </t>
  </si>
  <si>
    <t>REGALÍAS (MMUS$), 2013 - 2021</t>
  </si>
  <si>
    <t>REGIONES / AÑO</t>
  </si>
  <si>
    <t>Piura</t>
  </si>
  <si>
    <t>Tumbes</t>
  </si>
  <si>
    <t>Loreto</t>
  </si>
  <si>
    <t>Ucayali</t>
  </si>
  <si>
    <t>Cusco</t>
  </si>
  <si>
    <t>Total General en MM S/</t>
  </si>
  <si>
    <t>DISTRIBUCIÓN DEL CANON DE HIDROCARBUROS (Millones Soles) 2011 - 2021</t>
  </si>
  <si>
    <t>GRÁFICO 19: DISTRIBUCIÓN DE CANON Y SOBRECANON POR REGION 2021</t>
  </si>
  <si>
    <t>Prov. Puerto Inca - Huánuco</t>
  </si>
  <si>
    <t xml:space="preserve"> CARGAS A PROCESO</t>
  </si>
  <si>
    <t xml:space="preserve"> TOTAL</t>
  </si>
  <si>
    <t xml:space="preserve"> TALARA</t>
  </si>
  <si>
    <t xml:space="preserve"> IQUITOS</t>
  </si>
  <si>
    <t xml:space="preserve"> CONCHAN</t>
  </si>
  <si>
    <t xml:space="preserve"> PAMPILLA</t>
  </si>
  <si>
    <t xml:space="preserve"> PUCALLPA</t>
  </si>
  <si>
    <t xml:space="preserve"> Crudo Nacional</t>
  </si>
  <si>
    <t>Crudo Importado</t>
  </si>
  <si>
    <t>TOTAL DE CRUDO PROCESADO</t>
  </si>
  <si>
    <t xml:space="preserve"> OTRAS CARGAS</t>
  </si>
  <si>
    <t>Destilados Medio para Mezcla (MDBS)</t>
  </si>
  <si>
    <t>Diesel Ultra Bajo en Azufre (ULSD)</t>
  </si>
  <si>
    <t>Etanol</t>
  </si>
  <si>
    <t>Gasolina obtenido por blending (HOGBS)</t>
  </si>
  <si>
    <t>Nafta Craqueada</t>
  </si>
  <si>
    <t>Nafta Primaria</t>
  </si>
  <si>
    <t>Residual de Primaria</t>
  </si>
  <si>
    <t>Residuo de Vacío</t>
  </si>
  <si>
    <t>Slop</t>
  </si>
  <si>
    <t>Diesel 2</t>
  </si>
  <si>
    <t>Nafta Pesada</t>
  </si>
  <si>
    <t>Diesel 2 Bajo Azufre</t>
  </si>
  <si>
    <t>Gasóleo Pesado</t>
  </si>
  <si>
    <t>Fuel Oil Bajo Azufre</t>
  </si>
  <si>
    <t>Biodiesel B100</t>
  </si>
  <si>
    <t>Nafta de Vacío</t>
  </si>
  <si>
    <t>Diesel 2 S 50</t>
  </si>
  <si>
    <t>Fuel Oil Alto Azufre</t>
  </si>
  <si>
    <t>Sub Total</t>
  </si>
  <si>
    <t>Diesel Marino 2</t>
  </si>
  <si>
    <t>Petroleo Industrial 6</t>
  </si>
  <si>
    <t>Turbo A-1</t>
  </si>
  <si>
    <t>Petroleo Industrial 500</t>
  </si>
  <si>
    <t>Gasolina 95</t>
  </si>
  <si>
    <t>Solvente 3</t>
  </si>
  <si>
    <t>Combustible Residual Intermedio - 380 (IFO - 380)</t>
  </si>
  <si>
    <t>Asfalto Sólido 10/20 PEN</t>
  </si>
  <si>
    <t>Gasolina 90</t>
  </si>
  <si>
    <t>Diesel B5 Bajo Azufre</t>
  </si>
  <si>
    <t>TOTAL OTRAS CARGAS PROCESADAS</t>
  </si>
  <si>
    <t xml:space="preserve"> CARGA TOTAL PROCESADA</t>
  </si>
  <si>
    <t xml:space="preserve">PRODUCCIÓN EN REFINERÍA </t>
  </si>
  <si>
    <t>TALARA</t>
  </si>
  <si>
    <t>IQUITOS</t>
  </si>
  <si>
    <t>CONCHAN</t>
  </si>
  <si>
    <t>PAMPILLA</t>
  </si>
  <si>
    <t>PUCALLPA</t>
  </si>
  <si>
    <t>PRODUCTO</t>
  </si>
  <si>
    <t>TOTAL (MBLS)</t>
  </si>
  <si>
    <t>TOTAL (MBPD)</t>
  </si>
  <si>
    <t>%</t>
  </si>
  <si>
    <t xml:space="preserve">PRODUCTOS TERMINADOS </t>
  </si>
  <si>
    <t>GLP</t>
  </si>
  <si>
    <t xml:space="preserve">Gas Licuado de Petróleo </t>
  </si>
  <si>
    <t>Gasolinas/Gasoholes</t>
  </si>
  <si>
    <t xml:space="preserve">Gasohol 84 </t>
  </si>
  <si>
    <t>Turbo</t>
  </si>
  <si>
    <t xml:space="preserve">Gasohol 90 </t>
  </si>
  <si>
    <t>Diesel</t>
  </si>
  <si>
    <t xml:space="preserve">Gasohol 95 </t>
  </si>
  <si>
    <t>Residuales</t>
  </si>
  <si>
    <t xml:space="preserve">Gasohol 97 </t>
  </si>
  <si>
    <t>IFO/Diesel Marino</t>
  </si>
  <si>
    <t xml:space="preserve">Gasohol 98 </t>
  </si>
  <si>
    <t>Otros</t>
  </si>
  <si>
    <t xml:space="preserve">Gasolina 84 </t>
  </si>
  <si>
    <t xml:space="preserve">Gasolina 90 </t>
  </si>
  <si>
    <t xml:space="preserve">Gasolina 95 </t>
  </si>
  <si>
    <t xml:space="preserve">Gasolina 97 </t>
  </si>
  <si>
    <t xml:space="preserve">Gasolina 91 </t>
  </si>
  <si>
    <t>Diesel B5 - S50</t>
  </si>
  <si>
    <t>Diesel B5</t>
  </si>
  <si>
    <t xml:space="preserve">Diesel Marino 2 </t>
  </si>
  <si>
    <t>Solvente 1</t>
  </si>
  <si>
    <t>Asfalto Líquido</t>
  </si>
  <si>
    <t>Asfalto Líquido MC-30</t>
  </si>
  <si>
    <t>Asfalto Líquido RC-250</t>
  </si>
  <si>
    <t>Asfalto Sólido</t>
  </si>
  <si>
    <t>Asfalto Sólido 120/150 PEN</t>
  </si>
  <si>
    <t>Asfalto Sólido 60/70 PEN</t>
  </si>
  <si>
    <t>Asfalto Sólido 85/100 PEN</t>
  </si>
  <si>
    <t xml:space="preserve">PRODUCTOS EN PROCESO </t>
  </si>
  <si>
    <t>Nafta Liviana</t>
  </si>
  <si>
    <t>Destilados medio para mezcla</t>
  </si>
  <si>
    <t>Fuel Oil</t>
  </si>
  <si>
    <t>Gas Unidad de Destilación Primaria</t>
  </si>
  <si>
    <t>Combustibles Uso Propio</t>
  </si>
  <si>
    <t>Gas Combustible</t>
  </si>
  <si>
    <t>Gasóleo de Vacío</t>
  </si>
  <si>
    <t>Gasolina (Otros octanajes)</t>
  </si>
  <si>
    <t>Azufre</t>
  </si>
  <si>
    <t>Gasolina 93 Exportación</t>
  </si>
  <si>
    <t>Recuperaciòn de Productos</t>
  </si>
  <si>
    <t>Mermas</t>
  </si>
  <si>
    <t>Pèrdidas y Ganancias</t>
  </si>
  <si>
    <t>TOTAL DE PRODUCTOS EN REFINERíA</t>
  </si>
  <si>
    <t>Producto</t>
  </si>
  <si>
    <t>Gasoholes/ Gasolinas</t>
  </si>
  <si>
    <t>Residual</t>
  </si>
  <si>
    <t>Empresa</t>
  </si>
  <si>
    <t>Condensados de Gas Natural</t>
  </si>
  <si>
    <t>Gasolina Natural</t>
  </si>
  <si>
    <t>Propano/Butano</t>
  </si>
  <si>
    <t>Destilados Medios</t>
  </si>
  <si>
    <t>Diesel B5 S50</t>
  </si>
  <si>
    <t>Unna Energía</t>
  </si>
  <si>
    <t>Aguaytía</t>
  </si>
  <si>
    <t>Pluspetrol</t>
  </si>
  <si>
    <t>Savia</t>
  </si>
  <si>
    <t>Propano / Butano</t>
  </si>
  <si>
    <t xml:space="preserve"> Aguaytía </t>
  </si>
  <si>
    <t xml:space="preserve">Pluspetrol Perú Corporation </t>
  </si>
  <si>
    <t>Destilados medios</t>
  </si>
  <si>
    <t xml:space="preserve"> Procesadora de Gas Pariñas </t>
  </si>
  <si>
    <t>INVENTARIO DE COMBUSTIBLES AL 31.12.2020 (MILES DE BARRILES)</t>
  </si>
  <si>
    <t>EL MILAGRO</t>
  </si>
  <si>
    <t>LA PAMPILLA</t>
  </si>
  <si>
    <t>TOTAL NACIONAL</t>
  </si>
  <si>
    <t>Petróleo Crudo</t>
  </si>
  <si>
    <t xml:space="preserve"> Productos en Proceso </t>
  </si>
  <si>
    <t>Gasóleo Liviano</t>
  </si>
  <si>
    <t>Material de Corte</t>
  </si>
  <si>
    <t>Nafta Virgen</t>
  </si>
  <si>
    <t>Slop Wax</t>
  </si>
  <si>
    <t>Alcohol Carburante</t>
  </si>
  <si>
    <t>Ac. Ciclico Ligero</t>
  </si>
  <si>
    <t xml:space="preserve">Ac. Ciclico Pesado </t>
  </si>
  <si>
    <t>Aceite Clarificado</t>
  </si>
  <si>
    <t xml:space="preserve"> Productos Terminados </t>
  </si>
  <si>
    <t>Gasolina 97</t>
  </si>
  <si>
    <t>Gasolina 98</t>
  </si>
  <si>
    <t>Diesel B5 - UV</t>
  </si>
  <si>
    <t>Diesel B5 - S50 UV</t>
  </si>
  <si>
    <t>Petroleo Industrial 5</t>
  </si>
  <si>
    <t>Acido Nafténico 250</t>
  </si>
  <si>
    <t>VENTAS DE COMBUSTIBLES, 2013-2020 (MILES DE BARRILES)</t>
  </si>
  <si>
    <t xml:space="preserve"> Producto </t>
  </si>
  <si>
    <t>Gas Licuado de Petróleo</t>
  </si>
  <si>
    <t>Gasolina 84</t>
  </si>
  <si>
    <t>Gasohol 98</t>
  </si>
  <si>
    <t>Gasohol 97</t>
  </si>
  <si>
    <t>Gasohol 95</t>
  </si>
  <si>
    <t>Gasohol 90</t>
  </si>
  <si>
    <t>Turbo A-1 / JP-5/Gasolina aviación</t>
  </si>
  <si>
    <t>Diesel B-5</t>
  </si>
  <si>
    <t>Diesel B-5  S-50</t>
  </si>
  <si>
    <t>Petroleo Industrial Nº 6</t>
  </si>
  <si>
    <t xml:space="preserve">Petroleo Industrial 500 </t>
  </si>
  <si>
    <t>Diesel Marino/ I.F.O. / M.G.O.</t>
  </si>
  <si>
    <t xml:space="preserve">TOTAL (MBPD) </t>
  </si>
  <si>
    <t>Gasohol</t>
  </si>
  <si>
    <t>Diesel B5-S50</t>
  </si>
  <si>
    <t>GNV (Vehícular)</t>
  </si>
  <si>
    <t>GNV</t>
  </si>
  <si>
    <t>84 oct.</t>
  </si>
  <si>
    <t>90 oct.</t>
  </si>
  <si>
    <t>95 Oct.</t>
  </si>
  <si>
    <t>97 Oct.</t>
  </si>
  <si>
    <t>(Balón DE 10 KG)</t>
  </si>
  <si>
    <t>(Litros)</t>
  </si>
  <si>
    <r>
      <t>(M</t>
    </r>
    <r>
      <rPr>
        <b/>
        <vertAlign val="superscript"/>
        <sz val="8"/>
        <color rgb="FFFFFFFF"/>
        <rFont val="Arial"/>
        <family val="2"/>
      </rPr>
      <t>3</t>
    </r>
    <r>
      <rPr>
        <b/>
        <sz val="8"/>
        <color rgb="FFFFFFFF"/>
        <rFont val="Arial"/>
        <family val="2"/>
      </rPr>
      <t>)</t>
    </r>
  </si>
  <si>
    <t>Setiembre</t>
  </si>
  <si>
    <t>Lima</t>
  </si>
  <si>
    <t>84 Oct.</t>
  </si>
  <si>
    <t>90 Oct.</t>
  </si>
  <si>
    <t>(Balón de 10 KG)</t>
  </si>
  <si>
    <t>Arequipa</t>
  </si>
  <si>
    <t>Chiclayo</t>
  </si>
  <si>
    <t>(Balón de 10 kg)</t>
  </si>
  <si>
    <t>Chimbote</t>
  </si>
  <si>
    <t xml:space="preserve">Gasohol </t>
  </si>
  <si>
    <t>Huancayo</t>
  </si>
  <si>
    <t>Ica</t>
  </si>
  <si>
    <t>Moquegua</t>
  </si>
  <si>
    <t>Puno</t>
  </si>
  <si>
    <t>Tacna</t>
  </si>
  <si>
    <t>Trujillo</t>
  </si>
  <si>
    <t>Crudo</t>
  </si>
  <si>
    <t xml:space="preserve">  GLP/propano/butano</t>
  </si>
  <si>
    <t>Gasolinas</t>
  </si>
  <si>
    <t>Residuales/IFO/Fuel Oil</t>
  </si>
  <si>
    <t>MMPC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</si>
  <si>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</si>
  <si>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</si>
  <si>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</si>
  <si>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</si>
  <si>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</si>
  <si>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</si>
  <si>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</si>
  <si>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</si>
  <si>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</si>
  <si>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</si>
  <si>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</si>
  <si>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</si>
  <si>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Lote 56</t>
  </si>
  <si>
    <t>Lote 88</t>
  </si>
  <si>
    <t>*No considera información del Lote 57</t>
  </si>
  <si>
    <t>ene</t>
  </si>
  <si>
    <t>feb</t>
  </si>
  <si>
    <t>SET</t>
  </si>
  <si>
    <t>BBL</t>
  </si>
  <si>
    <t>Mercado Interno</t>
  </si>
  <si>
    <t>Exportación</t>
  </si>
  <si>
    <t>Conexiones</t>
  </si>
  <si>
    <t>Residencial</t>
  </si>
  <si>
    <t>Comercial</t>
  </si>
  <si>
    <t>Industrial</t>
  </si>
  <si>
    <t>Generación Eléctrica</t>
  </si>
  <si>
    <t>Cálidda - Volumen</t>
  </si>
  <si>
    <t>Cálidda - Consumidores (Anual)</t>
  </si>
  <si>
    <t>Comercial*</t>
  </si>
  <si>
    <t>Industrial**</t>
  </si>
  <si>
    <t>* Incluye Instituciones Públicas 2014-2020</t>
  </si>
  <si>
    <t>** Incluye clientes Iniciales e Independientes 2004-2009</t>
  </si>
  <si>
    <t>Cálidda - Volumen (Anual)</t>
  </si>
  <si>
    <t>Contugas - Volumen</t>
  </si>
  <si>
    <r>
      <t xml:space="preserve">Contugas </t>
    </r>
    <r>
      <rPr>
        <b/>
        <sz val="8"/>
        <color rgb="FF000000"/>
        <rFont val="Arial"/>
        <family val="2"/>
      </rPr>
      <t>- Consumidores (Anual)</t>
    </r>
  </si>
  <si>
    <r>
      <t xml:space="preserve">Contugas - </t>
    </r>
    <r>
      <rPr>
        <b/>
        <sz val="8"/>
        <color rgb="FF00A79D"/>
        <rFont val="Arial"/>
        <family val="2"/>
      </rPr>
      <t xml:space="preserve">Volumen </t>
    </r>
    <r>
      <rPr>
        <b/>
        <sz val="8"/>
        <color rgb="FF000000"/>
        <rFont val="Arial"/>
        <family val="2"/>
      </rPr>
      <t>(Anual) - MMPC</t>
    </r>
  </si>
  <si>
    <r>
      <t>Residencial</t>
    </r>
    <r>
      <rPr>
        <vertAlign val="superscript"/>
        <sz val="8"/>
        <color theme="0"/>
        <rFont val="Arial"/>
        <family val="2"/>
      </rPr>
      <t>1</t>
    </r>
  </si>
  <si>
    <r>
      <t>Comercial</t>
    </r>
    <r>
      <rPr>
        <vertAlign val="superscript"/>
        <sz val="8"/>
        <color theme="0"/>
        <rFont val="Arial"/>
        <family val="2"/>
      </rPr>
      <t>2</t>
    </r>
  </si>
  <si>
    <r>
      <t>GNV</t>
    </r>
    <r>
      <rPr>
        <vertAlign val="superscript"/>
        <sz val="8"/>
        <color theme="0"/>
        <rFont val="Arial"/>
        <family val="2"/>
      </rPr>
      <t>3</t>
    </r>
  </si>
  <si>
    <r>
      <t>Industrial</t>
    </r>
    <r>
      <rPr>
        <vertAlign val="superscript"/>
        <sz val="8"/>
        <color theme="0"/>
        <rFont val="Arial"/>
        <family val="2"/>
      </rPr>
      <t>4</t>
    </r>
  </si>
  <si>
    <r>
      <t>1</t>
    </r>
    <r>
      <rPr>
        <i/>
        <sz val="7"/>
        <rFont val="Arial"/>
        <family val="2"/>
      </rPr>
      <t xml:space="preserve"> Incluye Categoría Tarifaria I</t>
    </r>
  </si>
  <si>
    <r>
      <t>2</t>
    </r>
    <r>
      <rPr>
        <i/>
        <sz val="7"/>
        <rFont val="Arial"/>
        <family val="2"/>
      </rPr>
      <t xml:space="preserve"> Incluye Categoría Tarifaria II-A, II-B y III</t>
    </r>
  </si>
  <si>
    <r>
      <t>3</t>
    </r>
    <r>
      <rPr>
        <i/>
        <sz val="7"/>
        <rFont val="Arial"/>
        <family val="2"/>
      </rPr>
      <t xml:space="preserve"> Incluye Categoría Tarifaria GNV</t>
    </r>
  </si>
  <si>
    <r>
      <t>4</t>
    </r>
    <r>
      <rPr>
        <i/>
        <sz val="7"/>
        <rFont val="Arial"/>
        <family val="2"/>
      </rPr>
      <t xml:space="preserve"> Incluye Categoría Tarifaria IV, V, VI, VII y Pesca</t>
    </r>
  </si>
  <si>
    <t>Quavii - Volumen</t>
  </si>
  <si>
    <t>Quavii - Consumidores (Anual)</t>
  </si>
  <si>
    <t>Quavii - Volumen (Anual)</t>
  </si>
  <si>
    <t>Petroperu - Volumen</t>
  </si>
  <si>
    <t>Petroperu - Consumidores (Anual)</t>
  </si>
  <si>
    <t>Naturgy - Volumen (Anual)</t>
  </si>
  <si>
    <t xml:space="preserve">                   -   </t>
  </si>
  <si>
    <t>Transportadora de Gas del Perú S.A.</t>
  </si>
  <si>
    <t>Gas Natural de Lima y Callao S.A.</t>
  </si>
  <si>
    <t>Contugas S.A.C.</t>
  </si>
  <si>
    <t>Gases del Pacífico S.A.</t>
  </si>
  <si>
    <t>Concesión Sur Oeste*</t>
  </si>
  <si>
    <t>Perú LNG</t>
  </si>
  <si>
    <t>SÍSMICA 2D REGISTRADA EN ÁREAS EN EXPLORACIÓN (KM), 2013 - 2021</t>
  </si>
  <si>
    <r>
      <t>SÍSMICA 3D REGISTRADA EN ÁREAS EN EXPLORACIÓN (KM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>) 2013 - 2021</t>
    </r>
  </si>
  <si>
    <t>POZOS EXPLORATORIOS PERFORADOS (Número),  2013 - 2021</t>
  </si>
  <si>
    <t>POZOS DE DESARROLLO PERFORADOS (Número), 2013 – 2021</t>
  </si>
  <si>
    <t>Tabla N°07-08-09: Contrato en Explotación Vigentes, 2021</t>
  </si>
  <si>
    <t>Tabla N°10: Producción Fiscalizada Mensual de Hidrocarburos Líquidos (BLS), 2021</t>
  </si>
  <si>
    <t>Tabla N°11: Producción Fiscalizada Anual de Hidrocarburos Líquidos (BLS), 2014 - 2021</t>
  </si>
  <si>
    <t>PRODUCCIÓN FISCALIZADA ANUAL DE HIDROCARBUROS LÍQUIDOS (MBLS),  2014-2021</t>
  </si>
  <si>
    <t>PRODUCCIÓN FISCALIZADA MENSUAL DE GAS NATURAL (MPC), 2021</t>
  </si>
  <si>
    <t>Tabla N°13: Producción Fiscalizada Anual de Gas Natural (MMPC), 2013 - 2021</t>
  </si>
  <si>
    <t>PRODUCCIÓN FISCALIZADA ANUAL DE GAS NATURAL  (MMPC), 2014-2021</t>
  </si>
  <si>
    <t>INVERSIONES EN EXPLORACIÓN Y EXPLOTACIÓN POR CONTRATISTA (US$ MILLONES), 2021</t>
  </si>
  <si>
    <t>Tabla N°14: Inversiones en Exploración y Explotación por contratista, 2021</t>
  </si>
  <si>
    <t>Tabla N°14: Inversiones en Exploración y Explotación por contratista, 2014 - 2021</t>
  </si>
  <si>
    <t>INVERSIONES EN EXPLORACIÓN Y EXPLOTACIÓN ANUALIZADAS (US$ MILLONES), 2014 - 2021</t>
  </si>
  <si>
    <t>Tabla N°16: Inversiones en Exploración y Explotación, 2022 - 2026</t>
  </si>
  <si>
    <t>INVERSIONES EN EXPLORACIÓN Y EXPLOTACIÓN (US$ MILLONES), 2022-2026</t>
  </si>
  <si>
    <t>Tabla Nº 17: Inversiones en Gas Natural, 2021</t>
  </si>
  <si>
    <t>2021, US$ MM</t>
  </si>
  <si>
    <t>Tabla N°18: Regalías cobradas por el Estado, 2021</t>
  </si>
  <si>
    <t>REGALÍAS COBRADAS POR EL ESTADO (US$ Millones), 2021</t>
  </si>
  <si>
    <t>Tabla N°19: Regalías (MMUS$), 2013 - 2021</t>
  </si>
  <si>
    <t>Tabla N°20: Retribuciones, 2014 - 2021</t>
  </si>
  <si>
    <t>RETRIBUCIONES (US$ Millones), 2013-2021</t>
  </si>
  <si>
    <t xml:space="preserve"> INGRESOS AL ESTADO POR TIPO DE HIDROCARBURO (US$ Millones), 2013 - 2021</t>
  </si>
  <si>
    <t>Tabla N°22: Distribución de canon y sobrecanon de hidrocarburos, 2021</t>
  </si>
  <si>
    <t>Tabla N°23: Canon y Sobrecanon de Hidrocarburos (MM Soles)</t>
  </si>
  <si>
    <t>Tabla N°18: Ingresos al Estado por Tipo de Hidrocarburos, 2013 - 2021</t>
  </si>
  <si>
    <t>Tabla Nº 24: Cargas en Refinerías (MBPD), 2021</t>
  </si>
  <si>
    <t>CARGAS EN REFINERÍAS (MBPD), 2021</t>
  </si>
  <si>
    <t>CARGAS</t>
  </si>
  <si>
    <t xml:space="preserve"> PRODUCTOS EN PROCESO</t>
  </si>
  <si>
    <t xml:space="preserve"> PRODUCTOS TERMINADOS</t>
  </si>
  <si>
    <t>Tabla Nº 25: Producción de Combustibles en Refinería (MBPD), 2021</t>
  </si>
  <si>
    <t>Producción de Combustibles en Refinería (MBPD), 2021</t>
  </si>
  <si>
    <t>PRODUCCIÓN EN REFINERÍA (MILES DE BARRILES POR DÍA), 2013-2021</t>
  </si>
  <si>
    <t xml:space="preserve">Tabla Nº 26: Producción de combustibles en Refinería, 2013-2021 </t>
  </si>
  <si>
    <t xml:space="preserve">Tabla Nº 27: Producción en Plantas de Procesamiento (MBPD), 2021 </t>
  </si>
  <si>
    <t>PRODUCCIÓN DE LÍQUIDOS DE GAS NATURAL (MILES DE BARRILES), 2021</t>
  </si>
  <si>
    <t>PRODUCCIÓN DE LÍQUIDOS DE GAS NATURAL (MILES DE BARRILES), 2013-2021</t>
  </si>
  <si>
    <t xml:space="preserve">Tabla Nº 28: Producción en Plantas de Procesamiento (MBPD), 2013-2021 </t>
  </si>
  <si>
    <t xml:space="preserve">Tabla Nº 29: Inventario de Combustibles (MBPD), 2021 </t>
  </si>
  <si>
    <t xml:space="preserve">Tabla Nº 30: Ventas de combustibles al Mercado Interno (MBPD), 2013 - 2021 </t>
  </si>
  <si>
    <t xml:space="preserve">Tabla Nº 31: Precios Finales de combustibles en Lima Metropolitana, 2021 </t>
  </si>
  <si>
    <t>Tabla Nº 32: Precios Finales de combustibles en Arequipa, 2021</t>
  </si>
  <si>
    <t>Tabla Nº 33: Precios Finales de combustibles en Chiclayo, 2021</t>
  </si>
  <si>
    <t xml:space="preserve">Tabla Nº 34: Precios Finales de combustibles en Chimbote, 2021 </t>
  </si>
  <si>
    <t xml:space="preserve">Tabla Nº 35: Precios Finales de combustibles en Cusco, 2021 </t>
  </si>
  <si>
    <t>Tabla Nº 36: Precios Finales de combustibles en Huancayo, 2021</t>
  </si>
  <si>
    <t>Tabla Nº 37: Precios Finales de combustibles en Ica, 2021</t>
  </si>
  <si>
    <t>Tabla Nº 38: Precios Finales de combustibles en Moquegua, 2021</t>
  </si>
  <si>
    <t>Tabla Nº 39: Precios Finales de combustibles en Piura, 2021</t>
  </si>
  <si>
    <t>Tabla Nº 40: Precios Finales de combustibles en Puno, 2021</t>
  </si>
  <si>
    <t>Tabla Nº 41: Precios Finales de combustibles en Tacna, 2021</t>
  </si>
  <si>
    <t>Tabla Nº 42: Precios Finales de combustibles en Trujillo, 2021</t>
  </si>
  <si>
    <t>EXPORTACIONES (MILES DE BARRILES), 2015-2021</t>
  </si>
  <si>
    <t>Tabla Nº 43: Exportaciones de Hidrocarburos (MBPD), 2015-2021</t>
  </si>
  <si>
    <t>Tabla Nº 44: Exportaciones de Hidrocarburos (Miles de Dólares), 2015-2021</t>
  </si>
  <si>
    <t>EXPORTACIONES (MILES DE DÓLARES), 2015-2021</t>
  </si>
  <si>
    <t>Tabla Nº 45: Importaciones de Hidrocarburos (MBPD), 2015-2021</t>
  </si>
  <si>
    <t>Tabla Nº 46: Importaciones de Hidrocarburos (Miles de Dólares), 2015-2021</t>
  </si>
  <si>
    <t>IMPORTACIONES (MILES DE DÓLARES), 2015-2021</t>
  </si>
  <si>
    <t>IMPORTACIONES (MILES DE BARRILES), 2015-2021</t>
  </si>
  <si>
    <t>IMPORTACIONES DE BIODIESEL (MILES DE BARRILES), 2015 - 2021</t>
  </si>
  <si>
    <t>PAÍS DE PROCEDENCIA</t>
  </si>
  <si>
    <t>ARGENTINA</t>
  </si>
  <si>
    <t>ALEMANIA</t>
  </si>
  <si>
    <t>ECUADOR</t>
  </si>
  <si>
    <t>INDONESIA</t>
  </si>
  <si>
    <t>ESPAÑA</t>
  </si>
  <si>
    <t>MALASIA</t>
  </si>
  <si>
    <t>CANADÁ</t>
  </si>
  <si>
    <t>ESTADOS UNIDOS</t>
  </si>
  <si>
    <t>CHINA</t>
  </si>
  <si>
    <t>JAPÓN</t>
  </si>
  <si>
    <t>BÉLGICA</t>
  </si>
  <si>
    <t>PAÍSES BAJOS</t>
  </si>
  <si>
    <t>Tabla Nº 47: Importaciones de Biodiesel (MBPD), 2015 - 2021</t>
  </si>
  <si>
    <t>Tabla Nº 48: Procesamiento de Gas Natural (MMPC), 2021</t>
  </si>
  <si>
    <t xml:space="preserve">Tabla Nº 49: Procesamiento de Líquidos de Gas Natural (BBL), 2021 </t>
  </si>
  <si>
    <t xml:space="preserve">Tabla Nº 50: Transporte de Gas Natural (MMPC), 2021 </t>
  </si>
  <si>
    <t xml:space="preserve">Tabla Nº 51: Volumen de distribución de Gas Natural en la Concesión de Lima y Callao (MMPC), 2016-2021 </t>
  </si>
  <si>
    <t xml:space="preserve">Tabla Nº 52: Volumen de distribución de Gas Natural por sector económico en la Concesión de Lima y Callao (MMPC), 2021 </t>
  </si>
  <si>
    <t>Tabla Nº 53: Número de Consumidores de Gas Natural, por sector económico, en la Concesión de Lima y Callao, 2021</t>
  </si>
  <si>
    <t>Tabla Nº 54: Número de Consumidores de Gas Natural, por sector económico, en la Concesión de Lima y Callao, 2016-2021</t>
  </si>
  <si>
    <t xml:space="preserve">Tabla Nº 55: Volumen de distribución de Gas Natural en la Concesión de Ica (MMPC), 2016-2021 </t>
  </si>
  <si>
    <t xml:space="preserve">Tabla Nº 56: Volumen de distribución de Gas Natural por sector económico en la Concesión de Ica (MMPC), 2021 </t>
  </si>
  <si>
    <t>Tabla Nº 57: Número de Consumidores de Gas Natural, por sector económico, en la Concesión de Ica, 2021</t>
  </si>
  <si>
    <t>Tabla Nº 58: Número de Consumidores de Gas Natural por sector económico en la Concesión de Ica, 2016-2021</t>
  </si>
  <si>
    <t xml:space="preserve">Tabla Nº 60: Volumen de distribución de Gas Natural por sector económico en la Concesión Norte (MMPC), 2021 </t>
  </si>
  <si>
    <t>Tabla Nº 61: Número de Consumidores de Gas Natural por sector económico en la Concesión Norte, 2021</t>
  </si>
  <si>
    <t>Tabla Nº 62: Número de Consumidores de Gas Natural por sector económico en la Concesión Norte, 2017-2021</t>
  </si>
  <si>
    <t>Tabla Nº 59: Número de Consumidores de Gas Natural por sector económico en la Concesión Norte, 2017-2021</t>
  </si>
  <si>
    <t xml:space="preserve">Tabla Nº 63: Volumen de Distribución de Gas Natural por sector económico en la Concesión Sur Oeste (MMPC), 2021 </t>
  </si>
  <si>
    <t xml:space="preserve">Tabla Nº 64: Volumen de distribución de Gas Natural por sector económico en la Concesión Sur Oeste (MMPC), 2018-2021 </t>
  </si>
  <si>
    <t>Tabla Nº 65: Número de Consumidores de Gas Natural por sector económico en la Concesión Sur Oeste, 2017-2021</t>
  </si>
  <si>
    <t>Tabla Nº 66: Número de Consumidores de Gas Natural por sector económico en la Concesión Sur Oeste,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</si>
</sst>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  <numFmt numFmtId="167" formatCode="0.0"/>
    <numFmt numFmtId="168" formatCode="#,##0.0"/>
    <numFmt numFmtId="169" formatCode="_ * #,##0.0_ ;_ * \-#,##0.0_ ;_ * &quot;-&quot;??_ ;_ @_ "/>
    <numFmt numFmtId="170" formatCode="_-* #,##0.00\ [$€-1]_-;\-* #,##0.00\ [$€-1]_-;_-* &quot;-&quot;??\ [$€-1]_-"/>
    <numFmt numFmtId="171" formatCode="dd/mm/yyyy;@"/>
    <numFmt numFmtId="172" formatCode="_ * #,##0.00_ ;_ * \-#,##0.00_ ;_ * &quot;-&quot;??_ ;_ @_ "/>
    <numFmt numFmtId="173" formatCode="_-* #,##0.000_-;\-* #,##0.000_-;_-* &quot;-&quot;??_-;_-@_-"/>
    <numFmt numFmtId="174" formatCode="_-* #,##0.00000_-;\-* #,##0.00000_-;_-* &quot;-&quot;??_-;_-@_-"/>
    <numFmt numFmtId="175" formatCode="#,##0.000"/>
    <numFmt numFmtId="176" formatCode="_(* #,##0_);_(* \(#,##0\);_(* &quot;-&quot;_);_(@_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8"/>
      <color rgb="FFFFFFFF"/>
      <name val="Arial"/>
      <family val="2"/>
    </font>
    <font>
      <b/>
      <vertAlign val="superscript"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 Narrow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  <font>
      <i/>
      <sz val="8"/>
      <color theme="1"/>
      <name val="Arial"/>
      <family val="2"/>
    </font>
    <font>
      <sz val="8"/>
      <color theme="1" tint="0.249977111117893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i/>
      <sz val="7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8"/>
      <color rgb="FF161616"/>
      <name val="Arial"/>
      <family val="2"/>
    </font>
    <font>
      <b/>
      <sz val="8"/>
      <color rgb="FF00A79D"/>
      <name val="Arial"/>
      <family val="2"/>
    </font>
    <font>
      <vertAlign val="superscript"/>
      <sz val="8"/>
      <color theme="0"/>
      <name val="Arial"/>
      <family val="2"/>
    </font>
    <font>
      <i/>
      <vertAlign val="superscript"/>
      <sz val="7"/>
      <name val="Arial"/>
      <family val="2"/>
    </font>
    <font>
      <i/>
      <sz val="7"/>
      <name val="Arial"/>
      <family val="2"/>
    </font>
    <font>
      <sz val="7"/>
      <color rgb="FF000000"/>
      <name val="Arial"/>
      <family val="2"/>
    </font>
    <font>
      <b/>
      <sz val="9"/>
      <color theme="0"/>
      <name val="Calibri"/>
      <family val="2"/>
      <scheme val="minor"/>
    </font>
    <font>
      <b/>
      <sz val="10"/>
      <color theme="0"/>
      <name val="Avenir Next LT Pro"/>
      <family val="2"/>
    </font>
    <font>
      <b/>
      <sz val="9"/>
      <name val="Arial"/>
      <family val="2"/>
    </font>
    <font>
      <b/>
      <sz val="8.5"/>
      <color rgb="FFFFFFFF"/>
      <name val="Avenir Next LT Pro"/>
      <family val="2"/>
    </font>
    <font>
      <sz val="8.5"/>
      <color rgb="FF404040"/>
      <name val="Avenir Next LT Pro"/>
      <family val="2"/>
    </font>
    <font>
      <b/>
      <sz val="8.5"/>
      <color rgb="FF404040"/>
      <name val="Avenir Next LT Pro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63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E10DA"/>
        <bgColor indexed="64"/>
      </patternFill>
    </fill>
    <fill>
      <patternFill patternType="solid">
        <fgColor rgb="FF15416D"/>
        <bgColor indexed="64"/>
      </patternFill>
    </fill>
    <fill>
      <patternFill patternType="solid">
        <fgColor rgb="FF448E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27" fillId="0" borderId="0"/>
    <xf numFmtId="170" fontId="14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8" fillId="0" borderId="0"/>
    <xf numFmtId="0" fontId="14" fillId="0" borderId="0"/>
    <xf numFmtId="0" fontId="14" fillId="0" borderId="0"/>
    <xf numFmtId="172" fontId="1" fillId="0" borderId="0" applyFont="0" applyFill="0" applyBorder="0" applyAlignment="0" applyProtection="0"/>
  </cellStyleXfs>
  <cellXfs count="54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right" vertical="center" wrapText="1" readingOrder="1"/>
    </xf>
    <xf numFmtId="3" fontId="5" fillId="3" borderId="0" xfId="0" applyNumberFormat="1" applyFont="1" applyFill="1" applyAlignment="1">
      <alignment horizontal="right" vertical="center" wrapText="1" readingOrder="1"/>
    </xf>
    <xf numFmtId="0" fontId="6" fillId="4" borderId="0" xfId="0" applyFont="1" applyFill="1" applyAlignment="1">
      <alignment horizontal="left" vertical="center" wrapText="1" readingOrder="1"/>
    </xf>
    <xf numFmtId="3" fontId="6" fillId="4" borderId="0" xfId="0" applyNumberFormat="1" applyFont="1" applyFill="1" applyAlignment="1">
      <alignment horizontal="right" vertical="center" wrapText="1" readingOrder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3" fontId="8" fillId="6" borderId="8" xfId="0" applyNumberFormat="1" applyFont="1" applyFill="1" applyBorder="1" applyAlignment="1">
      <alignment horizontal="center" vertical="center"/>
    </xf>
    <xf numFmtId="3" fontId="8" fillId="6" borderId="9" xfId="0" applyNumberFormat="1" applyFont="1" applyFill="1" applyBorder="1" applyAlignment="1">
      <alignment horizontal="center" vertical="center"/>
    </xf>
    <xf numFmtId="3" fontId="8" fillId="6" borderId="7" xfId="0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3" fontId="8" fillId="6" borderId="11" xfId="0" applyNumberFormat="1" applyFont="1" applyFill="1" applyBorder="1" applyAlignment="1">
      <alignment horizontal="center" vertical="center"/>
    </xf>
    <xf numFmtId="3" fontId="8" fillId="6" borderId="12" xfId="0" applyNumberFormat="1" applyFont="1" applyFill="1" applyBorder="1" applyAlignment="1">
      <alignment horizontal="center" vertical="center"/>
    </xf>
    <xf numFmtId="3" fontId="8" fillId="6" borderId="10" xfId="0" applyNumberFormat="1" applyFont="1" applyFill="1" applyBorder="1" applyAlignment="1">
      <alignment horizontal="center" vertical="center"/>
    </xf>
    <xf numFmtId="3" fontId="2" fillId="0" borderId="0" xfId="1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8" fillId="6" borderId="13" xfId="0" applyFont="1" applyFill="1" applyBorder="1" applyAlignment="1">
      <alignment horizontal="center" vertical="center"/>
    </xf>
    <xf numFmtId="3" fontId="8" fillId="6" borderId="14" xfId="0" applyNumberFormat="1" applyFont="1" applyFill="1" applyBorder="1" applyAlignment="1">
      <alignment horizontal="center" vertical="center"/>
    </xf>
    <xf numFmtId="3" fontId="8" fillId="6" borderId="15" xfId="0" applyNumberFormat="1" applyFont="1" applyFill="1" applyBorder="1" applyAlignment="1">
      <alignment horizontal="center" vertical="center"/>
    </xf>
    <xf numFmtId="3" fontId="8" fillId="6" borderId="13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right" vertical="center" wrapText="1" readingOrder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wrapText="1" readingOrder="1"/>
    </xf>
    <xf numFmtId="0" fontId="2" fillId="0" borderId="0" xfId="0" applyFont="1"/>
    <xf numFmtId="3" fontId="2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64" fontId="5" fillId="0" borderId="0" xfId="1" applyNumberFormat="1" applyFont="1" applyAlignment="1">
      <alignment horizontal="right" vertical="center" wrapText="1" readingOrder="1"/>
    </xf>
    <xf numFmtId="0" fontId="4" fillId="8" borderId="0" xfId="0" applyFont="1" applyFill="1" applyAlignment="1">
      <alignment horizontal="left" vertical="center" wrapText="1" readingOrder="1"/>
    </xf>
    <xf numFmtId="3" fontId="4" fillId="8" borderId="0" xfId="0" applyNumberFormat="1" applyFont="1" applyFill="1" applyAlignment="1">
      <alignment horizontal="right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right" vertical="center" wrapText="1" readingOrder="1"/>
    </xf>
    <xf numFmtId="0" fontId="15" fillId="6" borderId="0" xfId="3" applyFont="1" applyFill="1" applyProtection="1">
      <protection locked="0"/>
    </xf>
    <xf numFmtId="3" fontId="15" fillId="6" borderId="0" xfId="3" applyNumberFormat="1" applyFont="1" applyFill="1" applyProtection="1">
      <protection locked="0"/>
    </xf>
    <xf numFmtId="0" fontId="16" fillId="0" borderId="0" xfId="0" applyFont="1"/>
    <xf numFmtId="165" fontId="18" fillId="9" borderId="0" xfId="2" applyNumberFormat="1" applyFont="1" applyFill="1"/>
    <xf numFmtId="165" fontId="19" fillId="9" borderId="0" xfId="2" applyNumberFormat="1" applyFont="1" applyFill="1"/>
    <xf numFmtId="43" fontId="16" fillId="0" borderId="0" xfId="0" applyNumberFormat="1" applyFont="1"/>
    <xf numFmtId="4" fontId="16" fillId="0" borderId="0" xfId="0" applyNumberFormat="1" applyFont="1"/>
    <xf numFmtId="0" fontId="15" fillId="6" borderId="0" xfId="3" applyFont="1" applyFill="1"/>
    <xf numFmtId="0" fontId="15" fillId="11" borderId="0" xfId="3" applyFont="1" applyFill="1"/>
    <xf numFmtId="0" fontId="20" fillId="6" borderId="0" xfId="3" applyFont="1" applyFill="1"/>
    <xf numFmtId="167" fontId="20" fillId="11" borderId="0" xfId="3" applyNumberFormat="1" applyFont="1" applyFill="1"/>
    <xf numFmtId="167" fontId="15" fillId="11" borderId="0" xfId="3" applyNumberFormat="1" applyFont="1" applyFill="1"/>
    <xf numFmtId="0" fontId="14" fillId="0" borderId="0" xfId="3"/>
    <xf numFmtId="17" fontId="14" fillId="0" borderId="0" xfId="3" applyNumberFormat="1"/>
    <xf numFmtId="168" fontId="14" fillId="0" borderId="0" xfId="3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 readingOrder="1"/>
    </xf>
    <xf numFmtId="43" fontId="13" fillId="0" borderId="0" xfId="1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wrapText="1" readingOrder="1"/>
    </xf>
    <xf numFmtId="0" fontId="13" fillId="0" borderId="0" xfId="0" applyFont="1" applyAlignment="1">
      <alignment horizontal="left" wrapText="1" readingOrder="1"/>
    </xf>
    <xf numFmtId="0" fontId="25" fillId="0" borderId="0" xfId="0" applyFont="1" applyAlignment="1">
      <alignment horizontal="right"/>
    </xf>
    <xf numFmtId="43" fontId="13" fillId="0" borderId="0" xfId="1" applyFont="1" applyAlignment="1">
      <alignment horizontal="right" vertical="center" wrapText="1"/>
    </xf>
    <xf numFmtId="0" fontId="16" fillId="0" borderId="0" xfId="0" applyFont="1" applyAlignment="1">
      <alignment horizontal="right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 readingOrder="1"/>
    </xf>
    <xf numFmtId="0" fontId="13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wrapText="1" readingOrder="1"/>
    </xf>
    <xf numFmtId="0" fontId="19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165" fontId="2" fillId="0" borderId="0" xfId="2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9" fontId="2" fillId="0" borderId="0" xfId="2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7" fontId="16" fillId="0" borderId="0" xfId="0" applyNumberFormat="1" applyFont="1"/>
    <xf numFmtId="3" fontId="14" fillId="0" borderId="0" xfId="3" applyNumberFormat="1"/>
    <xf numFmtId="165" fontId="17" fillId="9" borderId="0" xfId="2" applyNumberFormat="1" applyFont="1" applyFill="1" applyAlignment="1">
      <alignment horizontal="right" vertical="center"/>
    </xf>
    <xf numFmtId="43" fontId="2" fillId="0" borderId="0" xfId="1" applyFont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horizontal="right" vertical="center" wrapText="1" readingOrder="1"/>
    </xf>
    <xf numFmtId="1" fontId="5" fillId="0" borderId="0" xfId="1" applyNumberFormat="1" applyFont="1" applyAlignment="1">
      <alignment horizontal="right" vertical="center" wrapText="1" readingOrder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165" fontId="16" fillId="0" borderId="0" xfId="2" applyNumberFormat="1" applyFont="1" applyAlignment="1">
      <alignment horizontal="right" vertical="center"/>
    </xf>
    <xf numFmtId="164" fontId="16" fillId="0" borderId="0" xfId="1" applyNumberFormat="1" applyFont="1" applyAlignment="1">
      <alignment horizontal="right"/>
    </xf>
    <xf numFmtId="43" fontId="8" fillId="0" borderId="0" xfId="1" applyFont="1" applyAlignment="1">
      <alignment horizontal="right" vertical="center"/>
    </xf>
    <xf numFmtId="1" fontId="21" fillId="11" borderId="0" xfId="3" applyNumberFormat="1" applyFont="1" applyFill="1"/>
    <xf numFmtId="169" fontId="21" fillId="11" borderId="0" xfId="1" applyNumberFormat="1" applyFont="1" applyFill="1"/>
    <xf numFmtId="0" fontId="2" fillId="0" borderId="0" xfId="0" applyFont="1" applyAlignment="1">
      <alignment horizontal="left"/>
    </xf>
    <xf numFmtId="164" fontId="2" fillId="0" borderId="0" xfId="1" applyNumberFormat="1" applyFont="1"/>
    <xf numFmtId="43" fontId="2" fillId="0" borderId="0" xfId="0" applyNumberFormat="1" applyFont="1" applyAlignment="1">
      <alignment horizontal="right" vertical="center"/>
    </xf>
    <xf numFmtId="0" fontId="7" fillId="0" borderId="0" xfId="0" applyFont="1" applyAlignment="1">
      <alignment wrapText="1"/>
    </xf>
    <xf numFmtId="43" fontId="5" fillId="0" borderId="0" xfId="7" applyFont="1" applyAlignment="1">
      <alignment horizontal="right" vertical="center" wrapText="1" readingOrder="1"/>
    </xf>
    <xf numFmtId="164" fontId="32" fillId="0" borderId="0" xfId="1" applyNumberFormat="1" applyFont="1" applyAlignment="1">
      <alignment horizontal="right" vertical="center"/>
    </xf>
    <xf numFmtId="0" fontId="32" fillId="0" borderId="0" xfId="0" applyFont="1" applyAlignment="1">
      <alignment horizontal="right" vertical="center"/>
    </xf>
    <xf numFmtId="43" fontId="2" fillId="0" borderId="0" xfId="1" applyFont="1"/>
    <xf numFmtId="0" fontId="4" fillId="0" borderId="0" xfId="0" applyFont="1" applyAlignment="1">
      <alignment vertical="center" wrapText="1" readingOrder="1"/>
    </xf>
    <xf numFmtId="0" fontId="34" fillId="0" borderId="0" xfId="0" applyFont="1" applyAlignment="1">
      <alignment horizontal="center" vertical="center"/>
    </xf>
    <xf numFmtId="43" fontId="5" fillId="0" borderId="0" xfId="1" applyFont="1" applyAlignment="1">
      <alignment horizontal="right" vertical="center" wrapText="1"/>
    </xf>
    <xf numFmtId="43" fontId="36" fillId="0" borderId="0" xfId="1" applyFont="1"/>
    <xf numFmtId="0" fontId="36" fillId="0" borderId="0" xfId="0" applyFont="1"/>
    <xf numFmtId="0" fontId="37" fillId="0" borderId="0" xfId="0" applyFont="1" applyAlignment="1">
      <alignment vertical="center" wrapText="1"/>
    </xf>
    <xf numFmtId="43" fontId="38" fillId="0" borderId="0" xfId="1" applyFont="1" applyAlignment="1">
      <alignment horizontal="right" vertical="center" wrapText="1"/>
    </xf>
    <xf numFmtId="172" fontId="39" fillId="15" borderId="12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172" fontId="0" fillId="0" borderId="12" xfId="0" applyNumberFormat="1" applyBorder="1" applyAlignment="1">
      <alignment horizontal="center"/>
    </xf>
    <xf numFmtId="172" fontId="0" fillId="0" borderId="12" xfId="1" applyNumberFormat="1" applyFont="1" applyBorder="1"/>
    <xf numFmtId="9" fontId="0" fillId="0" borderId="12" xfId="2" applyFont="1" applyBorder="1"/>
    <xf numFmtId="0" fontId="13" fillId="0" borderId="0" xfId="0" applyFont="1" applyAlignment="1">
      <alignment wrapText="1"/>
    </xf>
    <xf numFmtId="0" fontId="0" fillId="0" borderId="12" xfId="0" applyBorder="1" applyAlignment="1">
      <alignment horizontal="center"/>
    </xf>
    <xf numFmtId="0" fontId="21" fillId="0" borderId="12" xfId="0" applyFont="1" applyBorder="1" applyAlignment="1">
      <alignment horizontal="center"/>
    </xf>
    <xf numFmtId="172" fontId="21" fillId="0" borderId="12" xfId="0" applyNumberFormat="1" applyFont="1" applyBorder="1" applyAlignment="1">
      <alignment horizontal="center"/>
    </xf>
    <xf numFmtId="172" fontId="21" fillId="0" borderId="12" xfId="1" applyNumberFormat="1" applyFont="1" applyBorder="1"/>
    <xf numFmtId="9" fontId="21" fillId="0" borderId="12" xfId="2" applyFont="1" applyBorder="1" applyAlignment="1">
      <alignment horizontal="right"/>
    </xf>
    <xf numFmtId="43" fontId="0" fillId="0" borderId="0" xfId="0" applyNumberFormat="1"/>
    <xf numFmtId="0" fontId="18" fillId="0" borderId="0" xfId="0" applyFont="1"/>
    <xf numFmtId="0" fontId="35" fillId="0" borderId="0" xfId="0" applyFont="1"/>
    <xf numFmtId="0" fontId="0" fillId="16" borderId="0" xfId="0" applyFill="1"/>
    <xf numFmtId="0" fontId="4" fillId="16" borderId="0" xfId="0" applyFont="1" applyFill="1" applyAlignment="1">
      <alignment vertical="center" wrapText="1"/>
    </xf>
    <xf numFmtId="0" fontId="4" fillId="16" borderId="0" xfId="0" applyFont="1" applyFill="1" applyAlignment="1">
      <alignment horizontal="right" vertical="center" wrapText="1"/>
    </xf>
    <xf numFmtId="0" fontId="4" fillId="17" borderId="0" xfId="0" applyFont="1" applyFill="1" applyAlignment="1">
      <alignment vertical="center" wrapText="1"/>
    </xf>
    <xf numFmtId="43" fontId="5" fillId="18" borderId="0" xfId="1" applyFont="1" applyFill="1" applyAlignment="1">
      <alignment horizontal="right" vertical="center" wrapText="1"/>
    </xf>
    <xf numFmtId="43" fontId="5" fillId="0" borderId="0" xfId="1" applyFont="1" applyFill="1" applyAlignment="1">
      <alignment horizontal="right" vertical="center" wrapText="1"/>
    </xf>
    <xf numFmtId="4" fontId="4" fillId="16" borderId="0" xfId="0" applyNumberFormat="1" applyFont="1" applyFill="1" applyAlignment="1">
      <alignment horizontal="right" vertical="center" wrapText="1"/>
    </xf>
    <xf numFmtId="0" fontId="40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 wrapText="1"/>
    </xf>
    <xf numFmtId="4" fontId="5" fillId="18" borderId="0" xfId="0" applyNumberFormat="1" applyFont="1" applyFill="1" applyAlignment="1">
      <alignment horizontal="right" vertical="center" wrapText="1"/>
    </xf>
    <xf numFmtId="0" fontId="4" fillId="16" borderId="0" xfId="0" applyFont="1" applyFill="1" applyAlignment="1">
      <alignment horizontal="left" vertical="center" wrapText="1"/>
    </xf>
    <xf numFmtId="4" fontId="41" fillId="0" borderId="0" xfId="0" applyNumberFormat="1" applyFont="1" applyAlignment="1">
      <alignment horizontal="right" vertical="center" wrapText="1"/>
    </xf>
    <xf numFmtId="4" fontId="41" fillId="18" borderId="0" xfId="0" applyNumberFormat="1" applyFont="1" applyFill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16" borderId="0" xfId="0" applyFont="1" applyFill="1" applyAlignment="1">
      <alignment horizontal="right" wrapText="1" readingOrder="1"/>
    </xf>
    <xf numFmtId="17" fontId="4" fillId="16" borderId="0" xfId="0" applyNumberFormat="1" applyFont="1" applyFill="1" applyAlignment="1">
      <alignment horizontal="right" wrapText="1" readingOrder="1"/>
    </xf>
    <xf numFmtId="0" fontId="43" fillId="17" borderId="0" xfId="0" applyFont="1" applyFill="1" applyAlignment="1">
      <alignment horizontal="left" wrapText="1" readingOrder="1"/>
    </xf>
    <xf numFmtId="3" fontId="5" fillId="0" borderId="0" xfId="0" applyNumberFormat="1" applyFont="1" applyAlignment="1">
      <alignment horizontal="right" wrapText="1" readingOrder="1"/>
    </xf>
    <xf numFmtId="3" fontId="0" fillId="0" borderId="0" xfId="0" applyNumberFormat="1"/>
    <xf numFmtId="3" fontId="5" fillId="18" borderId="0" xfId="0" applyNumberFormat="1" applyFont="1" applyFill="1" applyAlignment="1">
      <alignment horizontal="right" wrapText="1" readingOrder="1"/>
    </xf>
    <xf numFmtId="0" fontId="5" fillId="18" borderId="0" xfId="0" applyFont="1" applyFill="1" applyAlignment="1">
      <alignment horizontal="right" wrapText="1" readingOrder="1"/>
    </xf>
    <xf numFmtId="0" fontId="4" fillId="16" borderId="0" xfId="0" applyFont="1" applyFill="1" applyAlignment="1">
      <alignment horizontal="center" wrapText="1" readingOrder="1"/>
    </xf>
    <xf numFmtId="3" fontId="4" fillId="16" borderId="0" xfId="0" applyNumberFormat="1" applyFont="1" applyFill="1" applyAlignment="1">
      <alignment horizontal="right" wrapText="1" readingOrder="1"/>
    </xf>
    <xf numFmtId="4" fontId="5" fillId="0" borderId="0" xfId="0" applyNumberFormat="1" applyFont="1" applyAlignment="1">
      <alignment horizontal="right" wrapText="1" readingOrder="1"/>
    </xf>
    <xf numFmtId="4" fontId="0" fillId="0" borderId="0" xfId="0" applyNumberFormat="1"/>
    <xf numFmtId="4" fontId="5" fillId="18" borderId="0" xfId="0" applyNumberFormat="1" applyFont="1" applyFill="1" applyAlignment="1">
      <alignment horizontal="right" wrapText="1" readingOrder="1"/>
    </xf>
    <xf numFmtId="4" fontId="4" fillId="16" borderId="0" xfId="0" applyNumberFormat="1" applyFont="1" applyFill="1" applyAlignment="1">
      <alignment horizontal="right" wrapText="1" readingOrder="1"/>
    </xf>
    <xf numFmtId="164" fontId="5" fillId="0" borderId="0" xfId="13" applyNumberFormat="1" applyFont="1" applyAlignment="1">
      <alignment horizontal="right" wrapText="1" readingOrder="1"/>
    </xf>
    <xf numFmtId="164" fontId="5" fillId="18" borderId="0" xfId="13" applyNumberFormat="1" applyFont="1" applyFill="1" applyAlignment="1">
      <alignment horizontal="right" wrapText="1" readingOrder="1"/>
    </xf>
    <xf numFmtId="164" fontId="4" fillId="16" borderId="0" xfId="13" applyNumberFormat="1" applyFont="1" applyFill="1" applyAlignment="1">
      <alignment horizontal="right" wrapText="1" readingOrder="1"/>
    </xf>
    <xf numFmtId="0" fontId="44" fillId="0" borderId="0" xfId="0" applyFont="1"/>
    <xf numFmtId="174" fontId="5" fillId="0" borderId="0" xfId="8" applyNumberFormat="1" applyFont="1" applyAlignment="1">
      <alignment horizontal="left" wrapText="1" readingOrder="1"/>
    </xf>
    <xf numFmtId="43" fontId="5" fillId="0" borderId="0" xfId="8" applyFont="1" applyAlignment="1">
      <alignment horizontal="left" wrapText="1" readingOrder="1"/>
    </xf>
    <xf numFmtId="174" fontId="5" fillId="18" borderId="0" xfId="8" applyNumberFormat="1" applyFont="1" applyFill="1" applyAlignment="1">
      <alignment horizontal="left" wrapText="1" readingOrder="1"/>
    </xf>
    <xf numFmtId="43" fontId="5" fillId="18" borderId="0" xfId="8" applyFont="1" applyFill="1" applyAlignment="1">
      <alignment horizontal="left" wrapText="1" readingOrder="1"/>
    </xf>
    <xf numFmtId="172" fontId="4" fillId="16" borderId="0" xfId="13" applyFont="1" applyFill="1" applyAlignment="1">
      <alignment horizontal="right" wrapText="1" readingOrder="1"/>
    </xf>
    <xf numFmtId="2" fontId="45" fillId="6" borderId="0" xfId="0" applyNumberFormat="1" applyFont="1" applyFill="1"/>
    <xf numFmtId="172" fontId="0" fillId="6" borderId="0" xfId="13" applyFont="1" applyFill="1"/>
    <xf numFmtId="2" fontId="0" fillId="6" borderId="0" xfId="0" applyNumberFormat="1" applyFill="1"/>
    <xf numFmtId="0" fontId="0" fillId="6" borderId="0" xfId="0" applyFill="1"/>
    <xf numFmtId="43" fontId="0" fillId="6" borderId="0" xfId="0" applyNumberFormat="1" applyFill="1"/>
    <xf numFmtId="172" fontId="46" fillId="6" borderId="0" xfId="13" applyFont="1" applyFill="1"/>
    <xf numFmtId="0" fontId="5" fillId="5" borderId="0" xfId="0" applyFont="1" applyFill="1" applyAlignment="1">
      <alignment horizontal="right" wrapText="1" readingOrder="1"/>
    </xf>
    <xf numFmtId="0" fontId="13" fillId="0" borderId="0" xfId="0" applyFont="1" applyAlignment="1">
      <alignment horizontal="right" wrapText="1"/>
    </xf>
    <xf numFmtId="4" fontId="5" fillId="5" borderId="0" xfId="0" applyNumberFormat="1" applyFont="1" applyFill="1" applyAlignment="1">
      <alignment horizontal="right" wrapText="1" readingOrder="1"/>
    </xf>
    <xf numFmtId="0" fontId="4" fillId="0" borderId="0" xfId="0" applyFont="1" applyAlignment="1">
      <alignment horizontal="center" wrapText="1" readingOrder="1"/>
    </xf>
    <xf numFmtId="0" fontId="4" fillId="0" borderId="0" xfId="0" applyFont="1" applyAlignment="1">
      <alignment horizontal="right" wrapText="1" readingOrder="1"/>
    </xf>
    <xf numFmtId="43" fontId="5" fillId="0" borderId="0" xfId="1" applyFont="1" applyAlignment="1">
      <alignment horizontal="right" wrapText="1" readingOrder="1"/>
    </xf>
    <xf numFmtId="43" fontId="5" fillId="5" borderId="0" xfId="1" applyFont="1" applyFill="1" applyAlignment="1">
      <alignment horizontal="right" wrapText="1" readingOrder="1"/>
    </xf>
    <xf numFmtId="43" fontId="4" fillId="16" borderId="0" xfId="1" applyFont="1" applyFill="1" applyAlignment="1">
      <alignment horizontal="right" wrapText="1" readingOrder="1"/>
    </xf>
    <xf numFmtId="164" fontId="5" fillId="0" borderId="0" xfId="1" applyNumberFormat="1" applyFont="1" applyAlignment="1">
      <alignment horizontal="right" wrapText="1" readingOrder="1"/>
    </xf>
    <xf numFmtId="164" fontId="5" fillId="5" borderId="0" xfId="1" applyNumberFormat="1" applyFont="1" applyFill="1" applyAlignment="1">
      <alignment horizontal="right" wrapText="1" readingOrder="1"/>
    </xf>
    <xf numFmtId="164" fontId="4" fillId="16" borderId="0" xfId="0" applyNumberFormat="1" applyFont="1" applyFill="1" applyAlignment="1">
      <alignment horizontal="right" wrapText="1" readingOrder="1"/>
    </xf>
    <xf numFmtId="2" fontId="5" fillId="0" borderId="0" xfId="0" applyNumberFormat="1" applyFont="1" applyAlignment="1">
      <alignment horizontal="right" wrapText="1" readingOrder="1"/>
    </xf>
    <xf numFmtId="2" fontId="0" fillId="0" borderId="0" xfId="0" applyNumberFormat="1"/>
    <xf numFmtId="2" fontId="5" fillId="5" borderId="0" xfId="0" applyNumberFormat="1" applyFont="1" applyFill="1" applyAlignment="1">
      <alignment horizontal="right" wrapText="1" readingOrder="1"/>
    </xf>
    <xf numFmtId="2" fontId="4" fillId="16" borderId="0" xfId="0" applyNumberFormat="1" applyFont="1" applyFill="1" applyAlignment="1">
      <alignment horizontal="right" wrapText="1" readingOrder="1"/>
    </xf>
    <xf numFmtId="175" fontId="5" fillId="0" borderId="0" xfId="0" applyNumberFormat="1" applyFont="1" applyAlignment="1">
      <alignment horizontal="right" wrapText="1" readingOrder="1"/>
    </xf>
    <xf numFmtId="176" fontId="13" fillId="5" borderId="0" xfId="0" applyNumberFormat="1" applyFont="1" applyFill="1" applyAlignment="1">
      <alignment horizontal="right" wrapText="1"/>
    </xf>
    <xf numFmtId="4" fontId="13" fillId="5" borderId="0" xfId="0" applyNumberFormat="1" applyFont="1" applyFill="1" applyAlignment="1">
      <alignment horizontal="right" wrapText="1"/>
    </xf>
    <xf numFmtId="175" fontId="13" fillId="5" borderId="0" xfId="0" applyNumberFormat="1" applyFont="1" applyFill="1" applyAlignment="1">
      <alignment horizontal="right" wrapText="1"/>
    </xf>
    <xf numFmtId="176" fontId="13" fillId="0" borderId="0" xfId="0" applyNumberFormat="1" applyFont="1" applyAlignment="1">
      <alignment horizontal="right" wrapText="1"/>
    </xf>
    <xf numFmtId="175" fontId="5" fillId="5" borderId="0" xfId="0" applyNumberFormat="1" applyFont="1" applyFill="1" applyAlignment="1">
      <alignment horizontal="right" wrapText="1" readingOrder="1"/>
    </xf>
    <xf numFmtId="0" fontId="4" fillId="16" borderId="0" xfId="0" applyFont="1" applyFill="1" applyAlignment="1">
      <alignment wrapText="1" readingOrder="1"/>
    </xf>
    <xf numFmtId="3" fontId="5" fillId="0" borderId="0" xfId="0" applyNumberFormat="1" applyFont="1" applyAlignment="1">
      <alignment wrapText="1" readingOrder="1"/>
    </xf>
    <xf numFmtId="0" fontId="5" fillId="3" borderId="0" xfId="0" applyFont="1" applyFill="1" applyAlignment="1">
      <alignment horizontal="right" wrapText="1" readingOrder="1"/>
    </xf>
    <xf numFmtId="0" fontId="5" fillId="3" borderId="0" xfId="0" applyFont="1" applyFill="1" applyAlignment="1">
      <alignment wrapText="1" readingOrder="1"/>
    </xf>
    <xf numFmtId="4" fontId="13" fillId="0" borderId="0" xfId="0" applyNumberFormat="1" applyFont="1" applyAlignment="1">
      <alignment horizontal="right" wrapText="1"/>
    </xf>
    <xf numFmtId="3" fontId="4" fillId="2" borderId="0" xfId="0" applyNumberFormat="1" applyFont="1" applyFill="1" applyAlignment="1">
      <alignment wrapText="1" readingOrder="1"/>
    </xf>
    <xf numFmtId="0" fontId="4" fillId="20" borderId="0" xfId="0" applyFont="1" applyFill="1" applyAlignment="1">
      <alignment horizontal="center" vertical="center" wrapText="1" readingOrder="1"/>
    </xf>
    <xf numFmtId="3" fontId="4" fillId="19" borderId="0" xfId="0" applyNumberFormat="1" applyFont="1" applyFill="1" applyAlignment="1">
      <alignment horizontal="right" vertical="center" wrapText="1" readingOrder="1"/>
    </xf>
    <xf numFmtId="0" fontId="4" fillId="19" borderId="19" xfId="0" applyFont="1" applyFill="1" applyBorder="1" applyAlignment="1">
      <alignment horizontal="center" vertical="center" wrapText="1" readingOrder="1"/>
    </xf>
    <xf numFmtId="0" fontId="4" fillId="20" borderId="19" xfId="0" applyFont="1" applyFill="1" applyBorder="1" applyAlignment="1">
      <alignment horizontal="center" vertical="center" wrapText="1" readingOrder="1"/>
    </xf>
    <xf numFmtId="1" fontId="4" fillId="20" borderId="19" xfId="0" applyNumberFormat="1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3" fontId="5" fillId="0" borderId="19" xfId="0" applyNumberFormat="1" applyFont="1" applyBorder="1" applyAlignment="1">
      <alignment horizontal="right" vertical="center" wrapText="1" readingOrder="1"/>
    </xf>
    <xf numFmtId="0" fontId="6" fillId="21" borderId="19" xfId="0" applyFont="1" applyFill="1" applyBorder="1" applyAlignment="1">
      <alignment horizontal="left" vertical="center" wrapText="1" readingOrder="1"/>
    </xf>
    <xf numFmtId="3" fontId="6" fillId="21" borderId="19" xfId="0" applyNumberFormat="1" applyFont="1" applyFill="1" applyBorder="1" applyAlignment="1">
      <alignment horizontal="right" vertical="center" wrapText="1" readingOrder="1"/>
    </xf>
    <xf numFmtId="0" fontId="4" fillId="19" borderId="19" xfId="0" applyFont="1" applyFill="1" applyBorder="1" applyAlignment="1">
      <alignment horizontal="left" vertical="center" wrapText="1" readingOrder="1"/>
    </xf>
    <xf numFmtId="3" fontId="4" fillId="19" borderId="19" xfId="0" applyNumberFormat="1" applyFont="1" applyFill="1" applyBorder="1" applyAlignment="1">
      <alignment horizontal="right" vertical="center" wrapText="1" readingOrder="1"/>
    </xf>
    <xf numFmtId="3" fontId="6" fillId="0" borderId="19" xfId="0" applyNumberFormat="1" applyFont="1" applyBorder="1" applyAlignment="1">
      <alignment horizontal="right" vertical="center" wrapText="1" readingOrder="1"/>
    </xf>
    <xf numFmtId="0" fontId="5" fillId="0" borderId="19" xfId="0" applyFont="1" applyBorder="1" applyAlignment="1">
      <alignment horizontal="right" vertical="center" wrapText="1" readingOrder="1"/>
    </xf>
    <xf numFmtId="0" fontId="6" fillId="21" borderId="19" xfId="0" applyFont="1" applyFill="1" applyBorder="1" applyAlignment="1">
      <alignment horizontal="right" vertical="center" wrapText="1" readingOrder="1"/>
    </xf>
    <xf numFmtId="0" fontId="4" fillId="19" borderId="19" xfId="0" applyFont="1" applyFill="1" applyBorder="1" applyAlignment="1">
      <alignment horizontal="right" vertical="center" wrapText="1" readingOrder="1"/>
    </xf>
    <xf numFmtId="14" fontId="5" fillId="0" borderId="19" xfId="0" applyNumberFormat="1" applyFont="1" applyBorder="1" applyAlignment="1">
      <alignment horizontal="right" vertical="center" wrapText="1" readingOrder="1"/>
    </xf>
    <xf numFmtId="0" fontId="5" fillId="0" borderId="19" xfId="0" applyFont="1" applyBorder="1" applyAlignment="1">
      <alignment vertical="center" wrapText="1" readingOrder="1"/>
    </xf>
    <xf numFmtId="0" fontId="5" fillId="0" borderId="19" xfId="0" applyFont="1" applyBorder="1" applyAlignment="1">
      <alignment horizontal="center" wrapText="1" readingOrder="1"/>
    </xf>
    <xf numFmtId="0" fontId="2" fillId="0" borderId="19" xfId="0" applyFont="1" applyBorder="1" applyAlignment="1">
      <alignment vertical="center"/>
    </xf>
    <xf numFmtId="0" fontId="4" fillId="19" borderId="19" xfId="0" applyFont="1" applyFill="1" applyBorder="1" applyAlignment="1">
      <alignment horizontal="center" wrapText="1" readingOrder="1"/>
    </xf>
    <xf numFmtId="0" fontId="5" fillId="19" borderId="19" xfId="0" applyFont="1" applyFill="1" applyBorder="1" applyAlignment="1">
      <alignment horizontal="right" wrapText="1" readingOrder="1"/>
    </xf>
    <xf numFmtId="0" fontId="5" fillId="19" borderId="19" xfId="0" applyFont="1" applyFill="1" applyBorder="1" applyAlignment="1">
      <alignment horizontal="right" vertical="center" wrapText="1" readingOrder="1"/>
    </xf>
    <xf numFmtId="0" fontId="4" fillId="20" borderId="19" xfId="0" applyFont="1" applyFill="1" applyBorder="1" applyAlignment="1">
      <alignment horizontal="left" vertical="center" wrapText="1" readingOrder="1"/>
    </xf>
    <xf numFmtId="0" fontId="5" fillId="21" borderId="19" xfId="0" applyFont="1" applyFill="1" applyBorder="1" applyAlignment="1">
      <alignment horizontal="right" vertical="center" wrapText="1" readingOrder="1"/>
    </xf>
    <xf numFmtId="0" fontId="2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right" vertical="center"/>
    </xf>
    <xf numFmtId="0" fontId="13" fillId="0" borderId="19" xfId="12" applyFont="1" applyBorder="1" applyAlignment="1">
      <alignment horizontal="center" vertical="center"/>
    </xf>
    <xf numFmtId="171" fontId="13" fillId="0" borderId="19" xfId="12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 readingOrder="1"/>
    </xf>
    <xf numFmtId="0" fontId="6" fillId="3" borderId="0" xfId="0" applyFont="1" applyFill="1" applyAlignment="1">
      <alignment horizontal="center" wrapText="1" readingOrder="1"/>
    </xf>
    <xf numFmtId="3" fontId="6" fillId="3" borderId="0" xfId="0" applyNumberFormat="1" applyFont="1" applyFill="1" applyAlignment="1">
      <alignment horizontal="right" vertical="center" wrapText="1" readingOrder="1"/>
    </xf>
    <xf numFmtId="0" fontId="32" fillId="21" borderId="19" xfId="0" applyFont="1" applyFill="1" applyBorder="1" applyAlignment="1">
      <alignment horizontal="center" vertical="center" wrapText="1" readingOrder="1"/>
    </xf>
    <xf numFmtId="43" fontId="5" fillId="0" borderId="19" xfId="0" applyNumberFormat="1" applyFont="1" applyBorder="1" applyAlignment="1">
      <alignment horizontal="right" vertical="center" wrapText="1" readingOrder="1"/>
    </xf>
    <xf numFmtId="43" fontId="5" fillId="0" borderId="19" xfId="1" applyFont="1" applyBorder="1" applyAlignment="1">
      <alignment horizontal="right" vertical="center" wrapText="1" readingOrder="1"/>
    </xf>
    <xf numFmtId="43" fontId="6" fillId="21" borderId="19" xfId="0" applyNumberFormat="1" applyFont="1" applyFill="1" applyBorder="1" applyAlignment="1">
      <alignment horizontal="right" vertical="center" wrapText="1" readingOrder="1"/>
    </xf>
    <xf numFmtId="43" fontId="6" fillId="21" borderId="19" xfId="1" applyFont="1" applyFill="1" applyBorder="1" applyAlignment="1">
      <alignment horizontal="right" vertical="center" wrapText="1" readingOrder="1"/>
    </xf>
    <xf numFmtId="0" fontId="6" fillId="0" borderId="19" xfId="0" applyFont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left" wrapText="1" readingOrder="1"/>
    </xf>
    <xf numFmtId="43" fontId="2" fillId="0" borderId="19" xfId="0" applyNumberFormat="1" applyFont="1" applyBorder="1"/>
    <xf numFmtId="0" fontId="32" fillId="22" borderId="19" xfId="0" applyFont="1" applyFill="1" applyBorder="1" applyAlignment="1">
      <alignment horizontal="left" vertical="center" wrapText="1" readingOrder="1"/>
    </xf>
    <xf numFmtId="43" fontId="32" fillId="22" borderId="19" xfId="0" applyNumberFormat="1" applyFont="1" applyFill="1" applyBorder="1" applyAlignment="1">
      <alignment horizontal="right" vertical="center" wrapText="1" readingOrder="1"/>
    </xf>
    <xf numFmtId="43" fontId="32" fillId="22" borderId="19" xfId="1" applyFont="1" applyFill="1" applyBorder="1" applyAlignment="1">
      <alignment horizontal="right" vertical="center" wrapText="1" readingOrder="1"/>
    </xf>
    <xf numFmtId="0" fontId="32" fillId="22" borderId="19" xfId="0" applyFont="1" applyFill="1" applyBorder="1" applyAlignment="1">
      <alignment horizontal="right" vertical="center" wrapText="1" readingOrder="1"/>
    </xf>
    <xf numFmtId="166" fontId="32" fillId="22" borderId="19" xfId="1" applyNumberFormat="1" applyFont="1" applyFill="1" applyBorder="1" applyAlignment="1">
      <alignment horizontal="right" vertical="center" wrapText="1" readingOrder="1"/>
    </xf>
    <xf numFmtId="0" fontId="13" fillId="0" borderId="19" xfId="0" applyFont="1" applyBorder="1" applyAlignment="1">
      <alignment horizontal="center" wrapText="1"/>
    </xf>
    <xf numFmtId="43" fontId="16" fillId="0" borderId="19" xfId="1" applyFont="1" applyBorder="1"/>
    <xf numFmtId="2" fontId="5" fillId="0" borderId="19" xfId="0" applyNumberFormat="1" applyFont="1" applyBorder="1" applyAlignment="1">
      <alignment horizontal="right" vertical="center" wrapText="1" readingOrder="1"/>
    </xf>
    <xf numFmtId="2" fontId="5" fillId="0" borderId="19" xfId="1" applyNumberFormat="1" applyFont="1" applyBorder="1" applyAlignment="1">
      <alignment horizontal="right" vertical="center" wrapText="1" readingOrder="1"/>
    </xf>
    <xf numFmtId="0" fontId="5" fillId="21" borderId="19" xfId="0" applyFont="1" applyFill="1" applyBorder="1" applyAlignment="1">
      <alignment horizontal="center" wrapText="1" readingOrder="1"/>
    </xf>
    <xf numFmtId="2" fontId="6" fillId="21" borderId="19" xfId="0" applyNumberFormat="1" applyFont="1" applyFill="1" applyBorder="1" applyAlignment="1">
      <alignment horizontal="right" vertical="center" wrapText="1" readingOrder="1"/>
    </xf>
    <xf numFmtId="2" fontId="6" fillId="21" borderId="19" xfId="1" applyNumberFormat="1" applyFont="1" applyFill="1" applyBorder="1" applyAlignment="1">
      <alignment horizontal="right" vertical="center" wrapText="1" readingOrder="1"/>
    </xf>
    <xf numFmtId="2" fontId="32" fillId="22" borderId="19" xfId="0" applyNumberFormat="1" applyFont="1" applyFill="1" applyBorder="1" applyAlignment="1">
      <alignment horizontal="right" vertical="center" wrapText="1" readingOrder="1"/>
    </xf>
    <xf numFmtId="2" fontId="32" fillId="22" borderId="19" xfId="1" applyNumberFormat="1" applyFont="1" applyFill="1" applyBorder="1" applyAlignment="1">
      <alignment horizontal="right" vertical="center" wrapText="1" readingOrder="1"/>
    </xf>
    <xf numFmtId="0" fontId="13" fillId="10" borderId="19" xfId="0" applyFont="1" applyFill="1" applyBorder="1" applyAlignment="1">
      <alignment horizontal="center" vertical="center" wrapText="1"/>
    </xf>
    <xf numFmtId="43" fontId="13" fillId="10" borderId="19" xfId="1" applyFont="1" applyFill="1" applyBorder="1" applyAlignment="1">
      <alignment horizontal="center" vertical="center" wrapText="1"/>
    </xf>
    <xf numFmtId="4" fontId="4" fillId="19" borderId="19" xfId="0" applyNumberFormat="1" applyFont="1" applyFill="1" applyBorder="1" applyAlignment="1">
      <alignment horizontal="right" vertical="center" wrapText="1" readingOrder="1"/>
    </xf>
    <xf numFmtId="43" fontId="4" fillId="19" borderId="19" xfId="1" applyFont="1" applyFill="1" applyBorder="1" applyAlignment="1">
      <alignment horizontal="right" vertical="center" wrapText="1" readingOrder="1"/>
    </xf>
    <xf numFmtId="4" fontId="5" fillId="0" borderId="19" xfId="0" applyNumberFormat="1" applyFont="1" applyBorder="1" applyAlignment="1">
      <alignment horizontal="right" vertical="center" wrapText="1" readingOrder="1"/>
    </xf>
    <xf numFmtId="0" fontId="6" fillId="21" borderId="19" xfId="0" applyFont="1" applyFill="1" applyBorder="1" applyAlignment="1">
      <alignment horizontal="center" vertical="center" wrapText="1" readingOrder="1"/>
    </xf>
    <xf numFmtId="4" fontId="6" fillId="21" borderId="19" xfId="0" applyNumberFormat="1" applyFont="1" applyFill="1" applyBorder="1" applyAlignment="1">
      <alignment horizontal="right" vertical="center" wrapText="1" readingOrder="1"/>
    </xf>
    <xf numFmtId="0" fontId="32" fillId="22" borderId="19" xfId="0" applyFont="1" applyFill="1" applyBorder="1" applyAlignment="1">
      <alignment horizontal="center" vertical="center" wrapText="1" readingOrder="1"/>
    </xf>
    <xf numFmtId="4" fontId="32" fillId="22" borderId="19" xfId="0" applyNumberFormat="1" applyFont="1" applyFill="1" applyBorder="1" applyAlignment="1">
      <alignment horizontal="right" vertical="center" wrapText="1" readingOrder="1"/>
    </xf>
    <xf numFmtId="0" fontId="23" fillId="20" borderId="19" xfId="0" applyFont="1" applyFill="1" applyBorder="1" applyAlignment="1">
      <alignment horizontal="center" vertical="center" wrapText="1" readingOrder="1"/>
    </xf>
    <xf numFmtId="0" fontId="24" fillId="19" borderId="19" xfId="0" applyFont="1" applyFill="1" applyBorder="1" applyAlignment="1">
      <alignment horizontal="right" vertical="center" wrapText="1" readingOrder="1"/>
    </xf>
    <xf numFmtId="4" fontId="24" fillId="19" borderId="19" xfId="0" applyNumberFormat="1" applyFont="1" applyFill="1" applyBorder="1" applyAlignment="1">
      <alignment horizontal="right" vertical="center" wrapText="1" readingOrder="1"/>
    </xf>
    <xf numFmtId="0" fontId="13" fillId="0" borderId="19" xfId="0" applyFont="1" applyBorder="1" applyAlignment="1">
      <alignment horizontal="left" vertical="center" wrapText="1" readingOrder="1"/>
    </xf>
    <xf numFmtId="0" fontId="13" fillId="0" borderId="19" xfId="0" applyFont="1" applyBorder="1" applyAlignment="1">
      <alignment horizontal="center" vertical="center" wrapText="1" readingOrder="1"/>
    </xf>
    <xf numFmtId="43" fontId="13" fillId="0" borderId="19" xfId="1" applyFont="1" applyBorder="1" applyAlignment="1">
      <alignment horizontal="right" vertical="center" wrapText="1" readingOrder="1"/>
    </xf>
    <xf numFmtId="43" fontId="26" fillId="0" borderId="19" xfId="1" applyFont="1" applyBorder="1" applyAlignment="1">
      <alignment horizontal="right" vertical="center" wrapText="1" readingOrder="1"/>
    </xf>
    <xf numFmtId="43" fontId="13" fillId="0" borderId="19" xfId="1" applyFont="1" applyFill="1" applyBorder="1" applyAlignment="1">
      <alignment horizontal="right" vertical="center" wrapText="1" readingOrder="1"/>
    </xf>
    <xf numFmtId="43" fontId="26" fillId="0" borderId="19" xfId="1" applyFont="1" applyFill="1" applyBorder="1" applyAlignment="1">
      <alignment horizontal="right" vertical="center" wrapText="1" readingOrder="1"/>
    </xf>
    <xf numFmtId="0" fontId="13" fillId="0" borderId="19" xfId="0" applyFont="1" applyBorder="1" applyAlignment="1">
      <alignment vertical="center" wrapText="1" readingOrder="1"/>
    </xf>
    <xf numFmtId="43" fontId="22" fillId="19" borderId="19" xfId="0" applyNumberFormat="1" applyFont="1" applyFill="1" applyBorder="1" applyAlignment="1">
      <alignment horizontal="right" vertical="center" wrapText="1" readingOrder="1"/>
    </xf>
    <xf numFmtId="0" fontId="3" fillId="0" borderId="0" xfId="0" applyFont="1" applyAlignment="1">
      <alignment horizontal="center" vertical="center"/>
    </xf>
    <xf numFmtId="0" fontId="6" fillId="21" borderId="19" xfId="0" applyFont="1" applyFill="1" applyBorder="1" applyAlignment="1">
      <alignment horizontal="left" vertical="center" wrapText="1" readingOrder="1"/>
    </xf>
    <xf numFmtId="0" fontId="4" fillId="19" borderId="20" xfId="0" applyFont="1" applyFill="1" applyBorder="1" applyAlignment="1">
      <alignment horizontal="center" vertical="center" wrapText="1" readingOrder="1"/>
    </xf>
    <xf numFmtId="0" fontId="4" fillId="19" borderId="21" xfId="0" applyFont="1" applyFill="1" applyBorder="1" applyAlignment="1">
      <alignment horizontal="center" vertical="center" wrapText="1" readingOrder="1"/>
    </xf>
    <xf numFmtId="0" fontId="4" fillId="19" borderId="22" xfId="0" applyFont="1" applyFill="1" applyBorder="1" applyAlignment="1">
      <alignment horizontal="center" vertical="center" wrapText="1" readingOrder="1"/>
    </xf>
    <xf numFmtId="0" fontId="4" fillId="19" borderId="23" xfId="0" applyFont="1" applyFill="1" applyBorder="1" applyAlignment="1">
      <alignment horizontal="center" vertical="center" wrapText="1" readingOrder="1"/>
    </xf>
    <xf numFmtId="0" fontId="4" fillId="19" borderId="24" xfId="0" applyFont="1" applyFill="1" applyBorder="1" applyAlignment="1">
      <alignment horizontal="center" vertical="center" wrapText="1" readingOrder="1"/>
    </xf>
    <xf numFmtId="0" fontId="4" fillId="19" borderId="25" xfId="0" applyFont="1" applyFill="1" applyBorder="1" applyAlignment="1">
      <alignment horizontal="center" vertical="center" wrapText="1" readingOrder="1"/>
    </xf>
    <xf numFmtId="0" fontId="4" fillId="19" borderId="19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 wrapText="1"/>
    </xf>
    <xf numFmtId="0" fontId="4" fillId="19" borderId="19" xfId="0" applyFont="1" applyFill="1" applyBorder="1" applyAlignment="1">
      <alignment horizontal="center" vertical="center" wrapText="1" readingOrder="1"/>
    </xf>
    <xf numFmtId="0" fontId="4" fillId="20" borderId="19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4" fillId="19" borderId="19" xfId="0" applyFont="1" applyFill="1" applyBorder="1" applyAlignment="1">
      <alignment horizontal="right" vertical="center" wrapText="1" readingOrder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20" borderId="19" xfId="0" applyFont="1" applyFill="1" applyBorder="1" applyAlignment="1">
      <alignment horizontal="left" vertical="center" wrapText="1" readingOrder="1"/>
    </xf>
    <xf numFmtId="0" fontId="2" fillId="0" borderId="19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vertical="center" wrapText="1" readingOrder="1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readingOrder="1"/>
    </xf>
    <xf numFmtId="0" fontId="13" fillId="0" borderId="19" xfId="12" applyFont="1" applyBorder="1" applyAlignment="1">
      <alignment horizontal="center" vertical="center"/>
    </xf>
    <xf numFmtId="0" fontId="13" fillId="0" borderId="19" xfId="12" applyFont="1" applyBorder="1" applyAlignment="1">
      <alignment horizontal="left" vertical="center" wrapText="1" readingOrder="1"/>
    </xf>
    <xf numFmtId="0" fontId="13" fillId="0" borderId="19" xfId="12" applyFont="1" applyBorder="1" applyAlignment="1">
      <alignment horizontal="center" vertical="center" wrapText="1"/>
    </xf>
    <xf numFmtId="0" fontId="4" fillId="19" borderId="0" xfId="0" applyFont="1" applyFill="1" applyAlignment="1">
      <alignment horizontal="center" wrapText="1" readingOrder="1"/>
    </xf>
    <xf numFmtId="0" fontId="32" fillId="21" borderId="0" xfId="0" applyFont="1" applyFill="1" applyAlignment="1">
      <alignment horizontal="center" vertical="center" wrapText="1" readingOrder="1"/>
    </xf>
    <xf numFmtId="0" fontId="4" fillId="8" borderId="0" xfId="0" applyFont="1" applyFill="1" applyAlignment="1">
      <alignment horizontal="left" vertical="center" wrapText="1" readingOrder="1"/>
    </xf>
    <xf numFmtId="0" fontId="4" fillId="19" borderId="0" xfId="0" applyFont="1" applyFill="1" applyAlignment="1">
      <alignment horizontal="left" vertical="center" wrapText="1" readingOrder="1"/>
    </xf>
    <xf numFmtId="0" fontId="7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32" fillId="22" borderId="19" xfId="0" applyFont="1" applyFill="1" applyBorder="1" applyAlignment="1">
      <alignment horizontal="left" vertical="center" wrapText="1" readingOrder="1"/>
    </xf>
    <xf numFmtId="0" fontId="13" fillId="0" borderId="19" xfId="0" applyFont="1" applyBorder="1" applyAlignment="1">
      <alignment horizontal="center" wrapText="1"/>
    </xf>
    <xf numFmtId="0" fontId="13" fillId="10" borderId="19" xfId="0" applyFont="1" applyFill="1" applyBorder="1" applyAlignment="1">
      <alignment vertical="center" wrapText="1"/>
    </xf>
    <xf numFmtId="0" fontId="4" fillId="20" borderId="19" xfId="0" applyFont="1" applyFill="1" applyBorder="1" applyAlignment="1">
      <alignment horizontal="center" wrapText="1" readingOrder="1"/>
    </xf>
    <xf numFmtId="0" fontId="18" fillId="1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 readingOrder="1"/>
    </xf>
    <xf numFmtId="0" fontId="22" fillId="19" borderId="19" xfId="0" applyFont="1" applyFill="1" applyBorder="1" applyAlignment="1">
      <alignment horizontal="left" vertical="center" wrapText="1" readingOrder="1"/>
    </xf>
    <xf numFmtId="0" fontId="3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1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wrapText="1" readingOrder="1"/>
    </xf>
    <xf numFmtId="0" fontId="47" fillId="0" borderId="0" xfId="0" applyFont="1" applyAlignment="1">
      <alignment horizontal="left" wrapText="1" readingOrder="1"/>
    </xf>
    <xf numFmtId="0" fontId="50" fillId="0" borderId="0" xfId="0" applyFont="1" applyAlignment="1">
      <alignment horizontal="left" wrapText="1"/>
    </xf>
    <xf numFmtId="0" fontId="4" fillId="23" borderId="19" xfId="0" applyFont="1" applyFill="1" applyBorder="1" applyAlignment="1">
      <alignment horizontal="center" vertical="center" wrapText="1" readingOrder="1"/>
    </xf>
    <xf numFmtId="1" fontId="5" fillId="0" borderId="19" xfId="0" applyNumberFormat="1" applyFont="1" applyBorder="1" applyAlignment="1">
      <alignment horizontal="center" vertical="center" wrapText="1" readingOrder="1"/>
    </xf>
    <xf numFmtId="1" fontId="5" fillId="0" borderId="19" xfId="0" applyNumberFormat="1" applyFont="1" applyBorder="1" applyAlignment="1">
      <alignment horizontal="center" wrapText="1" readingOrder="1"/>
    </xf>
    <xf numFmtId="0" fontId="4" fillId="23" borderId="19" xfId="0" applyFont="1" applyFill="1" applyBorder="1" applyAlignment="1">
      <alignment horizontal="center" wrapText="1" readingOrder="1"/>
    </xf>
    <xf numFmtId="1" fontId="4" fillId="23" borderId="19" xfId="0" applyNumberFormat="1" applyFont="1" applyFill="1" applyBorder="1" applyAlignment="1">
      <alignment horizontal="center" wrapText="1" readingOrder="1"/>
    </xf>
    <xf numFmtId="0" fontId="4" fillId="23" borderId="19" xfId="0" applyFont="1" applyFill="1" applyBorder="1" applyAlignment="1">
      <alignment horizontal="center" vertical="center" wrapText="1" readingOrder="1"/>
    </xf>
    <xf numFmtId="0" fontId="4" fillId="23" borderId="19" xfId="0" applyFont="1" applyFill="1" applyBorder="1" applyAlignment="1">
      <alignment vertical="center" wrapText="1"/>
    </xf>
    <xf numFmtId="0" fontId="4" fillId="23" borderId="19" xfId="0" applyFont="1" applyFill="1" applyBorder="1" applyAlignment="1">
      <alignment horizontal="center" vertical="center" wrapText="1"/>
    </xf>
    <xf numFmtId="0" fontId="26" fillId="0" borderId="19" xfId="0" applyFont="1" applyFill="1" applyBorder="1" applyAlignment="1">
      <alignment vertical="center" wrapText="1"/>
    </xf>
    <xf numFmtId="43" fontId="13" fillId="0" borderId="19" xfId="8" applyFont="1" applyFill="1" applyBorder="1" applyAlignment="1">
      <alignment horizontal="right" vertical="center" wrapText="1"/>
    </xf>
    <xf numFmtId="0" fontId="4" fillId="23" borderId="19" xfId="0" applyFont="1" applyFill="1" applyBorder="1" applyAlignment="1">
      <alignment vertical="center" wrapText="1"/>
    </xf>
    <xf numFmtId="4" fontId="4" fillId="23" borderId="19" xfId="0" applyNumberFormat="1" applyFont="1" applyFill="1" applyBorder="1" applyAlignment="1">
      <alignment horizontal="right" vertical="center" wrapText="1"/>
    </xf>
    <xf numFmtId="0" fontId="4" fillId="23" borderId="0" xfId="0" applyFont="1" applyFill="1" applyAlignment="1">
      <alignment horizontal="center" vertical="center" wrapText="1" readingOrder="1"/>
    </xf>
    <xf numFmtId="0" fontId="22" fillId="23" borderId="0" xfId="0" applyFont="1" applyFill="1" applyAlignment="1">
      <alignment horizontal="right" vertical="center" wrapText="1" readingOrder="1"/>
    </xf>
    <xf numFmtId="43" fontId="22" fillId="23" borderId="0" xfId="1" applyFont="1" applyFill="1" applyAlignment="1">
      <alignment horizontal="right" vertical="center" wrapText="1" readingOrder="1"/>
    </xf>
    <xf numFmtId="0" fontId="4" fillId="20" borderId="0" xfId="0" applyFont="1" applyFill="1" applyAlignment="1">
      <alignment horizontal="left" vertical="center" wrapText="1" readingOrder="1"/>
    </xf>
    <xf numFmtId="0" fontId="4" fillId="20" borderId="0" xfId="0" applyFont="1" applyFill="1" applyAlignment="1">
      <alignment horizontal="right" vertical="center" wrapText="1" readingOrder="1"/>
    </xf>
    <xf numFmtId="0" fontId="4" fillId="20" borderId="0" xfId="0" applyFont="1" applyFill="1" applyAlignment="1">
      <alignment horizontal="right" wrapText="1" readingOrder="1"/>
    </xf>
    <xf numFmtId="0" fontId="26" fillId="24" borderId="0" xfId="0" applyFont="1" applyFill="1" applyAlignment="1">
      <alignment horizontal="center" vertical="center" wrapText="1" readingOrder="1"/>
    </xf>
    <xf numFmtId="0" fontId="26" fillId="3" borderId="0" xfId="0" applyFont="1" applyFill="1" applyAlignment="1">
      <alignment horizontal="right" vertical="center" wrapText="1" readingOrder="1"/>
    </xf>
    <xf numFmtId="43" fontId="26" fillId="3" borderId="0" xfId="1" applyFont="1" applyFill="1" applyAlignment="1">
      <alignment horizontal="right" vertical="center" wrapText="1" readingOrder="1"/>
    </xf>
    <xf numFmtId="0" fontId="26" fillId="0" borderId="19" xfId="0" applyFont="1" applyFill="1" applyBorder="1" applyAlignment="1">
      <alignment horizontal="center" vertical="center" wrapText="1" readingOrder="1"/>
    </xf>
    <xf numFmtId="0" fontId="13" fillId="0" borderId="19" xfId="0" applyFont="1" applyFill="1" applyBorder="1" applyAlignment="1">
      <alignment vertical="center"/>
    </xf>
    <xf numFmtId="43" fontId="26" fillId="25" borderId="0" xfId="1" applyFont="1" applyFill="1" applyAlignment="1">
      <alignment horizontal="right" vertical="center" wrapText="1" readingOrder="1"/>
    </xf>
    <xf numFmtId="43" fontId="6" fillId="25" borderId="0" xfId="1" applyFont="1" applyFill="1" applyAlignment="1">
      <alignment horizontal="right" vertical="center" wrapText="1" readingOrder="1"/>
    </xf>
    <xf numFmtId="0" fontId="4" fillId="23" borderId="26" xfId="0" applyFont="1" applyFill="1" applyBorder="1" applyAlignment="1">
      <alignment horizontal="center" vertical="center" wrapText="1" readingOrder="1"/>
    </xf>
    <xf numFmtId="0" fontId="4" fillId="20" borderId="26" xfId="0" applyFont="1" applyFill="1" applyBorder="1" applyAlignment="1">
      <alignment horizontal="left" vertical="center" wrapText="1" readingOrder="1"/>
    </xf>
    <xf numFmtId="0" fontId="4" fillId="20" borderId="26" xfId="0" applyFont="1" applyFill="1" applyBorder="1" applyAlignment="1">
      <alignment horizontal="center" vertical="center" wrapText="1" readingOrder="1"/>
    </xf>
    <xf numFmtId="0" fontId="13" fillId="0" borderId="26" xfId="0" applyFont="1" applyBorder="1" applyAlignment="1">
      <alignment horizontal="center" vertical="center" wrapText="1" readingOrder="1"/>
    </xf>
    <xf numFmtId="0" fontId="13" fillId="0" borderId="26" xfId="0" applyFont="1" applyBorder="1" applyAlignment="1">
      <alignment horizontal="center" vertical="center" wrapText="1" readingOrder="1"/>
    </xf>
    <xf numFmtId="43" fontId="13" fillId="0" borderId="26" xfId="1" applyFont="1" applyBorder="1" applyAlignment="1">
      <alignment horizontal="right" vertical="center" wrapText="1" readingOrder="1"/>
    </xf>
    <xf numFmtId="0" fontId="26" fillId="25" borderId="26" xfId="0" applyFont="1" applyFill="1" applyBorder="1" applyAlignment="1">
      <alignment horizontal="left" vertical="center" wrapText="1" readingOrder="1"/>
    </xf>
    <xf numFmtId="43" fontId="26" fillId="25" borderId="26" xfId="1" applyFont="1" applyFill="1" applyBorder="1" applyAlignment="1">
      <alignment horizontal="right" vertical="center" wrapText="1" readingOrder="1"/>
    </xf>
    <xf numFmtId="0" fontId="6" fillId="25" borderId="26" xfId="0" applyFont="1" applyFill="1" applyBorder="1" applyAlignment="1">
      <alignment horizontal="left" vertical="center" wrapText="1" readingOrder="1"/>
    </xf>
    <xf numFmtId="43" fontId="6" fillId="25" borderId="26" xfId="1" applyFont="1" applyFill="1" applyBorder="1" applyAlignment="1">
      <alignment horizontal="right" vertical="center" wrapText="1" readingOrder="1"/>
    </xf>
    <xf numFmtId="0" fontId="4" fillId="23" borderId="26" xfId="0" applyFont="1" applyFill="1" applyBorder="1" applyAlignment="1">
      <alignment horizontal="left" vertical="center" wrapText="1" readingOrder="1"/>
    </xf>
    <xf numFmtId="43" fontId="4" fillId="23" borderId="26" xfId="1" applyFont="1" applyFill="1" applyBorder="1" applyAlignment="1">
      <alignment horizontal="right" vertical="center" wrapText="1" readingOrder="1"/>
    </xf>
    <xf numFmtId="43" fontId="5" fillId="0" borderId="19" xfId="1" applyFont="1" applyFill="1" applyBorder="1" applyAlignment="1">
      <alignment horizontal="right" vertical="center" wrapText="1" readingOrder="1"/>
    </xf>
    <xf numFmtId="0" fontId="4" fillId="2" borderId="19" xfId="0" applyFont="1" applyFill="1" applyBorder="1" applyAlignment="1">
      <alignment horizontal="left" vertical="center" wrapText="1" readingOrder="1"/>
    </xf>
    <xf numFmtId="43" fontId="4" fillId="2" borderId="19" xfId="1" applyFont="1" applyFill="1" applyBorder="1" applyAlignment="1">
      <alignment horizontal="right" vertical="center" wrapText="1" readingOrder="1"/>
    </xf>
    <xf numFmtId="0" fontId="6" fillId="0" borderId="19" xfId="0" applyFont="1" applyFill="1" applyBorder="1" applyAlignment="1">
      <alignment horizontal="center" wrapText="1" readingOrder="1"/>
    </xf>
    <xf numFmtId="0" fontId="6" fillId="0" borderId="19" xfId="0" applyFont="1" applyFill="1" applyBorder="1" applyAlignment="1">
      <alignment horizontal="center" vertical="top" wrapText="1" readingOrder="1"/>
    </xf>
    <xf numFmtId="49" fontId="5" fillId="0" borderId="19" xfId="0" applyNumberFormat="1" applyFont="1" applyBorder="1" applyAlignment="1">
      <alignment horizontal="right" vertical="center" wrapText="1" readingOrder="1"/>
    </xf>
    <xf numFmtId="0" fontId="6" fillId="5" borderId="19" xfId="0" applyFont="1" applyFill="1" applyBorder="1" applyAlignment="1">
      <alignment horizontal="left" vertical="center" wrapText="1" readingOrder="1"/>
    </xf>
    <xf numFmtId="0" fontId="6" fillId="5" borderId="19" xfId="0" applyFont="1" applyFill="1" applyBorder="1" applyAlignment="1">
      <alignment horizontal="right" vertical="center" wrapText="1" readingOrder="1"/>
    </xf>
    <xf numFmtId="4" fontId="6" fillId="5" borderId="19" xfId="0" applyNumberFormat="1" applyFont="1" applyFill="1" applyBorder="1" applyAlignment="1">
      <alignment horizontal="right" vertical="center" wrapText="1" readingOrder="1"/>
    </xf>
    <xf numFmtId="0" fontId="5" fillId="5" borderId="19" xfId="0" applyFont="1" applyFill="1" applyBorder="1" applyAlignment="1">
      <alignment horizontal="right" vertical="center" wrapText="1" readingOrder="1"/>
    </xf>
    <xf numFmtId="0" fontId="6" fillId="0" borderId="19" xfId="0" applyFont="1" applyFill="1" applyBorder="1" applyAlignment="1">
      <alignment horizontal="center" wrapText="1" readingOrder="1"/>
    </xf>
    <xf numFmtId="0" fontId="22" fillId="23" borderId="19" xfId="0" applyFont="1" applyFill="1" applyBorder="1" applyAlignment="1">
      <alignment horizontal="right" vertical="center" wrapText="1" readingOrder="1"/>
    </xf>
    <xf numFmtId="4" fontId="22" fillId="23" borderId="19" xfId="0" applyNumberFormat="1" applyFont="1" applyFill="1" applyBorder="1" applyAlignment="1">
      <alignment horizontal="right" vertical="center" wrapText="1" readingOrder="1"/>
    </xf>
    <xf numFmtId="0" fontId="6" fillId="13" borderId="19" xfId="0" applyFont="1" applyFill="1" applyBorder="1" applyAlignment="1">
      <alignment horizontal="left" vertical="center" wrapText="1" readingOrder="1"/>
    </xf>
    <xf numFmtId="0" fontId="6" fillId="13" borderId="19" xfId="0" applyFont="1" applyFill="1" applyBorder="1" applyAlignment="1">
      <alignment horizontal="right" vertical="center" wrapText="1" readingOrder="1"/>
    </xf>
    <xf numFmtId="4" fontId="6" fillId="13" borderId="19" xfId="0" applyNumberFormat="1" applyFont="1" applyFill="1" applyBorder="1" applyAlignment="1">
      <alignment horizontal="right" vertical="center" wrapText="1" readingOrder="1"/>
    </xf>
    <xf numFmtId="0" fontId="26" fillId="25" borderId="0" xfId="0" applyFont="1" applyFill="1" applyAlignment="1">
      <alignment horizontal="right" vertical="center" wrapText="1" readingOrder="1"/>
    </xf>
    <xf numFmtId="0" fontId="26" fillId="25" borderId="0" xfId="0" applyFont="1" applyFill="1" applyAlignment="1">
      <alignment horizontal="right" wrapText="1" readingOrder="1"/>
    </xf>
    <xf numFmtId="0" fontId="6" fillId="25" borderId="0" xfId="0" applyFont="1" applyFill="1" applyAlignment="1">
      <alignment horizontal="right" wrapText="1" readingOrder="1"/>
    </xf>
    <xf numFmtId="0" fontId="26" fillId="13" borderId="0" xfId="0" applyFont="1" applyFill="1" applyAlignment="1">
      <alignment horizontal="right" vertical="center" wrapText="1" readingOrder="1"/>
    </xf>
    <xf numFmtId="43" fontId="26" fillId="13" borderId="0" xfId="1" applyFont="1" applyFill="1" applyAlignment="1">
      <alignment horizontal="right" vertical="center" wrapText="1" readingOrder="1"/>
    </xf>
    <xf numFmtId="0" fontId="13" fillId="0" borderId="19" xfId="0" applyFont="1" applyFill="1" applyBorder="1" applyAlignment="1">
      <alignment horizontal="center" vertical="center" wrapText="1" readingOrder="1"/>
    </xf>
    <xf numFmtId="0" fontId="52" fillId="0" borderId="19" xfId="0" applyFont="1" applyBorder="1" applyAlignment="1">
      <alignment horizontal="center" vertical="center"/>
    </xf>
    <xf numFmtId="4" fontId="52" fillId="0" borderId="1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4" fillId="20" borderId="0" xfId="0" applyFont="1" applyFill="1" applyAlignment="1">
      <alignment horizontal="center" vertical="center" wrapText="1"/>
    </xf>
    <xf numFmtId="0" fontId="53" fillId="23" borderId="0" xfId="0" applyFont="1" applyFill="1" applyAlignment="1">
      <alignment horizontal="center"/>
    </xf>
    <xf numFmtId="0" fontId="53" fillId="20" borderId="0" xfId="0" applyFont="1" applyFill="1" applyAlignment="1">
      <alignment horizontal="center"/>
    </xf>
    <xf numFmtId="0" fontId="26" fillId="25" borderId="0" xfId="0" applyFont="1" applyFill="1" applyAlignment="1">
      <alignment horizontal="center" vertical="center" wrapText="1"/>
    </xf>
    <xf numFmtId="43" fontId="5" fillId="3" borderId="0" xfId="1" applyFont="1" applyFill="1" applyAlignment="1">
      <alignment horizontal="right" vertical="center" wrapText="1"/>
    </xf>
    <xf numFmtId="0" fontId="26" fillId="21" borderId="0" xfId="0" applyFont="1" applyFill="1" applyAlignment="1">
      <alignment vertical="center" wrapText="1"/>
    </xf>
    <xf numFmtId="43" fontId="26" fillId="21" borderId="0" xfId="1" applyFont="1" applyFill="1" applyAlignment="1">
      <alignment horizontal="right" vertical="center" wrapText="1"/>
    </xf>
    <xf numFmtId="0" fontId="26" fillId="2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26" fillId="21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26" fillId="24" borderId="0" xfId="0" applyFont="1" applyFill="1" applyAlignment="1">
      <alignment horizontal="left" vertical="center" wrapText="1"/>
    </xf>
    <xf numFmtId="43" fontId="26" fillId="24" borderId="0" xfId="1" applyFont="1" applyFill="1" applyAlignment="1">
      <alignment horizontal="right" vertical="center" wrapText="1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 applyAlignment="1">
      <alignment vertical="center" wrapText="1"/>
    </xf>
    <xf numFmtId="43" fontId="5" fillId="13" borderId="0" xfId="1" applyFont="1" applyFill="1" applyAlignment="1">
      <alignment horizontal="right" vertical="center" wrapText="1"/>
    </xf>
    <xf numFmtId="0" fontId="42" fillId="23" borderId="0" xfId="0" applyFont="1" applyFill="1" applyAlignment="1">
      <alignment horizontal="center" vertical="center" wrapText="1"/>
    </xf>
    <xf numFmtId="43" fontId="42" fillId="23" borderId="0" xfId="1" applyFont="1" applyFill="1" applyAlignment="1">
      <alignment horizontal="right" vertical="center" wrapText="1"/>
    </xf>
    <xf numFmtId="0" fontId="39" fillId="23" borderId="0" xfId="0" applyFont="1" applyFill="1" applyAlignment="1">
      <alignment horizontal="center" vertical="center" wrapText="1"/>
    </xf>
    <xf numFmtId="43" fontId="39" fillId="23" borderId="0" xfId="1" applyFont="1" applyFill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54" fillId="23" borderId="19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 wrapText="1"/>
    </xf>
    <xf numFmtId="0" fontId="26" fillId="25" borderId="19" xfId="0" applyFont="1" applyFill="1" applyBorder="1" applyAlignment="1">
      <alignment horizontal="center" vertical="center" wrapText="1"/>
    </xf>
    <xf numFmtId="0" fontId="25" fillId="25" borderId="19" xfId="0" applyFont="1" applyFill="1" applyBorder="1" applyAlignment="1">
      <alignment horizontal="right" vertical="center" wrapText="1"/>
    </xf>
    <xf numFmtId="0" fontId="13" fillId="0" borderId="19" xfId="0" applyFont="1" applyBorder="1" applyAlignment="1">
      <alignment wrapText="1"/>
    </xf>
    <xf numFmtId="43" fontId="13" fillId="0" borderId="19" xfId="1" applyFont="1" applyBorder="1" applyAlignment="1">
      <alignment horizontal="right" wrapText="1"/>
    </xf>
    <xf numFmtId="43" fontId="16" fillId="0" borderId="19" xfId="1" applyFont="1" applyBorder="1" applyAlignment="1">
      <alignment horizontal="right" vertical="center" wrapText="1"/>
    </xf>
    <xf numFmtId="43" fontId="13" fillId="0" borderId="19" xfId="1" applyFont="1" applyBorder="1" applyAlignment="1">
      <alignment horizontal="right" vertical="center" wrapText="1"/>
    </xf>
    <xf numFmtId="0" fontId="6" fillId="4" borderId="19" xfId="0" applyFont="1" applyFill="1" applyBorder="1" applyAlignment="1">
      <alignment horizontal="left" wrapText="1"/>
    </xf>
    <xf numFmtId="43" fontId="5" fillId="4" borderId="19" xfId="1" applyFont="1" applyFill="1" applyBorder="1" applyAlignment="1">
      <alignment horizontal="right" wrapText="1"/>
    </xf>
    <xf numFmtId="0" fontId="26" fillId="25" borderId="19" xfId="0" applyFont="1" applyFill="1" applyBorder="1" applyAlignment="1">
      <alignment horizontal="center" wrapText="1"/>
    </xf>
    <xf numFmtId="43" fontId="25" fillId="25" borderId="19" xfId="1" applyFont="1" applyFill="1" applyBorder="1" applyAlignment="1">
      <alignment horizontal="right" vertical="center" wrapText="1"/>
    </xf>
    <xf numFmtId="0" fontId="13" fillId="0" borderId="19" xfId="0" applyFont="1" applyBorder="1" applyAlignment="1">
      <alignment horizontal="left" wrapText="1"/>
    </xf>
    <xf numFmtId="0" fontId="6" fillId="14" borderId="19" xfId="0" applyFont="1" applyFill="1" applyBorder="1" applyAlignment="1">
      <alignment horizontal="left" wrapText="1"/>
    </xf>
    <xf numFmtId="43" fontId="6" fillId="14" borderId="19" xfId="1" applyFont="1" applyFill="1" applyBorder="1" applyAlignment="1">
      <alignment horizontal="right" wrapText="1"/>
    </xf>
    <xf numFmtId="0" fontId="4" fillId="23" borderId="19" xfId="0" applyFont="1" applyFill="1" applyBorder="1" applyAlignment="1">
      <alignment horizontal="center" wrapText="1"/>
    </xf>
    <xf numFmtId="43" fontId="4" fillId="23" borderId="19" xfId="1" applyFont="1" applyFill="1" applyBorder="1" applyAlignment="1">
      <alignment horizontal="right" wrapText="1"/>
    </xf>
    <xf numFmtId="0" fontId="22" fillId="23" borderId="19" xfId="0" applyFont="1" applyFill="1" applyBorder="1" applyAlignment="1">
      <alignment horizontal="center" vertical="center" wrapText="1"/>
    </xf>
    <xf numFmtId="0" fontId="22" fillId="20" borderId="19" xfId="0" applyFont="1" applyFill="1" applyBorder="1" applyAlignment="1">
      <alignment horizontal="center" wrapText="1"/>
    </xf>
    <xf numFmtId="0" fontId="55" fillId="0" borderId="19" xfId="0" applyFont="1" applyFill="1" applyBorder="1" applyAlignment="1">
      <alignment horizontal="left" wrapText="1"/>
    </xf>
    <xf numFmtId="43" fontId="13" fillId="0" borderId="19" xfId="1" applyFont="1" applyFill="1" applyBorder="1" applyAlignment="1">
      <alignment horizontal="right" wrapText="1"/>
    </xf>
    <xf numFmtId="0" fontId="35" fillId="0" borderId="24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0" fillId="0" borderId="0" xfId="0" applyFill="1"/>
    <xf numFmtId="0" fontId="5" fillId="0" borderId="19" xfId="0" applyFont="1" applyFill="1" applyBorder="1" applyAlignment="1">
      <alignment horizontal="left" vertical="center" wrapText="1"/>
    </xf>
    <xf numFmtId="43" fontId="5" fillId="0" borderId="19" xfId="1" applyFont="1" applyFill="1" applyBorder="1" applyAlignment="1">
      <alignment horizontal="right" vertical="center" wrapText="1"/>
    </xf>
    <xf numFmtId="0" fontId="0" fillId="0" borderId="19" xfId="0" applyFill="1" applyBorder="1"/>
    <xf numFmtId="0" fontId="4" fillId="23" borderId="19" xfId="0" applyFont="1" applyFill="1" applyBorder="1" applyAlignment="1">
      <alignment horizontal="center" vertical="center" wrapText="1"/>
    </xf>
    <xf numFmtId="43" fontId="4" fillId="23" borderId="19" xfId="1" applyFont="1" applyFill="1" applyBorder="1" applyAlignment="1">
      <alignment horizontal="right" vertical="center" wrapText="1"/>
    </xf>
    <xf numFmtId="0" fontId="17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6" fillId="25" borderId="19" xfId="0" applyFont="1" applyFill="1" applyBorder="1" applyAlignment="1">
      <alignment vertical="center" wrapText="1"/>
    </xf>
    <xf numFmtId="43" fontId="6" fillId="25" borderId="19" xfId="1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vertical="center" wrapText="1"/>
    </xf>
    <xf numFmtId="43" fontId="6" fillId="25" borderId="19" xfId="1" applyFont="1" applyFill="1" applyBorder="1" applyAlignment="1">
      <alignment horizontal="right" vertical="center" wrapText="1"/>
    </xf>
    <xf numFmtId="43" fontId="5" fillId="0" borderId="19" xfId="1" applyFont="1" applyBorder="1" applyAlignment="1">
      <alignment horizontal="right" vertical="center" wrapText="1"/>
    </xf>
    <xf numFmtId="43" fontId="4" fillId="23" borderId="19" xfId="1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vertical="center" wrapText="1"/>
    </xf>
    <xf numFmtId="43" fontId="13" fillId="0" borderId="19" xfId="1" applyFont="1" applyBorder="1" applyAlignment="1">
      <alignment horizontal="center" vertical="center" wrapText="1"/>
    </xf>
    <xf numFmtId="43" fontId="26" fillId="0" borderId="19" xfId="1" applyFont="1" applyBorder="1" applyAlignment="1">
      <alignment horizontal="center" vertical="center" wrapText="1"/>
    </xf>
    <xf numFmtId="0" fontId="26" fillId="25" borderId="19" xfId="0" applyFont="1" applyFill="1" applyBorder="1" applyAlignment="1">
      <alignment vertical="center" wrapText="1"/>
    </xf>
    <xf numFmtId="43" fontId="25" fillId="25" borderId="19" xfId="1" applyFont="1" applyFill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43" fontId="5" fillId="0" borderId="19" xfId="1" applyFont="1" applyBorder="1" applyAlignment="1">
      <alignment horizontal="center" vertical="center" wrapText="1"/>
    </xf>
    <xf numFmtId="173" fontId="5" fillId="0" borderId="19" xfId="1" applyNumberFormat="1" applyFont="1" applyBorder="1" applyAlignment="1">
      <alignment horizontal="center" vertical="center" wrapText="1"/>
    </xf>
    <xf numFmtId="43" fontId="16" fillId="0" borderId="19" xfId="1" applyFont="1" applyBorder="1" applyAlignment="1">
      <alignment vertical="center" wrapText="1"/>
    </xf>
    <xf numFmtId="43" fontId="4" fillId="23" borderId="19" xfId="1" applyFont="1" applyFill="1" applyBorder="1" applyAlignment="1">
      <alignment vertical="center" wrapText="1"/>
    </xf>
    <xf numFmtId="0" fontId="4" fillId="20" borderId="19" xfId="0" applyFont="1" applyFill="1" applyBorder="1" applyAlignment="1">
      <alignment vertical="center" wrapText="1"/>
    </xf>
    <xf numFmtId="43" fontId="5" fillId="0" borderId="19" xfId="1" applyFont="1" applyFill="1" applyBorder="1" applyAlignment="1">
      <alignment horizontal="center" vertical="center" wrapText="1"/>
    </xf>
    <xf numFmtId="0" fontId="42" fillId="20" borderId="19" xfId="0" applyFont="1" applyFill="1" applyBorder="1" applyAlignment="1">
      <alignment horizontal="center" vertical="center" wrapText="1"/>
    </xf>
    <xf numFmtId="43" fontId="42" fillId="20" borderId="19" xfId="1" applyFont="1" applyFill="1" applyBorder="1" applyAlignment="1">
      <alignment horizontal="center" vertical="center" wrapText="1"/>
    </xf>
    <xf numFmtId="0" fontId="42" fillId="23" borderId="19" xfId="0" applyFont="1" applyFill="1" applyBorder="1" applyAlignment="1">
      <alignment horizontal="center" vertical="center" wrapText="1"/>
    </xf>
    <xf numFmtId="43" fontId="42" fillId="23" borderId="19" xfId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43" fontId="13" fillId="0" borderId="19" xfId="1" applyFont="1" applyFill="1" applyBorder="1" applyAlignment="1">
      <alignment horizontal="center" vertical="center" wrapText="1"/>
    </xf>
    <xf numFmtId="0" fontId="16" fillId="0" borderId="19" xfId="0" applyFont="1" applyFill="1" applyBorder="1"/>
    <xf numFmtId="0" fontId="13" fillId="0" borderId="19" xfId="0" applyFont="1" applyFill="1" applyBorder="1" applyAlignment="1">
      <alignment horizontal="center" wrapText="1"/>
    </xf>
    <xf numFmtId="43" fontId="13" fillId="0" borderId="19" xfId="1" applyFont="1" applyFill="1" applyBorder="1" applyAlignment="1">
      <alignment horizontal="center" wrapText="1"/>
    </xf>
    <xf numFmtId="164" fontId="13" fillId="0" borderId="19" xfId="1" applyNumberFormat="1" applyFont="1" applyFill="1" applyBorder="1" applyAlignment="1">
      <alignment horizontal="center" wrapText="1"/>
    </xf>
    <xf numFmtId="0" fontId="5" fillId="0" borderId="19" xfId="0" applyFont="1" applyFill="1" applyBorder="1" applyAlignment="1">
      <alignment horizontal="center" wrapText="1"/>
    </xf>
    <xf numFmtId="43" fontId="5" fillId="0" borderId="19" xfId="1" applyFont="1" applyFill="1" applyBorder="1" applyAlignment="1">
      <alignment horizontal="center" wrapText="1"/>
    </xf>
    <xf numFmtId="164" fontId="5" fillId="0" borderId="19" xfId="1" applyNumberFormat="1" applyFont="1" applyFill="1" applyBorder="1" applyAlignment="1">
      <alignment horizontal="center" wrapText="1"/>
    </xf>
    <xf numFmtId="43" fontId="13" fillId="0" borderId="19" xfId="1" applyFont="1" applyBorder="1" applyAlignment="1">
      <alignment horizontal="center" wrapText="1"/>
    </xf>
    <xf numFmtId="164" fontId="13" fillId="0" borderId="19" xfId="1" applyNumberFormat="1" applyFont="1" applyBorder="1" applyAlignment="1">
      <alignment horizontal="center" wrapText="1"/>
    </xf>
    <xf numFmtId="164" fontId="13" fillId="0" borderId="19" xfId="1" applyNumberFormat="1" applyFont="1" applyFill="1" applyBorder="1" applyAlignment="1">
      <alignment horizontal="right" wrapText="1"/>
    </xf>
    <xf numFmtId="43" fontId="5" fillId="0" borderId="19" xfId="1" applyFont="1" applyFill="1" applyBorder="1" applyAlignment="1">
      <alignment horizontal="right" wrapText="1"/>
    </xf>
    <xf numFmtId="164" fontId="5" fillId="0" borderId="19" xfId="1" applyNumberFormat="1" applyFont="1" applyFill="1" applyBorder="1" applyAlignment="1">
      <alignment horizontal="right" wrapText="1"/>
    </xf>
    <xf numFmtId="43" fontId="13" fillId="0" borderId="19" xfId="1" applyFont="1" applyFill="1" applyBorder="1" applyAlignment="1">
      <alignment horizontal="right" vertical="center" wrapText="1"/>
    </xf>
    <xf numFmtId="0" fontId="56" fillId="17" borderId="30" xfId="0" applyFont="1" applyFill="1" applyBorder="1" applyAlignment="1">
      <alignment vertical="center" wrapText="1"/>
    </xf>
    <xf numFmtId="0" fontId="56" fillId="17" borderId="31" xfId="0" applyFont="1" applyFill="1" applyBorder="1" applyAlignment="1">
      <alignment horizontal="center" vertical="center" wrapText="1"/>
    </xf>
    <xf numFmtId="0" fontId="57" fillId="0" borderId="30" xfId="0" applyFont="1" applyBorder="1" applyAlignment="1">
      <alignment vertical="center"/>
    </xf>
    <xf numFmtId="4" fontId="57" fillId="0" borderId="31" xfId="0" applyNumberFormat="1" applyFont="1" applyBorder="1" applyAlignment="1">
      <alignment horizontal="right" vertical="center"/>
    </xf>
    <xf numFmtId="0" fontId="57" fillId="0" borderId="31" xfId="0" applyFont="1" applyBorder="1" applyAlignment="1">
      <alignment horizontal="right" vertical="center"/>
    </xf>
    <xf numFmtId="0" fontId="57" fillId="0" borderId="31" xfId="0" applyFont="1" applyBorder="1" applyAlignment="1">
      <alignment horizontal="right" vertical="center" wrapText="1"/>
    </xf>
    <xf numFmtId="0" fontId="58" fillId="5" borderId="30" xfId="0" applyFont="1" applyFill="1" applyBorder="1" applyAlignment="1">
      <alignment horizontal="center" vertical="center" wrapText="1"/>
    </xf>
    <xf numFmtId="4" fontId="58" fillId="5" borderId="31" xfId="0" applyNumberFormat="1" applyFont="1" applyFill="1" applyBorder="1" applyAlignment="1">
      <alignment horizontal="right" vertical="center" wrapText="1"/>
    </xf>
    <xf numFmtId="0" fontId="58" fillId="5" borderId="31" xfId="0" applyFont="1" applyFill="1" applyBorder="1" applyAlignment="1">
      <alignment horizontal="right" vertical="center" wrapText="1"/>
    </xf>
    <xf numFmtId="0" fontId="56" fillId="16" borderId="30" xfId="0" applyFont="1" applyFill="1" applyBorder="1" applyAlignment="1">
      <alignment horizontal="center" vertical="center" wrapText="1"/>
    </xf>
    <xf numFmtId="0" fontId="56" fillId="16" borderId="31" xfId="0" applyFont="1" applyFill="1" applyBorder="1" applyAlignment="1">
      <alignment horizontal="right" vertical="center" wrapText="1"/>
    </xf>
    <xf numFmtId="0" fontId="56" fillId="16" borderId="27" xfId="0" applyFont="1" applyFill="1" applyBorder="1" applyAlignment="1">
      <alignment horizontal="center" vertical="center" wrapText="1"/>
    </xf>
    <xf numFmtId="0" fontId="56" fillId="16" borderId="28" xfId="0" applyFont="1" applyFill="1" applyBorder="1" applyAlignment="1">
      <alignment horizontal="center" vertical="center" wrapText="1"/>
    </xf>
    <xf numFmtId="0" fontId="56" fillId="16" borderId="29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0" fillId="0" borderId="0" xfId="0" applyFont="1" applyAlignment="1"/>
    <xf numFmtId="49" fontId="42" fillId="20" borderId="19" xfId="0" applyNumberFormat="1" applyFont="1" applyFill="1" applyBorder="1" applyAlignment="1">
      <alignment horizontal="right" vertical="center" wrapText="1"/>
    </xf>
    <xf numFmtId="4" fontId="13" fillId="0" borderId="19" xfId="0" applyNumberFormat="1" applyFont="1" applyFill="1" applyBorder="1" applyAlignment="1">
      <alignment horizontal="right" vertical="center" wrapText="1"/>
    </xf>
    <xf numFmtId="17" fontId="42" fillId="20" borderId="19" xfId="0" applyNumberFormat="1" applyFont="1" applyFill="1" applyBorder="1" applyAlignment="1">
      <alignment horizontal="right" vertical="center" wrapText="1"/>
    </xf>
    <xf numFmtId="0" fontId="42" fillId="20" borderId="19" xfId="0" applyFont="1" applyFill="1" applyBorder="1" applyAlignment="1">
      <alignment horizontal="right" vertical="center" wrapText="1"/>
    </xf>
    <xf numFmtId="49" fontId="4" fillId="20" borderId="0" xfId="0" applyNumberFormat="1" applyFont="1" applyFill="1" applyAlignment="1">
      <alignment horizontal="right" vertical="center" wrapText="1"/>
    </xf>
    <xf numFmtId="17" fontId="4" fillId="20" borderId="0" xfId="0" applyNumberFormat="1" applyFont="1" applyFill="1" applyAlignment="1">
      <alignment horizontal="right" vertical="center" wrapText="1"/>
    </xf>
    <xf numFmtId="0" fontId="4" fillId="20" borderId="0" xfId="0" applyFont="1" applyFill="1" applyAlignment="1">
      <alignment horizontal="right" vertical="center" wrapText="1"/>
    </xf>
    <xf numFmtId="0" fontId="4" fillId="23" borderId="0" xfId="0" applyFont="1" applyFill="1" applyAlignment="1">
      <alignment horizontal="left" vertical="center" wrapText="1"/>
    </xf>
    <xf numFmtId="4" fontId="5" fillId="0" borderId="19" xfId="0" applyNumberFormat="1" applyFont="1" applyBorder="1" applyAlignment="1">
      <alignment horizontal="right" vertical="center" wrapText="1"/>
    </xf>
    <xf numFmtId="4" fontId="4" fillId="23" borderId="19" xfId="0" applyNumberFormat="1" applyFont="1" applyFill="1" applyBorder="1" applyAlignment="1">
      <alignment horizontal="center" vertical="center" wrapText="1"/>
    </xf>
    <xf numFmtId="0" fontId="2" fillId="23" borderId="20" xfId="0" applyFont="1" applyFill="1" applyBorder="1" applyAlignment="1">
      <alignment vertical="center" wrapText="1"/>
    </xf>
    <xf numFmtId="0" fontId="4" fillId="20" borderId="22" xfId="0" applyFont="1" applyFill="1" applyBorder="1" applyAlignment="1">
      <alignment horizontal="right" vertical="center" wrapText="1"/>
    </xf>
    <xf numFmtId="0" fontId="2" fillId="23" borderId="23" xfId="0" applyFont="1" applyFill="1" applyBorder="1" applyAlignment="1">
      <alignment vertical="center" wrapText="1"/>
    </xf>
    <xf numFmtId="0" fontId="4" fillId="20" borderId="25" xfId="0" applyFont="1" applyFill="1" applyBorder="1" applyAlignment="1">
      <alignment horizontal="right" vertical="center" wrapText="1"/>
    </xf>
    <xf numFmtId="0" fontId="4" fillId="20" borderId="32" xfId="0" applyFont="1" applyFill="1" applyBorder="1" applyAlignment="1">
      <alignment horizontal="right" vertical="center" wrapText="1"/>
    </xf>
    <xf numFmtId="0" fontId="4" fillId="20" borderId="33" xfId="0" applyFont="1" applyFill="1" applyBorder="1" applyAlignment="1">
      <alignment horizontal="right" vertical="center" wrapText="1"/>
    </xf>
    <xf numFmtId="0" fontId="4" fillId="16" borderId="19" xfId="0" applyFont="1" applyFill="1" applyBorder="1" applyAlignment="1">
      <alignment vertical="center" wrapText="1"/>
    </xf>
    <xf numFmtId="0" fontId="42" fillId="16" borderId="19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horizontal="left" vertical="center" wrapText="1"/>
    </xf>
    <xf numFmtId="49" fontId="4" fillId="16" borderId="19" xfId="0" applyNumberFormat="1" applyFont="1" applyFill="1" applyBorder="1" applyAlignment="1">
      <alignment horizontal="right" vertical="center" wrapText="1"/>
    </xf>
    <xf numFmtId="4" fontId="13" fillId="0" borderId="19" xfId="0" applyNumberFormat="1" applyFont="1" applyFill="1" applyBorder="1" applyAlignment="1">
      <alignment horizontal="center" vertical="center" wrapText="1"/>
    </xf>
    <xf numFmtId="17" fontId="4" fillId="16" borderId="19" xfId="0" applyNumberFormat="1" applyFont="1" applyFill="1" applyBorder="1" applyAlignment="1">
      <alignment horizontal="right" vertical="center" wrapText="1"/>
    </xf>
    <xf numFmtId="0" fontId="4" fillId="16" borderId="19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55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 readingOrder="1"/>
    </xf>
    <xf numFmtId="0" fontId="26" fillId="0" borderId="0" xfId="0" applyFont="1" applyAlignment="1">
      <alignment horizontal="center" wrapText="1" readingOrder="1"/>
    </xf>
    <xf numFmtId="0" fontId="4" fillId="0" borderId="0" xfId="0" applyFont="1" applyFill="1" applyAlignment="1">
      <alignment horizontal="center" wrapText="1" readingOrder="1"/>
    </xf>
    <xf numFmtId="3" fontId="4" fillId="0" borderId="0" xfId="0" applyNumberFormat="1" applyFont="1" applyFill="1" applyAlignment="1">
      <alignment horizontal="right" wrapText="1" readingOrder="1"/>
    </xf>
    <xf numFmtId="2" fontId="4" fillId="0" borderId="0" xfId="0" applyNumberFormat="1" applyFont="1" applyFill="1" applyAlignment="1">
      <alignment horizontal="right" wrapText="1" readingOrder="1"/>
    </xf>
    <xf numFmtId="0" fontId="21" fillId="0" borderId="0" xfId="0" applyFont="1" applyFill="1" applyAlignment="1">
      <alignment horizontal="center" wrapText="1" readingOrder="1"/>
    </xf>
  </cellXfs>
  <cellStyles count="14">
    <cellStyle name="Comma" xfId="7" xr:uid="{00000000-0005-0000-0000-000000000000}"/>
    <cellStyle name="Comma 2" xfId="8" xr:uid="{00000000-0005-0000-0000-000001000000}"/>
    <cellStyle name="Comma 3" xfId="13" xr:uid="{667864F2-4A46-40EF-9121-0B034E4BB024}"/>
    <cellStyle name="Euro" xfId="5" xr:uid="{00000000-0005-0000-0000-000002000000}"/>
    <cellStyle name="Millares" xfId="1" builtinId="3"/>
    <cellStyle name="Normal" xfId="0" builtinId="0"/>
    <cellStyle name="Normal 2" xfId="6" xr:uid="{00000000-0005-0000-0000-000005000000}"/>
    <cellStyle name="Normal 2 2" xfId="10" xr:uid="{00000000-0005-0000-0000-000006000000}"/>
    <cellStyle name="Normal 2 2 2" xfId="3" xr:uid="{00000000-0005-0000-0000-000007000000}"/>
    <cellStyle name="Normal 3" xfId="4" xr:uid="{00000000-0005-0000-0000-000008000000}"/>
    <cellStyle name="Normal 3 2" xfId="9" xr:uid="{00000000-0005-0000-0000-000009000000}"/>
    <cellStyle name="Normal 3 3" xfId="12" xr:uid="{00000000-0005-0000-0000-00000A000000}"/>
    <cellStyle name="Normal 4 2" xfId="11" xr:uid="{00000000-0005-0000-0000-00000B000000}"/>
    <cellStyle name="Porcentaje" xfId="2" builtinId="5"/>
  </cellStyles>
  <dxfs count="0"/>
  <tableStyles count="0" defaultTableStyle="TableStyleMedium2" defaultPivotStyle="PivotStyleLight16"/>
  <colors>
    <mruColors>
      <color rgb="FF0070C0"/>
      <color rgb="FF1F4E78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50481189851271E-2"/>
          <c:y val="0.16666666666666666"/>
          <c:w val="0.87129396325459318"/>
          <c:h val="0.6750772820064158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BB-4B41-A515-B6CAB9785FF1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BB-4B41-A515-B6CAB9785F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'01'!$J$40:$J$46</c:f>
              <c:strCache>
                <c:ptCount val="7"/>
                <c:pt idx="0">
                  <c:v>Acum. (2017-2021)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Acum. (2022-2026)</c:v>
                </c:pt>
              </c:strCache>
            </c:strRef>
          </c:cat>
          <c:val>
            <c:numRef>
              <c:f>'01'!$L$40:$L$46</c:f>
              <c:numCache>
                <c:formatCode>_-* #,##0_-;\-* #,##0_-;_-* "-"??_-;_-@_-</c:formatCode>
                <c:ptCount val="7"/>
                <c:pt idx="0">
                  <c:v>568.17000000000007</c:v>
                </c:pt>
                <c:pt idx="1">
                  <c:v>0</c:v>
                </c:pt>
                <c:pt idx="2">
                  <c:v>2000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B-4B41-A515-B6CAB978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36672"/>
        <c:axId val="94238208"/>
      </c:barChart>
      <c:catAx>
        <c:axId val="9423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238208"/>
        <c:crosses val="autoZero"/>
        <c:auto val="1"/>
        <c:lblAlgn val="ctr"/>
        <c:lblOffset val="100"/>
        <c:noMultiLvlLbl val="0"/>
      </c:catAx>
      <c:valAx>
        <c:axId val="94238208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23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199392311913"/>
          <c:y val="0.10803472980449096"/>
          <c:w val="0.79016764728363109"/>
          <c:h val="0.665305128447800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B7-42AE-835F-E5469A3EDA25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B7-42AE-835F-E5469A3EDA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'02'!$J$27:$J$33</c:f>
              <c:strCache>
                <c:ptCount val="7"/>
                <c:pt idx="0">
                  <c:v>Acum. (2017-2021)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Acum. (2022-2026)</c:v>
                </c:pt>
              </c:strCache>
            </c:strRef>
          </c:cat>
          <c:val>
            <c:numRef>
              <c:f>'02'!$L$27:$L$33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7-42AE-835F-E5469A3E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74688"/>
        <c:axId val="94276224"/>
      </c:barChart>
      <c:catAx>
        <c:axId val="9427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276224"/>
        <c:crosses val="autoZero"/>
        <c:auto val="1"/>
        <c:lblAlgn val="ctr"/>
        <c:lblOffset val="100"/>
        <c:noMultiLvlLbl val="0"/>
      </c:catAx>
      <c:valAx>
        <c:axId val="9427622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27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C-4B25-8C74-48E53F06325A}"/>
              </c:ext>
            </c:extLst>
          </c:dPt>
          <c:dPt>
            <c:idx val="1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C-4B25-8C74-48E53F06325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C-4B25-8C74-48E53F06325A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-9.259259259259258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3C-4B25-8C74-48E53F06325A}"/>
                </c:ext>
              </c:extLst>
            </c:dLbl>
            <c:dLbl>
              <c:idx val="1"/>
              <c:layout>
                <c:manualLayout>
                  <c:x val="0.14166666666666677"/>
                  <c:y val="-6.48148148148147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3C-4B25-8C74-48E53F06325A}"/>
                </c:ext>
              </c:extLst>
            </c:dLbl>
            <c:dLbl>
              <c:idx val="2"/>
              <c:layout>
                <c:manualLayout>
                  <c:x val="-0.15555555555555556"/>
                  <c:y val="-2.7777777777777776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3C-4B25-8C74-48E53F0632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'04'!$J$10:$J$12</c:f>
              <c:strCache>
                <c:ptCount val="3"/>
                <c:pt idx="0">
                  <c:v>Selva Central</c:v>
                </c:pt>
                <c:pt idx="1">
                  <c:v>Noroeste</c:v>
                </c:pt>
                <c:pt idx="2">
                  <c:v>Zócalo</c:v>
                </c:pt>
              </c:strCache>
            </c:strRef>
          </c:cat>
          <c:val>
            <c:numRef>
              <c:f>'04'!$K$10:$K$12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3C-4B25-8C74-48E53F063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199392311913"/>
          <c:y val="0.10803472980449096"/>
          <c:w val="0.79016764728363109"/>
          <c:h val="0.665305128447800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D1-4736-BA86-E5F2B1F565B7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1-4736-BA86-E5F2B1F565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'02'!$J$27:$J$33</c:f>
              <c:strCache>
                <c:ptCount val="7"/>
                <c:pt idx="0">
                  <c:v>Acum. (2017-2021)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Acum. (2022-2026)</c:v>
                </c:pt>
              </c:strCache>
            </c:strRef>
          </c:cat>
          <c:val>
            <c:numRef>
              <c:f>'06'!$B$34:$B$40</c:f>
              <c:numCache>
                <c:formatCode>#,##0</c:formatCode>
                <c:ptCount val="7"/>
                <c:pt idx="0">
                  <c:v>639</c:v>
                </c:pt>
                <c:pt idx="1">
                  <c:v>67</c:v>
                </c:pt>
                <c:pt idx="2">
                  <c:v>66</c:v>
                </c:pt>
                <c:pt idx="3">
                  <c:v>67</c:v>
                </c:pt>
                <c:pt idx="4">
                  <c:v>64</c:v>
                </c:pt>
                <c:pt idx="5">
                  <c:v>61</c:v>
                </c:pt>
                <c:pt idx="6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1-4736-BA86-E5F2B1F5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83008"/>
        <c:axId val="97488896"/>
      </c:barChart>
      <c:catAx>
        <c:axId val="9748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88896"/>
        <c:crosses val="autoZero"/>
        <c:auto val="1"/>
        <c:lblAlgn val="ctr"/>
        <c:lblOffset val="100"/>
        <c:noMultiLvlLbl val="0"/>
      </c:catAx>
      <c:valAx>
        <c:axId val="9748889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8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1-50A6-4CCF-9533-7411912DCEAB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0A6-4CCF-9533-7411912DCEAB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0A6-4CCF-9533-7411912DCEAB}"/>
              </c:ext>
            </c:extLst>
          </c:dPt>
          <c:dLbls>
            <c:dLbl>
              <c:idx val="0"/>
              <c:layout>
                <c:manualLayout>
                  <c:x val="0.13808216795044023"/>
                  <c:y val="-0.1827634972537912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A6-4CCF-9533-7411912DCEAB}"/>
                </c:ext>
              </c:extLst>
            </c:dLbl>
            <c:dLbl>
              <c:idx val="1"/>
              <c:layout>
                <c:manualLayout>
                  <c:x val="0.18410955726725362"/>
                  <c:y val="0.12080976937115015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6-4CCF-9533-7411912DCEAB}"/>
                </c:ext>
              </c:extLst>
            </c:dLbl>
            <c:dLbl>
              <c:idx val="2"/>
              <c:layout>
                <c:manualLayout>
                  <c:x val="-0.17643832571445139"/>
                  <c:y val="-0.22613110677164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6-4CCF-9533-7411912DC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rial Narrow" panose="020B0606020202030204" pitchFamily="34" charset="0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'[1]2'!$W$8:$W$10</c:f>
              <c:strCache>
                <c:ptCount val="3"/>
                <c:pt idx="0">
                  <c:v>Costa</c:v>
                </c:pt>
                <c:pt idx="1">
                  <c:v>Zócalo</c:v>
                </c:pt>
                <c:pt idx="2">
                  <c:v>Selva</c:v>
                </c:pt>
              </c:strCache>
            </c:strRef>
          </c:cat>
          <c:val>
            <c:numRef>
              <c:f>'07-08-09'!$K$13:$K$15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A6-4CCF-9533-7411912D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noFill/>
  </c:spPr>
  <c:txPr>
    <a:bodyPr/>
    <a:lstStyle/>
    <a:p>
      <a:pPr>
        <a:defRPr sz="105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1-50A6-4CCF-9533-7411912DCEAB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0A6-4CCF-9533-7411912DCEAB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0A6-4CCF-9533-7411912DCEAB}"/>
              </c:ext>
            </c:extLst>
          </c:dPt>
          <c:dLbls>
            <c:dLbl>
              <c:idx val="0"/>
              <c:layout>
                <c:manualLayout>
                  <c:x val="0.13808216795044023"/>
                  <c:y val="-0.1827634972537912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A6-4CCF-9533-7411912DCEAB}"/>
                </c:ext>
              </c:extLst>
            </c:dLbl>
            <c:dLbl>
              <c:idx val="1"/>
              <c:layout>
                <c:manualLayout>
                  <c:x val="0.18410955726725362"/>
                  <c:y val="0.12080976937115015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6-4CCF-9533-7411912DCEAB}"/>
                </c:ext>
              </c:extLst>
            </c:dLbl>
            <c:dLbl>
              <c:idx val="2"/>
              <c:layout>
                <c:manualLayout>
                  <c:x val="-0.17643832571445139"/>
                  <c:y val="-0.22613110677164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6-4CCF-9533-7411912DC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rial Narrow" panose="020B0606020202030204" pitchFamily="34" charset="0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'[1]2'!$W$8:$W$10</c:f>
              <c:strCache>
                <c:ptCount val="3"/>
                <c:pt idx="0">
                  <c:v>Costa</c:v>
                </c:pt>
                <c:pt idx="1">
                  <c:v>Zócalo</c:v>
                </c:pt>
                <c:pt idx="2">
                  <c:v>Selva</c:v>
                </c:pt>
              </c:strCache>
            </c:strRef>
          </c:cat>
          <c:val>
            <c:numRef>
              <c:f>'[2]08'!$K$13:$K$15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A6-4CCF-9533-7411912D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noFill/>
  </c:spPr>
  <c:txPr>
    <a:bodyPr/>
    <a:lstStyle/>
    <a:p>
      <a:pPr>
        <a:defRPr sz="105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v>PETRÓLEO</c:v>
          </c:tx>
          <c:spPr>
            <a:solidFill>
              <a:srgbClr val="00CC99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cat>
            <c:strRef>
              <c:f>'10'!$C$6:$N$6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'10'!$C$33:$N$33</c:f>
              <c:numCache>
                <c:formatCode>#,##0</c:formatCode>
                <c:ptCount val="12"/>
                <c:pt idx="0">
                  <c:v>1097022</c:v>
                </c:pt>
                <c:pt idx="1">
                  <c:v>981037</c:v>
                </c:pt>
                <c:pt idx="2">
                  <c:v>1079503</c:v>
                </c:pt>
                <c:pt idx="3">
                  <c:v>1093565</c:v>
                </c:pt>
                <c:pt idx="4">
                  <c:v>1274969</c:v>
                </c:pt>
                <c:pt idx="5">
                  <c:v>1166442</c:v>
                </c:pt>
                <c:pt idx="6">
                  <c:v>1205517</c:v>
                </c:pt>
                <c:pt idx="7">
                  <c:v>1168689</c:v>
                </c:pt>
                <c:pt idx="8">
                  <c:v>1238738</c:v>
                </c:pt>
                <c:pt idx="9">
                  <c:v>1372795</c:v>
                </c:pt>
                <c:pt idx="10">
                  <c:v>1137687</c:v>
                </c:pt>
                <c:pt idx="11">
                  <c:v>1196686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9-4077-AA9C-D7BCC3B877E7}"/>
            </c:ext>
          </c:extLst>
        </c:ser>
        <c:ser>
          <c:idx val="1"/>
          <c:order val="1"/>
          <c:tx>
            <c:v>LGN</c:v>
          </c:tx>
          <c:spPr>
            <a:solidFill>
              <a:schemeClr val="accent1">
                <a:lumMod val="75000"/>
              </a:schemeClr>
            </a:solidFill>
            <a:ln w="25400">
              <a:noFill/>
            </a:ln>
          </c:spPr>
          <c:cat>
            <c:strRef>
              <c:f>'10'!$C$6:$N$6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'10'!$C$45:$N$45</c:f>
              <c:numCache>
                <c:formatCode>#,##0</c:formatCode>
                <c:ptCount val="12"/>
                <c:pt idx="0">
                  <c:v>2639267</c:v>
                </c:pt>
                <c:pt idx="1">
                  <c:v>2392034</c:v>
                </c:pt>
                <c:pt idx="2">
                  <c:v>2079709</c:v>
                </c:pt>
                <c:pt idx="3">
                  <c:v>2053899</c:v>
                </c:pt>
                <c:pt idx="4">
                  <c:v>2492203</c:v>
                </c:pt>
                <c:pt idx="5">
                  <c:v>2480995</c:v>
                </c:pt>
                <c:pt idx="6">
                  <c:v>2469500</c:v>
                </c:pt>
                <c:pt idx="7">
                  <c:v>2609318</c:v>
                </c:pt>
                <c:pt idx="8">
                  <c:v>2609835</c:v>
                </c:pt>
                <c:pt idx="9">
                  <c:v>2643046</c:v>
                </c:pt>
                <c:pt idx="10">
                  <c:v>2530610</c:v>
                </c:pt>
                <c:pt idx="11">
                  <c:v>2607284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9-4077-AA9C-D7BCC3B8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92864"/>
        <c:axId val="109498752"/>
      </c:areaChart>
      <c:catAx>
        <c:axId val="109492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9498752"/>
        <c:crosses val="autoZero"/>
        <c:auto val="1"/>
        <c:lblAlgn val="ctr"/>
        <c:lblOffset val="100"/>
        <c:noMultiLvlLbl val="0"/>
      </c:catAx>
      <c:valAx>
        <c:axId val="10949875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0949286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45888013998249"/>
          <c:y val="0"/>
          <c:w val="0.60131014873140853"/>
          <c:h val="1"/>
        </c:manualLayout>
      </c:layout>
      <c:pie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DCF1-46B7-8C24-93A561AC9C2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CF1-46B7-8C24-93A561AC9C2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2-DCF1-46B7-8C24-93A561AC9C27}"/>
              </c:ext>
            </c:extLst>
          </c:dPt>
          <c:dLbls>
            <c:dLbl>
              <c:idx val="0"/>
              <c:layout>
                <c:manualLayout>
                  <c:x val="0.13332417955056036"/>
                  <c:y val="3.986892854295076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F1-46B7-8C24-93A561AC9C27}"/>
                </c:ext>
              </c:extLst>
            </c:dLbl>
            <c:dLbl>
              <c:idx val="1"/>
              <c:layout>
                <c:manualLayout>
                  <c:x val="0.13544043636882308"/>
                  <c:y val="-7.57509642316064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1-46B7-8C24-93A561AC9C27}"/>
                </c:ext>
              </c:extLst>
            </c:dLbl>
            <c:dLbl>
              <c:idx val="2"/>
              <c:layout>
                <c:manualLayout>
                  <c:x val="-6.3487704547885895E-2"/>
                  <c:y val="2.3921357125770461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F1-46B7-8C24-93A561AC9C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s-PE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'[1]3'!$R$71:$R$73</c:f>
              <c:strCache>
                <c:ptCount val="3"/>
                <c:pt idx="0">
                  <c:v>ZÓCALO</c:v>
                </c:pt>
                <c:pt idx="1">
                  <c:v>SELVA</c:v>
                </c:pt>
                <c:pt idx="2">
                  <c:v>COSTA</c:v>
                </c:pt>
              </c:strCache>
            </c:strRef>
          </c:cat>
          <c:val>
            <c:numRef>
              <c:f>'10'!$T$47:$T$49</c:f>
              <c:numCache>
                <c:formatCode>#,##0</c:formatCode>
                <c:ptCount val="3"/>
                <c:pt idx="0">
                  <c:v>2410464</c:v>
                </c:pt>
                <c:pt idx="1">
                  <c:v>33609960</c:v>
                </c:pt>
                <c:pt idx="2">
                  <c:v>7599926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1-46B7-8C24-93A561AC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75E-2"/>
          <c:y val="0.18565981335666376"/>
          <c:w val="0.87635870516185477"/>
          <c:h val="0.69836030912802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'11'!$C$7:$K$7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'11'!$C$37:$K$37</c:f>
              <c:numCache>
                <c:formatCode>General</c:formatCode>
                <c:ptCount val="8"/>
                <c:pt idx="0">
                  <c:v>69.3</c:v>
                </c:pt>
                <c:pt idx="1">
                  <c:v>58</c:v>
                </c:pt>
                <c:pt idx="2">
                  <c:v>40.5</c:v>
                </c:pt>
                <c:pt idx="3">
                  <c:v>43.6</c:v>
                </c:pt>
                <c:pt idx="4">
                  <c:v>48.9</c:v>
                </c:pt>
                <c:pt idx="5" formatCode="_-* #,##0.0_-;\-* #,##0.0_-;_-* &quot;-&quot;??_-;_-@_-">
                  <c:v>52.983750684931508</c:v>
                </c:pt>
                <c:pt idx="6" formatCode="_-* #,##0.0_-;\-* #,##0.0_-;_-* &quot;-&quot;??_-;_-@_-">
                  <c:v>39.677158469945354</c:v>
                </c:pt>
                <c:pt idx="7" formatCode="_-* #,##0.0_-;\-* #,##0.0_-;_-* &quot;-&quot;??_-;_-@_-">
                  <c:v>38.390821917808218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9-43E0-B787-F4AD6D0A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36768"/>
        <c:axId val="135138304"/>
      </c:barChart>
      <c:catAx>
        <c:axId val="13513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138304"/>
        <c:crosses val="autoZero"/>
        <c:auto val="1"/>
        <c:lblAlgn val="ctr"/>
        <c:lblOffset val="100"/>
        <c:noMultiLvlLbl val="0"/>
      </c:catAx>
      <c:valAx>
        <c:axId val="13513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1367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75E-2"/>
          <c:y val="0.18565981335666376"/>
          <c:w val="0.87635870516185477"/>
          <c:h val="0.69836030912802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'11'!$C$7:$K$7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'11'!$C$49:$K$49</c:f>
              <c:numCache>
                <c:formatCode>General</c:formatCode>
                <c:ptCount val="8"/>
                <c:pt idx="0">
                  <c:v>103.4</c:v>
                </c:pt>
                <c:pt idx="1">
                  <c:v>91.4</c:v>
                </c:pt>
                <c:pt idx="2">
                  <c:v>95</c:v>
                </c:pt>
                <c:pt idx="3">
                  <c:v>90.8</c:v>
                </c:pt>
                <c:pt idx="4">
                  <c:v>85.5</c:v>
                </c:pt>
                <c:pt idx="5" formatCode="_-* #,##0.0_-;\-* #,##0.0_-;_-* &quot;-&quot;??_-;_-@_-">
                  <c:v>86.737424657534248</c:v>
                </c:pt>
                <c:pt idx="6" formatCode="_-* #,##0.0_-;\-* #,##0.0_-;_-* &quot;-&quot;??_-;_-@_-">
                  <c:v>84.944653005464488</c:v>
                </c:pt>
                <c:pt idx="7" formatCode="_-* #,##0.0_-;\-* #,##0.0_-;_-* &quot;-&quot;??_-;_-@_-">
                  <c:v>81.116986301369877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248-BAFE-ADD5C487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3264"/>
        <c:axId val="135197824"/>
      </c:barChart>
      <c:catAx>
        <c:axId val="13516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197824"/>
        <c:crosses val="autoZero"/>
        <c:auto val="1"/>
        <c:lblAlgn val="ctr"/>
        <c:lblOffset val="100"/>
        <c:noMultiLvlLbl val="0"/>
      </c:catAx>
      <c:valAx>
        <c:axId val="135197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1632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'11'!$N$56</c:f>
              <c:strCache>
                <c:ptCount val="1"/>
                <c:pt idx="0">
                  <c:v>Petróleo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'11'!$O$55:$S$55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'11'!$O$56:$S$56</c:f>
              <c:numCache>
                <c:formatCode>0.0</c:formatCode>
                <c:ptCount val="5"/>
                <c:pt idx="0">
                  <c:v>52.126232155902827</c:v>
                </c:pt>
                <c:pt idx="1">
                  <c:v>60.079577566887167</c:v>
                </c:pt>
                <c:pt idx="2">
                  <c:v>53.5804578918898</c:v>
                </c:pt>
                <c:pt idx="3">
                  <c:v>50.951652538892233</c:v>
                </c:pt>
                <c:pt idx="4">
                  <c:v>48.753232100459108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0-4CBF-AF67-1038C1140808}"/>
            </c:ext>
          </c:extLst>
        </c:ser>
        <c:ser>
          <c:idx val="1"/>
          <c:order val="1"/>
          <c:tx>
            <c:strRef>
              <c:f>'11'!$N$57</c:f>
              <c:strCache>
                <c:ptCount val="1"/>
                <c:pt idx="0">
                  <c:v>Líquidos de Gas Natural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'11'!$O$55:$S$55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'11'!$O$57:$S$57</c:f>
              <c:numCache>
                <c:formatCode>0.0</c:formatCode>
                <c:ptCount val="5"/>
                <c:pt idx="0">
                  <c:v>80.586957949417581</c:v>
                </c:pt>
                <c:pt idx="1">
                  <c:v>78.411468268553946</c:v>
                </c:pt>
                <c:pt idx="2">
                  <c:v>78.591069066126025</c:v>
                </c:pt>
                <c:pt idx="3">
                  <c:v>79.035816584038841</c:v>
                </c:pt>
                <c:pt idx="4">
                  <c:v>83.139241336323565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0-4CBF-AF67-1038C114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556096"/>
        <c:axId val="135557888"/>
      </c:barChart>
      <c:catAx>
        <c:axId val="13555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557888"/>
        <c:crosses val="autoZero"/>
        <c:auto val="1"/>
        <c:lblAlgn val="ctr"/>
        <c:lblOffset val="100"/>
        <c:noMultiLvlLbl val="0"/>
      </c:catAx>
      <c:valAx>
        <c:axId val="13555788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55609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69257510552937"/>
          <c:y val="0.17954437043106578"/>
          <c:w val="0.75817536760541926"/>
          <c:h val="0.59332952319473875"/>
        </c:manualLayout>
      </c:layout>
      <c:areaChart>
        <c:grouping val="standard"/>
        <c:varyColors val="0"/>
        <c:ser>
          <c:idx val="0"/>
          <c:order val="0"/>
          <c:tx>
            <c:strRef>
              <c:f>'12'!$B$30</c:f>
              <c:strCache>
                <c:ptCount val="1"/>
                <c:pt idx="0">
                  <c:v>Total (MMPC)</c:v>
                </c:pt>
              </c:strCache>
            </c:strRef>
          </c:tx>
          <c:spPr>
            <a:pattFill prst="pct25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strRef>
              <c:f>'[1]5'!$V$31:$V$42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'12'!$C$30:$N$30</c:f>
              <c:numCache>
                <c:formatCode>#,##0.0</c:formatCode>
                <c:ptCount val="12"/>
                <c:pt idx="0">
                  <c:v>35650.983027499999</c:v>
                </c:pt>
                <c:pt idx="1">
                  <c:v>32824.112525800003</c:v>
                </c:pt>
                <c:pt idx="2">
                  <c:v>33100.082327199998</c:v>
                </c:pt>
                <c:pt idx="3">
                  <c:v>26138.222163700004</c:v>
                </c:pt>
                <c:pt idx="4">
                  <c:v>24206.824739600001</c:v>
                </c:pt>
                <c:pt idx="5">
                  <c:v>32043.852081600002</c:v>
                </c:pt>
                <c:pt idx="6">
                  <c:v>25538.857244200004</c:v>
                </c:pt>
                <c:pt idx="7">
                  <c:v>26378.8068847</c:v>
                </c:pt>
                <c:pt idx="8">
                  <c:v>38207.1168206</c:v>
                </c:pt>
                <c:pt idx="9">
                  <c:v>42386.876882600001</c:v>
                </c:pt>
                <c:pt idx="10">
                  <c:v>42842.928484400007</c:v>
                </c:pt>
                <c:pt idx="11">
                  <c:v>42371.849327199998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A-4C28-B11C-D40EFED0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57344"/>
        <c:axId val="135658880"/>
      </c:areaChart>
      <c:lineChart>
        <c:grouping val="standard"/>
        <c:varyColors val="0"/>
        <c:ser>
          <c:idx val="1"/>
          <c:order val="1"/>
          <c:tx>
            <c:v>Costa y Zócalo</c:v>
          </c:tx>
          <c:marker>
            <c:symbol val="diamond"/>
            <c:size val="9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'[1]5'!$W$20:$AH$20</c:f>
              <c:numCache>
                <c:formatCode>General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'12'!$C$32:$N$32</c:f>
              <c:numCache>
                <c:formatCode>#,##0</c:formatCode>
                <c:ptCount val="12"/>
                <c:pt idx="0">
                  <c:v>1305.5604051999999</c:v>
                </c:pt>
                <c:pt idx="1">
                  <c:v>1215.8453618000001</c:v>
                </c:pt>
                <c:pt idx="2">
                  <c:v>1265.4681328999998</c:v>
                </c:pt>
                <c:pt idx="3">
                  <c:v>1339.0352419000001</c:v>
                </c:pt>
                <c:pt idx="4">
                  <c:v>1408.1947817</c:v>
                </c:pt>
                <c:pt idx="5">
                  <c:v>1335.2559344000001</c:v>
                </c:pt>
                <c:pt idx="6">
                  <c:v>1403.3875829999999</c:v>
                </c:pt>
                <c:pt idx="7">
                  <c:v>1403.9668451</c:v>
                </c:pt>
                <c:pt idx="8">
                  <c:v>1330.8523147000001</c:v>
                </c:pt>
                <c:pt idx="9">
                  <c:v>1394.1732005000001</c:v>
                </c:pt>
                <c:pt idx="10">
                  <c:v>1391.0990775999999</c:v>
                </c:pt>
                <c:pt idx="11">
                  <c:v>1469.4316629999998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A-4C28-B11C-D40EFED0C183}"/>
            </c:ext>
          </c:extLst>
        </c:ser>
        <c:ser>
          <c:idx val="2"/>
          <c:order val="2"/>
          <c:tx>
            <c:v>Selva</c:v>
          </c:tx>
          <c:marker>
            <c:symbol val="circle"/>
            <c:size val="9"/>
            <c:spPr>
              <a:solidFill>
                <a:srgbClr val="C00000"/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'12'!$C$25:$N$25</c:f>
              <c:numCache>
                <c:formatCode>mmm\-yy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'12'!$C$33:$N$33</c:f>
              <c:numCache>
                <c:formatCode>#,##0</c:formatCode>
                <c:ptCount val="12"/>
                <c:pt idx="0">
                  <c:v>34345.422622300001</c:v>
                </c:pt>
                <c:pt idx="1">
                  <c:v>31608.267164000001</c:v>
                </c:pt>
                <c:pt idx="2">
                  <c:v>31834.6141943</c:v>
                </c:pt>
                <c:pt idx="3">
                  <c:v>24799.186921800003</c:v>
                </c:pt>
                <c:pt idx="4">
                  <c:v>22798.629957900001</c:v>
                </c:pt>
                <c:pt idx="5">
                  <c:v>30708.596147200002</c:v>
                </c:pt>
                <c:pt idx="6">
                  <c:v>24135.469661200001</c:v>
                </c:pt>
                <c:pt idx="7">
                  <c:v>24974.8400396</c:v>
                </c:pt>
                <c:pt idx="8">
                  <c:v>36876.264505900006</c:v>
                </c:pt>
                <c:pt idx="9">
                  <c:v>40992.703682100007</c:v>
                </c:pt>
                <c:pt idx="10">
                  <c:v>41451.829406800003</c:v>
                </c:pt>
                <c:pt idx="11">
                  <c:v>40902.417664199995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A-4C28-B11C-D40EFED0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57344"/>
        <c:axId val="135658880"/>
      </c:lineChart>
      <c:catAx>
        <c:axId val="135657344"/>
        <c:scaling>
          <c:orientation val="minMax"/>
          <c:max val="12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658880"/>
        <c:crosses val="autoZero"/>
        <c:auto val="1"/>
        <c:lblAlgn val="ctr"/>
        <c:lblOffset val="100"/>
        <c:noMultiLvlLbl val="1"/>
      </c:catAx>
      <c:valAx>
        <c:axId val="135658880"/>
        <c:scaling>
          <c:orientation val="minMax"/>
          <c:max val="48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PE"/>
                  <a:t>MMPC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35657344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33431450841672022"/>
          <c:y val="0.89790142202575141"/>
          <c:w val="0.36194467176077949"/>
          <c:h val="5.190425198984637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73862642169729"/>
          <c:y val="0.15492814709364675"/>
          <c:w val="0.82870581802274712"/>
          <c:h val="0.75224005060653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'13'!$C$6:$K$6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'13'!$C$23:$K$23</c:f>
              <c:numCache>
                <c:formatCode>#,##0.00</c:formatCode>
                <c:ptCount val="8"/>
                <c:pt idx="0">
                  <c:v>1250.4000000000001</c:v>
                </c:pt>
                <c:pt idx="1">
                  <c:v>1208.9000000000001</c:v>
                </c:pt>
                <c:pt idx="2">
                  <c:v>1354.6</c:v>
                </c:pt>
                <c:pt idx="3">
                  <c:v>1252.2</c:v>
                </c:pt>
                <c:pt idx="4">
                  <c:v>1230.8</c:v>
                </c:pt>
                <c:pt idx="5">
                  <c:v>1299.2736301369862</c:v>
                </c:pt>
                <c:pt idx="6">
                  <c:v>1160.7304548480874</c:v>
                </c:pt>
                <c:pt idx="7">
                  <c:v>1100.5219520797259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2-42B1-8054-1BFE8F12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59488"/>
        <c:axId val="134961024"/>
      </c:barChart>
      <c:catAx>
        <c:axId val="13495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s-PE"/>
          </a:p>
        </c:txPr>
        <c:crossAx val="134961024"/>
        <c:crosses val="autoZero"/>
        <c:auto val="1"/>
        <c:lblAlgn val="ctr"/>
        <c:lblOffset val="100"/>
        <c:noMultiLvlLbl val="0"/>
      </c:catAx>
      <c:valAx>
        <c:axId val="134961024"/>
        <c:scaling>
          <c:orientation val="minMax"/>
          <c:max val="1400"/>
          <c:min val="1000"/>
        </c:scaling>
        <c:delete val="0"/>
        <c:axPos val="l"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s-PE"/>
          </a:p>
        </c:txPr>
        <c:crossAx val="1349594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'13'!$C$79:$G$79</c:f>
              <c:numCache>
                <c:formatCode>0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'13'!$C$80:$G$80</c:f>
              <c:numCache>
                <c:formatCode>_ * #,##0.0_ ;_ * \-#,##0.0_ ;_ * "-"??_ ;_ @_ </c:formatCode>
                <c:ptCount val="4"/>
                <c:pt idx="0">
                  <c:v>1294.9358856485517</c:v>
                </c:pt>
                <c:pt idx="1">
                  <c:v>1329.5060427766023</c:v>
                </c:pt>
                <c:pt idx="2">
                  <c:v>1370.2851550001415</c:v>
                </c:pt>
                <c:pt idx="3">
                  <c:v>1444.9102300495522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5-4091-AE23-3E0D7FE1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90080"/>
        <c:axId val="135020544"/>
      </c:barChart>
      <c:catAx>
        <c:axId val="1349900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5020544"/>
        <c:crosses val="autoZero"/>
        <c:auto val="1"/>
        <c:lblAlgn val="ctr"/>
        <c:lblOffset val="100"/>
        <c:noMultiLvlLbl val="0"/>
      </c:catAx>
      <c:valAx>
        <c:axId val="135020544"/>
        <c:scaling>
          <c:orientation val="minMax"/>
        </c:scaling>
        <c:delete val="0"/>
        <c:axPos val="l"/>
        <c:numFmt formatCode="_ * #,##0.0_ ;_ * \-#,##0.0_ ;_ * &quot;-&quot;??_ ;_ @_ " sourceLinked="1"/>
        <c:majorTickMark val="out"/>
        <c:minorTickMark val="none"/>
        <c:tickLblPos val="nextTo"/>
        <c:crossAx val="1349900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670436649964203E-2"/>
          <c:y val="0.23658573928258966"/>
          <c:w val="0.85873194941541398"/>
          <c:h val="0.64743438320209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'14'!$A$7</c:f>
              <c:strCache>
                <c:ptCount val="1"/>
                <c:pt idx="0">
                  <c:v>EXPLORACIÓN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1-13A2-4761-9A44-0A6D982BC6B9}"/>
              </c:ext>
            </c:extLst>
          </c:dPt>
          <c:dPt>
            <c:idx val="9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7-DF92-4967-836D-E4EF085BA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'14'!$B$6:$J$6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'14'!$B$12:$J$12</c:f>
              <c:numCache>
                <c:formatCode>0</c:formatCode>
                <c:ptCount val="8"/>
                <c:pt idx="0">
                  <c:v>501.76</c:v>
                </c:pt>
                <c:pt idx="1">
                  <c:v>316.69</c:v>
                </c:pt>
                <c:pt idx="2">
                  <c:v>46.95</c:v>
                </c:pt>
                <c:pt idx="3">
                  <c:v>17.079999999999998</c:v>
                </c:pt>
                <c:pt idx="4">
                  <c:v>40.76</c:v>
                </c:pt>
                <c:pt idx="5">
                  <c:v>57.727806999999999</c:v>
                </c:pt>
                <c:pt idx="6">
                  <c:v>61.1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92-4967-836D-E4EF085BA8F6}"/>
            </c:ext>
          </c:extLst>
        </c:ser>
        <c:ser>
          <c:idx val="1"/>
          <c:order val="1"/>
          <c:tx>
            <c:strRef>
              <c:f>'14'!$A$8</c:f>
              <c:strCache>
                <c:ptCount val="1"/>
                <c:pt idx="0">
                  <c:v>EXPLOTACIÓN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3A2-4761-9A44-0A6D982BC6B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F92-4967-836D-E4EF085BA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'14'!$B$6:$J$6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'14'!$B$13:$J$13</c:f>
              <c:numCache>
                <c:formatCode>0</c:formatCode>
                <c:ptCount val="8"/>
                <c:pt idx="0">
                  <c:v>688.01</c:v>
                </c:pt>
                <c:pt idx="1">
                  <c:v>438.23</c:v>
                </c:pt>
                <c:pt idx="2">
                  <c:v>285.69</c:v>
                </c:pt>
                <c:pt idx="3">
                  <c:v>469.79</c:v>
                </c:pt>
                <c:pt idx="4">
                  <c:v>561.16999999999996</c:v>
                </c:pt>
                <c:pt idx="5">
                  <c:v>561.99657999999999</c:v>
                </c:pt>
                <c:pt idx="6">
                  <c:v>184.55</c:v>
                </c:pt>
                <c:pt idx="7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F92-4967-836D-E4EF085B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54816"/>
        <c:axId val="135956352"/>
      </c:barChart>
      <c:catAx>
        <c:axId val="1359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956352"/>
        <c:crosses val="autoZero"/>
        <c:auto val="1"/>
        <c:lblAlgn val="ctr"/>
        <c:lblOffset val="100"/>
        <c:noMultiLvlLbl val="0"/>
      </c:catAx>
      <c:valAx>
        <c:axId val="13595635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3595481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4916783583870203"/>
          <c:y val="0.12037037037037036"/>
          <c:w val="0.32105826771653545"/>
          <c:h val="6.9302639253426654E-2"/>
        </c:manualLayout>
      </c:layout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670436649964203E-2"/>
          <c:y val="0.23658573928258966"/>
          <c:w val="0.85873194941541398"/>
          <c:h val="0.64743438320209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'16'!$A$7</c:f>
              <c:strCache>
                <c:ptCount val="1"/>
                <c:pt idx="0">
                  <c:v>EXPLORACIÓN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1-490C-496C-B309-3017DE319368}"/>
              </c:ext>
            </c:extLst>
          </c:dPt>
          <c:dPt>
            <c:idx val="7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3-490C-496C-B309-3017DE319368}"/>
              </c:ext>
            </c:extLst>
          </c:dPt>
          <c:dPt>
            <c:idx val="8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5-490C-496C-B309-3017DE319368}"/>
              </c:ext>
            </c:extLst>
          </c:dPt>
          <c:dPt>
            <c:idx val="9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7-490C-496C-B309-3017DE319368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E2-47E9-8776-835914AA16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A5-44DA-9760-94059F395D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'16'!$B$6:$F$6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'16'!$B$7:$E$7</c:f>
              <c:numCache>
                <c:formatCode>0</c:formatCode>
                <c:ptCount val="4"/>
                <c:pt idx="0">
                  <c:v>4.6323878699999996</c:v>
                </c:pt>
                <c:pt idx="1">
                  <c:v>99.27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0C-496C-B309-3017DE319368}"/>
            </c:ext>
          </c:extLst>
        </c:ser>
        <c:ser>
          <c:idx val="1"/>
          <c:order val="1"/>
          <c:tx>
            <c:strRef>
              <c:f>'16'!$A$8</c:f>
              <c:strCache>
                <c:ptCount val="1"/>
                <c:pt idx="0">
                  <c:v>EXPLOTACIÓN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90C-496C-B309-3017DE31936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90C-496C-B309-3017DE31936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90C-496C-B309-3017DE31936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90C-496C-B309-3017DE31936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90C-496C-B309-3017DE319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'16'!$B$6:$F$6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'16'!$B$8:$F$8</c:f>
              <c:numCache>
                <c:formatCode>0</c:formatCode>
                <c:ptCount val="5"/>
                <c:pt idx="0">
                  <c:v>392.69381916376921</c:v>
                </c:pt>
                <c:pt idx="1">
                  <c:v>366.54710724488223</c:v>
                </c:pt>
                <c:pt idx="2">
                  <c:v>475.7120535453015</c:v>
                </c:pt>
                <c:pt idx="3">
                  <c:v>522.6670842567587</c:v>
                </c:pt>
                <c:pt idx="4">
                  <c:v>609.09866051986342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90C-496C-B309-3017DE31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6752"/>
        <c:axId val="136044928"/>
      </c:barChart>
      <c:catAx>
        <c:axId val="13602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044928"/>
        <c:crosses val="autoZero"/>
        <c:auto val="1"/>
        <c:lblAlgn val="ctr"/>
        <c:lblOffset val="100"/>
        <c:noMultiLvlLbl val="0"/>
      </c:catAx>
      <c:valAx>
        <c:axId val="13604492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3602675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4916783583870203"/>
          <c:y val="0.12037037037037036"/>
          <c:w val="0.32105826771653545"/>
          <c:h val="6.9302639253426654E-2"/>
        </c:manualLayout>
      </c:layout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18812318126465"/>
          <c:y val="0.2130551214891945"/>
          <c:w val="0.81462248468941378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'21'!$B$6:$J$6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'21'!$B$11:$J$11</c:f>
              <c:numCache>
                <c:formatCode>_(* #,##0.00_);_(* \(#,##0.00\);_(* "-"??_);_(@_)</c:formatCode>
                <c:ptCount val="8"/>
                <c:pt idx="0">
                  <c:v>1690.63</c:v>
                </c:pt>
                <c:pt idx="1">
                  <c:v>768.96140000000003</c:v>
                </c:pt>
                <c:pt idx="2">
                  <c:v>660.25459999999998</c:v>
                </c:pt>
                <c:pt idx="3">
                  <c:v>828.83</c:v>
                </c:pt>
                <c:pt idx="4">
                  <c:v>1092.93</c:v>
                </c:pt>
                <c:pt idx="5">
                  <c:v>837.19</c:v>
                </c:pt>
                <c:pt idx="6">
                  <c:v>538.28599800000006</c:v>
                </c:pt>
                <c:pt idx="7">
                  <c:v>1279.093038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4-4919-8F89-D7205665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66560"/>
        <c:axId val="136068096"/>
      </c:barChart>
      <c:catAx>
        <c:axId val="1360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068096"/>
        <c:crosses val="autoZero"/>
        <c:auto val="1"/>
        <c:lblAlgn val="ctr"/>
        <c:lblOffset val="100"/>
        <c:noMultiLvlLbl val="0"/>
      </c:catAx>
      <c:valAx>
        <c:axId val="1360680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60665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55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890258482087645"/>
          <c:y val="0.15962457616264347"/>
          <c:w val="0.84874011167452235"/>
          <c:h val="0.7085070147928286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20-4C3C-A5CC-556C64F21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20-4C3C-A5CC-556C64F210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20-4C3C-A5CC-556C64F210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20-4C3C-A5CC-556C64F210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020-4C3C-A5CC-556C64F210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020-4C3C-A5CC-556C64F210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'23'!$A$6:$A$11</c:f>
              <c:strCache>
                <c:ptCount val="6"/>
                <c:pt idx="0">
                  <c:v>Piura</c:v>
                </c:pt>
                <c:pt idx="1">
                  <c:v>Tumbes</c:v>
                </c:pt>
                <c:pt idx="2">
                  <c:v>Prov. Puerto Inca - Huánuco</c:v>
                </c:pt>
                <c:pt idx="3">
                  <c:v>Loreto</c:v>
                </c:pt>
                <c:pt idx="4">
                  <c:v>Ucayali</c:v>
                </c:pt>
                <c:pt idx="5">
                  <c:v>Cusco</c:v>
                </c:pt>
              </c:strCache>
            </c:strRef>
          </c:cat>
          <c:val>
            <c:numRef>
              <c:f>'23'!$L$6:$L$11</c:f>
              <c:numCache>
                <c:formatCode>General</c:formatCode>
                <c:ptCount val="6"/>
                <c:pt idx="0">
                  <c:v>441.03</c:v>
                </c:pt>
                <c:pt idx="1">
                  <c:v>110.42</c:v>
                </c:pt>
                <c:pt idx="2">
                  <c:v>18.5</c:v>
                </c:pt>
                <c:pt idx="3">
                  <c:v>123.67</c:v>
                </c:pt>
                <c:pt idx="4">
                  <c:v>37.69</c:v>
                </c:pt>
                <c:pt idx="5" formatCode="#,##0.00">
                  <c:v>2076.63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B-4182-9EB3-6149464E1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123359580052555E-3"/>
          <c:y val="0.12094852726742489"/>
          <c:w val="0.20884216698043634"/>
          <c:h val="0.767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306491</xdr:colOff>
      <xdr:row>38</xdr:row>
      <xdr:rowOff>16933</xdr:rowOff>
    </xdr:from>
    <xdr:to>
      <xdr:col>20</xdr:col>
      <xdr:colOff>152399</xdr:colOff>
      <xdr:row>53</xdr:row>
      <xdr:rowOff>8466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0.01482</cdr:x>
      <cdr:y>0.05247</cdr:y>
    </cdr:from>
    <cdr:to>
      <cdr:x>0.11111</cdr:x>
      <cdr:y>0.1142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67735" y="143933"/>
          <a:ext cx="440266" cy="169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Km</a:t>
          </a:r>
        </a:p>
      </cdr:txBody>
    </cdr:sp>
  </cdr:relSizeAnchor>
  <cdr:relSizeAnchor xmlns:cdr="http://schemas.openxmlformats.org/drawingml/2006/chartDrawing">
    <cdr:from>
      <cdr:x>0.21912</cdr:x>
      <cdr:y>0.16358</cdr:y>
    </cdr:from>
    <cdr:to>
      <cdr:x>0.22097</cdr:x>
      <cdr:y>0.83951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049658" y="455657"/>
          <a:ext cx="8862" cy="1882826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0.84208</cdr:x>
      <cdr:y>0.15755</cdr:y>
    </cdr:from>
    <cdr:to>
      <cdr:x>0.84393</cdr:x>
      <cdr:y>0.83347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033923" y="438865"/>
          <a:ext cx="8862" cy="1882797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405551</xdr:colOff>
      <xdr:row>25</xdr:row>
      <xdr:rowOff>99060</xdr:rowOff>
    </xdr:from>
    <xdr:to>
      <xdr:col>20</xdr:col>
      <xdr:colOff>716280</xdr:colOff>
      <xdr:row>40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0.05742</cdr:x>
      <cdr:y>0.00815</cdr:y>
    </cdr:from>
    <cdr:to>
      <cdr:x>0.14803</cdr:x>
      <cdr:y>0.08864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297860" y="22416"/>
          <a:ext cx="470070" cy="221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Km</a:t>
          </a:r>
          <a:r>
            <a:rPr lang="es-PE" sz="900" b="1" baseline="30000"/>
            <a:t>2</a:t>
          </a:r>
        </a:p>
      </cdr:txBody>
    </cdr:sp>
  </cdr:relSizeAnchor>
  <cdr:relSizeAnchor xmlns:cdr="http://schemas.openxmlformats.org/drawingml/2006/chartDrawing">
    <cdr:from>
      <cdr:x>0.2413</cdr:x>
      <cdr:y>0.09156</cdr:y>
    </cdr:from>
    <cdr:to>
      <cdr:x>0.24315</cdr:x>
      <cdr:y>0.76749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251742" y="251855"/>
          <a:ext cx="9596" cy="1859361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0.80683</cdr:x>
      <cdr:y>0.09107</cdr:y>
    </cdr:from>
    <cdr:to>
      <cdr:x>0.80868</cdr:x>
      <cdr:y>0.76699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185434" y="250512"/>
          <a:ext cx="9597" cy="1859334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</xdr:row>
      <xdr:rowOff>47626</xdr:rowOff>
    </xdr:from>
    <xdr:to>
      <xdr:col>14</xdr:col>
      <xdr:colOff>1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138851</xdr:colOff>
      <xdr:row>32</xdr:row>
      <xdr:rowOff>137160</xdr:rowOff>
    </xdr:from>
    <xdr:to>
      <xdr:col>12</xdr:col>
      <xdr:colOff>373380</xdr:colOff>
      <xdr:row>47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0.05742</cdr:x>
      <cdr:y>0.00815</cdr:y>
    </cdr:from>
    <cdr:to>
      <cdr:x>0.14803</cdr:x>
      <cdr:y>0.08864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297860" y="22416"/>
          <a:ext cx="470070" cy="221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N°</a:t>
          </a:r>
          <a:endParaRPr lang="es-PE" sz="900" b="1" baseline="30000"/>
        </a:p>
      </cdr:txBody>
    </cdr:sp>
  </cdr:relSizeAnchor>
  <cdr:relSizeAnchor xmlns:cdr="http://schemas.openxmlformats.org/drawingml/2006/chartDrawing">
    <cdr:from>
      <cdr:x>0.2413</cdr:x>
      <cdr:y>0.09156</cdr:y>
    </cdr:from>
    <cdr:to>
      <cdr:x>0.24315</cdr:x>
      <cdr:y>0.76749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251742" y="251855"/>
          <a:ext cx="9596" cy="1859361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0.80683</cdr:x>
      <cdr:y>0.09107</cdr:y>
    </cdr:from>
    <cdr:to>
      <cdr:x>0.80868</cdr:x>
      <cdr:y>0.76699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185434" y="250512"/>
          <a:ext cx="9597" cy="1859334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18</xdr:row>
      <xdr:rowOff>38100</xdr:rowOff>
    </xdr:from>
    <xdr:to>
      <xdr:col>13</xdr:col>
      <xdr:colOff>609600</xdr:colOff>
      <xdr:row>34</xdr:row>
      <xdr:rowOff>99060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18</xdr:row>
      <xdr:rowOff>38100</xdr:rowOff>
    </xdr:from>
    <xdr:to>
      <xdr:col>13</xdr:col>
      <xdr:colOff>609600</xdr:colOff>
      <xdr:row>34</xdr:row>
      <xdr:rowOff>99060</xdr:rowOff>
    </xdr:to>
    <xdr:graphicFrame macro="">
      <xdr:nvGraphicFramePr>
        <xdr:cNvPr id="3" name="4 Gráfic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405342</xdr:colOff>
      <xdr:row>8</xdr:row>
      <xdr:rowOff>8044</xdr:rowOff>
    </xdr:from>
    <xdr:to>
      <xdr:col>24</xdr:col>
      <xdr:colOff>554485</xdr:colOff>
      <xdr:row>22</xdr:row>
      <xdr:rowOff>95840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7621</xdr:colOff>
      <xdr:row>28</xdr:row>
      <xdr:rowOff>60960</xdr:rowOff>
    </xdr:from>
    <xdr:to>
      <xdr:col>24</xdr:col>
      <xdr:colOff>68580</xdr:colOff>
      <xdr:row>41</xdr:row>
      <xdr:rowOff>72668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11</xdr:row>
      <xdr:rowOff>104775</xdr:rowOff>
    </xdr:from>
    <xdr:to>
      <xdr:col>18</xdr:col>
      <xdr:colOff>82924</xdr:colOff>
      <xdr:row>26</xdr:row>
      <xdr:rowOff>10085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95250</xdr:colOff>
      <xdr:row>31</xdr:row>
      <xdr:rowOff>125730</xdr:rowOff>
    </xdr:from>
    <xdr:to>
      <xdr:col>18</xdr:col>
      <xdr:colOff>101974</xdr:colOff>
      <xdr:row>46</xdr:row>
      <xdr:rowOff>31040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32385</xdr:colOff>
      <xdr:row>59</xdr:row>
      <xdr:rowOff>7620</xdr:rowOff>
    </xdr:from>
    <xdr:to>
      <xdr:col>19</xdr:col>
      <xdr:colOff>419100</xdr:colOff>
      <xdr:row>71</xdr:row>
      <xdr:rowOff>91440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0.00624</cdr:x>
      <cdr:y>0.0618</cdr:y>
    </cdr:from>
    <cdr:to>
      <cdr:x>0.13522</cdr:x>
      <cdr:y>0.13452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48A3056-6711-4867-B124-9D93B1DC565B}"/>
            </a:ext>
          </a:extLst>
        </cdr:cNvPr>
        <cdr:cNvSpPr txBox="1"/>
      </cdr:nvSpPr>
      <cdr:spPr>
        <a:xfrm xmlns:a="http://schemas.openxmlformats.org/drawingml/2006/main">
          <a:off x="28575" y="161925"/>
          <a:ext cx="5905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0.00624</cdr:x>
      <cdr:y>0.0618</cdr:y>
    </cdr:from>
    <cdr:to>
      <cdr:x>0.13522</cdr:x>
      <cdr:y>0.13452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48A3056-6711-4867-B124-9D93B1DC565B}"/>
            </a:ext>
          </a:extLst>
        </cdr:cNvPr>
        <cdr:cNvSpPr txBox="1"/>
      </cdr:nvSpPr>
      <cdr:spPr>
        <a:xfrm xmlns:a="http://schemas.openxmlformats.org/drawingml/2006/main">
          <a:off x="28575" y="161925"/>
          <a:ext cx="5905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0.03241</cdr:y>
    </cdr:from>
    <cdr:to>
      <cdr:x>0.14028</cdr:x>
      <cdr:y>0.10186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C7BED85-B65E-4B0F-9351-4467BFA9B8B6}"/>
            </a:ext>
          </a:extLst>
        </cdr:cNvPr>
        <cdr:cNvSpPr txBox="1"/>
      </cdr:nvSpPr>
      <cdr:spPr>
        <a:xfrm xmlns:a="http://schemas.openxmlformats.org/drawingml/2006/main">
          <a:off x="50800" y="88900"/>
          <a:ext cx="590564" cy="190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37</xdr:row>
      <xdr:rowOff>45719</xdr:rowOff>
    </xdr:from>
    <xdr:to>
      <xdr:col>8</xdr:col>
      <xdr:colOff>487680</xdr:colOff>
      <xdr:row>58</xdr:row>
      <xdr:rowOff>83820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</xdr:colOff>
      <xdr:row>28</xdr:row>
      <xdr:rowOff>22860</xdr:rowOff>
    </xdr:from>
    <xdr:to>
      <xdr:col>9</xdr:col>
      <xdr:colOff>538906</xdr:colOff>
      <xdr:row>47</xdr:row>
      <xdr:rowOff>104712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54</xdr:row>
      <xdr:rowOff>53340</xdr:rowOff>
    </xdr:from>
    <xdr:to>
      <xdr:col>9</xdr:col>
      <xdr:colOff>116099</xdr:colOff>
      <xdr:row>74</xdr:row>
      <xdr:rowOff>74128</xdr:rowOff>
    </xdr:to>
    <xdr:graphicFrame macro="">
      <xdr:nvGraphicFramePr>
        <xdr:cNvPr id="3" name="6 Gráfic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0.01859</cdr:x>
      <cdr:y>0.02157</cdr:y>
    </cdr:from>
    <cdr:to>
      <cdr:x>0.15339</cdr:x>
      <cdr:y>0.09537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6A589DC-E880-4D00-9CA2-12339DA9C2CD}"/>
            </a:ext>
          </a:extLst>
        </cdr:cNvPr>
        <cdr:cNvSpPr txBox="1"/>
      </cdr:nvSpPr>
      <cdr:spPr>
        <a:xfrm xmlns:a="http://schemas.openxmlformats.org/drawingml/2006/main">
          <a:off x="88899" y="60324"/>
          <a:ext cx="644525" cy="206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1000" b="1"/>
            <a:t>MMPCD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522385</xdr:colOff>
      <xdr:row>17</xdr:row>
      <xdr:rowOff>127635</xdr:rowOff>
    </xdr:from>
    <xdr:to>
      <xdr:col>9</xdr:col>
      <xdr:colOff>541020</xdr:colOff>
      <xdr:row>37</xdr:row>
      <xdr:rowOff>26670</xdr:rowOff>
    </xdr:to>
    <xdr:grpSp>
      <xdr:nvGrpSpPr>
        <xdr:cNvPr id="2" name="3 Grup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046385" y="2613660"/>
          <a:ext cx="4543010" cy="2737485"/>
          <a:chOff x="877408" y="1605450"/>
          <a:chExt cx="5290039" cy="2743200"/>
        </a:xfrm>
      </xdr:grpSpPr>
      <xdr:graphicFrame macro="">
        <xdr:nvGraphicFramePr>
          <xdr:cNvPr id="3" name="1 Gráfico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28697" y="1605450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2 CuadroTexto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 txBox="1"/>
        </xdr:nvSpPr>
        <xdr:spPr>
          <a:xfrm>
            <a:off x="877408" y="1809750"/>
            <a:ext cx="680251" cy="21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800">
                <a:latin typeface="Arial Narrow" panose="020B0606020202030204" pitchFamily="34" charset="0"/>
              </a:rPr>
              <a:t>US$ Millones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14</xdr:row>
      <xdr:rowOff>28575</xdr:rowOff>
    </xdr:from>
    <xdr:to>
      <xdr:col>7</xdr:col>
      <xdr:colOff>85725</xdr:colOff>
      <xdr:row>33</xdr:row>
      <xdr:rowOff>57150</xdr:rowOff>
    </xdr:to>
    <xdr:grpSp>
      <xdr:nvGrpSpPr>
        <xdr:cNvPr id="2" name="3 Grup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647700" y="2143125"/>
          <a:ext cx="4772025" cy="2743200"/>
          <a:chOff x="609600" y="1690687"/>
          <a:chExt cx="5238750" cy="2743200"/>
        </a:xfrm>
      </xdr:grpSpPr>
      <xdr:graphicFrame macro="">
        <xdr:nvGraphicFramePr>
          <xdr:cNvPr id="3" name="1 Gráfico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609600" y="1690687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2 CuadroTexto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 txBox="1"/>
        </xdr:nvSpPr>
        <xdr:spPr>
          <a:xfrm>
            <a:off x="647700" y="2019300"/>
            <a:ext cx="680251" cy="21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800">
                <a:latin typeface="Arial Narrow" panose="020B0606020202030204" pitchFamily="34" charset="0"/>
              </a:rPr>
              <a:t>US$ Millones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17</xdr:row>
      <xdr:rowOff>9525</xdr:rowOff>
    </xdr:from>
    <xdr:to>
      <xdr:col>8</xdr:col>
      <xdr:colOff>488157</xdr:colOff>
      <xdr:row>36</xdr:row>
      <xdr:rowOff>95931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0.02831</cdr:x>
      <cdr:y>0.08275</cdr:y>
    </cdr:from>
    <cdr:to>
      <cdr:x>0.15682</cdr:x>
      <cdr:y>0.15774</cdr:y>
    </cdr:to>
    <cdr:sp macro="" textlink="">
      <cdr:nvSpPr>
        <cdr:cNvPr id="2" name="2 CuadroTexto">
          <a:extLst xmlns:a="http://schemas.openxmlformats.org/drawingml/2006/main">
            <a:ext uri="{FF2B5EF4-FFF2-40B4-BE49-F238E27FC236}">
              <a16:creationId xmlns:a16="http://schemas.microsoft.com/office/drawing/2014/main" id="{CF04A676-17CD-4296-AF42-0A93D781367C}"/>
            </a:ext>
          </a:extLst>
        </cdr:cNvPr>
        <cdr:cNvSpPr txBox="1"/>
      </cdr:nvSpPr>
      <cdr:spPr>
        <a:xfrm xmlns:a="http://schemas.openxmlformats.org/drawingml/2006/main">
          <a:off x="136525" y="231775"/>
          <a:ext cx="619647" cy="2100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800">
              <a:latin typeface="Arial Narrow" panose="020B0606020202030204" pitchFamily="34" charset="0"/>
            </a:rPr>
            <a:t>US$ Millones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571499</xdr:colOff>
      <xdr:row>15</xdr:row>
      <xdr:rowOff>100011</xdr:rowOff>
    </xdr:from>
    <xdr:to>
      <xdr:col>8</xdr:col>
      <xdr:colOff>695324</xdr:colOff>
      <xdr:row>31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1BA623-BD7B-CFB2-0607-05C7D2AEC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DY%20DEEH/EXPEDIENTES/ESTADISTICAS/I-2632-2019%20-DPTC%20(ANUARIO%20ESTAD&#205;STICO)/Anuario%20al%202018/CAPITULO%20II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fuerte\AppData\Local\Microsoft\Windows\INetCache\Content.Outlook\N10LLP5V\Contratos%20Vigentes%20Explotaci&#243;n%20a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</sheetNames>
    <sheetDataSet>
      <sheetData sheetId="0"/>
      <sheetData sheetId="1">
        <row r="8">
          <cell r="W8" t="str">
            <v>Costa</v>
          </cell>
        </row>
        <row r="9">
          <cell r="W9" t="str">
            <v>Zócalo</v>
          </cell>
        </row>
        <row r="10">
          <cell r="W10" t="str">
            <v>Selva</v>
          </cell>
        </row>
      </sheetData>
      <sheetData sheetId="2">
        <row r="71">
          <cell r="R71" t="str">
            <v>ZÓCALO</v>
          </cell>
        </row>
        <row r="72">
          <cell r="R72" t="str">
            <v>SELVA</v>
          </cell>
        </row>
        <row r="73">
          <cell r="R73" t="str">
            <v>COSTA</v>
          </cell>
        </row>
      </sheetData>
      <sheetData sheetId="3"/>
      <sheetData sheetId="4">
        <row r="20">
          <cell r="W20">
            <v>43101</v>
          </cell>
          <cell r="X20">
            <v>43132</v>
          </cell>
          <cell r="Y20">
            <v>43160</v>
          </cell>
          <cell r="Z20">
            <v>43191</v>
          </cell>
          <cell r="AA20">
            <v>43221</v>
          </cell>
          <cell r="AB20">
            <v>43252</v>
          </cell>
          <cell r="AC20">
            <v>43282</v>
          </cell>
          <cell r="AD20">
            <v>43313</v>
          </cell>
          <cell r="AE20">
            <v>43344</v>
          </cell>
          <cell r="AF20">
            <v>43374</v>
          </cell>
          <cell r="AG20">
            <v>43405</v>
          </cell>
          <cell r="AH20">
            <v>43435</v>
          </cell>
        </row>
        <row r="31">
          <cell r="V31" t="str">
            <v>Ene</v>
          </cell>
        </row>
        <row r="32">
          <cell r="V32" t="str">
            <v>Feb</v>
          </cell>
        </row>
        <row r="33">
          <cell r="V33" t="str">
            <v>Mar</v>
          </cell>
        </row>
        <row r="34">
          <cell r="V34" t="str">
            <v>Abr</v>
          </cell>
        </row>
        <row r="35">
          <cell r="V35" t="str">
            <v>May</v>
          </cell>
        </row>
        <row r="36">
          <cell r="V36" t="str">
            <v>Jun</v>
          </cell>
        </row>
        <row r="37">
          <cell r="V37" t="str">
            <v>Jul</v>
          </cell>
        </row>
        <row r="38">
          <cell r="V38" t="str">
            <v>Ago</v>
          </cell>
        </row>
        <row r="39">
          <cell r="V39" t="str">
            <v>Sep</v>
          </cell>
        </row>
        <row r="40">
          <cell r="V40" t="str">
            <v>Oct</v>
          </cell>
        </row>
        <row r="41">
          <cell r="V41" t="str">
            <v>Nov</v>
          </cell>
        </row>
        <row r="42">
          <cell r="V42" t="str">
            <v>Dic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"/>
    </sheetNames>
    <sheetDataSet>
      <sheetData sheetId="0">
        <row r="13">
          <cell r="K13">
            <v>11</v>
          </cell>
        </row>
        <row r="14">
          <cell r="K14">
            <v>3</v>
          </cell>
        </row>
        <row r="15">
          <cell r="K15">
            <v>11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fitToPage="1"/>
  </sheetPr>
  <dimension ref="A1:V58"/>
  <sheetViews>
    <sheetView showGridLines="0" tabSelected="1" zoomScale="90" zoomScaleNormal="90" workbookViewId="0">
      <selection activeCell="M19" sqref="M19"/>
    </sheetView>
  </sheetViews>
  <sheetFormatPr baseColWidth="10" defaultColWidth="9.5703125" defaultRowHeight="14.45" customHeight="1" x14ac:dyDescent="0.2"/>
  <cols>
    <col min="1" max="1" width="14.28515625" style="1" customWidth="1"/>
    <col min="2" max="2" width="9.5703125" style="2"/>
    <col min="3" max="3" width="9.5703125" style="3" hidden="1" customWidth="1"/>
    <col min="4" max="9" width="9.5703125" style="3"/>
    <col min="10" max="11" width="9.5703125" style="4"/>
    <col min="12" max="13" width="9.7109375" style="5" customWidth="1"/>
    <col min="14" max="16384" width="9.5703125" style="5"/>
  </cols>
  <sheetData>
    <row r="1" spans="1:16" ht="14.45" customHeight="1" x14ac:dyDescent="0.2">
      <c r="A1" s="2"/>
    </row>
    <row r="2" spans="1:16" ht="14.45" customHeight="1" x14ac:dyDescent="0.25">
      <c r="A2" s="280" t="s">
        <v>493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M2"/>
    </row>
    <row r="3" spans="1:16" ht="14.45" customHeight="1" x14ac:dyDescent="0.25">
      <c r="M3"/>
    </row>
    <row r="4" spans="1:16" s="6" customFormat="1" ht="14.45" customHeight="1" x14ac:dyDescent="0.25">
      <c r="A4" s="282" t="s">
        <v>770</v>
      </c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4"/>
      <c r="M4"/>
    </row>
    <row r="5" spans="1:16" s="6" customFormat="1" ht="14.45" customHeight="1" x14ac:dyDescent="0.25">
      <c r="A5" s="285"/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7"/>
      <c r="M5"/>
    </row>
    <row r="6" spans="1:16" s="6" customFormat="1" ht="14.45" customHeight="1" x14ac:dyDescent="0.25">
      <c r="A6" s="208" t="s">
        <v>0</v>
      </c>
      <c r="B6" s="208" t="s">
        <v>1</v>
      </c>
      <c r="C6" s="208">
        <v>2012</v>
      </c>
      <c r="D6" s="208">
        <v>2013</v>
      </c>
      <c r="E6" s="208">
        <v>2014</v>
      </c>
      <c r="F6" s="208">
        <v>2015</v>
      </c>
      <c r="G6" s="208">
        <v>2016</v>
      </c>
      <c r="H6" s="208">
        <v>2017</v>
      </c>
      <c r="I6" s="208">
        <v>2018</v>
      </c>
      <c r="J6" s="209">
        <v>2019</v>
      </c>
      <c r="K6" s="209">
        <v>2020</v>
      </c>
      <c r="L6" s="208">
        <v>2021</v>
      </c>
      <c r="M6"/>
    </row>
    <row r="7" spans="1:16" ht="14.45" customHeight="1" x14ac:dyDescent="0.25">
      <c r="A7" s="210" t="s">
        <v>2</v>
      </c>
      <c r="B7" s="211" t="s">
        <v>3</v>
      </c>
      <c r="C7" s="212" t="s">
        <v>4</v>
      </c>
      <c r="D7" s="212" t="s">
        <v>4</v>
      </c>
      <c r="E7" s="212" t="s">
        <v>4</v>
      </c>
      <c r="F7" s="212">
        <v>54</v>
      </c>
      <c r="G7" s="212">
        <v>109</v>
      </c>
      <c r="H7" s="212" t="s">
        <v>4</v>
      </c>
      <c r="I7" s="212">
        <v>0</v>
      </c>
      <c r="J7" s="212" t="s">
        <v>4</v>
      </c>
      <c r="K7" s="212" t="s">
        <v>4</v>
      </c>
      <c r="L7" s="212" t="s">
        <v>4</v>
      </c>
      <c r="M7"/>
    </row>
    <row r="8" spans="1:16" ht="14.45" customHeight="1" x14ac:dyDescent="0.25">
      <c r="A8" s="210" t="s">
        <v>5</v>
      </c>
      <c r="B8" s="211" t="s">
        <v>6</v>
      </c>
      <c r="C8" s="212">
        <v>270</v>
      </c>
      <c r="D8" s="212" t="s">
        <v>4</v>
      </c>
      <c r="E8" s="212" t="s">
        <v>4</v>
      </c>
      <c r="F8" s="212" t="s">
        <v>4</v>
      </c>
      <c r="G8" s="212" t="s">
        <v>4</v>
      </c>
      <c r="H8" s="212" t="s">
        <v>4</v>
      </c>
      <c r="I8" s="212" t="s">
        <v>4</v>
      </c>
      <c r="J8" s="212" t="s">
        <v>4</v>
      </c>
      <c r="K8" s="212" t="s">
        <v>4</v>
      </c>
      <c r="L8" s="212" t="s">
        <v>4</v>
      </c>
      <c r="M8"/>
    </row>
    <row r="9" spans="1:16" ht="14.45" customHeight="1" x14ac:dyDescent="0.25">
      <c r="A9" s="210" t="s">
        <v>7</v>
      </c>
      <c r="B9" s="211" t="s">
        <v>8</v>
      </c>
      <c r="C9" s="212" t="s">
        <v>4</v>
      </c>
      <c r="D9" s="212" t="s">
        <v>4</v>
      </c>
      <c r="E9" s="212" t="s">
        <v>4</v>
      </c>
      <c r="F9" s="212" t="s">
        <v>4</v>
      </c>
      <c r="G9" s="212" t="s">
        <v>4</v>
      </c>
      <c r="H9" s="212" t="s">
        <v>4</v>
      </c>
      <c r="I9" s="212">
        <v>81</v>
      </c>
      <c r="J9" s="212">
        <v>63.22</v>
      </c>
      <c r="K9" s="212" t="s">
        <v>4</v>
      </c>
      <c r="L9" s="212" t="s">
        <v>4</v>
      </c>
      <c r="M9"/>
      <c r="P9" s="107"/>
    </row>
    <row r="10" spans="1:16" ht="14.45" customHeight="1" x14ac:dyDescent="0.25">
      <c r="A10" s="281" t="s">
        <v>9</v>
      </c>
      <c r="B10" s="281"/>
      <c r="C10" s="214">
        <v>270</v>
      </c>
      <c r="D10" s="214">
        <v>0</v>
      </c>
      <c r="E10" s="214">
        <v>0</v>
      </c>
      <c r="F10" s="214">
        <v>54</v>
      </c>
      <c r="G10" s="214">
        <v>109</v>
      </c>
      <c r="H10" s="214">
        <v>0</v>
      </c>
      <c r="I10" s="214">
        <v>81</v>
      </c>
      <c r="J10" s="214">
        <v>63.22</v>
      </c>
      <c r="K10" s="214">
        <f>SUM(K7:K9)</f>
        <v>0</v>
      </c>
      <c r="L10" s="214">
        <v>0</v>
      </c>
      <c r="M10"/>
    </row>
    <row r="11" spans="1:16" ht="14.45" customHeight="1" x14ac:dyDescent="0.25">
      <c r="A11" s="210" t="s">
        <v>10</v>
      </c>
      <c r="B11" s="211" t="s">
        <v>11</v>
      </c>
      <c r="C11" s="212" t="s">
        <v>4</v>
      </c>
      <c r="D11" s="212" t="s">
        <v>4</v>
      </c>
      <c r="E11" s="212">
        <v>262</v>
      </c>
      <c r="F11" s="212" t="s">
        <v>4</v>
      </c>
      <c r="G11" s="212" t="s">
        <v>4</v>
      </c>
      <c r="H11" s="212" t="s">
        <v>4</v>
      </c>
      <c r="I11" s="212" t="s">
        <v>4</v>
      </c>
      <c r="J11" s="212" t="s">
        <v>4</v>
      </c>
      <c r="K11" s="212" t="s">
        <v>4</v>
      </c>
      <c r="L11" s="212" t="s">
        <v>4</v>
      </c>
      <c r="M11"/>
    </row>
    <row r="12" spans="1:16" ht="14.45" customHeight="1" x14ac:dyDescent="0.25">
      <c r="A12" s="210" t="s">
        <v>12</v>
      </c>
      <c r="B12" s="211" t="s">
        <v>13</v>
      </c>
      <c r="C12" s="212" t="s">
        <v>4</v>
      </c>
      <c r="D12" s="212" t="s">
        <v>4</v>
      </c>
      <c r="E12" s="212" t="s">
        <v>4</v>
      </c>
      <c r="F12" s="212" t="s">
        <v>4</v>
      </c>
      <c r="G12" s="212" t="s">
        <v>4</v>
      </c>
      <c r="H12" s="212" t="s">
        <v>4</v>
      </c>
      <c r="I12" s="212" t="s">
        <v>4</v>
      </c>
      <c r="J12" s="212" t="s">
        <v>4</v>
      </c>
      <c r="K12" s="212" t="s">
        <v>4</v>
      </c>
      <c r="L12" s="212" t="s">
        <v>4</v>
      </c>
      <c r="M12"/>
    </row>
    <row r="13" spans="1:16" ht="14.45" customHeight="1" x14ac:dyDescent="0.25">
      <c r="A13" s="210" t="s">
        <v>12</v>
      </c>
      <c r="B13" s="211" t="s">
        <v>14</v>
      </c>
      <c r="C13" s="212" t="s">
        <v>4</v>
      </c>
      <c r="D13" s="212" t="s">
        <v>4</v>
      </c>
      <c r="E13" s="212" t="s">
        <v>4</v>
      </c>
      <c r="F13" s="212" t="s">
        <v>4</v>
      </c>
      <c r="G13" s="212" t="s">
        <v>4</v>
      </c>
      <c r="H13" s="212" t="s">
        <v>4</v>
      </c>
      <c r="I13" s="212" t="s">
        <v>4</v>
      </c>
      <c r="J13" s="212" t="s">
        <v>4</v>
      </c>
      <c r="K13" s="212" t="s">
        <v>4</v>
      </c>
      <c r="L13" s="212" t="s">
        <v>4</v>
      </c>
      <c r="M13"/>
    </row>
    <row r="14" spans="1:16" ht="14.45" customHeight="1" x14ac:dyDescent="0.25">
      <c r="A14" s="210" t="s">
        <v>12</v>
      </c>
      <c r="B14" s="211" t="s">
        <v>15</v>
      </c>
      <c r="C14" s="212" t="s">
        <v>4</v>
      </c>
      <c r="D14" s="212" t="s">
        <v>4</v>
      </c>
      <c r="E14" s="212" t="s">
        <v>4</v>
      </c>
      <c r="F14" s="212" t="s">
        <v>4</v>
      </c>
      <c r="G14" s="212" t="s">
        <v>4</v>
      </c>
      <c r="H14" s="212" t="s">
        <v>4</v>
      </c>
      <c r="I14" s="212" t="s">
        <v>4</v>
      </c>
      <c r="J14" s="212" t="s">
        <v>4</v>
      </c>
      <c r="K14" s="212" t="s">
        <v>4</v>
      </c>
      <c r="L14" s="212" t="s">
        <v>4</v>
      </c>
      <c r="M14"/>
    </row>
    <row r="15" spans="1:16" ht="14.45" customHeight="1" x14ac:dyDescent="0.25">
      <c r="A15" s="210" t="s">
        <v>16</v>
      </c>
      <c r="B15" s="211" t="s">
        <v>17</v>
      </c>
      <c r="C15" s="212" t="s">
        <v>4</v>
      </c>
      <c r="D15" s="212" t="s">
        <v>4</v>
      </c>
      <c r="E15" s="212">
        <v>1031</v>
      </c>
      <c r="F15" s="212">
        <v>5614</v>
      </c>
      <c r="G15" s="212" t="s">
        <v>4</v>
      </c>
      <c r="H15" s="212" t="s">
        <v>4</v>
      </c>
      <c r="I15" s="212" t="s">
        <v>4</v>
      </c>
      <c r="J15" s="212" t="s">
        <v>4</v>
      </c>
      <c r="K15" s="212" t="s">
        <v>4</v>
      </c>
      <c r="L15" s="212" t="s">
        <v>4</v>
      </c>
      <c r="M15"/>
    </row>
    <row r="16" spans="1:16" ht="14.45" customHeight="1" x14ac:dyDescent="0.25">
      <c r="A16" s="281" t="s">
        <v>18</v>
      </c>
      <c r="B16" s="281"/>
      <c r="C16" s="214">
        <v>0</v>
      </c>
      <c r="D16" s="214">
        <v>0</v>
      </c>
      <c r="E16" s="214">
        <v>1292</v>
      </c>
      <c r="F16" s="214">
        <v>5614</v>
      </c>
      <c r="G16" s="214">
        <v>0</v>
      </c>
      <c r="H16" s="214">
        <v>0</v>
      </c>
      <c r="I16" s="214">
        <v>0</v>
      </c>
      <c r="J16" s="214">
        <v>0</v>
      </c>
      <c r="K16" s="214">
        <f>SUM(K11:K15)</f>
        <v>0</v>
      </c>
      <c r="L16" s="214">
        <v>0</v>
      </c>
      <c r="M16"/>
    </row>
    <row r="17" spans="1:22" ht="14.45" customHeight="1" x14ac:dyDescent="0.25">
      <c r="A17" s="210" t="s">
        <v>19</v>
      </c>
      <c r="B17" s="211">
        <v>107</v>
      </c>
      <c r="C17" s="212" t="s">
        <v>4</v>
      </c>
      <c r="D17" s="212" t="s">
        <v>4</v>
      </c>
      <c r="E17" s="212">
        <v>236</v>
      </c>
      <c r="F17" s="212">
        <v>74</v>
      </c>
      <c r="G17" s="212" t="s">
        <v>4</v>
      </c>
      <c r="H17" s="212" t="s">
        <v>4</v>
      </c>
      <c r="I17" s="212" t="s">
        <v>4</v>
      </c>
      <c r="J17" s="212" t="s">
        <v>4</v>
      </c>
      <c r="K17" s="212" t="s">
        <v>4</v>
      </c>
      <c r="L17" s="212" t="s">
        <v>4</v>
      </c>
      <c r="M17"/>
    </row>
    <row r="18" spans="1:22" ht="14.45" customHeight="1" x14ac:dyDescent="0.25">
      <c r="A18" s="210" t="s">
        <v>20</v>
      </c>
      <c r="B18" s="211">
        <v>121</v>
      </c>
      <c r="C18" s="212">
        <v>250</v>
      </c>
      <c r="D18" s="212" t="s">
        <v>4</v>
      </c>
      <c r="E18" s="212" t="s">
        <v>4</v>
      </c>
      <c r="F18" s="212" t="s">
        <v>4</v>
      </c>
      <c r="G18" s="212" t="s">
        <v>4</v>
      </c>
      <c r="H18" s="212" t="s">
        <v>4</v>
      </c>
      <c r="I18" s="212" t="s">
        <v>4</v>
      </c>
      <c r="J18" s="212" t="s">
        <v>4</v>
      </c>
      <c r="K18" s="212" t="s">
        <v>4</v>
      </c>
      <c r="L18" s="212" t="s">
        <v>4</v>
      </c>
      <c r="M18"/>
    </row>
    <row r="19" spans="1:22" ht="14.45" customHeight="1" x14ac:dyDescent="0.25">
      <c r="A19" s="210" t="s">
        <v>21</v>
      </c>
      <c r="B19" s="211">
        <v>123</v>
      </c>
      <c r="C19" s="212">
        <v>310</v>
      </c>
      <c r="D19" s="212" t="s">
        <v>4</v>
      </c>
      <c r="E19" s="212" t="s">
        <v>4</v>
      </c>
      <c r="F19" s="212" t="s">
        <v>4</v>
      </c>
      <c r="G19" s="212" t="s">
        <v>4</v>
      </c>
      <c r="H19" s="212" t="s">
        <v>4</v>
      </c>
      <c r="I19" s="212" t="s">
        <v>4</v>
      </c>
      <c r="J19" s="212" t="s">
        <v>4</v>
      </c>
      <c r="K19" s="212" t="s">
        <v>4</v>
      </c>
      <c r="L19" s="212" t="s">
        <v>4</v>
      </c>
      <c r="M19"/>
    </row>
    <row r="20" spans="1:22" ht="14.45" customHeight="1" x14ac:dyDescent="0.25">
      <c r="A20" s="210" t="s">
        <v>21</v>
      </c>
      <c r="B20" s="211">
        <v>129</v>
      </c>
      <c r="C20" s="212">
        <v>252</v>
      </c>
      <c r="D20" s="212" t="s">
        <v>4</v>
      </c>
      <c r="E20" s="212" t="s">
        <v>4</v>
      </c>
      <c r="F20" s="212" t="s">
        <v>4</v>
      </c>
      <c r="G20" s="212" t="s">
        <v>4</v>
      </c>
      <c r="H20" s="212" t="s">
        <v>4</v>
      </c>
      <c r="I20" s="212" t="s">
        <v>4</v>
      </c>
      <c r="J20" s="212" t="s">
        <v>4</v>
      </c>
      <c r="K20" s="212" t="s">
        <v>4</v>
      </c>
      <c r="L20" s="212" t="s">
        <v>4</v>
      </c>
      <c r="M20"/>
    </row>
    <row r="21" spans="1:22" ht="14.45" customHeight="1" x14ac:dyDescent="0.25">
      <c r="A21" s="210" t="s">
        <v>19</v>
      </c>
      <c r="B21" s="211">
        <v>133</v>
      </c>
      <c r="C21" s="212" t="s">
        <v>4</v>
      </c>
      <c r="D21" s="212" t="s">
        <v>4</v>
      </c>
      <c r="E21" s="212" t="s">
        <v>4</v>
      </c>
      <c r="F21" s="212" t="s">
        <v>4</v>
      </c>
      <c r="G21" s="212" t="s">
        <v>4</v>
      </c>
      <c r="H21" s="212" t="s">
        <v>4</v>
      </c>
      <c r="I21" s="212" t="s">
        <v>4</v>
      </c>
      <c r="J21" s="212" t="s">
        <v>4</v>
      </c>
      <c r="K21" s="212" t="s">
        <v>4</v>
      </c>
      <c r="L21" s="212" t="s">
        <v>4</v>
      </c>
      <c r="M21"/>
    </row>
    <row r="22" spans="1:22" ht="14.45" customHeight="1" x14ac:dyDescent="0.25">
      <c r="A22" s="210" t="s">
        <v>22</v>
      </c>
      <c r="B22" s="211">
        <v>95</v>
      </c>
      <c r="C22" s="212" t="s">
        <v>4</v>
      </c>
      <c r="D22" s="212">
        <v>380</v>
      </c>
      <c r="E22" s="212" t="s">
        <v>4</v>
      </c>
      <c r="F22" s="212" t="s">
        <v>4</v>
      </c>
      <c r="G22" s="212" t="s">
        <v>4</v>
      </c>
      <c r="H22" s="212" t="s">
        <v>4</v>
      </c>
      <c r="I22" s="212" t="s">
        <v>4</v>
      </c>
      <c r="J22" s="212" t="s">
        <v>4</v>
      </c>
      <c r="K22" s="212" t="s">
        <v>4</v>
      </c>
      <c r="L22" s="212" t="s">
        <v>4</v>
      </c>
      <c r="M22"/>
    </row>
    <row r="23" spans="1:22" ht="14.45" customHeight="1" thickBot="1" x14ac:dyDescent="0.3">
      <c r="A23" s="210" t="s">
        <v>23</v>
      </c>
      <c r="B23" s="211">
        <v>58</v>
      </c>
      <c r="C23" s="212" t="s">
        <v>4</v>
      </c>
      <c r="D23" s="212" t="s">
        <v>4</v>
      </c>
      <c r="E23" s="212" t="s">
        <v>4</v>
      </c>
      <c r="F23" s="212">
        <v>374</v>
      </c>
      <c r="G23" s="212" t="s">
        <v>4</v>
      </c>
      <c r="H23" s="212" t="s">
        <v>4</v>
      </c>
      <c r="I23" s="212">
        <v>232</v>
      </c>
      <c r="J23" s="212" t="s">
        <v>4</v>
      </c>
      <c r="K23" s="212" t="s">
        <v>4</v>
      </c>
      <c r="L23" s="212">
        <v>191.95</v>
      </c>
      <c r="M23"/>
      <c r="P23" s="13" t="s">
        <v>31</v>
      </c>
      <c r="Q23" s="14"/>
      <c r="R23" s="14"/>
      <c r="S23" s="14"/>
      <c r="T23" s="14"/>
      <c r="U23" s="14"/>
      <c r="V23" s="14"/>
    </row>
    <row r="24" spans="1:22" ht="14.45" customHeight="1" thickBot="1" x14ac:dyDescent="0.3">
      <c r="A24" s="210" t="s">
        <v>24</v>
      </c>
      <c r="B24" s="211">
        <v>114</v>
      </c>
      <c r="C24" s="212">
        <v>234</v>
      </c>
      <c r="D24" s="212" t="s">
        <v>4</v>
      </c>
      <c r="E24" s="212" t="s">
        <v>4</v>
      </c>
      <c r="F24" s="212" t="s">
        <v>4</v>
      </c>
      <c r="G24" s="212" t="s">
        <v>4</v>
      </c>
      <c r="H24" s="212" t="s">
        <v>4</v>
      </c>
      <c r="I24" s="212" t="s">
        <v>4</v>
      </c>
      <c r="J24" s="212" t="s">
        <v>4</v>
      </c>
      <c r="K24" s="212" t="s">
        <v>4</v>
      </c>
      <c r="L24" s="212" t="s">
        <v>4</v>
      </c>
      <c r="M24"/>
      <c r="P24" s="14"/>
      <c r="Q24" s="289" t="s">
        <v>32</v>
      </c>
      <c r="R24" s="290"/>
      <c r="S24" s="290"/>
      <c r="T24" s="290"/>
      <c r="U24" s="290"/>
      <c r="V24" s="291"/>
    </row>
    <row r="25" spans="1:22" ht="24.75" thickBot="1" x14ac:dyDescent="0.25">
      <c r="A25" s="210" t="s">
        <v>25</v>
      </c>
      <c r="B25" s="211">
        <v>135</v>
      </c>
      <c r="C25" s="212">
        <v>17</v>
      </c>
      <c r="D25" s="212">
        <v>771.2</v>
      </c>
      <c r="E25" s="212" t="s">
        <v>4</v>
      </c>
      <c r="F25" s="212" t="s">
        <v>4</v>
      </c>
      <c r="G25" s="212" t="s">
        <v>4</v>
      </c>
      <c r="H25" s="212" t="s">
        <v>4</v>
      </c>
      <c r="I25" s="212" t="s">
        <v>4</v>
      </c>
      <c r="J25" s="212" t="s">
        <v>4</v>
      </c>
      <c r="K25" s="212" t="s">
        <v>4</v>
      </c>
      <c r="L25" s="212" t="s">
        <v>4</v>
      </c>
      <c r="P25" s="16" t="s">
        <v>1</v>
      </c>
      <c r="Q25" s="38">
        <v>2022</v>
      </c>
      <c r="R25" s="39">
        <v>2023</v>
      </c>
      <c r="S25" s="39">
        <v>2024</v>
      </c>
      <c r="T25" s="39">
        <v>2025</v>
      </c>
      <c r="U25" s="39">
        <v>2026</v>
      </c>
      <c r="V25" s="17" t="s">
        <v>33</v>
      </c>
    </row>
    <row r="26" spans="1:22" ht="14.45" customHeight="1" x14ac:dyDescent="0.25">
      <c r="A26" s="210" t="s">
        <v>26</v>
      </c>
      <c r="B26" s="211">
        <v>88</v>
      </c>
      <c r="C26" s="212" t="s">
        <v>4</v>
      </c>
      <c r="D26" s="212" t="s">
        <v>4</v>
      </c>
      <c r="E26" s="212">
        <v>189</v>
      </c>
      <c r="F26" s="212" t="s">
        <v>4</v>
      </c>
      <c r="G26" s="212" t="s">
        <v>4</v>
      </c>
      <c r="H26" s="212" t="s">
        <v>4</v>
      </c>
      <c r="I26" s="212" t="s">
        <v>4</v>
      </c>
      <c r="J26" s="212" t="s">
        <v>4</v>
      </c>
      <c r="K26" s="212" t="s">
        <v>4</v>
      </c>
      <c r="L26" s="212" t="s">
        <v>4</v>
      </c>
      <c r="M26"/>
      <c r="P26" s="18">
        <v>107</v>
      </c>
      <c r="Q26" s="19" t="s">
        <v>4</v>
      </c>
      <c r="R26" s="20" t="s">
        <v>4</v>
      </c>
      <c r="S26" s="20" t="s">
        <v>4</v>
      </c>
      <c r="T26" s="20" t="s">
        <v>4</v>
      </c>
      <c r="U26" s="20" t="s">
        <v>4</v>
      </c>
      <c r="V26" s="21">
        <f t="shared" ref="V26:V32" si="0">SUM(Q26:U26)</f>
        <v>0</v>
      </c>
    </row>
    <row r="27" spans="1:22" ht="14.45" customHeight="1" x14ac:dyDescent="0.2">
      <c r="A27" s="210" t="s">
        <v>26</v>
      </c>
      <c r="B27" s="211">
        <v>108</v>
      </c>
      <c r="C27" s="212" t="s">
        <v>4</v>
      </c>
      <c r="D27" s="212" t="s">
        <v>4</v>
      </c>
      <c r="E27" s="212">
        <v>180</v>
      </c>
      <c r="F27" s="212">
        <v>311</v>
      </c>
      <c r="G27" s="212" t="s">
        <v>4</v>
      </c>
      <c r="H27" s="212" t="s">
        <v>4</v>
      </c>
      <c r="I27" s="212" t="s">
        <v>4</v>
      </c>
      <c r="J27" s="212" t="s">
        <v>4</v>
      </c>
      <c r="K27" s="212" t="s">
        <v>4</v>
      </c>
      <c r="L27" s="212" t="s">
        <v>4</v>
      </c>
      <c r="P27" s="22" t="s">
        <v>3</v>
      </c>
      <c r="Q27" s="23" t="s">
        <v>4</v>
      </c>
      <c r="R27" s="24" t="s">
        <v>4</v>
      </c>
      <c r="S27" s="24" t="s">
        <v>4</v>
      </c>
      <c r="T27" s="24" t="s">
        <v>4</v>
      </c>
      <c r="U27" s="24" t="s">
        <v>4</v>
      </c>
      <c r="V27" s="25">
        <f t="shared" si="0"/>
        <v>0</v>
      </c>
    </row>
    <row r="28" spans="1:22" ht="14.45" customHeight="1" x14ac:dyDescent="0.25">
      <c r="A28" s="210" t="s">
        <v>27</v>
      </c>
      <c r="B28" s="211">
        <v>57</v>
      </c>
      <c r="C28" s="212" t="s">
        <v>4</v>
      </c>
      <c r="D28" s="212" t="s">
        <v>4</v>
      </c>
      <c r="E28" s="212">
        <v>140</v>
      </c>
      <c r="F28" s="212" t="s">
        <v>4</v>
      </c>
      <c r="G28" s="212" t="s">
        <v>4</v>
      </c>
      <c r="H28" s="212" t="s">
        <v>4</v>
      </c>
      <c r="I28" s="212" t="s">
        <v>4</v>
      </c>
      <c r="J28" s="212" t="s">
        <v>4</v>
      </c>
      <c r="K28" s="212" t="s">
        <v>4</v>
      </c>
      <c r="L28" s="212" t="s">
        <v>4</v>
      </c>
      <c r="M28"/>
      <c r="P28" s="22" t="s">
        <v>35</v>
      </c>
      <c r="Q28" s="23" t="s">
        <v>4</v>
      </c>
      <c r="R28" s="24" t="s">
        <v>4</v>
      </c>
      <c r="S28" s="24" t="s">
        <v>4</v>
      </c>
      <c r="T28" s="24" t="s">
        <v>4</v>
      </c>
      <c r="U28" s="24" t="s">
        <v>4</v>
      </c>
      <c r="V28" s="25">
        <f t="shared" si="0"/>
        <v>0</v>
      </c>
    </row>
    <row r="29" spans="1:22" ht="14.45" customHeight="1" x14ac:dyDescent="0.2">
      <c r="A29" s="281" t="s">
        <v>28</v>
      </c>
      <c r="B29" s="281"/>
      <c r="C29" s="214">
        <v>1063</v>
      </c>
      <c r="D29" s="214">
        <v>1150.7</v>
      </c>
      <c r="E29" s="214">
        <v>744</v>
      </c>
      <c r="F29" s="214">
        <v>758</v>
      </c>
      <c r="G29" s="214">
        <v>0</v>
      </c>
      <c r="H29" s="214">
        <v>0</v>
      </c>
      <c r="I29" s="214">
        <v>232</v>
      </c>
      <c r="J29" s="214">
        <v>0</v>
      </c>
      <c r="K29" s="214">
        <f>SUM(K17:K28)</f>
        <v>0</v>
      </c>
      <c r="L29" s="214">
        <v>191.95</v>
      </c>
      <c r="P29" s="22" t="s">
        <v>40</v>
      </c>
      <c r="Q29" s="23" t="s">
        <v>4</v>
      </c>
      <c r="R29" s="24" t="s">
        <v>4</v>
      </c>
      <c r="S29" s="24" t="s">
        <v>4</v>
      </c>
      <c r="T29" s="24" t="s">
        <v>4</v>
      </c>
      <c r="U29" s="24" t="s">
        <v>4</v>
      </c>
      <c r="V29" s="25">
        <f t="shared" si="0"/>
        <v>0</v>
      </c>
    </row>
    <row r="30" spans="1:22" ht="14.45" customHeight="1" x14ac:dyDescent="0.2">
      <c r="A30" s="288" t="s">
        <v>29</v>
      </c>
      <c r="B30" s="288"/>
      <c r="C30" s="216">
        <f>+C10+C16+C29</f>
        <v>1333</v>
      </c>
      <c r="D30" s="216">
        <f t="shared" ref="D30:K30" si="1">+D10+D16+D29</f>
        <v>1150.7</v>
      </c>
      <c r="E30" s="216">
        <f t="shared" si="1"/>
        <v>2036</v>
      </c>
      <c r="F30" s="216">
        <f t="shared" si="1"/>
        <v>6426</v>
      </c>
      <c r="G30" s="216">
        <f t="shared" si="1"/>
        <v>109</v>
      </c>
      <c r="H30" s="216">
        <f t="shared" si="1"/>
        <v>0</v>
      </c>
      <c r="I30" s="216">
        <f t="shared" si="1"/>
        <v>313</v>
      </c>
      <c r="J30" s="216">
        <f t="shared" si="1"/>
        <v>63.22</v>
      </c>
      <c r="K30" s="216">
        <f t="shared" si="1"/>
        <v>0</v>
      </c>
      <c r="L30" s="216">
        <f>+L10+L16+L29</f>
        <v>191.95</v>
      </c>
      <c r="P30" s="22" t="s">
        <v>13</v>
      </c>
      <c r="Q30" s="23" t="s">
        <v>4</v>
      </c>
      <c r="R30" s="24">
        <v>1000</v>
      </c>
      <c r="S30" s="24" t="s">
        <v>4</v>
      </c>
      <c r="T30" s="24" t="s">
        <v>4</v>
      </c>
      <c r="U30" s="24" t="s">
        <v>4</v>
      </c>
      <c r="V30" s="25">
        <f t="shared" si="0"/>
        <v>1000</v>
      </c>
    </row>
    <row r="31" spans="1:22" ht="14.45" customHeight="1" x14ac:dyDescent="0.2">
      <c r="P31" s="22" t="s">
        <v>14</v>
      </c>
      <c r="Q31" s="23" t="s">
        <v>4</v>
      </c>
      <c r="R31" s="24" t="s">
        <v>4</v>
      </c>
      <c r="S31" s="24" t="s">
        <v>4</v>
      </c>
      <c r="T31" s="24" t="s">
        <v>4</v>
      </c>
      <c r="U31" s="24" t="s">
        <v>4</v>
      </c>
      <c r="V31" s="25">
        <f t="shared" si="0"/>
        <v>0</v>
      </c>
    </row>
    <row r="32" spans="1:22" ht="14.45" customHeight="1" thickBot="1" x14ac:dyDescent="0.25">
      <c r="A32" s="1" t="s">
        <v>30</v>
      </c>
      <c r="P32" s="28" t="s">
        <v>15</v>
      </c>
      <c r="Q32" s="29" t="s">
        <v>4</v>
      </c>
      <c r="R32" s="30">
        <v>1000</v>
      </c>
      <c r="S32" s="30" t="s">
        <v>4</v>
      </c>
      <c r="T32" s="30" t="s">
        <v>4</v>
      </c>
      <c r="U32" s="30" t="s">
        <v>4</v>
      </c>
      <c r="V32" s="31">
        <f t="shared" si="0"/>
        <v>1000</v>
      </c>
    </row>
    <row r="33" spans="1:22" ht="14.45" customHeight="1" thickBot="1" x14ac:dyDescent="0.25">
      <c r="P33" s="32" t="s">
        <v>41</v>
      </c>
      <c r="Q33" s="33">
        <f t="shared" ref="Q33:V33" si="2">SUM(Q26:Q32)</f>
        <v>0</v>
      </c>
      <c r="R33" s="34">
        <f t="shared" si="2"/>
        <v>2000</v>
      </c>
      <c r="S33" s="34">
        <f t="shared" si="2"/>
        <v>0</v>
      </c>
      <c r="T33" s="34">
        <f t="shared" si="2"/>
        <v>0</v>
      </c>
      <c r="U33" s="34">
        <f t="shared" si="2"/>
        <v>0</v>
      </c>
      <c r="V33" s="35">
        <f t="shared" si="2"/>
        <v>2000</v>
      </c>
    </row>
    <row r="36" spans="1:22" ht="14.45" customHeight="1" x14ac:dyDescent="0.2">
      <c r="H36" s="14"/>
      <c r="I36" s="14"/>
      <c r="J36" s="14"/>
      <c r="K36" s="14"/>
      <c r="L36" s="14"/>
      <c r="M36" s="14"/>
    </row>
    <row r="37" spans="1:22" ht="14.45" customHeight="1" x14ac:dyDescent="0.2">
      <c r="H37" s="15"/>
      <c r="I37" s="14"/>
      <c r="J37" s="5"/>
      <c r="K37" s="5"/>
    </row>
    <row r="38" spans="1:22" ht="31.15" customHeight="1" x14ac:dyDescent="0.2">
      <c r="I38" s="1"/>
      <c r="J38" s="1"/>
      <c r="K38" s="3"/>
      <c r="L38" s="3"/>
      <c r="M38" s="3"/>
      <c r="N38" s="292" t="s">
        <v>397</v>
      </c>
      <c r="O38" s="292"/>
      <c r="P38" s="292"/>
      <c r="Q38" s="292"/>
      <c r="R38" s="292"/>
      <c r="S38" s="292"/>
      <c r="T38" s="292"/>
    </row>
    <row r="39" spans="1:22" ht="14.45" customHeight="1" x14ac:dyDescent="0.2">
      <c r="I39" s="1"/>
      <c r="J39" s="2"/>
      <c r="K39" s="3"/>
      <c r="L39" s="3"/>
      <c r="M39" s="3"/>
      <c r="N39" s="3"/>
      <c r="O39" s="3"/>
      <c r="P39" s="3"/>
      <c r="Q39" s="3"/>
      <c r="R39" s="4"/>
    </row>
    <row r="40" spans="1:22" ht="14.45" customHeight="1" x14ac:dyDescent="0.2">
      <c r="I40" s="1"/>
      <c r="J40" s="2" t="s">
        <v>395</v>
      </c>
      <c r="K40" s="5"/>
      <c r="L40" s="96">
        <f>SUM(H30:L30)</f>
        <v>568.17000000000007</v>
      </c>
      <c r="M40" s="3"/>
      <c r="N40" s="3"/>
      <c r="O40" s="3"/>
      <c r="P40" s="3"/>
      <c r="Q40" s="3"/>
      <c r="R40" s="4"/>
    </row>
    <row r="41" spans="1:22" ht="14.45" customHeight="1" x14ac:dyDescent="0.2">
      <c r="I41" s="1"/>
      <c r="J41" s="2">
        <v>2022</v>
      </c>
      <c r="K41" s="5"/>
      <c r="L41" s="96">
        <f>+Q33</f>
        <v>0</v>
      </c>
      <c r="M41" s="3"/>
      <c r="N41" s="3"/>
      <c r="O41" s="3"/>
      <c r="P41" s="3"/>
      <c r="Q41" s="3"/>
      <c r="R41" s="4"/>
    </row>
    <row r="42" spans="1:22" ht="14.45" customHeight="1" x14ac:dyDescent="0.2">
      <c r="I42" s="1"/>
      <c r="J42" s="2">
        <v>2023</v>
      </c>
      <c r="K42" s="5"/>
      <c r="L42" s="96">
        <f>+R33</f>
        <v>2000</v>
      </c>
      <c r="M42" s="3"/>
      <c r="N42" s="3"/>
      <c r="O42" s="3"/>
      <c r="P42" s="3"/>
      <c r="Q42" s="3"/>
      <c r="R42" s="4"/>
    </row>
    <row r="43" spans="1:22" ht="14.45" customHeight="1" x14ac:dyDescent="0.2">
      <c r="I43" s="1"/>
      <c r="J43" s="2">
        <v>2024</v>
      </c>
      <c r="K43" s="5"/>
      <c r="L43" s="96">
        <f>+S33</f>
        <v>0</v>
      </c>
      <c r="M43" s="3"/>
      <c r="N43" s="3"/>
      <c r="O43" s="3"/>
      <c r="P43" s="3"/>
      <c r="Q43" s="3"/>
      <c r="R43" s="4"/>
    </row>
    <row r="44" spans="1:22" ht="14.45" customHeight="1" x14ac:dyDescent="0.2">
      <c r="I44" s="1"/>
      <c r="J44" s="2">
        <v>2025</v>
      </c>
      <c r="K44" s="5"/>
      <c r="L44" s="96">
        <f>+T33</f>
        <v>0</v>
      </c>
      <c r="M44" s="3"/>
      <c r="N44" s="3"/>
      <c r="O44" s="3"/>
      <c r="P44" s="3"/>
      <c r="Q44" s="3"/>
      <c r="R44" s="4"/>
    </row>
    <row r="45" spans="1:22" ht="14.45" customHeight="1" x14ac:dyDescent="0.2">
      <c r="I45" s="1"/>
      <c r="J45" s="2">
        <v>2026</v>
      </c>
      <c r="K45" s="3"/>
      <c r="L45" s="96">
        <f>+U33</f>
        <v>0</v>
      </c>
      <c r="M45" s="3"/>
      <c r="N45" s="3"/>
      <c r="O45" s="3"/>
      <c r="P45" s="3"/>
      <c r="Q45" s="3"/>
      <c r="R45" s="4"/>
    </row>
    <row r="46" spans="1:22" ht="14.45" customHeight="1" x14ac:dyDescent="0.2">
      <c r="I46" s="1"/>
      <c r="J46" s="2" t="s">
        <v>396</v>
      </c>
      <c r="K46" s="5"/>
      <c r="L46" s="96">
        <f>SUM(L41:L45)</f>
        <v>2000</v>
      </c>
      <c r="M46" s="3"/>
      <c r="N46" s="3"/>
      <c r="O46" s="3"/>
      <c r="P46" s="3"/>
      <c r="Q46" s="3"/>
      <c r="R46" s="4"/>
    </row>
    <row r="47" spans="1:22" ht="14.45" customHeight="1" x14ac:dyDescent="0.25">
      <c r="A47"/>
      <c r="B47"/>
      <c r="C47"/>
      <c r="D47"/>
      <c r="E47"/>
      <c r="F47"/>
      <c r="G47"/>
      <c r="I47" s="1"/>
      <c r="J47" s="2"/>
      <c r="K47" s="3"/>
      <c r="L47" s="3"/>
      <c r="M47" s="3"/>
      <c r="N47" s="3"/>
      <c r="O47" s="3"/>
      <c r="P47" s="3"/>
      <c r="Q47" s="3"/>
      <c r="R47" s="4"/>
    </row>
    <row r="48" spans="1:22" ht="14.45" customHeight="1" x14ac:dyDescent="0.25">
      <c r="A48"/>
      <c r="B48"/>
      <c r="C48"/>
      <c r="D48"/>
      <c r="E48"/>
      <c r="F48"/>
      <c r="G48"/>
      <c r="I48" s="1"/>
      <c r="J48" s="2"/>
      <c r="K48" s="3"/>
      <c r="L48" s="3"/>
      <c r="M48" s="3"/>
      <c r="N48" s="3"/>
      <c r="O48" s="3"/>
      <c r="P48" s="3"/>
      <c r="Q48" s="3"/>
      <c r="R48" s="4"/>
    </row>
    <row r="49" spans="1:20" ht="14.45" customHeight="1" x14ac:dyDescent="0.25">
      <c r="A49"/>
      <c r="B49"/>
      <c r="C49"/>
      <c r="D49"/>
      <c r="E49"/>
      <c r="F49"/>
      <c r="G49"/>
      <c r="I49" s="1"/>
      <c r="J49" s="2"/>
      <c r="K49" s="3"/>
      <c r="L49" s="3"/>
      <c r="M49" s="3"/>
      <c r="N49" s="3"/>
      <c r="O49" s="3"/>
      <c r="P49" s="3"/>
      <c r="Q49" s="3"/>
      <c r="R49" s="4"/>
    </row>
    <row r="50" spans="1:20" ht="14.45" customHeight="1" x14ac:dyDescent="0.25">
      <c r="A50"/>
      <c r="B50"/>
      <c r="C50"/>
      <c r="D50"/>
      <c r="E50"/>
      <c r="F50"/>
      <c r="G50"/>
      <c r="I50" s="1"/>
      <c r="J50" s="2"/>
      <c r="K50" s="3"/>
      <c r="L50" s="3"/>
      <c r="M50" s="3"/>
      <c r="N50" s="3"/>
      <c r="O50" s="3"/>
      <c r="P50" s="3"/>
      <c r="Q50" s="3"/>
      <c r="R50" s="4"/>
    </row>
    <row r="51" spans="1:20" ht="14.45" customHeight="1" x14ac:dyDescent="0.2">
      <c r="I51" s="1"/>
      <c r="J51" s="2"/>
      <c r="K51" s="3"/>
      <c r="L51" s="3"/>
      <c r="M51" s="3"/>
      <c r="N51" s="3"/>
      <c r="O51" s="3"/>
      <c r="P51" s="3"/>
      <c r="Q51" s="3"/>
      <c r="R51" s="4"/>
    </row>
    <row r="52" spans="1:20" ht="14.45" customHeight="1" x14ac:dyDescent="0.2">
      <c r="A52" s="14"/>
      <c r="B52" s="14"/>
      <c r="C52" s="14"/>
      <c r="D52" s="14"/>
      <c r="E52" s="14"/>
      <c r="F52" s="14"/>
      <c r="G52" s="14"/>
      <c r="H52" s="14"/>
      <c r="I52" s="1"/>
      <c r="J52" s="2"/>
      <c r="K52" s="3"/>
      <c r="L52" s="3"/>
      <c r="M52" s="3"/>
      <c r="N52" s="3"/>
      <c r="O52" s="3"/>
      <c r="P52" s="3"/>
      <c r="Q52" s="3"/>
      <c r="R52" s="4"/>
    </row>
    <row r="53" spans="1:20" ht="14.45" customHeight="1" x14ac:dyDescent="0.2">
      <c r="A53" s="293"/>
      <c r="B53" s="293"/>
      <c r="C53" s="293"/>
      <c r="D53" s="293"/>
      <c r="E53" s="14"/>
      <c r="F53" s="14"/>
      <c r="G53" s="14"/>
      <c r="H53" s="14"/>
      <c r="I53" s="1"/>
      <c r="J53" s="2"/>
      <c r="K53" s="3"/>
      <c r="L53" s="3"/>
      <c r="M53" s="3"/>
      <c r="N53" s="3"/>
      <c r="O53" s="3"/>
      <c r="P53" s="3"/>
      <c r="Q53" s="3"/>
      <c r="R53" s="4"/>
    </row>
    <row r="54" spans="1:20" ht="14.45" customHeight="1" x14ac:dyDescent="0.2">
      <c r="A54" s="1" t="s">
        <v>30</v>
      </c>
      <c r="I54" s="1"/>
      <c r="J54" s="2"/>
      <c r="K54" s="3"/>
      <c r="L54" s="3"/>
      <c r="M54" s="3"/>
      <c r="N54" s="3"/>
      <c r="O54" s="3"/>
      <c r="P54" s="3"/>
      <c r="Q54" s="3"/>
      <c r="R54" s="4"/>
    </row>
    <row r="55" spans="1:20" ht="14.45" customHeight="1" x14ac:dyDescent="0.2">
      <c r="I55" s="1"/>
      <c r="J55" s="2"/>
      <c r="K55" s="3"/>
      <c r="L55" s="3"/>
      <c r="M55" s="3"/>
      <c r="N55" s="3"/>
      <c r="O55" s="3"/>
      <c r="P55" s="3"/>
      <c r="Q55" s="3"/>
      <c r="R55" s="4"/>
    </row>
    <row r="56" spans="1:20" ht="14.45" customHeight="1" x14ac:dyDescent="0.2">
      <c r="I56" s="1"/>
      <c r="J56" s="2"/>
      <c r="K56" s="3"/>
      <c r="L56" s="3"/>
      <c r="M56" s="3"/>
      <c r="N56" s="294" t="s">
        <v>399</v>
      </c>
      <c r="O56" s="294"/>
      <c r="P56" s="294"/>
      <c r="Q56" s="294"/>
      <c r="R56" s="294"/>
      <c r="S56" s="294"/>
      <c r="T56" s="294"/>
    </row>
    <row r="57" spans="1:20" ht="14.45" customHeight="1" x14ac:dyDescent="0.2">
      <c r="I57" s="5"/>
      <c r="J57" s="5"/>
      <c r="K57" s="5"/>
      <c r="N57" s="294"/>
      <c r="O57" s="294"/>
      <c r="P57" s="294"/>
      <c r="Q57" s="294"/>
      <c r="R57" s="294"/>
      <c r="S57" s="294"/>
      <c r="T57" s="294"/>
    </row>
    <row r="58" spans="1:20" ht="14.45" customHeight="1" x14ac:dyDescent="0.2">
      <c r="N58" s="294"/>
      <c r="O58" s="294"/>
      <c r="P58" s="294"/>
      <c r="Q58" s="294"/>
      <c r="R58" s="294"/>
      <c r="S58" s="294"/>
      <c r="T58" s="294"/>
    </row>
  </sheetData>
  <mergeCells count="10">
    <mergeCell ref="Q24:V24"/>
    <mergeCell ref="N38:T38"/>
    <mergeCell ref="A53:D53"/>
    <mergeCell ref="N56:T58"/>
    <mergeCell ref="A29:B29"/>
    <mergeCell ref="A2:K2"/>
    <mergeCell ref="A10:B10"/>
    <mergeCell ref="A16:B16"/>
    <mergeCell ref="A4:L5"/>
    <mergeCell ref="A30:B30"/>
  </mergeCells>
  <pageMargins left="0.7" right="0.7" top="0.75" bottom="0.75" header="0.3" footer="0.3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2:U46"/>
  <sheetViews>
    <sheetView showGridLines="0" workbookViewId="0">
      <selection activeCell="I23" sqref="I23"/>
    </sheetView>
  </sheetViews>
  <sheetFormatPr baseColWidth="10" defaultRowHeight="15" x14ac:dyDescent="0.25"/>
  <cols>
    <col min="1" max="1" width="17.28515625" style="3" customWidth="1"/>
    <col min="2" max="2" width="9.5703125" style="2" customWidth="1"/>
    <col min="3" max="3" width="7.7109375" style="3" hidden="1" customWidth="1"/>
    <col min="4" max="11" width="7.7109375" style="3" customWidth="1"/>
    <col min="13" max="20" width="8.85546875" customWidth="1"/>
  </cols>
  <sheetData>
    <row r="2" spans="1:21" x14ac:dyDescent="0.25">
      <c r="A2" s="280" t="s">
        <v>494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4" spans="1:21" s="36" customFormat="1" ht="14.45" customHeight="1" x14ac:dyDescent="0.25">
      <c r="A4" s="282" t="s">
        <v>771</v>
      </c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4"/>
    </row>
    <row r="5" spans="1:21" s="36" customFormat="1" ht="14.45" customHeight="1" x14ac:dyDescent="0.25">
      <c r="A5" s="285"/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7"/>
    </row>
    <row r="6" spans="1:21" s="36" customFormat="1" ht="14.45" customHeight="1" x14ac:dyDescent="0.25">
      <c r="A6" s="208" t="s">
        <v>0</v>
      </c>
      <c r="B6" s="208" t="s">
        <v>1</v>
      </c>
      <c r="C6" s="208">
        <v>2012</v>
      </c>
      <c r="D6" s="208">
        <v>2013</v>
      </c>
      <c r="E6" s="208">
        <v>2014</v>
      </c>
      <c r="F6" s="208">
        <v>2015</v>
      </c>
      <c r="G6" s="208">
        <v>2016</v>
      </c>
      <c r="H6" s="208">
        <v>2017</v>
      </c>
      <c r="I6" s="208">
        <v>2018</v>
      </c>
      <c r="J6" s="208">
        <v>2019</v>
      </c>
      <c r="K6" s="208">
        <v>2020</v>
      </c>
      <c r="L6" s="208">
        <v>2021</v>
      </c>
    </row>
    <row r="7" spans="1:21" ht="14.45" customHeight="1" x14ac:dyDescent="0.25">
      <c r="A7" s="281" t="s">
        <v>9</v>
      </c>
      <c r="B7" s="281"/>
      <c r="C7" s="214">
        <v>0</v>
      </c>
      <c r="D7" s="214">
        <v>0</v>
      </c>
      <c r="E7" s="214">
        <v>0</v>
      </c>
      <c r="F7" s="214">
        <v>0</v>
      </c>
      <c r="G7" s="214">
        <v>0</v>
      </c>
      <c r="H7" s="214">
        <v>0</v>
      </c>
      <c r="I7" s="214">
        <v>0</v>
      </c>
      <c r="J7" s="214">
        <v>0</v>
      </c>
      <c r="K7" s="214">
        <v>0</v>
      </c>
      <c r="L7" s="214">
        <v>0</v>
      </c>
    </row>
    <row r="8" spans="1:21" ht="14.45" customHeight="1" x14ac:dyDescent="0.25">
      <c r="A8" s="210" t="s">
        <v>42</v>
      </c>
      <c r="B8" s="211" t="s">
        <v>43</v>
      </c>
      <c r="C8" s="212">
        <v>1520</v>
      </c>
      <c r="D8" s="212">
        <v>429</v>
      </c>
      <c r="E8" s="212" t="s">
        <v>4</v>
      </c>
      <c r="F8" s="212" t="s">
        <v>4</v>
      </c>
      <c r="G8" s="212" t="s">
        <v>4</v>
      </c>
      <c r="H8" s="212" t="s">
        <v>4</v>
      </c>
      <c r="I8" s="212" t="s">
        <v>4</v>
      </c>
      <c r="J8" s="212" t="s">
        <v>4</v>
      </c>
      <c r="K8" s="212" t="s">
        <v>4</v>
      </c>
      <c r="L8" s="212" t="s">
        <v>4</v>
      </c>
      <c r="N8" s="5"/>
    </row>
    <row r="9" spans="1:21" ht="14.45" customHeight="1" thickBot="1" x14ac:dyDescent="0.3">
      <c r="A9" s="210" t="s">
        <v>10</v>
      </c>
      <c r="B9" s="211" t="s">
        <v>11</v>
      </c>
      <c r="C9" s="212" t="s">
        <v>4</v>
      </c>
      <c r="D9" s="212" t="s">
        <v>4</v>
      </c>
      <c r="E9" s="212">
        <v>273</v>
      </c>
      <c r="F9" s="212" t="s">
        <v>4</v>
      </c>
      <c r="G9" s="212" t="s">
        <v>4</v>
      </c>
      <c r="H9" s="212" t="s">
        <v>4</v>
      </c>
      <c r="I9" s="212" t="s">
        <v>4</v>
      </c>
      <c r="J9" s="212" t="s">
        <v>4</v>
      </c>
      <c r="K9" s="212" t="s">
        <v>4</v>
      </c>
      <c r="L9" s="212" t="s">
        <v>4</v>
      </c>
      <c r="N9" s="5"/>
      <c r="O9" s="13" t="s">
        <v>31</v>
      </c>
      <c r="P9" s="14"/>
      <c r="Q9" s="14"/>
      <c r="R9" s="14"/>
      <c r="S9" s="14"/>
      <c r="T9" s="14"/>
      <c r="U9" s="14"/>
    </row>
    <row r="10" spans="1:21" ht="14.45" customHeight="1" thickBot="1" x14ac:dyDescent="0.3">
      <c r="A10" s="210" t="s">
        <v>10</v>
      </c>
      <c r="B10" s="211" t="s">
        <v>44</v>
      </c>
      <c r="C10" s="212">
        <v>871</v>
      </c>
      <c r="D10" s="212">
        <v>1611</v>
      </c>
      <c r="E10" s="212" t="s">
        <v>4</v>
      </c>
      <c r="F10" s="212" t="s">
        <v>4</v>
      </c>
      <c r="G10" s="212" t="s">
        <v>4</v>
      </c>
      <c r="H10" s="212" t="s">
        <v>4</v>
      </c>
      <c r="I10" s="212" t="s">
        <v>4</v>
      </c>
      <c r="J10" s="212" t="s">
        <v>4</v>
      </c>
      <c r="K10" s="212" t="s">
        <v>4</v>
      </c>
      <c r="L10" s="212" t="s">
        <v>4</v>
      </c>
      <c r="O10" s="14"/>
      <c r="P10" s="289" t="s">
        <v>46</v>
      </c>
      <c r="Q10" s="290"/>
      <c r="R10" s="290"/>
      <c r="S10" s="290"/>
      <c r="T10" s="290"/>
      <c r="U10" s="291"/>
    </row>
    <row r="11" spans="1:21" ht="14.45" customHeight="1" thickBot="1" x14ac:dyDescent="0.3">
      <c r="A11" s="210" t="s">
        <v>10</v>
      </c>
      <c r="B11" s="211" t="s">
        <v>45</v>
      </c>
      <c r="C11" s="212">
        <v>1</v>
      </c>
      <c r="D11" s="212" t="s">
        <v>4</v>
      </c>
      <c r="E11" s="212" t="s">
        <v>4</v>
      </c>
      <c r="F11" s="212" t="s">
        <v>4</v>
      </c>
      <c r="G11" s="212" t="s">
        <v>4</v>
      </c>
      <c r="H11" s="212" t="s">
        <v>4</v>
      </c>
      <c r="I11" s="212" t="s">
        <v>4</v>
      </c>
      <c r="J11" s="212" t="s">
        <v>4</v>
      </c>
      <c r="K11" s="212" t="s">
        <v>4</v>
      </c>
      <c r="L11" s="212" t="s">
        <v>4</v>
      </c>
      <c r="O11" s="16" t="s">
        <v>1</v>
      </c>
      <c r="P11" s="38">
        <v>2022</v>
      </c>
      <c r="Q11" s="39">
        <v>2023</v>
      </c>
      <c r="R11" s="39">
        <v>2024</v>
      </c>
      <c r="S11" s="39">
        <v>2025</v>
      </c>
      <c r="T11" s="39">
        <v>2026</v>
      </c>
      <c r="U11" s="17" t="s">
        <v>47</v>
      </c>
    </row>
    <row r="12" spans="1:21" ht="14.45" customHeight="1" x14ac:dyDescent="0.25">
      <c r="A12" s="210" t="s">
        <v>12</v>
      </c>
      <c r="B12" s="211" t="s">
        <v>14</v>
      </c>
      <c r="C12" s="212" t="s">
        <v>4</v>
      </c>
      <c r="D12" s="212" t="s">
        <v>4</v>
      </c>
      <c r="E12" s="212" t="s">
        <v>4</v>
      </c>
      <c r="F12" s="212" t="s">
        <v>4</v>
      </c>
      <c r="G12" s="212" t="s">
        <v>4</v>
      </c>
      <c r="H12" s="212" t="s">
        <v>4</v>
      </c>
      <c r="I12" s="212" t="s">
        <v>4</v>
      </c>
      <c r="J12" s="212" t="s">
        <v>4</v>
      </c>
      <c r="K12" s="212" t="s">
        <v>4</v>
      </c>
      <c r="L12" s="212" t="s">
        <v>4</v>
      </c>
      <c r="O12" s="18">
        <v>107</v>
      </c>
      <c r="P12" s="19" t="s">
        <v>4</v>
      </c>
      <c r="Q12" s="20" t="s">
        <v>4</v>
      </c>
      <c r="R12" s="20" t="s">
        <v>4</v>
      </c>
      <c r="S12" s="20" t="s">
        <v>4</v>
      </c>
      <c r="T12" s="20" t="s">
        <v>4</v>
      </c>
      <c r="U12" s="21">
        <f t="shared" ref="U12:U18" si="0">SUM(P12:T12)</f>
        <v>0</v>
      </c>
    </row>
    <row r="13" spans="1:21" ht="14.45" customHeight="1" x14ac:dyDescent="0.25">
      <c r="A13" s="281" t="s">
        <v>18</v>
      </c>
      <c r="B13" s="281"/>
      <c r="C13" s="214">
        <v>2392</v>
      </c>
      <c r="D13" s="214">
        <v>2040</v>
      </c>
      <c r="E13" s="214">
        <v>273</v>
      </c>
      <c r="F13" s="214">
        <v>0</v>
      </c>
      <c r="G13" s="214">
        <v>0</v>
      </c>
      <c r="H13" s="214">
        <v>0</v>
      </c>
      <c r="I13" s="214">
        <v>0</v>
      </c>
      <c r="J13" s="214">
        <v>0</v>
      </c>
      <c r="K13" s="214">
        <v>0</v>
      </c>
      <c r="L13" s="214">
        <v>0</v>
      </c>
      <c r="O13" s="22" t="s">
        <v>3</v>
      </c>
      <c r="P13" s="23" t="s">
        <v>4</v>
      </c>
      <c r="Q13" s="24" t="s">
        <v>4</v>
      </c>
      <c r="R13" s="24" t="s">
        <v>4</v>
      </c>
      <c r="S13" s="24" t="s">
        <v>4</v>
      </c>
      <c r="T13" s="24" t="s">
        <v>4</v>
      </c>
      <c r="U13" s="25">
        <f t="shared" si="0"/>
        <v>0</v>
      </c>
    </row>
    <row r="14" spans="1:21" ht="14.45" customHeight="1" x14ac:dyDescent="0.25">
      <c r="A14" s="210" t="s">
        <v>27</v>
      </c>
      <c r="B14" s="211">
        <v>57</v>
      </c>
      <c r="C14" s="212" t="s">
        <v>4</v>
      </c>
      <c r="D14" s="212" t="s">
        <v>4</v>
      </c>
      <c r="E14" s="212">
        <v>211</v>
      </c>
      <c r="F14" s="212" t="s">
        <v>4</v>
      </c>
      <c r="G14" s="212" t="s">
        <v>4</v>
      </c>
      <c r="H14" s="212" t="s">
        <v>4</v>
      </c>
      <c r="I14" s="212" t="s">
        <v>4</v>
      </c>
      <c r="J14" s="217" t="s">
        <v>4</v>
      </c>
      <c r="K14" s="217" t="s">
        <v>4</v>
      </c>
      <c r="L14" s="217" t="s">
        <v>4</v>
      </c>
      <c r="O14" s="22" t="s">
        <v>35</v>
      </c>
      <c r="P14" s="23" t="s">
        <v>4</v>
      </c>
      <c r="Q14" s="24" t="s">
        <v>4</v>
      </c>
      <c r="R14" s="24" t="s">
        <v>4</v>
      </c>
      <c r="S14" s="24" t="s">
        <v>4</v>
      </c>
      <c r="T14" s="24" t="s">
        <v>4</v>
      </c>
      <c r="U14" s="25">
        <f t="shared" si="0"/>
        <v>0</v>
      </c>
    </row>
    <row r="15" spans="1:21" ht="14.45" customHeight="1" x14ac:dyDescent="0.25">
      <c r="A15" s="281" t="s">
        <v>28</v>
      </c>
      <c r="B15" s="281"/>
      <c r="C15" s="214">
        <v>0</v>
      </c>
      <c r="D15" s="214">
        <v>0</v>
      </c>
      <c r="E15" s="214">
        <v>211</v>
      </c>
      <c r="F15" s="214">
        <v>0</v>
      </c>
      <c r="G15" s="214">
        <v>0</v>
      </c>
      <c r="H15" s="214">
        <v>0</v>
      </c>
      <c r="I15" s="214">
        <v>0</v>
      </c>
      <c r="J15" s="214">
        <v>0</v>
      </c>
      <c r="K15" s="214">
        <v>0</v>
      </c>
      <c r="L15" s="214">
        <v>0</v>
      </c>
      <c r="O15" s="22" t="s">
        <v>40</v>
      </c>
      <c r="P15" s="23" t="s">
        <v>4</v>
      </c>
      <c r="Q15" s="24" t="s">
        <v>4</v>
      </c>
      <c r="R15" s="24" t="s">
        <v>4</v>
      </c>
      <c r="S15" s="24" t="s">
        <v>4</v>
      </c>
      <c r="T15" s="24" t="s">
        <v>4</v>
      </c>
      <c r="U15" s="25">
        <f t="shared" si="0"/>
        <v>0</v>
      </c>
    </row>
    <row r="16" spans="1:21" ht="14.45" customHeight="1" x14ac:dyDescent="0.25">
      <c r="A16" s="288" t="s">
        <v>29</v>
      </c>
      <c r="B16" s="288"/>
      <c r="C16" s="216">
        <f>+C7+C13+C15</f>
        <v>2392</v>
      </c>
      <c r="D16" s="216">
        <f t="shared" ref="D16:K16" si="1">+D7+D13+D15</f>
        <v>2040</v>
      </c>
      <c r="E16" s="216">
        <f t="shared" si="1"/>
        <v>484</v>
      </c>
      <c r="F16" s="216">
        <f t="shared" si="1"/>
        <v>0</v>
      </c>
      <c r="G16" s="216">
        <f t="shared" si="1"/>
        <v>0</v>
      </c>
      <c r="H16" s="216">
        <f t="shared" si="1"/>
        <v>0</v>
      </c>
      <c r="I16" s="216">
        <f t="shared" si="1"/>
        <v>0</v>
      </c>
      <c r="J16" s="216">
        <f t="shared" si="1"/>
        <v>0</v>
      </c>
      <c r="K16" s="216">
        <f t="shared" si="1"/>
        <v>0</v>
      </c>
      <c r="L16" s="216">
        <f>+L7+L13+L15</f>
        <v>0</v>
      </c>
      <c r="O16" s="22" t="s">
        <v>13</v>
      </c>
      <c r="P16" s="23" t="s">
        <v>4</v>
      </c>
      <c r="Q16" s="24" t="s">
        <v>4</v>
      </c>
      <c r="R16" s="24" t="s">
        <v>4</v>
      </c>
      <c r="S16" s="24" t="s">
        <v>4</v>
      </c>
      <c r="T16" s="24" t="s">
        <v>4</v>
      </c>
      <c r="U16" s="25">
        <f t="shared" si="0"/>
        <v>0</v>
      </c>
    </row>
    <row r="17" spans="1:21" x14ac:dyDescent="0.25">
      <c r="C17" s="27"/>
      <c r="D17" s="27"/>
      <c r="E17" s="27"/>
      <c r="F17" s="27"/>
      <c r="G17" s="27"/>
      <c r="H17" s="27"/>
      <c r="I17" s="27"/>
      <c r="J17" s="27"/>
      <c r="K17" s="27"/>
      <c r="O17" s="22" t="s">
        <v>14</v>
      </c>
      <c r="P17" s="23" t="s">
        <v>4</v>
      </c>
      <c r="Q17" s="24">
        <v>1500</v>
      </c>
      <c r="R17" s="24" t="s">
        <v>4</v>
      </c>
      <c r="S17" s="24" t="s">
        <v>4</v>
      </c>
      <c r="T17" s="24" t="s">
        <v>4</v>
      </c>
      <c r="U17" s="25">
        <f t="shared" si="0"/>
        <v>1500</v>
      </c>
    </row>
    <row r="18" spans="1:21" ht="15.75" thickBot="1" x14ac:dyDescent="0.3">
      <c r="A18" s="1" t="s">
        <v>30</v>
      </c>
      <c r="O18" s="28" t="s">
        <v>15</v>
      </c>
      <c r="P18" s="29" t="s">
        <v>4</v>
      </c>
      <c r="Q18" s="30" t="s">
        <v>4</v>
      </c>
      <c r="R18" s="30" t="s">
        <v>4</v>
      </c>
      <c r="S18" s="30" t="s">
        <v>4</v>
      </c>
      <c r="T18" s="30" t="s">
        <v>4</v>
      </c>
      <c r="U18" s="31">
        <f t="shared" si="0"/>
        <v>0</v>
      </c>
    </row>
    <row r="19" spans="1:21" ht="15.75" thickBot="1" x14ac:dyDescent="0.3">
      <c r="O19" s="32" t="s">
        <v>41</v>
      </c>
      <c r="P19" s="33">
        <f t="shared" ref="P19:U19" si="2">SUM(P12:P18)</f>
        <v>0</v>
      </c>
      <c r="Q19" s="34">
        <f t="shared" si="2"/>
        <v>1500</v>
      </c>
      <c r="R19" s="34">
        <f t="shared" si="2"/>
        <v>0</v>
      </c>
      <c r="S19" s="34">
        <f t="shared" si="2"/>
        <v>0</v>
      </c>
      <c r="T19" s="34">
        <f t="shared" si="2"/>
        <v>0</v>
      </c>
      <c r="U19" s="35">
        <f t="shared" si="2"/>
        <v>1500</v>
      </c>
    </row>
    <row r="21" spans="1:21" x14ac:dyDescent="0.25">
      <c r="O21" s="1" t="s">
        <v>30</v>
      </c>
    </row>
    <row r="23" spans="1:21" x14ac:dyDescent="0.25">
      <c r="I23" s="14"/>
      <c r="J23" s="14"/>
      <c r="K23" s="14"/>
      <c r="L23" s="14"/>
      <c r="M23" s="14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I24" s="1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I25" s="1"/>
      <c r="J25" s="1"/>
      <c r="L25" s="3"/>
      <c r="M25" s="3"/>
      <c r="N25" s="292" t="s">
        <v>398</v>
      </c>
      <c r="O25" s="292"/>
      <c r="P25" s="292"/>
      <c r="Q25" s="292"/>
      <c r="R25" s="292"/>
      <c r="S25" s="292"/>
      <c r="T25" s="292"/>
      <c r="U25" s="5"/>
    </row>
    <row r="26" spans="1:21" x14ac:dyDescent="0.25">
      <c r="I26" s="1"/>
      <c r="J26" s="2"/>
      <c r="L26" s="3"/>
      <c r="M26" s="3"/>
      <c r="N26" s="3"/>
      <c r="O26" s="3"/>
      <c r="P26" s="3"/>
      <c r="Q26" s="3"/>
      <c r="R26" s="4"/>
      <c r="S26" s="5"/>
      <c r="T26" s="5"/>
      <c r="U26" s="5"/>
    </row>
    <row r="27" spans="1:21" x14ac:dyDescent="0.25">
      <c r="I27" s="1"/>
      <c r="J27" s="2" t="s">
        <v>395</v>
      </c>
      <c r="K27" s="5"/>
      <c r="L27" s="26">
        <f>+SUM(H16:K16)</f>
        <v>0</v>
      </c>
      <c r="M27" s="3"/>
      <c r="N27" s="3"/>
      <c r="O27" s="3"/>
      <c r="P27" s="3"/>
      <c r="Q27" s="3"/>
      <c r="R27" s="4"/>
      <c r="S27" s="5"/>
      <c r="T27" s="5"/>
      <c r="U27" s="5"/>
    </row>
    <row r="28" spans="1:21" x14ac:dyDescent="0.25">
      <c r="I28" s="1"/>
      <c r="J28" s="2">
        <v>2022</v>
      </c>
      <c r="K28" s="5"/>
      <c r="L28" s="26">
        <f>+P19</f>
        <v>0</v>
      </c>
      <c r="M28" s="3"/>
      <c r="N28" s="3"/>
      <c r="O28" s="3"/>
      <c r="P28" s="3"/>
      <c r="Q28" s="3"/>
      <c r="R28" s="4"/>
      <c r="S28" s="5"/>
      <c r="T28" s="5"/>
      <c r="U28" s="5"/>
    </row>
    <row r="29" spans="1:21" x14ac:dyDescent="0.25">
      <c r="I29" s="1"/>
      <c r="J29" s="2">
        <v>2023</v>
      </c>
      <c r="K29" s="5"/>
      <c r="L29" s="26">
        <f>+Q19</f>
        <v>1500</v>
      </c>
      <c r="M29" s="3"/>
      <c r="N29" s="3"/>
      <c r="O29" s="3"/>
      <c r="P29" s="3"/>
      <c r="Q29" s="3"/>
      <c r="R29" s="4"/>
      <c r="S29" s="5"/>
      <c r="T29" s="5"/>
      <c r="U29" s="5"/>
    </row>
    <row r="30" spans="1:21" x14ac:dyDescent="0.25">
      <c r="I30" s="1"/>
      <c r="J30" s="2">
        <v>2024</v>
      </c>
      <c r="K30" s="5"/>
      <c r="L30" s="26">
        <f>+R19</f>
        <v>0</v>
      </c>
      <c r="M30" s="3"/>
      <c r="N30" s="3"/>
      <c r="O30" s="3"/>
      <c r="P30" s="3"/>
      <c r="Q30" s="3"/>
      <c r="R30" s="4"/>
      <c r="S30" s="5"/>
      <c r="T30" s="5"/>
      <c r="U30" s="5"/>
    </row>
    <row r="31" spans="1:21" x14ac:dyDescent="0.25">
      <c r="I31" s="1"/>
      <c r="J31" s="2">
        <v>2025</v>
      </c>
      <c r="K31" s="5"/>
      <c r="L31" s="26">
        <f>+S19</f>
        <v>0</v>
      </c>
      <c r="M31" s="3"/>
      <c r="N31" s="3"/>
      <c r="O31" s="3"/>
      <c r="P31" s="3"/>
      <c r="Q31" s="3"/>
      <c r="R31" s="4"/>
      <c r="S31" s="5"/>
      <c r="T31" s="5"/>
      <c r="U31" s="5"/>
    </row>
    <row r="32" spans="1:21" x14ac:dyDescent="0.25">
      <c r="I32" s="1"/>
      <c r="J32" s="2">
        <v>2026</v>
      </c>
      <c r="L32" s="27">
        <f>+T19</f>
        <v>0</v>
      </c>
      <c r="M32" s="3"/>
      <c r="N32" s="3"/>
      <c r="O32" s="3"/>
      <c r="P32" s="3"/>
      <c r="Q32" s="3"/>
      <c r="R32" s="4"/>
      <c r="S32" s="5"/>
      <c r="T32" s="5"/>
      <c r="U32" s="5"/>
    </row>
    <row r="33" spans="1:21" x14ac:dyDescent="0.25">
      <c r="I33" s="1"/>
      <c r="J33" s="2" t="s">
        <v>396</v>
      </c>
      <c r="K33" s="5"/>
      <c r="L33" s="26">
        <f>+U19</f>
        <v>1500</v>
      </c>
      <c r="M33" s="3"/>
      <c r="N33" s="3"/>
      <c r="O33" s="3"/>
      <c r="P33" s="3"/>
      <c r="Q33" s="3"/>
      <c r="R33" s="4"/>
      <c r="S33" s="5"/>
      <c r="T33" s="5"/>
      <c r="U33" s="5"/>
    </row>
    <row r="34" spans="1:21" x14ac:dyDescent="0.25">
      <c r="I34" s="1"/>
      <c r="J34" s="2"/>
      <c r="L34" s="3"/>
      <c r="M34" s="3"/>
      <c r="N34" s="3"/>
      <c r="O34" s="3"/>
      <c r="P34" s="3"/>
      <c r="Q34" s="3"/>
      <c r="R34" s="4"/>
      <c r="S34" s="5"/>
      <c r="T34" s="5"/>
      <c r="U34" s="5"/>
    </row>
    <row r="35" spans="1:21" x14ac:dyDescent="0.25">
      <c r="A35"/>
      <c r="B35"/>
      <c r="C35"/>
      <c r="D35"/>
      <c r="E35"/>
      <c r="F35"/>
      <c r="G35"/>
      <c r="I35" s="1"/>
      <c r="J35" s="2"/>
      <c r="L35" s="3"/>
      <c r="M35" s="3"/>
      <c r="N35" s="3"/>
      <c r="O35" s="3"/>
      <c r="P35" s="3"/>
      <c r="Q35" s="3"/>
      <c r="R35" s="4"/>
      <c r="S35" s="5"/>
      <c r="T35" s="5"/>
      <c r="U35" s="5"/>
    </row>
    <row r="36" spans="1:21" x14ac:dyDescent="0.25">
      <c r="A36"/>
      <c r="B36"/>
      <c r="C36"/>
      <c r="D36"/>
      <c r="E36"/>
      <c r="F36"/>
      <c r="G36"/>
      <c r="I36" s="1"/>
      <c r="J36" s="2"/>
      <c r="L36" s="3"/>
      <c r="M36" s="3"/>
      <c r="N36" s="3"/>
      <c r="O36" s="3"/>
      <c r="P36" s="3"/>
      <c r="Q36" s="3"/>
      <c r="R36" s="4"/>
      <c r="S36" s="5"/>
      <c r="T36" s="5"/>
      <c r="U36" s="5"/>
    </row>
    <row r="37" spans="1:21" x14ac:dyDescent="0.25">
      <c r="A37" s="14"/>
      <c r="B37" s="14"/>
      <c r="C37" s="14"/>
      <c r="D37" s="14"/>
      <c r="E37" s="14"/>
      <c r="F37" s="14"/>
      <c r="G37" s="14"/>
      <c r="I37" s="1"/>
      <c r="J37" s="2"/>
      <c r="L37" s="3"/>
      <c r="M37" s="3"/>
      <c r="N37" s="3"/>
      <c r="O37" s="3"/>
      <c r="P37" s="3"/>
      <c r="Q37" s="3"/>
      <c r="R37" s="4"/>
      <c r="S37" s="5"/>
      <c r="T37" s="5"/>
      <c r="U37" s="5"/>
    </row>
    <row r="38" spans="1:21" x14ac:dyDescent="0.25">
      <c r="A38" s="293"/>
      <c r="B38" s="293"/>
      <c r="C38" s="293"/>
      <c r="D38" s="293"/>
      <c r="E38" s="14"/>
      <c r="F38" s="14"/>
      <c r="G38" s="14"/>
      <c r="I38" s="1"/>
      <c r="J38" s="2"/>
      <c r="L38" s="3"/>
      <c r="M38" s="3"/>
      <c r="N38" s="3"/>
      <c r="O38" s="3"/>
      <c r="P38" s="3"/>
      <c r="Q38" s="3"/>
      <c r="R38" s="4"/>
      <c r="S38" s="5"/>
      <c r="T38" s="5"/>
      <c r="U38" s="5"/>
    </row>
    <row r="39" spans="1:21" x14ac:dyDescent="0.25">
      <c r="A39" s="1"/>
      <c r="I39" s="1"/>
      <c r="J39" s="2"/>
      <c r="L39" s="3"/>
      <c r="M39" s="3"/>
      <c r="N39" s="3"/>
      <c r="O39" s="3"/>
      <c r="P39" s="3"/>
      <c r="Q39" s="3"/>
      <c r="R39" s="4"/>
      <c r="S39" s="5"/>
      <c r="T39" s="5"/>
      <c r="U39" s="5"/>
    </row>
    <row r="40" spans="1:21" x14ac:dyDescent="0.25">
      <c r="I40" s="1"/>
      <c r="J40" s="2"/>
      <c r="L40" s="3"/>
      <c r="M40" s="3"/>
      <c r="N40" s="3"/>
      <c r="O40" s="3"/>
      <c r="P40" s="3"/>
      <c r="Q40" s="3"/>
      <c r="R40" s="4"/>
      <c r="S40" s="5"/>
      <c r="T40" s="5"/>
      <c r="U40" s="5"/>
    </row>
    <row r="41" spans="1:21" x14ac:dyDescent="0.25">
      <c r="I41" s="1"/>
      <c r="J41" s="2"/>
      <c r="L41" s="3"/>
      <c r="M41" s="3"/>
      <c r="N41" s="3"/>
      <c r="O41" s="3"/>
      <c r="P41" s="3"/>
      <c r="Q41" s="3"/>
      <c r="R41" s="4"/>
      <c r="S41" s="5"/>
      <c r="T41" s="5"/>
      <c r="U41" s="5"/>
    </row>
    <row r="42" spans="1:21" x14ac:dyDescent="0.25">
      <c r="I42" s="1"/>
      <c r="J42" s="2"/>
      <c r="L42" s="3"/>
      <c r="M42" s="3"/>
      <c r="N42" s="3"/>
      <c r="O42" s="3"/>
      <c r="P42" s="3"/>
      <c r="Q42" s="3"/>
      <c r="R42" s="4"/>
      <c r="S42" s="5"/>
      <c r="T42" s="5"/>
      <c r="U42" s="5"/>
    </row>
    <row r="43" spans="1:21" x14ac:dyDescent="0.25">
      <c r="I43" s="1"/>
      <c r="J43" s="2"/>
      <c r="L43" s="3"/>
      <c r="M43" s="3"/>
      <c r="N43" s="294" t="s">
        <v>400</v>
      </c>
      <c r="O43" s="294"/>
      <c r="P43" s="294"/>
      <c r="Q43" s="294"/>
      <c r="R43" s="294"/>
      <c r="S43" s="294"/>
      <c r="T43" s="294"/>
      <c r="U43" s="5"/>
    </row>
    <row r="44" spans="1:21" x14ac:dyDescent="0.25">
      <c r="I44" s="5"/>
      <c r="J44" s="5"/>
      <c r="K44" s="5"/>
      <c r="L44" s="5"/>
      <c r="M44" s="5"/>
      <c r="N44" s="294"/>
      <c r="O44" s="294"/>
      <c r="P44" s="294"/>
      <c r="Q44" s="294"/>
      <c r="R44" s="294"/>
      <c r="S44" s="294"/>
      <c r="T44" s="294"/>
      <c r="U44" s="5"/>
    </row>
    <row r="45" spans="1:21" x14ac:dyDescent="0.25">
      <c r="J45" s="4"/>
      <c r="K45" s="4"/>
      <c r="L45" s="5"/>
      <c r="M45" s="5"/>
      <c r="N45" s="294"/>
      <c r="O45" s="294"/>
      <c r="P45" s="294"/>
      <c r="Q45" s="294"/>
      <c r="R45" s="294"/>
      <c r="S45" s="294"/>
      <c r="T45" s="294"/>
      <c r="U45" s="5"/>
    </row>
    <row r="46" spans="1:21" x14ac:dyDescent="0.25"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</sheetData>
  <mergeCells count="10">
    <mergeCell ref="P10:U10"/>
    <mergeCell ref="N25:T25"/>
    <mergeCell ref="A38:D38"/>
    <mergeCell ref="N43:T45"/>
    <mergeCell ref="A15:B15"/>
    <mergeCell ref="A2:K2"/>
    <mergeCell ref="A7:B7"/>
    <mergeCell ref="A13:B13"/>
    <mergeCell ref="A4:L5"/>
    <mergeCell ref="A16:B16"/>
  </mergeCells>
  <pageMargins left="0.7" right="0.7" top="0.75" bottom="0.75" header="0.3" footer="0.3"/>
  <pageSetup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fitToPage="1"/>
  </sheetPr>
  <dimension ref="A2:M37"/>
  <sheetViews>
    <sheetView showGridLines="0" zoomScale="80" zoomScaleNormal="80" workbookViewId="0">
      <selection activeCell="K39" sqref="K39"/>
    </sheetView>
  </sheetViews>
  <sheetFormatPr baseColWidth="10" defaultColWidth="9.85546875" defaultRowHeight="11.25" x14ac:dyDescent="0.25"/>
  <cols>
    <col min="1" max="1" width="19.140625" style="1" customWidth="1"/>
    <col min="2" max="2" width="9.5703125" style="2" customWidth="1"/>
    <col min="3" max="3" width="9.5703125" style="3" hidden="1" customWidth="1"/>
    <col min="4" max="11" width="9.5703125" style="3" customWidth="1"/>
    <col min="12" max="16384" width="9.85546875" style="3"/>
  </cols>
  <sheetData>
    <row r="2" spans="1:13" ht="12.75" x14ac:dyDescent="0.25">
      <c r="A2" s="280" t="s">
        <v>491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</row>
    <row r="4" spans="1:13" s="2" customFormat="1" ht="14.45" customHeight="1" x14ac:dyDescent="0.25">
      <c r="A4" s="295" t="s">
        <v>772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</row>
    <row r="5" spans="1:13" s="2" customFormat="1" ht="14.45" customHeigh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</row>
    <row r="6" spans="1:13" s="2" customFormat="1" ht="14.45" customHeight="1" x14ac:dyDescent="0.25">
      <c r="A6" s="208" t="s">
        <v>0</v>
      </c>
      <c r="B6" s="208" t="s">
        <v>1</v>
      </c>
      <c r="C6" s="208">
        <v>2012</v>
      </c>
      <c r="D6" s="208">
        <v>2013</v>
      </c>
      <c r="E6" s="208">
        <v>2014</v>
      </c>
      <c r="F6" s="208">
        <v>2015</v>
      </c>
      <c r="G6" s="208">
        <v>2016</v>
      </c>
      <c r="H6" s="208">
        <v>2017</v>
      </c>
      <c r="I6" s="208">
        <v>2018</v>
      </c>
      <c r="J6" s="208">
        <v>2019</v>
      </c>
      <c r="K6" s="208">
        <v>2020</v>
      </c>
      <c r="L6" s="208">
        <v>2021</v>
      </c>
    </row>
    <row r="7" spans="1:13" ht="14.45" customHeight="1" x14ac:dyDescent="0.25">
      <c r="A7" s="210" t="s">
        <v>401</v>
      </c>
      <c r="B7" s="211" t="s">
        <v>49</v>
      </c>
      <c r="C7" s="218" t="s">
        <v>4</v>
      </c>
      <c r="D7" s="218" t="s">
        <v>4</v>
      </c>
      <c r="E7" s="218" t="s">
        <v>4</v>
      </c>
      <c r="F7" s="218" t="s">
        <v>4</v>
      </c>
      <c r="G7" s="218" t="s">
        <v>4</v>
      </c>
      <c r="H7" s="218">
        <v>1</v>
      </c>
      <c r="I7" s="218" t="s">
        <v>4</v>
      </c>
      <c r="J7" s="218" t="s">
        <v>4</v>
      </c>
      <c r="K7" s="218" t="s">
        <v>4</v>
      </c>
      <c r="L7" s="218">
        <v>1</v>
      </c>
      <c r="M7" s="3">
        <f>SUM(C7:L7)</f>
        <v>2</v>
      </c>
    </row>
    <row r="8" spans="1:13" ht="14.45" customHeight="1" x14ac:dyDescent="0.25">
      <c r="A8" s="210" t="s">
        <v>401</v>
      </c>
      <c r="B8" s="211" t="s">
        <v>50</v>
      </c>
      <c r="C8" s="218" t="s">
        <v>4</v>
      </c>
      <c r="D8" s="218" t="s">
        <v>4</v>
      </c>
      <c r="E8" s="218" t="s">
        <v>4</v>
      </c>
      <c r="F8" s="218" t="s">
        <v>4</v>
      </c>
      <c r="G8" s="218" t="s">
        <v>4</v>
      </c>
      <c r="H8" s="218" t="s">
        <v>4</v>
      </c>
      <c r="I8" s="218">
        <v>1</v>
      </c>
      <c r="J8" s="218" t="s">
        <v>4</v>
      </c>
      <c r="K8" s="218" t="s">
        <v>4</v>
      </c>
      <c r="L8" s="218" t="s">
        <v>4</v>
      </c>
      <c r="M8" s="3">
        <f t="shared" ref="M8:M34" si="0">SUM(C8:L8)</f>
        <v>1</v>
      </c>
    </row>
    <row r="9" spans="1:13" ht="14.45" customHeight="1" x14ac:dyDescent="0.25">
      <c r="A9" s="210" t="s">
        <v>23</v>
      </c>
      <c r="B9" s="211" t="s">
        <v>51</v>
      </c>
      <c r="C9" s="218" t="s">
        <v>4</v>
      </c>
      <c r="D9" s="218" t="s">
        <v>4</v>
      </c>
      <c r="E9" s="218" t="s">
        <v>4</v>
      </c>
      <c r="F9" s="218" t="s">
        <v>4</v>
      </c>
      <c r="G9" s="218" t="s">
        <v>4</v>
      </c>
      <c r="H9" s="218" t="s">
        <v>4</v>
      </c>
      <c r="I9" s="218">
        <v>1</v>
      </c>
      <c r="J9" s="218" t="s">
        <v>4</v>
      </c>
      <c r="K9" s="218" t="s">
        <v>4</v>
      </c>
      <c r="L9" s="218" t="s">
        <v>4</v>
      </c>
      <c r="M9" s="3">
        <f t="shared" si="0"/>
        <v>1</v>
      </c>
    </row>
    <row r="10" spans="1:13" ht="14.45" customHeight="1" x14ac:dyDescent="0.25">
      <c r="A10" s="210" t="s">
        <v>52</v>
      </c>
      <c r="B10" s="211" t="s">
        <v>8</v>
      </c>
      <c r="C10" s="218" t="s">
        <v>4</v>
      </c>
      <c r="D10" s="218" t="s">
        <v>4</v>
      </c>
      <c r="E10" s="218" t="s">
        <v>4</v>
      </c>
      <c r="F10" s="218" t="s">
        <v>4</v>
      </c>
      <c r="G10" s="218" t="s">
        <v>4</v>
      </c>
      <c r="H10" s="218">
        <v>1</v>
      </c>
      <c r="I10" s="218">
        <v>1</v>
      </c>
      <c r="J10" s="218">
        <v>1</v>
      </c>
      <c r="K10" s="218" t="s">
        <v>4</v>
      </c>
      <c r="L10" s="218" t="s">
        <v>4</v>
      </c>
      <c r="M10" s="3">
        <f t="shared" si="0"/>
        <v>3</v>
      </c>
    </row>
    <row r="11" spans="1:13" ht="14.45" customHeight="1" x14ac:dyDescent="0.25">
      <c r="A11" s="210" t="s">
        <v>53</v>
      </c>
      <c r="B11" s="211" t="s">
        <v>35</v>
      </c>
      <c r="C11" s="218" t="s">
        <v>4</v>
      </c>
      <c r="D11" s="218" t="s">
        <v>4</v>
      </c>
      <c r="E11" s="218" t="s">
        <v>4</v>
      </c>
      <c r="F11" s="218" t="s">
        <v>4</v>
      </c>
      <c r="G11" s="218" t="s">
        <v>4</v>
      </c>
      <c r="H11" s="218" t="s">
        <v>4</v>
      </c>
      <c r="I11" s="218">
        <v>1</v>
      </c>
      <c r="J11" s="218" t="s">
        <v>4</v>
      </c>
      <c r="K11" s="218" t="s">
        <v>4</v>
      </c>
      <c r="L11" s="218" t="s">
        <v>4</v>
      </c>
      <c r="M11" s="3">
        <f t="shared" si="0"/>
        <v>1</v>
      </c>
    </row>
    <row r="12" spans="1:13" ht="14.45" customHeight="1" x14ac:dyDescent="0.25">
      <c r="A12" s="210" t="s">
        <v>5</v>
      </c>
      <c r="B12" s="211" t="s">
        <v>6</v>
      </c>
      <c r="C12" s="218" t="s">
        <v>4</v>
      </c>
      <c r="D12" s="218" t="s">
        <v>4</v>
      </c>
      <c r="E12" s="218">
        <v>2</v>
      </c>
      <c r="F12" s="218" t="s">
        <v>4</v>
      </c>
      <c r="G12" s="218" t="s">
        <v>4</v>
      </c>
      <c r="H12" s="218" t="s">
        <v>4</v>
      </c>
      <c r="I12" s="218" t="s">
        <v>4</v>
      </c>
      <c r="J12" s="218" t="s">
        <v>4</v>
      </c>
      <c r="K12" s="218" t="s">
        <v>4</v>
      </c>
      <c r="L12" s="218" t="s">
        <v>4</v>
      </c>
      <c r="M12" s="3">
        <f t="shared" si="0"/>
        <v>2</v>
      </c>
    </row>
    <row r="13" spans="1:13" ht="14.45" customHeight="1" x14ac:dyDescent="0.25">
      <c r="A13" s="210" t="s">
        <v>53</v>
      </c>
      <c r="B13" s="211" t="s">
        <v>54</v>
      </c>
      <c r="C13" s="218" t="s">
        <v>4</v>
      </c>
      <c r="D13" s="218" t="s">
        <v>4</v>
      </c>
      <c r="E13" s="218">
        <v>5</v>
      </c>
      <c r="F13" s="218" t="s">
        <v>4</v>
      </c>
      <c r="G13" s="218" t="s">
        <v>4</v>
      </c>
      <c r="H13" s="218" t="s">
        <v>4</v>
      </c>
      <c r="I13" s="218" t="s">
        <v>4</v>
      </c>
      <c r="J13" s="218" t="s">
        <v>4</v>
      </c>
      <c r="K13" s="218" t="s">
        <v>4</v>
      </c>
      <c r="L13" s="218" t="s">
        <v>4</v>
      </c>
      <c r="M13" s="3">
        <f t="shared" si="0"/>
        <v>5</v>
      </c>
    </row>
    <row r="14" spans="1:13" ht="14.45" customHeight="1" x14ac:dyDescent="0.25">
      <c r="A14" s="210" t="s">
        <v>42</v>
      </c>
      <c r="B14" s="211" t="s">
        <v>35</v>
      </c>
      <c r="C14" s="218" t="s">
        <v>4</v>
      </c>
      <c r="D14" s="218" t="s">
        <v>4</v>
      </c>
      <c r="E14" s="218">
        <v>3</v>
      </c>
      <c r="F14" s="218" t="s">
        <v>4</v>
      </c>
      <c r="G14" s="218" t="s">
        <v>4</v>
      </c>
      <c r="H14" s="218" t="s">
        <v>4</v>
      </c>
      <c r="I14" s="218" t="s">
        <v>4</v>
      </c>
      <c r="J14" s="218" t="s">
        <v>4</v>
      </c>
      <c r="K14" s="218" t="s">
        <v>4</v>
      </c>
      <c r="L14" s="218" t="s">
        <v>4</v>
      </c>
      <c r="M14" s="3">
        <f t="shared" si="0"/>
        <v>3</v>
      </c>
    </row>
    <row r="15" spans="1:13" ht="14.45" customHeight="1" x14ac:dyDescent="0.25">
      <c r="A15" s="210" t="s">
        <v>55</v>
      </c>
      <c r="B15" s="211" t="s">
        <v>40</v>
      </c>
      <c r="C15" s="218" t="s">
        <v>4</v>
      </c>
      <c r="D15" s="218" t="s">
        <v>4</v>
      </c>
      <c r="E15" s="218">
        <v>1</v>
      </c>
      <c r="F15" s="218" t="s">
        <v>4</v>
      </c>
      <c r="G15" s="218" t="s">
        <v>4</v>
      </c>
      <c r="H15" s="218" t="s">
        <v>4</v>
      </c>
      <c r="I15" s="218" t="s">
        <v>4</v>
      </c>
      <c r="J15" s="218" t="s">
        <v>4</v>
      </c>
      <c r="K15" s="218" t="s">
        <v>4</v>
      </c>
      <c r="L15" s="218" t="s">
        <v>4</v>
      </c>
      <c r="M15" s="3">
        <f t="shared" si="0"/>
        <v>1</v>
      </c>
    </row>
    <row r="16" spans="1:13" ht="14.45" customHeight="1" x14ac:dyDescent="0.25">
      <c r="A16" s="281" t="s">
        <v>9</v>
      </c>
      <c r="B16" s="281"/>
      <c r="C16" s="219">
        <v>0</v>
      </c>
      <c r="D16" s="219">
        <v>0</v>
      </c>
      <c r="E16" s="219">
        <v>11</v>
      </c>
      <c r="F16" s="219">
        <v>0</v>
      </c>
      <c r="G16" s="219">
        <v>0</v>
      </c>
      <c r="H16" s="219">
        <v>2</v>
      </c>
      <c r="I16" s="219">
        <v>4</v>
      </c>
      <c r="J16" s="219">
        <v>1</v>
      </c>
      <c r="K16" s="219">
        <f ca="1">SUM(K7:K16)</f>
        <v>0</v>
      </c>
      <c r="L16" s="219">
        <v>1</v>
      </c>
      <c r="M16" s="3">
        <f t="shared" ca="1" si="0"/>
        <v>2</v>
      </c>
    </row>
    <row r="17" spans="1:13" ht="14.45" customHeight="1" x14ac:dyDescent="0.25">
      <c r="A17" s="210" t="s">
        <v>57</v>
      </c>
      <c r="B17" s="211" t="s">
        <v>58</v>
      </c>
      <c r="C17" s="218">
        <v>2</v>
      </c>
      <c r="D17" s="218">
        <v>2</v>
      </c>
      <c r="E17" s="218" t="s">
        <v>4</v>
      </c>
      <c r="F17" s="218" t="s">
        <v>4</v>
      </c>
      <c r="G17" s="218" t="s">
        <v>4</v>
      </c>
      <c r="H17" s="218" t="s">
        <v>4</v>
      </c>
      <c r="I17" s="218" t="s">
        <v>4</v>
      </c>
      <c r="J17" s="218" t="s">
        <v>4</v>
      </c>
      <c r="K17" s="218" t="s">
        <v>4</v>
      </c>
      <c r="L17" s="218" t="s">
        <v>4</v>
      </c>
      <c r="M17" s="3">
        <f t="shared" si="0"/>
        <v>4</v>
      </c>
    </row>
    <row r="18" spans="1:13" ht="22.5" x14ac:dyDescent="0.25">
      <c r="A18" s="210" t="s">
        <v>59</v>
      </c>
      <c r="B18" s="211" t="s">
        <v>43</v>
      </c>
      <c r="C18" s="218" t="s">
        <v>4</v>
      </c>
      <c r="D18" s="218" t="s">
        <v>4</v>
      </c>
      <c r="E18" s="218" t="s">
        <v>4</v>
      </c>
      <c r="F18" s="218" t="s">
        <v>4</v>
      </c>
      <c r="G18" s="218" t="s">
        <v>4</v>
      </c>
      <c r="H18" s="218" t="s">
        <v>4</v>
      </c>
      <c r="I18" s="218">
        <v>1</v>
      </c>
      <c r="J18" s="218" t="s">
        <v>4</v>
      </c>
      <c r="K18" s="218" t="s">
        <v>4</v>
      </c>
      <c r="L18" s="218" t="s">
        <v>4</v>
      </c>
      <c r="M18" s="3">
        <f t="shared" si="0"/>
        <v>1</v>
      </c>
    </row>
    <row r="19" spans="1:13" ht="14.45" customHeight="1" x14ac:dyDescent="0.25">
      <c r="A19" s="210" t="s">
        <v>60</v>
      </c>
      <c r="B19" s="211" t="s">
        <v>34</v>
      </c>
      <c r="C19" s="218" t="s">
        <v>4</v>
      </c>
      <c r="D19" s="218" t="s">
        <v>4</v>
      </c>
      <c r="E19" s="218" t="s">
        <v>4</v>
      </c>
      <c r="F19" s="218" t="s">
        <v>4</v>
      </c>
      <c r="G19" s="218" t="s">
        <v>4</v>
      </c>
      <c r="H19" s="218" t="s">
        <v>4</v>
      </c>
      <c r="I19" s="218" t="s">
        <v>4</v>
      </c>
      <c r="J19" s="218" t="s">
        <v>4</v>
      </c>
      <c r="K19" s="218">
        <v>1</v>
      </c>
      <c r="L19" s="218" t="s">
        <v>4</v>
      </c>
      <c r="M19" s="3">
        <f t="shared" si="0"/>
        <v>1</v>
      </c>
    </row>
    <row r="20" spans="1:13" ht="14.45" customHeight="1" x14ac:dyDescent="0.25">
      <c r="A20" s="281" t="s">
        <v>18</v>
      </c>
      <c r="B20" s="281"/>
      <c r="C20" s="219">
        <v>2</v>
      </c>
      <c r="D20" s="219">
        <v>2</v>
      </c>
      <c r="E20" s="219">
        <v>0</v>
      </c>
      <c r="F20" s="219">
        <v>0</v>
      </c>
      <c r="G20" s="219">
        <v>0</v>
      </c>
      <c r="H20" s="219">
        <v>0</v>
      </c>
      <c r="I20" s="219">
        <v>1</v>
      </c>
      <c r="J20" s="219">
        <v>0</v>
      </c>
      <c r="K20" s="219">
        <f>SUM(K17:K19)</f>
        <v>1</v>
      </c>
      <c r="L20" s="219">
        <f>SUM(L17:L19)</f>
        <v>0</v>
      </c>
      <c r="M20" s="3">
        <f t="shared" si="0"/>
        <v>6</v>
      </c>
    </row>
    <row r="21" spans="1:13" ht="14.45" customHeight="1" x14ac:dyDescent="0.25">
      <c r="A21" s="210" t="s">
        <v>26</v>
      </c>
      <c r="B21" s="211">
        <v>56</v>
      </c>
      <c r="C21" s="218">
        <v>2</v>
      </c>
      <c r="D21" s="218" t="s">
        <v>4</v>
      </c>
      <c r="E21" s="218" t="s">
        <v>4</v>
      </c>
      <c r="F21" s="218" t="s">
        <v>4</v>
      </c>
      <c r="G21" s="218" t="s">
        <v>4</v>
      </c>
      <c r="H21" s="218" t="s">
        <v>4</v>
      </c>
      <c r="I21" s="218" t="s">
        <v>4</v>
      </c>
      <c r="J21" s="218" t="s">
        <v>4</v>
      </c>
      <c r="K21" s="218" t="s">
        <v>4</v>
      </c>
      <c r="L21" s="218" t="s">
        <v>4</v>
      </c>
      <c r="M21" s="3">
        <f t="shared" si="0"/>
        <v>2</v>
      </c>
    </row>
    <row r="22" spans="1:13" ht="14.45" customHeight="1" x14ac:dyDescent="0.25">
      <c r="A22" s="210" t="s">
        <v>27</v>
      </c>
      <c r="B22" s="211">
        <v>57</v>
      </c>
      <c r="C22" s="218">
        <v>2</v>
      </c>
      <c r="D22" s="218" t="s">
        <v>4</v>
      </c>
      <c r="E22" s="218" t="s">
        <v>4</v>
      </c>
      <c r="F22" s="218" t="s">
        <v>4</v>
      </c>
      <c r="G22" s="218" t="s">
        <v>4</v>
      </c>
      <c r="H22" s="218">
        <v>1</v>
      </c>
      <c r="I22" s="218" t="s">
        <v>4</v>
      </c>
      <c r="J22" s="218" t="s">
        <v>4</v>
      </c>
      <c r="K22" s="218" t="s">
        <v>4</v>
      </c>
      <c r="L22" s="218" t="s">
        <v>4</v>
      </c>
      <c r="M22" s="3">
        <f t="shared" si="0"/>
        <v>3</v>
      </c>
    </row>
    <row r="23" spans="1:13" ht="14.45" customHeight="1" x14ac:dyDescent="0.25">
      <c r="A23" s="210" t="s">
        <v>23</v>
      </c>
      <c r="B23" s="211">
        <v>58</v>
      </c>
      <c r="C23" s="218" t="s">
        <v>4</v>
      </c>
      <c r="D23" s="218">
        <v>1</v>
      </c>
      <c r="E23" s="218" t="s">
        <v>4</v>
      </c>
      <c r="F23" s="218" t="s">
        <v>4</v>
      </c>
      <c r="G23" s="218" t="s">
        <v>4</v>
      </c>
      <c r="H23" s="218" t="s">
        <v>4</v>
      </c>
      <c r="I23" s="218" t="s">
        <v>4</v>
      </c>
      <c r="J23" s="218" t="s">
        <v>4</v>
      </c>
      <c r="K23" s="218" t="s">
        <v>4</v>
      </c>
      <c r="L23" s="218" t="s">
        <v>4</v>
      </c>
      <c r="M23" s="3">
        <f t="shared" si="0"/>
        <v>1</v>
      </c>
    </row>
    <row r="24" spans="1:13" ht="14.45" customHeight="1" x14ac:dyDescent="0.25">
      <c r="A24" s="210" t="s">
        <v>61</v>
      </c>
      <c r="B24" s="211">
        <v>64</v>
      </c>
      <c r="C24" s="218">
        <v>1</v>
      </c>
      <c r="D24" s="218" t="s">
        <v>4</v>
      </c>
      <c r="E24" s="218" t="s">
        <v>4</v>
      </c>
      <c r="F24" s="218" t="s">
        <v>4</v>
      </c>
      <c r="G24" s="218" t="s">
        <v>4</v>
      </c>
      <c r="H24" s="218" t="s">
        <v>4</v>
      </c>
      <c r="I24" s="218" t="s">
        <v>4</v>
      </c>
      <c r="J24" s="218" t="s">
        <v>4</v>
      </c>
      <c r="K24" s="218" t="s">
        <v>4</v>
      </c>
      <c r="L24" s="218" t="s">
        <v>4</v>
      </c>
      <c r="M24" s="3">
        <f t="shared" si="0"/>
        <v>1</v>
      </c>
    </row>
    <row r="25" spans="1:13" ht="14.45" customHeight="1" x14ac:dyDescent="0.25">
      <c r="A25" s="210" t="s">
        <v>62</v>
      </c>
      <c r="B25" s="211">
        <v>76</v>
      </c>
      <c r="C25" s="218" t="s">
        <v>4</v>
      </c>
      <c r="D25" s="218" t="s">
        <v>4</v>
      </c>
      <c r="E25" s="218" t="s">
        <v>4</v>
      </c>
      <c r="F25" s="218">
        <v>1</v>
      </c>
      <c r="G25" s="218" t="s">
        <v>4</v>
      </c>
      <c r="H25" s="218" t="s">
        <v>4</v>
      </c>
      <c r="I25" s="218" t="s">
        <v>4</v>
      </c>
      <c r="J25" s="218" t="s">
        <v>4</v>
      </c>
      <c r="K25" s="218" t="s">
        <v>4</v>
      </c>
      <c r="L25" s="218" t="s">
        <v>4</v>
      </c>
      <c r="M25" s="3">
        <f t="shared" si="0"/>
        <v>1</v>
      </c>
    </row>
    <row r="26" spans="1:13" ht="14.45" customHeight="1" x14ac:dyDescent="0.25">
      <c r="A26" s="210" t="s">
        <v>26</v>
      </c>
      <c r="B26" s="211">
        <v>88</v>
      </c>
      <c r="C26" s="218" t="s">
        <v>4</v>
      </c>
      <c r="D26" s="218">
        <v>1</v>
      </c>
      <c r="E26" s="218" t="s">
        <v>4</v>
      </c>
      <c r="F26" s="218">
        <v>1</v>
      </c>
      <c r="G26" s="218" t="s">
        <v>4</v>
      </c>
      <c r="H26" s="218" t="s">
        <v>4</v>
      </c>
      <c r="I26" s="218" t="s">
        <v>4</v>
      </c>
      <c r="J26" s="218" t="s">
        <v>4</v>
      </c>
      <c r="K26" s="218" t="s">
        <v>4</v>
      </c>
      <c r="L26" s="218" t="s">
        <v>4</v>
      </c>
      <c r="M26" s="3">
        <f t="shared" si="0"/>
        <v>2</v>
      </c>
    </row>
    <row r="27" spans="1:13" ht="14.45" customHeight="1" x14ac:dyDescent="0.25">
      <c r="A27" s="210" t="s">
        <v>63</v>
      </c>
      <c r="B27" s="211">
        <v>95</v>
      </c>
      <c r="C27" s="218" t="s">
        <v>4</v>
      </c>
      <c r="D27" s="218">
        <v>1</v>
      </c>
      <c r="E27" s="218" t="s">
        <v>4</v>
      </c>
      <c r="F27" s="218">
        <v>1</v>
      </c>
      <c r="G27" s="218" t="s">
        <v>4</v>
      </c>
      <c r="H27" s="218" t="s">
        <v>4</v>
      </c>
      <c r="I27" s="218" t="s">
        <v>4</v>
      </c>
      <c r="J27" s="218">
        <v>1</v>
      </c>
      <c r="K27" s="218" t="s">
        <v>4</v>
      </c>
      <c r="L27" s="218" t="s">
        <v>4</v>
      </c>
      <c r="M27" s="3">
        <f t="shared" si="0"/>
        <v>3</v>
      </c>
    </row>
    <row r="28" spans="1:13" ht="14.45" customHeight="1" x14ac:dyDescent="0.25">
      <c r="A28" s="210" t="s">
        <v>26</v>
      </c>
      <c r="B28" s="211">
        <v>108</v>
      </c>
      <c r="C28" s="218" t="s">
        <v>4</v>
      </c>
      <c r="D28" s="218" t="s">
        <v>4</v>
      </c>
      <c r="E28" s="218" t="s">
        <v>4</v>
      </c>
      <c r="F28" s="218" t="s">
        <v>4</v>
      </c>
      <c r="G28" s="218" t="s">
        <v>4</v>
      </c>
      <c r="H28" s="218" t="s">
        <v>4</v>
      </c>
      <c r="I28" s="218" t="s">
        <v>4</v>
      </c>
      <c r="J28" s="218">
        <v>1</v>
      </c>
      <c r="K28" s="218" t="s">
        <v>4</v>
      </c>
      <c r="L28" s="218" t="s">
        <v>4</v>
      </c>
      <c r="M28" s="3">
        <f t="shared" si="0"/>
        <v>1</v>
      </c>
    </row>
    <row r="29" spans="1:13" ht="14.45" customHeight="1" x14ac:dyDescent="0.25">
      <c r="A29" s="210" t="s">
        <v>25</v>
      </c>
      <c r="B29" s="211">
        <v>116</v>
      </c>
      <c r="C29" s="218" t="s">
        <v>4</v>
      </c>
      <c r="D29" s="218" t="s">
        <v>4</v>
      </c>
      <c r="E29" s="218">
        <v>1</v>
      </c>
      <c r="F29" s="218" t="s">
        <v>4</v>
      </c>
      <c r="G29" s="218" t="s">
        <v>4</v>
      </c>
      <c r="H29" s="218" t="s">
        <v>4</v>
      </c>
      <c r="I29" s="218" t="s">
        <v>4</v>
      </c>
      <c r="J29" s="218" t="s">
        <v>4</v>
      </c>
      <c r="K29" s="218" t="s">
        <v>4</v>
      </c>
      <c r="L29" s="218" t="s">
        <v>4</v>
      </c>
      <c r="M29" s="3">
        <f t="shared" si="0"/>
        <v>1</v>
      </c>
    </row>
    <row r="30" spans="1:13" ht="14.45" customHeight="1" x14ac:dyDescent="0.25">
      <c r="A30" s="210" t="s">
        <v>64</v>
      </c>
      <c r="B30" s="211">
        <v>126</v>
      </c>
      <c r="C30" s="218">
        <v>2</v>
      </c>
      <c r="D30" s="218" t="s">
        <v>4</v>
      </c>
      <c r="E30" s="218" t="s">
        <v>4</v>
      </c>
      <c r="F30" s="218" t="s">
        <v>4</v>
      </c>
      <c r="G30" s="218" t="s">
        <v>4</v>
      </c>
      <c r="H30" s="218" t="s">
        <v>4</v>
      </c>
      <c r="I30" s="218" t="s">
        <v>4</v>
      </c>
      <c r="J30" s="218" t="s">
        <v>4</v>
      </c>
      <c r="K30" s="218" t="s">
        <v>4</v>
      </c>
      <c r="L30" s="218" t="s">
        <v>4</v>
      </c>
      <c r="M30" s="3">
        <f t="shared" si="0"/>
        <v>2</v>
      </c>
    </row>
    <row r="31" spans="1:13" ht="14.45" customHeight="1" x14ac:dyDescent="0.25">
      <c r="A31" s="210" t="s">
        <v>24</v>
      </c>
      <c r="B31" s="211">
        <v>131</v>
      </c>
      <c r="C31" s="218" t="s">
        <v>4</v>
      </c>
      <c r="D31" s="218">
        <v>1</v>
      </c>
      <c r="E31" s="218" t="s">
        <v>4</v>
      </c>
      <c r="F31" s="218">
        <v>1</v>
      </c>
      <c r="G31" s="218" t="s">
        <v>4</v>
      </c>
      <c r="H31" s="218">
        <v>1</v>
      </c>
      <c r="I31" s="218" t="s">
        <v>4</v>
      </c>
      <c r="J31" s="218" t="s">
        <v>4</v>
      </c>
      <c r="K31" s="218" t="s">
        <v>4</v>
      </c>
      <c r="L31" s="218" t="s">
        <v>4</v>
      </c>
      <c r="M31" s="3">
        <f t="shared" si="0"/>
        <v>3</v>
      </c>
    </row>
    <row r="32" spans="1:13" ht="14.45" customHeight="1" x14ac:dyDescent="0.25">
      <c r="A32" s="210" t="s">
        <v>25</v>
      </c>
      <c r="B32" s="211">
        <v>138</v>
      </c>
      <c r="C32" s="218" t="s">
        <v>4</v>
      </c>
      <c r="D32" s="218">
        <v>1</v>
      </c>
      <c r="E32" s="218" t="s">
        <v>4</v>
      </c>
      <c r="F32" s="218" t="s">
        <v>4</v>
      </c>
      <c r="G32" s="218" t="s">
        <v>4</v>
      </c>
      <c r="H32" s="218" t="s">
        <v>4</v>
      </c>
      <c r="I32" s="218" t="s">
        <v>4</v>
      </c>
      <c r="J32" s="218" t="s">
        <v>4</v>
      </c>
      <c r="K32" s="218" t="s">
        <v>4</v>
      </c>
      <c r="L32" s="218" t="s">
        <v>4</v>
      </c>
      <c r="M32" s="3">
        <f t="shared" si="0"/>
        <v>1</v>
      </c>
    </row>
    <row r="33" spans="1:13" ht="14.45" customHeight="1" x14ac:dyDescent="0.25">
      <c r="A33" s="281" t="s">
        <v>28</v>
      </c>
      <c r="B33" s="281"/>
      <c r="C33" s="219">
        <v>7</v>
      </c>
      <c r="D33" s="219">
        <v>5</v>
      </c>
      <c r="E33" s="219">
        <v>1</v>
      </c>
      <c r="F33" s="219">
        <v>4</v>
      </c>
      <c r="G33" s="219">
        <v>0</v>
      </c>
      <c r="H33" s="219">
        <v>2</v>
      </c>
      <c r="I33" s="219">
        <v>0</v>
      </c>
      <c r="J33" s="219">
        <v>2</v>
      </c>
      <c r="K33" s="219">
        <f>SUM(K21:K32)</f>
        <v>0</v>
      </c>
      <c r="L33" s="219">
        <f>SUM(L21:L32)</f>
        <v>0</v>
      </c>
      <c r="M33" s="3">
        <f t="shared" si="0"/>
        <v>21</v>
      </c>
    </row>
    <row r="34" spans="1:13" ht="14.45" customHeight="1" x14ac:dyDescent="0.25">
      <c r="A34" s="288" t="s">
        <v>29</v>
      </c>
      <c r="B34" s="288"/>
      <c r="C34" s="220">
        <v>9</v>
      </c>
      <c r="D34" s="220">
        <v>7</v>
      </c>
      <c r="E34" s="220">
        <v>12</v>
      </c>
      <c r="F34" s="220">
        <v>4</v>
      </c>
      <c r="G34" s="220">
        <v>0</v>
      </c>
      <c r="H34" s="220">
        <v>4</v>
      </c>
      <c r="I34" s="220">
        <v>5</v>
      </c>
      <c r="J34" s="220">
        <v>3</v>
      </c>
      <c r="K34" s="220">
        <v>1</v>
      </c>
      <c r="L34" s="220">
        <v>1</v>
      </c>
      <c r="M34" s="3">
        <f t="shared" si="0"/>
        <v>46</v>
      </c>
    </row>
    <row r="37" spans="1:13" x14ac:dyDescent="0.25">
      <c r="A37" s="1" t="s">
        <v>30</v>
      </c>
    </row>
  </sheetData>
  <mergeCells count="6">
    <mergeCell ref="A2:L2"/>
    <mergeCell ref="A34:B34"/>
    <mergeCell ref="A16:B16"/>
    <mergeCell ref="A20:B20"/>
    <mergeCell ref="A33:B33"/>
    <mergeCell ref="A4:L5"/>
  </mergeCells>
  <pageMargins left="0.7" right="0.7" top="0.75" bottom="0.75" header="0.3" footer="0.3"/>
  <pageSetup scale="9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  <pageSetUpPr fitToPage="1"/>
  </sheetPr>
  <dimension ref="A2:P28"/>
  <sheetViews>
    <sheetView showGridLines="0" workbookViewId="0">
      <pane ySplit="7" topLeftCell="A8" activePane="bottomLeft" state="frozen"/>
      <selection activeCell="Q43" sqref="Q43"/>
      <selection pane="bottomLeft" activeCell="G19" sqref="G19:G20"/>
    </sheetView>
  </sheetViews>
  <sheetFormatPr baseColWidth="10" defaultRowHeight="15" x14ac:dyDescent="0.25"/>
  <cols>
    <col min="1" max="2" width="9.5703125" style="2" customWidth="1"/>
    <col min="3" max="3" width="39.7109375" style="1" customWidth="1"/>
    <col min="4" max="4" width="10.42578125" style="3" customWidth="1"/>
    <col min="5" max="5" width="9.5703125" style="3" customWidth="1"/>
    <col min="6" max="6" width="10.28515625" style="3" customWidth="1"/>
    <col min="7" max="7" width="9.5703125" style="3" customWidth="1"/>
    <col min="8" max="154" width="11.5703125"/>
  </cols>
  <sheetData>
    <row r="2" spans="1:16" x14ac:dyDescent="0.25">
      <c r="A2" s="280" t="s">
        <v>403</v>
      </c>
      <c r="B2" s="280"/>
      <c r="C2" s="280"/>
      <c r="D2" s="280"/>
      <c r="E2" s="280"/>
      <c r="F2" s="280"/>
      <c r="G2" s="280"/>
      <c r="H2" s="41"/>
      <c r="I2" s="41"/>
      <c r="J2" s="41"/>
      <c r="K2" s="41"/>
      <c r="L2" s="41"/>
    </row>
    <row r="4" spans="1:16" s="36" customFormat="1" ht="14.45" customHeight="1" x14ac:dyDescent="0.25">
      <c r="A4" s="295" t="s">
        <v>65</v>
      </c>
      <c r="B4" s="295"/>
      <c r="C4" s="295"/>
      <c r="D4" s="295"/>
      <c r="E4" s="295"/>
      <c r="F4" s="295"/>
      <c r="G4" s="295"/>
    </row>
    <row r="5" spans="1:16" s="36" customFormat="1" ht="14.45" customHeight="1" x14ac:dyDescent="0.25">
      <c r="A5" s="295" t="s">
        <v>404</v>
      </c>
      <c r="B5" s="295"/>
      <c r="C5" s="295"/>
      <c r="D5" s="295"/>
      <c r="E5" s="295"/>
      <c r="F5" s="295"/>
      <c r="G5" s="295"/>
    </row>
    <row r="6" spans="1:16" s="36" customFormat="1" ht="14.45" customHeight="1" x14ac:dyDescent="0.25">
      <c r="A6" s="296" t="s">
        <v>66</v>
      </c>
      <c r="B6" s="296" t="s">
        <v>1</v>
      </c>
      <c r="C6" s="296" t="s">
        <v>67</v>
      </c>
      <c r="D6" s="208" t="s">
        <v>68</v>
      </c>
      <c r="E6" s="208" t="s">
        <v>69</v>
      </c>
      <c r="F6" s="208" t="s">
        <v>69</v>
      </c>
      <c r="G6" s="208" t="s">
        <v>70</v>
      </c>
    </row>
    <row r="7" spans="1:16" s="36" customFormat="1" ht="14.45" customHeight="1" x14ac:dyDescent="0.25">
      <c r="A7" s="296"/>
      <c r="B7" s="296"/>
      <c r="C7" s="296"/>
      <c r="D7" s="208" t="s">
        <v>71</v>
      </c>
      <c r="E7" s="208" t="s">
        <v>72</v>
      </c>
      <c r="F7" s="208" t="s">
        <v>73</v>
      </c>
      <c r="G7" s="208" t="s">
        <v>74</v>
      </c>
    </row>
    <row r="8" spans="1:16" s="36" customFormat="1" ht="14.45" customHeight="1" x14ac:dyDescent="0.25">
      <c r="A8" s="297" t="s">
        <v>75</v>
      </c>
      <c r="B8" s="297">
        <v>107</v>
      </c>
      <c r="C8" s="297" t="s">
        <v>76</v>
      </c>
      <c r="D8" s="218" t="s">
        <v>77</v>
      </c>
      <c r="E8" s="221">
        <v>38575</v>
      </c>
      <c r="F8" s="221">
        <v>38596</v>
      </c>
      <c r="G8" s="297" t="s">
        <v>78</v>
      </c>
    </row>
    <row r="9" spans="1:16" s="36" customFormat="1" ht="14.45" customHeight="1" x14ac:dyDescent="0.25">
      <c r="A9" s="297"/>
      <c r="B9" s="297"/>
      <c r="C9" s="297"/>
      <c r="D9" s="218" t="s">
        <v>79</v>
      </c>
      <c r="E9" s="221">
        <v>39312</v>
      </c>
      <c r="F9" s="221">
        <v>39377</v>
      </c>
      <c r="G9" s="297"/>
      <c r="K9" s="36" t="s">
        <v>80</v>
      </c>
    </row>
    <row r="10" spans="1:16" s="36" customFormat="1" ht="14.45" customHeight="1" x14ac:dyDescent="0.25">
      <c r="A10" s="297"/>
      <c r="B10" s="297"/>
      <c r="C10" s="297"/>
      <c r="D10" s="218" t="s">
        <v>81</v>
      </c>
      <c r="E10" s="221">
        <v>40403</v>
      </c>
      <c r="F10" s="221">
        <v>40408</v>
      </c>
      <c r="G10" s="297"/>
      <c r="J10" s="36" t="s">
        <v>75</v>
      </c>
      <c r="K10" s="36">
        <v>1</v>
      </c>
    </row>
    <row r="11" spans="1:16" s="36" customFormat="1" ht="14.45" customHeight="1" x14ac:dyDescent="0.25">
      <c r="A11" s="297"/>
      <c r="B11" s="297"/>
      <c r="C11" s="297"/>
      <c r="D11" s="218" t="s">
        <v>82</v>
      </c>
      <c r="E11" s="221">
        <v>42124</v>
      </c>
      <c r="F11" s="221">
        <v>42157</v>
      </c>
      <c r="G11" s="297"/>
      <c r="J11" s="36" t="s">
        <v>83</v>
      </c>
      <c r="K11" s="36">
        <v>3</v>
      </c>
    </row>
    <row r="12" spans="1:16" s="36" customFormat="1" ht="14.45" customHeight="1" x14ac:dyDescent="0.25">
      <c r="A12" s="297"/>
      <c r="B12" s="297"/>
      <c r="C12" s="297"/>
      <c r="D12" s="218" t="s">
        <v>84</v>
      </c>
      <c r="E12" s="221">
        <v>42747</v>
      </c>
      <c r="F12" s="221">
        <v>43003</v>
      </c>
      <c r="G12" s="297"/>
      <c r="J12" s="36" t="s">
        <v>85</v>
      </c>
      <c r="K12" s="36">
        <v>3</v>
      </c>
    </row>
    <row r="13" spans="1:16" s="36" customFormat="1" ht="14.45" customHeight="1" x14ac:dyDescent="0.25">
      <c r="A13" s="297"/>
      <c r="B13" s="297"/>
      <c r="C13" s="297"/>
      <c r="D13" s="218" t="s">
        <v>86</v>
      </c>
      <c r="E13" s="221">
        <v>43449</v>
      </c>
      <c r="F13" s="221">
        <v>43550</v>
      </c>
      <c r="G13" s="211"/>
      <c r="K13" s="36">
        <f>SUM(K10:K12)</f>
        <v>7</v>
      </c>
    </row>
    <row r="14" spans="1:16" ht="14.45" customHeight="1" x14ac:dyDescent="0.25">
      <c r="A14" s="297" t="s">
        <v>83</v>
      </c>
      <c r="B14" s="297" t="s">
        <v>3</v>
      </c>
      <c r="C14" s="298" t="s">
        <v>87</v>
      </c>
      <c r="D14" s="218" t="s">
        <v>88</v>
      </c>
      <c r="E14" s="221">
        <v>38827</v>
      </c>
      <c r="F14" s="221">
        <v>38841</v>
      </c>
      <c r="G14" s="297" t="s">
        <v>78</v>
      </c>
      <c r="J14" s="300" t="s">
        <v>402</v>
      </c>
      <c r="K14" s="300"/>
      <c r="L14" s="300"/>
      <c r="M14" s="300"/>
      <c r="N14" s="300"/>
    </row>
    <row r="15" spans="1:16" ht="14.45" customHeight="1" x14ac:dyDescent="0.25">
      <c r="A15" s="297"/>
      <c r="B15" s="297"/>
      <c r="C15" s="298"/>
      <c r="D15" s="218" t="s">
        <v>89</v>
      </c>
      <c r="E15" s="221">
        <v>41064</v>
      </c>
      <c r="F15" s="221">
        <v>41100</v>
      </c>
      <c r="G15" s="297"/>
      <c r="J15" s="300"/>
      <c r="K15" s="300"/>
      <c r="L15" s="300"/>
      <c r="M15" s="300"/>
      <c r="N15" s="300"/>
    </row>
    <row r="16" spans="1:16" ht="14.45" customHeight="1" x14ac:dyDescent="0.25">
      <c r="A16" s="297"/>
      <c r="B16" s="297"/>
      <c r="C16" s="298"/>
      <c r="D16" s="218" t="s">
        <v>90</v>
      </c>
      <c r="E16" s="221">
        <v>42270</v>
      </c>
      <c r="F16" s="221">
        <v>42409</v>
      </c>
      <c r="G16" s="297"/>
      <c r="O16" s="42"/>
      <c r="P16" s="42"/>
    </row>
    <row r="17" spans="1:14" ht="14.45" customHeight="1" x14ac:dyDescent="0.25">
      <c r="A17" s="297"/>
      <c r="B17" s="297" t="s">
        <v>35</v>
      </c>
      <c r="C17" s="298" t="s">
        <v>91</v>
      </c>
      <c r="D17" s="218" t="s">
        <v>92</v>
      </c>
      <c r="E17" s="221">
        <v>39407</v>
      </c>
      <c r="F17" s="221">
        <v>39407</v>
      </c>
      <c r="G17" s="211" t="s">
        <v>78</v>
      </c>
    </row>
    <row r="18" spans="1:14" ht="14.45" customHeight="1" x14ac:dyDescent="0.25">
      <c r="A18" s="297"/>
      <c r="B18" s="297"/>
      <c r="C18" s="298"/>
      <c r="D18" s="218" t="s">
        <v>93</v>
      </c>
      <c r="E18" s="221">
        <v>42872</v>
      </c>
      <c r="F18" s="221">
        <v>42872</v>
      </c>
      <c r="G18" s="211"/>
    </row>
    <row r="19" spans="1:14" ht="20.45" customHeight="1" x14ac:dyDescent="0.25">
      <c r="A19" s="297"/>
      <c r="B19" s="297" t="s">
        <v>40</v>
      </c>
      <c r="C19" s="298" t="s">
        <v>94</v>
      </c>
      <c r="D19" s="218" t="s">
        <v>95</v>
      </c>
      <c r="E19" s="221">
        <v>39919</v>
      </c>
      <c r="F19" s="221">
        <v>39919</v>
      </c>
      <c r="G19" s="211" t="s">
        <v>78</v>
      </c>
    </row>
    <row r="20" spans="1:14" x14ac:dyDescent="0.25">
      <c r="A20" s="297"/>
      <c r="B20" s="297"/>
      <c r="C20" s="298"/>
      <c r="D20" s="218" t="s">
        <v>96</v>
      </c>
      <c r="E20" s="221">
        <v>43063</v>
      </c>
      <c r="F20" s="221">
        <v>43063</v>
      </c>
      <c r="G20" s="211"/>
    </row>
    <row r="21" spans="1:14" x14ac:dyDescent="0.25">
      <c r="A21" s="297" t="s">
        <v>85</v>
      </c>
      <c r="B21" s="211" t="s">
        <v>13</v>
      </c>
      <c r="C21" s="210" t="s">
        <v>98</v>
      </c>
      <c r="D21" s="218" t="s">
        <v>99</v>
      </c>
      <c r="E21" s="221">
        <v>42996</v>
      </c>
      <c r="F21" s="221">
        <v>43017</v>
      </c>
      <c r="G21" s="211" t="s">
        <v>78</v>
      </c>
    </row>
    <row r="22" spans="1:14" x14ac:dyDescent="0.25">
      <c r="A22" s="297"/>
      <c r="B22" s="211" t="s">
        <v>14</v>
      </c>
      <c r="C22" s="210" t="s">
        <v>98</v>
      </c>
      <c r="D22" s="218" t="s">
        <v>100</v>
      </c>
      <c r="E22" s="221">
        <v>42996</v>
      </c>
      <c r="F22" s="221">
        <v>43017</v>
      </c>
      <c r="G22" s="211" t="s">
        <v>78</v>
      </c>
    </row>
    <row r="23" spans="1:14" ht="14.45" customHeight="1" x14ac:dyDescent="0.25">
      <c r="A23" s="297"/>
      <c r="B23" s="211" t="s">
        <v>15</v>
      </c>
      <c r="C23" s="210" t="s">
        <v>98</v>
      </c>
      <c r="D23" s="218" t="s">
        <v>101</v>
      </c>
      <c r="E23" s="221">
        <v>42996</v>
      </c>
      <c r="F23" s="221">
        <v>43017</v>
      </c>
      <c r="G23" s="211" t="s">
        <v>78</v>
      </c>
    </row>
    <row r="24" spans="1:14" ht="14.45" customHeight="1" x14ac:dyDescent="0.25">
      <c r="A24" s="295" t="s">
        <v>103</v>
      </c>
      <c r="B24" s="295"/>
      <c r="C24" s="295"/>
      <c r="D24" s="299">
        <v>7</v>
      </c>
      <c r="E24" s="299"/>
      <c r="F24" s="299"/>
      <c r="G24" s="299"/>
    </row>
    <row r="26" spans="1:14" x14ac:dyDescent="0.25">
      <c r="A26" s="1"/>
      <c r="B26" s="1" t="s">
        <v>30</v>
      </c>
    </row>
    <row r="27" spans="1:14" x14ac:dyDescent="0.25">
      <c r="J27" s="294" t="s">
        <v>405</v>
      </c>
      <c r="K27" s="294"/>
      <c r="L27" s="294"/>
      <c r="M27" s="294"/>
      <c r="N27" s="294"/>
    </row>
    <row r="28" spans="1:14" x14ac:dyDescent="0.25">
      <c r="J28" s="294"/>
      <c r="K28" s="294"/>
      <c r="L28" s="294"/>
      <c r="M28" s="294"/>
      <c r="N28" s="294"/>
    </row>
  </sheetData>
  <mergeCells count="23">
    <mergeCell ref="A24:C24"/>
    <mergeCell ref="D24:G24"/>
    <mergeCell ref="J27:N28"/>
    <mergeCell ref="J14:N15"/>
    <mergeCell ref="B17:B18"/>
    <mergeCell ref="C17:C18"/>
    <mergeCell ref="B19:B20"/>
    <mergeCell ref="C19:C20"/>
    <mergeCell ref="A21:A23"/>
    <mergeCell ref="A8:A13"/>
    <mergeCell ref="B8:B13"/>
    <mergeCell ref="C8:C13"/>
    <mergeCell ref="G8:G12"/>
    <mergeCell ref="A14:A20"/>
    <mergeCell ref="B14:B16"/>
    <mergeCell ref="C14:C16"/>
    <mergeCell ref="G14:G16"/>
    <mergeCell ref="A2:G2"/>
    <mergeCell ref="A4:G4"/>
    <mergeCell ref="A5:G5"/>
    <mergeCell ref="A6:A7"/>
    <mergeCell ref="B6:B7"/>
    <mergeCell ref="C6:C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  <pageSetUpPr fitToPage="1"/>
  </sheetPr>
  <dimension ref="B2:F16"/>
  <sheetViews>
    <sheetView showGridLines="0" workbookViewId="0">
      <selection activeCell="E19" sqref="E19"/>
    </sheetView>
  </sheetViews>
  <sheetFormatPr baseColWidth="10" defaultRowHeight="14.45" customHeight="1" x14ac:dyDescent="0.25"/>
  <cols>
    <col min="2" max="2" width="9.5703125" style="6" customWidth="1"/>
    <col min="3" max="3" width="10.28515625" style="5" customWidth="1"/>
    <col min="4" max="4" width="32" style="5" customWidth="1"/>
    <col min="5" max="5" width="9.5703125" style="5" customWidth="1"/>
    <col min="6" max="6" width="12" style="5" customWidth="1"/>
  </cols>
  <sheetData>
    <row r="2" spans="2:6" ht="14.45" customHeight="1" x14ac:dyDescent="0.25">
      <c r="B2" s="301" t="s">
        <v>406</v>
      </c>
      <c r="C2" s="301"/>
      <c r="D2" s="301"/>
      <c r="E2" s="301"/>
      <c r="F2" s="301"/>
    </row>
    <row r="4" spans="2:6" s="36" customFormat="1" ht="14.45" customHeight="1" x14ac:dyDescent="0.25">
      <c r="B4" s="295" t="s">
        <v>407</v>
      </c>
      <c r="C4" s="295"/>
      <c r="D4" s="295"/>
      <c r="E4" s="295"/>
      <c r="F4" s="295"/>
    </row>
    <row r="5" spans="2:6" s="36" customFormat="1" ht="22.5" x14ac:dyDescent="0.25">
      <c r="B5" s="208" t="s">
        <v>104</v>
      </c>
      <c r="C5" s="208" t="s">
        <v>105</v>
      </c>
      <c r="D5" s="208" t="s">
        <v>106</v>
      </c>
      <c r="E5" s="208" t="s">
        <v>107</v>
      </c>
      <c r="F5" s="208" t="s">
        <v>108</v>
      </c>
    </row>
    <row r="6" spans="2:6" ht="19.5" customHeight="1" x14ac:dyDescent="0.25">
      <c r="B6" s="222" t="s">
        <v>109</v>
      </c>
      <c r="C6" s="223">
        <v>192</v>
      </c>
      <c r="D6" s="210" t="s">
        <v>409</v>
      </c>
      <c r="E6" s="210" t="s">
        <v>112</v>
      </c>
      <c r="F6" s="221">
        <v>44232</v>
      </c>
    </row>
    <row r="7" spans="2:6" ht="20.25" customHeight="1" x14ac:dyDescent="0.25">
      <c r="B7" s="297" t="s">
        <v>408</v>
      </c>
      <c r="C7" s="223" t="s">
        <v>36</v>
      </c>
      <c r="D7" s="210" t="s">
        <v>410</v>
      </c>
      <c r="E7" s="224" t="s">
        <v>111</v>
      </c>
      <c r="F7" s="221">
        <v>44316</v>
      </c>
    </row>
    <row r="8" spans="2:6" ht="20.25" customHeight="1" x14ac:dyDescent="0.25">
      <c r="B8" s="297"/>
      <c r="C8" s="223" t="s">
        <v>113</v>
      </c>
      <c r="D8" s="210" t="s">
        <v>411</v>
      </c>
      <c r="E8" s="224" t="s">
        <v>112</v>
      </c>
      <c r="F8" s="221">
        <v>44556</v>
      </c>
    </row>
    <row r="9" spans="2:6" ht="20.25" customHeight="1" x14ac:dyDescent="0.25">
      <c r="B9" s="297" t="s">
        <v>266</v>
      </c>
      <c r="C9" s="223" t="s">
        <v>37</v>
      </c>
      <c r="D9" s="210" t="s">
        <v>412</v>
      </c>
      <c r="E9" s="224" t="s">
        <v>111</v>
      </c>
      <c r="F9" s="221">
        <v>44377</v>
      </c>
    </row>
    <row r="10" spans="2:6" ht="20.25" customHeight="1" x14ac:dyDescent="0.25">
      <c r="B10" s="297"/>
      <c r="C10" s="223" t="s">
        <v>34</v>
      </c>
      <c r="D10" s="210" t="s">
        <v>413</v>
      </c>
      <c r="E10" s="224" t="s">
        <v>111</v>
      </c>
      <c r="F10" s="221">
        <v>44404</v>
      </c>
    </row>
    <row r="11" spans="2:6" ht="20.25" customHeight="1" x14ac:dyDescent="0.25">
      <c r="B11" s="297"/>
      <c r="C11" s="223" t="s">
        <v>38</v>
      </c>
      <c r="D11" s="210" t="s">
        <v>412</v>
      </c>
      <c r="E11" s="224" t="s">
        <v>111</v>
      </c>
      <c r="F11" s="221">
        <v>44552</v>
      </c>
    </row>
    <row r="12" spans="2:6" ht="20.25" customHeight="1" x14ac:dyDescent="0.25">
      <c r="B12" s="297"/>
      <c r="C12" s="223" t="s">
        <v>39</v>
      </c>
      <c r="D12" s="210" t="s">
        <v>412</v>
      </c>
      <c r="E12" s="224" t="s">
        <v>111</v>
      </c>
      <c r="F12" s="221">
        <v>44552</v>
      </c>
    </row>
    <row r="13" spans="2:6" ht="14.45" customHeight="1" x14ac:dyDescent="0.25">
      <c r="B13" s="207" t="s">
        <v>41</v>
      </c>
      <c r="C13" s="225">
        <v>7</v>
      </c>
      <c r="D13" s="226"/>
      <c r="E13" s="227"/>
      <c r="F13" s="226"/>
    </row>
    <row r="16" spans="2:6" ht="14.45" customHeight="1" x14ac:dyDescent="0.25">
      <c r="B16" s="1" t="s">
        <v>30</v>
      </c>
    </row>
  </sheetData>
  <mergeCells count="4">
    <mergeCell ref="B2:F2"/>
    <mergeCell ref="B4:F4"/>
    <mergeCell ref="B9:B12"/>
    <mergeCell ref="B7:B8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  <pageSetUpPr fitToPage="1"/>
  </sheetPr>
  <dimension ref="A2:M52"/>
  <sheetViews>
    <sheetView showGridLines="0" zoomScaleNormal="100" workbookViewId="0">
      <selection activeCell="H29" sqref="H29"/>
    </sheetView>
  </sheetViews>
  <sheetFormatPr baseColWidth="10" defaultColWidth="9.5703125" defaultRowHeight="14.45" customHeight="1" x14ac:dyDescent="0.25"/>
  <cols>
    <col min="1" max="1" width="10.5703125" style="1" customWidth="1"/>
    <col min="2" max="2" width="9.5703125" style="3"/>
    <col min="3" max="3" width="9.5703125" style="3" hidden="1" customWidth="1"/>
    <col min="4" max="11" width="9.5703125" style="3"/>
    <col min="12" max="12" width="10.42578125" style="3" customWidth="1"/>
    <col min="13" max="16384" width="9.5703125" style="3"/>
  </cols>
  <sheetData>
    <row r="2" spans="1:13" ht="14.45" customHeight="1" x14ac:dyDescent="0.2">
      <c r="A2" s="301" t="s">
        <v>492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</row>
    <row r="3" spans="1:13" ht="14.45" customHeight="1" x14ac:dyDescent="0.2">
      <c r="A3" s="15"/>
      <c r="B3" s="15"/>
      <c r="C3" s="15"/>
      <c r="D3" s="15"/>
      <c r="E3" s="15"/>
    </row>
    <row r="4" spans="1:13" s="2" customFormat="1" ht="14.45" customHeight="1" x14ac:dyDescent="0.25">
      <c r="A4" s="295" t="s">
        <v>773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</row>
    <row r="5" spans="1:13" s="2" customFormat="1" ht="14.45" customHeigh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</row>
    <row r="6" spans="1:13" s="2" customFormat="1" ht="14.45" customHeight="1" x14ac:dyDescent="0.25">
      <c r="A6" s="228" t="s">
        <v>0</v>
      </c>
      <c r="B6" s="208" t="s">
        <v>1</v>
      </c>
      <c r="C6" s="208">
        <v>2012</v>
      </c>
      <c r="D6" s="208">
        <v>2013</v>
      </c>
      <c r="E6" s="208">
        <v>2014</v>
      </c>
      <c r="F6" s="208">
        <v>2015</v>
      </c>
      <c r="G6" s="208">
        <v>2016</v>
      </c>
      <c r="H6" s="208">
        <v>2017</v>
      </c>
      <c r="I6" s="208">
        <v>2018</v>
      </c>
      <c r="J6" s="208">
        <v>2019</v>
      </c>
      <c r="K6" s="208">
        <v>2020</v>
      </c>
      <c r="L6" s="208">
        <v>2021</v>
      </c>
    </row>
    <row r="7" spans="1:13" ht="14.45" customHeight="1" x14ac:dyDescent="0.25">
      <c r="A7" s="210" t="s">
        <v>415</v>
      </c>
      <c r="B7" s="218" t="s">
        <v>113</v>
      </c>
      <c r="C7" s="218">
        <v>12</v>
      </c>
      <c r="D7" s="218">
        <v>15</v>
      </c>
      <c r="E7" s="218">
        <v>25</v>
      </c>
      <c r="F7" s="218">
        <v>2</v>
      </c>
      <c r="G7" s="218" t="s">
        <v>4</v>
      </c>
      <c r="H7" s="218" t="s">
        <v>4</v>
      </c>
      <c r="I7" s="218" t="s">
        <v>4</v>
      </c>
      <c r="J7" s="218" t="s">
        <v>4</v>
      </c>
      <c r="K7" s="218" t="s">
        <v>4</v>
      </c>
      <c r="L7" s="218" t="s">
        <v>4</v>
      </c>
      <c r="M7" s="3">
        <f>SUM(C7:L7)</f>
        <v>54</v>
      </c>
    </row>
    <row r="8" spans="1:13" ht="14.45" customHeight="1" x14ac:dyDescent="0.25">
      <c r="A8" s="210" t="s">
        <v>114</v>
      </c>
      <c r="B8" s="218" t="s">
        <v>115</v>
      </c>
      <c r="C8" s="218" t="s">
        <v>4</v>
      </c>
      <c r="D8" s="218" t="s">
        <v>4</v>
      </c>
      <c r="E8" s="218" t="s">
        <v>4</v>
      </c>
      <c r="F8" s="218" t="s">
        <v>4</v>
      </c>
      <c r="G8" s="218" t="s">
        <v>4</v>
      </c>
      <c r="H8" s="218" t="s">
        <v>4</v>
      </c>
      <c r="I8" s="218" t="s">
        <v>4</v>
      </c>
      <c r="J8" s="218">
        <v>4</v>
      </c>
      <c r="K8" s="218">
        <v>2</v>
      </c>
      <c r="L8" s="218">
        <v>3</v>
      </c>
      <c r="M8" s="3">
        <f t="shared" ref="M8:M25" si="0">SUM(C8:L8)</f>
        <v>9</v>
      </c>
    </row>
    <row r="9" spans="1:13" ht="14.45" customHeight="1" x14ac:dyDescent="0.25">
      <c r="A9" s="210" t="s">
        <v>415</v>
      </c>
      <c r="B9" s="218" t="s">
        <v>50</v>
      </c>
      <c r="C9" s="218">
        <v>3</v>
      </c>
      <c r="D9" s="218" t="s">
        <v>4</v>
      </c>
      <c r="E9" s="218" t="s">
        <v>4</v>
      </c>
      <c r="F9" s="218" t="s">
        <v>4</v>
      </c>
      <c r="G9" s="218" t="s">
        <v>4</v>
      </c>
      <c r="H9" s="218" t="s">
        <v>4</v>
      </c>
      <c r="I9" s="218" t="s">
        <v>4</v>
      </c>
      <c r="J9" s="218" t="s">
        <v>4</v>
      </c>
      <c r="K9" s="218" t="s">
        <v>4</v>
      </c>
      <c r="L9" s="218" t="s">
        <v>4</v>
      </c>
      <c r="M9" s="3">
        <f t="shared" si="0"/>
        <v>3</v>
      </c>
    </row>
    <row r="10" spans="1:13" ht="14.45" customHeight="1" x14ac:dyDescent="0.25">
      <c r="A10" s="210" t="s">
        <v>415</v>
      </c>
      <c r="B10" s="218" t="s">
        <v>49</v>
      </c>
      <c r="C10" s="218" t="s">
        <v>4</v>
      </c>
      <c r="D10" s="218" t="s">
        <v>4</v>
      </c>
      <c r="E10" s="218" t="s">
        <v>4</v>
      </c>
      <c r="F10" s="218" t="s">
        <v>4</v>
      </c>
      <c r="G10" s="218">
        <v>11</v>
      </c>
      <c r="H10" s="218">
        <v>22</v>
      </c>
      <c r="I10" s="218">
        <v>33</v>
      </c>
      <c r="J10" s="218">
        <v>33</v>
      </c>
      <c r="K10" s="218">
        <v>18</v>
      </c>
      <c r="L10" s="218">
        <v>15</v>
      </c>
      <c r="M10" s="3">
        <f t="shared" si="0"/>
        <v>132</v>
      </c>
    </row>
    <row r="11" spans="1:13" ht="14.45" customHeight="1" x14ac:dyDescent="0.25">
      <c r="A11" s="210" t="s">
        <v>415</v>
      </c>
      <c r="B11" s="218" t="s">
        <v>116</v>
      </c>
      <c r="C11" s="218" t="s">
        <v>4</v>
      </c>
      <c r="D11" s="218">
        <v>1</v>
      </c>
      <c r="E11" s="218">
        <v>1</v>
      </c>
      <c r="F11" s="218">
        <v>1</v>
      </c>
      <c r="G11" s="218" t="s">
        <v>4</v>
      </c>
      <c r="H11" s="218" t="s">
        <v>4</v>
      </c>
      <c r="I11" s="218" t="s">
        <v>4</v>
      </c>
      <c r="J11" s="218" t="s">
        <v>4</v>
      </c>
      <c r="K11" s="218" t="s">
        <v>4</v>
      </c>
      <c r="L11" s="218" t="s">
        <v>4</v>
      </c>
      <c r="M11" s="3">
        <f t="shared" si="0"/>
        <v>3</v>
      </c>
    </row>
    <row r="12" spans="1:13" ht="14.45" customHeight="1" x14ac:dyDescent="0.25">
      <c r="A12" s="210" t="s">
        <v>117</v>
      </c>
      <c r="B12" s="218" t="s">
        <v>118</v>
      </c>
      <c r="C12" s="218" t="s">
        <v>4</v>
      </c>
      <c r="D12" s="218" t="s">
        <v>4</v>
      </c>
      <c r="E12" s="218" t="s">
        <v>4</v>
      </c>
      <c r="F12" s="218" t="s">
        <v>4</v>
      </c>
      <c r="G12" s="218">
        <v>23</v>
      </c>
      <c r="H12" s="218">
        <v>16</v>
      </c>
      <c r="I12" s="218">
        <v>18</v>
      </c>
      <c r="J12" s="218">
        <v>22</v>
      </c>
      <c r="K12" s="218" t="s">
        <v>4</v>
      </c>
      <c r="L12" s="218">
        <v>41</v>
      </c>
      <c r="M12" s="3">
        <f t="shared" si="0"/>
        <v>120</v>
      </c>
    </row>
    <row r="13" spans="1:13" ht="14.45" customHeight="1" x14ac:dyDescent="0.25">
      <c r="A13" s="210" t="s">
        <v>23</v>
      </c>
      <c r="B13" s="218" t="s">
        <v>51</v>
      </c>
      <c r="C13" s="218">
        <v>150</v>
      </c>
      <c r="D13" s="218" t="s">
        <v>4</v>
      </c>
      <c r="E13" s="218">
        <v>1</v>
      </c>
      <c r="F13" s="218">
        <v>62</v>
      </c>
      <c r="G13" s="218" t="s">
        <v>4</v>
      </c>
      <c r="H13" s="218">
        <v>92</v>
      </c>
      <c r="I13" s="218">
        <v>112</v>
      </c>
      <c r="J13" s="218">
        <v>118</v>
      </c>
      <c r="K13" s="218">
        <v>15</v>
      </c>
      <c r="L13" s="218">
        <v>44</v>
      </c>
      <c r="M13" s="3">
        <f t="shared" si="0"/>
        <v>594</v>
      </c>
    </row>
    <row r="14" spans="1:13" ht="14.45" customHeight="1" x14ac:dyDescent="0.25">
      <c r="A14" s="210" t="s">
        <v>52</v>
      </c>
      <c r="B14" s="218" t="s">
        <v>8</v>
      </c>
      <c r="C14" s="218">
        <v>11</v>
      </c>
      <c r="D14" s="218">
        <v>39</v>
      </c>
      <c r="E14" s="218">
        <v>43</v>
      </c>
      <c r="F14" s="218">
        <v>11</v>
      </c>
      <c r="G14" s="218">
        <v>8</v>
      </c>
      <c r="H14" s="218">
        <v>5</v>
      </c>
      <c r="I14" s="218">
        <v>6</v>
      </c>
      <c r="J14" s="218">
        <v>9</v>
      </c>
      <c r="K14" s="218">
        <v>2</v>
      </c>
      <c r="L14" s="218">
        <v>3</v>
      </c>
      <c r="M14" s="3">
        <f t="shared" si="0"/>
        <v>137</v>
      </c>
    </row>
    <row r="15" spans="1:13" ht="14.45" customHeight="1" x14ac:dyDescent="0.25">
      <c r="A15" s="210" t="s">
        <v>114</v>
      </c>
      <c r="B15" s="218" t="s">
        <v>119</v>
      </c>
      <c r="C15" s="218">
        <v>1</v>
      </c>
      <c r="D15" s="218" t="s">
        <v>4</v>
      </c>
      <c r="E15" s="218" t="s">
        <v>4</v>
      </c>
      <c r="F15" s="218" t="s">
        <v>4</v>
      </c>
      <c r="G15" s="218" t="s">
        <v>4</v>
      </c>
      <c r="H15" s="218" t="s">
        <v>4</v>
      </c>
      <c r="I15" s="218" t="s">
        <v>4</v>
      </c>
      <c r="J15" s="218">
        <v>1</v>
      </c>
      <c r="K15" s="218" t="s">
        <v>4</v>
      </c>
      <c r="L15" s="218" t="s">
        <v>4</v>
      </c>
      <c r="M15" s="3">
        <f t="shared" si="0"/>
        <v>2</v>
      </c>
    </row>
    <row r="16" spans="1:13" ht="14.45" customHeight="1" x14ac:dyDescent="0.25">
      <c r="A16" s="281" t="s">
        <v>9</v>
      </c>
      <c r="B16" s="281"/>
      <c r="C16" s="219">
        <v>177</v>
      </c>
      <c r="D16" s="219">
        <v>55</v>
      </c>
      <c r="E16" s="219">
        <v>70</v>
      </c>
      <c r="F16" s="219">
        <v>76</v>
      </c>
      <c r="G16" s="219">
        <v>42</v>
      </c>
      <c r="H16" s="219">
        <f>+SUM(H7:H15)</f>
        <v>135</v>
      </c>
      <c r="I16" s="219">
        <v>169</v>
      </c>
      <c r="J16" s="219">
        <v>187</v>
      </c>
      <c r="K16" s="219">
        <v>37</v>
      </c>
      <c r="L16" s="219">
        <f>SUM(L7:L15)</f>
        <v>106</v>
      </c>
      <c r="M16" s="3">
        <f t="shared" si="0"/>
        <v>1054</v>
      </c>
    </row>
    <row r="17" spans="1:13" ht="14.45" customHeight="1" x14ac:dyDescent="0.25">
      <c r="A17" s="210" t="s">
        <v>57</v>
      </c>
      <c r="B17" s="218" t="s">
        <v>58</v>
      </c>
      <c r="C17" s="218">
        <v>19</v>
      </c>
      <c r="D17" s="218">
        <v>17</v>
      </c>
      <c r="E17" s="218">
        <v>13</v>
      </c>
      <c r="F17" s="218" t="s">
        <v>4</v>
      </c>
      <c r="G17" s="218" t="s">
        <v>4</v>
      </c>
      <c r="H17" s="218" t="s">
        <v>4</v>
      </c>
      <c r="I17" s="218" t="s">
        <v>4</v>
      </c>
      <c r="J17" s="218" t="s">
        <v>4</v>
      </c>
      <c r="K17" s="218" t="s">
        <v>4</v>
      </c>
      <c r="L17" s="218" t="s">
        <v>4</v>
      </c>
      <c r="M17" s="3">
        <f t="shared" si="0"/>
        <v>49</v>
      </c>
    </row>
    <row r="18" spans="1:13" ht="14.45" customHeight="1" x14ac:dyDescent="0.25">
      <c r="A18" s="210" t="s">
        <v>42</v>
      </c>
      <c r="B18" s="218" t="s">
        <v>43</v>
      </c>
      <c r="C18" s="218" t="s">
        <v>4</v>
      </c>
      <c r="D18" s="218">
        <v>3</v>
      </c>
      <c r="E18" s="218">
        <v>9</v>
      </c>
      <c r="F18" s="218">
        <v>3</v>
      </c>
      <c r="G18" s="218" t="s">
        <v>4</v>
      </c>
      <c r="H18" s="218" t="s">
        <v>4</v>
      </c>
      <c r="I18" s="218" t="s">
        <v>4</v>
      </c>
      <c r="J18" s="218" t="s">
        <v>4</v>
      </c>
      <c r="K18" s="218" t="s">
        <v>4</v>
      </c>
      <c r="L18" s="218" t="s">
        <v>4</v>
      </c>
      <c r="M18" s="3">
        <f t="shared" si="0"/>
        <v>15</v>
      </c>
    </row>
    <row r="19" spans="1:13" ht="14.45" customHeight="1" x14ac:dyDescent="0.25">
      <c r="A19" s="281" t="s">
        <v>18</v>
      </c>
      <c r="B19" s="281"/>
      <c r="C19" s="219">
        <v>19</v>
      </c>
      <c r="D19" s="219">
        <v>20</v>
      </c>
      <c r="E19" s="219">
        <v>22</v>
      </c>
      <c r="F19" s="219">
        <v>3</v>
      </c>
      <c r="G19" s="219">
        <v>0</v>
      </c>
      <c r="H19" s="219">
        <v>0</v>
      </c>
      <c r="I19" s="219">
        <v>0</v>
      </c>
      <c r="J19" s="219">
        <v>0</v>
      </c>
      <c r="K19" s="219">
        <v>0</v>
      </c>
      <c r="L19" s="219">
        <f>SUM(L17:L18)</f>
        <v>0</v>
      </c>
      <c r="M19" s="3">
        <f t="shared" si="0"/>
        <v>64</v>
      </c>
    </row>
    <row r="20" spans="1:13" ht="14.45" customHeight="1" x14ac:dyDescent="0.25">
      <c r="A20" s="210" t="s">
        <v>26</v>
      </c>
      <c r="B20" s="218">
        <v>8</v>
      </c>
      <c r="C20" s="218">
        <v>1</v>
      </c>
      <c r="D20" s="218">
        <v>1</v>
      </c>
      <c r="E20" s="218">
        <v>3</v>
      </c>
      <c r="F20" s="218" t="s">
        <v>4</v>
      </c>
      <c r="G20" s="218" t="s">
        <v>4</v>
      </c>
      <c r="H20" s="218" t="s">
        <v>4</v>
      </c>
      <c r="I20" s="218" t="s">
        <v>4</v>
      </c>
      <c r="J20" s="218" t="s">
        <v>4</v>
      </c>
      <c r="K20" s="218" t="s">
        <v>4</v>
      </c>
      <c r="L20" s="218" t="s">
        <v>4</v>
      </c>
      <c r="M20" s="3">
        <f t="shared" si="0"/>
        <v>5</v>
      </c>
    </row>
    <row r="21" spans="1:13" ht="14.45" customHeight="1" x14ac:dyDescent="0.25">
      <c r="A21" s="210" t="s">
        <v>27</v>
      </c>
      <c r="B21" s="218">
        <v>57</v>
      </c>
      <c r="C21" s="218" t="s">
        <v>4</v>
      </c>
      <c r="D21" s="218" t="s">
        <v>4</v>
      </c>
      <c r="E21" s="218" t="s">
        <v>4</v>
      </c>
      <c r="F21" s="218" t="s">
        <v>4</v>
      </c>
      <c r="G21" s="218">
        <v>2</v>
      </c>
      <c r="H21" s="218" t="s">
        <v>4</v>
      </c>
      <c r="I21" s="218" t="s">
        <v>4</v>
      </c>
      <c r="J21" s="218" t="s">
        <v>4</v>
      </c>
      <c r="K21" s="218" t="s">
        <v>4</v>
      </c>
      <c r="L21" s="218" t="s">
        <v>4</v>
      </c>
      <c r="M21" s="3">
        <f t="shared" si="0"/>
        <v>2</v>
      </c>
    </row>
    <row r="22" spans="1:13" ht="14.45" customHeight="1" x14ac:dyDescent="0.25">
      <c r="A22" s="210" t="s">
        <v>124</v>
      </c>
      <c r="B22" s="218">
        <v>67</v>
      </c>
      <c r="C22" s="218" t="s">
        <v>4</v>
      </c>
      <c r="D22" s="218">
        <v>8</v>
      </c>
      <c r="E22" s="218">
        <v>4</v>
      </c>
      <c r="F22" s="218">
        <v>1</v>
      </c>
      <c r="G22" s="218" t="s">
        <v>4</v>
      </c>
      <c r="H22" s="218" t="s">
        <v>4</v>
      </c>
      <c r="I22" s="218" t="s">
        <v>4</v>
      </c>
      <c r="J22" s="218" t="s">
        <v>4</v>
      </c>
      <c r="K22" s="218" t="s">
        <v>4</v>
      </c>
      <c r="L22" s="218" t="s">
        <v>4</v>
      </c>
      <c r="M22" s="3">
        <f t="shared" si="0"/>
        <v>13</v>
      </c>
    </row>
    <row r="23" spans="1:13" ht="14.45" customHeight="1" x14ac:dyDescent="0.25">
      <c r="A23" s="210" t="s">
        <v>24</v>
      </c>
      <c r="B23" s="218">
        <v>131</v>
      </c>
      <c r="C23" s="218" t="s">
        <v>4</v>
      </c>
      <c r="D23" s="218" t="s">
        <v>4</v>
      </c>
      <c r="E23" s="218" t="s">
        <v>4</v>
      </c>
      <c r="F23" s="218" t="s">
        <v>4</v>
      </c>
      <c r="G23" s="218" t="s">
        <v>4</v>
      </c>
      <c r="H23" s="218" t="s">
        <v>4</v>
      </c>
      <c r="I23" s="218">
        <v>1</v>
      </c>
      <c r="J23" s="218" t="s">
        <v>4</v>
      </c>
      <c r="K23" s="218" t="s">
        <v>4</v>
      </c>
      <c r="L23" s="218" t="s">
        <v>4</v>
      </c>
      <c r="M23" s="3">
        <f t="shared" si="0"/>
        <v>1</v>
      </c>
    </row>
    <row r="24" spans="1:13" ht="14.45" customHeight="1" x14ac:dyDescent="0.25">
      <c r="A24" s="210" t="s">
        <v>63</v>
      </c>
      <c r="B24" s="218">
        <v>95</v>
      </c>
      <c r="C24" s="218" t="s">
        <v>4</v>
      </c>
      <c r="D24" s="218" t="s">
        <v>4</v>
      </c>
      <c r="E24" s="218">
        <v>1</v>
      </c>
      <c r="F24" s="218" t="s">
        <v>4</v>
      </c>
      <c r="G24" s="218" t="s">
        <v>4</v>
      </c>
      <c r="H24" s="218" t="s">
        <v>4</v>
      </c>
      <c r="I24" s="218"/>
      <c r="J24" s="218" t="s">
        <v>4</v>
      </c>
      <c r="K24" s="218">
        <v>1</v>
      </c>
      <c r="L24" s="218">
        <v>3</v>
      </c>
      <c r="M24" s="3">
        <f t="shared" si="0"/>
        <v>5</v>
      </c>
    </row>
    <row r="25" spans="1:13" ht="14.45" customHeight="1" x14ac:dyDescent="0.25">
      <c r="A25" s="281" t="s">
        <v>28</v>
      </c>
      <c r="B25" s="281"/>
      <c r="C25" s="229">
        <v>1</v>
      </c>
      <c r="D25" s="229">
        <v>9</v>
      </c>
      <c r="E25" s="229">
        <v>8</v>
      </c>
      <c r="F25" s="229">
        <v>1</v>
      </c>
      <c r="G25" s="229">
        <v>2</v>
      </c>
      <c r="H25" s="229">
        <v>0</v>
      </c>
      <c r="I25" s="229">
        <v>1</v>
      </c>
      <c r="J25" s="229">
        <v>0</v>
      </c>
      <c r="K25" s="229">
        <v>1</v>
      </c>
      <c r="L25" s="229">
        <f>SUM(L20:L24)</f>
        <v>3</v>
      </c>
      <c r="M25" s="3">
        <f t="shared" si="0"/>
        <v>26</v>
      </c>
    </row>
    <row r="26" spans="1:13" ht="14.45" customHeight="1" x14ac:dyDescent="0.25">
      <c r="A26" s="288" t="s">
        <v>125</v>
      </c>
      <c r="B26" s="288"/>
      <c r="C26" s="220">
        <f t="shared" ref="C26:J26" si="1">+C16+C19+C25</f>
        <v>197</v>
      </c>
      <c r="D26" s="220">
        <f t="shared" si="1"/>
        <v>84</v>
      </c>
      <c r="E26" s="220">
        <f t="shared" si="1"/>
        <v>100</v>
      </c>
      <c r="F26" s="220">
        <f t="shared" si="1"/>
        <v>80</v>
      </c>
      <c r="G26" s="220">
        <f t="shared" si="1"/>
        <v>44</v>
      </c>
      <c r="H26" s="220">
        <f t="shared" si="1"/>
        <v>135</v>
      </c>
      <c r="I26" s="220">
        <f t="shared" si="1"/>
        <v>170</v>
      </c>
      <c r="J26" s="220">
        <f t="shared" si="1"/>
        <v>187</v>
      </c>
      <c r="K26" s="220">
        <v>38</v>
      </c>
      <c r="L26" s="220">
        <f>+L25+L19+L16</f>
        <v>109</v>
      </c>
    </row>
    <row r="27" spans="1:13" ht="14.45" customHeight="1" x14ac:dyDescent="0.25">
      <c r="A27" s="1" t="s">
        <v>391</v>
      </c>
    </row>
    <row r="31" spans="1:13" ht="14.4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3" ht="14.45" customHeight="1" x14ac:dyDescent="0.25">
      <c r="D32" s="42"/>
      <c r="E32" s="292" t="s">
        <v>414</v>
      </c>
      <c r="F32" s="292"/>
      <c r="G32" s="292"/>
      <c r="H32" s="292"/>
      <c r="I32" s="292"/>
      <c r="J32" s="292"/>
      <c r="K32" s="292"/>
      <c r="L32" s="292"/>
      <c r="M32" s="292"/>
    </row>
    <row r="33" spans="1:12" ht="14.45" customHeight="1" x14ac:dyDescent="0.2">
      <c r="A33" s="2"/>
      <c r="I33" s="4"/>
      <c r="J33" s="5"/>
      <c r="K33" s="5"/>
      <c r="L33" s="5"/>
    </row>
    <row r="34" spans="1:12" ht="14.45" customHeight="1" x14ac:dyDescent="0.2">
      <c r="A34" s="2" t="s">
        <v>395</v>
      </c>
      <c r="B34" s="26">
        <f>+SUM(H26:L26)</f>
        <v>639</v>
      </c>
      <c r="I34" s="4"/>
      <c r="J34" s="5"/>
      <c r="K34" s="5"/>
      <c r="L34" s="5"/>
    </row>
    <row r="35" spans="1:12" ht="14.45" customHeight="1" x14ac:dyDescent="0.2">
      <c r="A35" s="2">
        <v>2022</v>
      </c>
      <c r="B35" s="26">
        <v>67</v>
      </c>
      <c r="I35" s="4"/>
      <c r="J35" s="5"/>
      <c r="K35" s="5"/>
      <c r="L35" s="5"/>
    </row>
    <row r="36" spans="1:12" ht="14.45" customHeight="1" x14ac:dyDescent="0.2">
      <c r="A36" s="2">
        <v>2023</v>
      </c>
      <c r="B36" s="26">
        <v>66</v>
      </c>
      <c r="I36" s="4"/>
      <c r="J36" s="5"/>
      <c r="K36" s="5"/>
      <c r="L36" s="5"/>
    </row>
    <row r="37" spans="1:12" ht="14.45" customHeight="1" x14ac:dyDescent="0.2">
      <c r="A37" s="2">
        <v>2024</v>
      </c>
      <c r="B37" s="26">
        <v>67</v>
      </c>
      <c r="I37" s="4"/>
      <c r="J37" s="5"/>
      <c r="K37" s="5"/>
      <c r="L37" s="5"/>
    </row>
    <row r="38" spans="1:12" ht="14.45" customHeight="1" x14ac:dyDescent="0.2">
      <c r="A38" s="2">
        <v>2025</v>
      </c>
      <c r="B38" s="26">
        <v>64</v>
      </c>
      <c r="I38" s="4"/>
      <c r="J38" s="5"/>
      <c r="K38" s="5"/>
      <c r="L38" s="5"/>
    </row>
    <row r="39" spans="1:12" ht="14.45" customHeight="1" x14ac:dyDescent="0.2">
      <c r="A39" s="2">
        <v>2026</v>
      </c>
      <c r="B39" s="27">
        <v>61</v>
      </c>
      <c r="I39" s="4"/>
      <c r="J39" s="5"/>
      <c r="K39" s="5"/>
      <c r="L39" s="5"/>
    </row>
    <row r="40" spans="1:12" ht="14.45" customHeight="1" x14ac:dyDescent="0.2">
      <c r="A40" s="2" t="s">
        <v>396</v>
      </c>
      <c r="B40" s="26">
        <f>+SUM(B35:B39)</f>
        <v>325</v>
      </c>
      <c r="I40" s="4"/>
      <c r="J40" s="5"/>
      <c r="K40" s="5"/>
      <c r="L40" s="5"/>
    </row>
    <row r="41" spans="1:12" ht="14.45" customHeight="1" x14ac:dyDescent="0.2">
      <c r="A41" s="2"/>
      <c r="I41" s="4"/>
      <c r="J41" s="5"/>
      <c r="K41" s="5"/>
      <c r="L41" s="5"/>
    </row>
    <row r="42" spans="1:12" ht="14.45" customHeight="1" x14ac:dyDescent="0.2">
      <c r="A42" s="2"/>
      <c r="I42" s="4"/>
      <c r="J42" s="5"/>
      <c r="K42" s="5"/>
      <c r="L42" s="5"/>
    </row>
    <row r="43" spans="1:12" ht="14.45" customHeight="1" x14ac:dyDescent="0.2">
      <c r="A43" s="2"/>
      <c r="I43" s="4"/>
      <c r="J43" s="5"/>
      <c r="K43" s="5"/>
      <c r="L43" s="5"/>
    </row>
    <row r="44" spans="1:12" ht="14.45" customHeight="1" x14ac:dyDescent="0.2">
      <c r="A44" s="2"/>
      <c r="I44" s="4"/>
      <c r="J44" s="5"/>
      <c r="K44" s="5"/>
      <c r="L44" s="5"/>
    </row>
    <row r="45" spans="1:12" ht="14.45" customHeight="1" x14ac:dyDescent="0.2">
      <c r="A45" s="2"/>
      <c r="I45" s="4"/>
      <c r="J45" s="5"/>
      <c r="K45" s="5"/>
      <c r="L45" s="5"/>
    </row>
    <row r="46" spans="1:12" ht="14.45" customHeight="1" x14ac:dyDescent="0.2">
      <c r="A46" s="2"/>
      <c r="I46" s="4"/>
      <c r="J46" s="5"/>
      <c r="K46" s="5"/>
      <c r="L46" s="5"/>
    </row>
    <row r="47" spans="1:12" ht="14.45" customHeight="1" x14ac:dyDescent="0.2">
      <c r="A47" s="2"/>
      <c r="I47" s="4"/>
      <c r="J47" s="5"/>
      <c r="K47" s="5"/>
      <c r="L47" s="5"/>
    </row>
    <row r="48" spans="1:12" ht="14.45" customHeight="1" x14ac:dyDescent="0.2">
      <c r="A48" s="2"/>
      <c r="I48" s="4"/>
      <c r="J48" s="5"/>
      <c r="K48" s="5"/>
      <c r="L48" s="5"/>
    </row>
    <row r="49" spans="1:12" ht="14.45" customHeight="1" x14ac:dyDescent="0.2">
      <c r="A49" s="2"/>
      <c r="D49" s="1"/>
      <c r="E49" s="1" t="s">
        <v>391</v>
      </c>
      <c r="I49" s="4"/>
      <c r="J49" s="5"/>
      <c r="K49" s="5"/>
      <c r="L49" s="5"/>
    </row>
    <row r="50" spans="1:12" ht="14.45" customHeight="1" x14ac:dyDescent="0.2">
      <c r="A50" s="2"/>
      <c r="E50" s="294" t="s">
        <v>416</v>
      </c>
      <c r="F50" s="294"/>
      <c r="G50" s="294"/>
      <c r="H50" s="294"/>
      <c r="I50" s="294"/>
      <c r="J50" s="294"/>
      <c r="K50" s="294"/>
      <c r="L50" s="5"/>
    </row>
    <row r="51" spans="1:12" ht="14.45" customHeight="1" x14ac:dyDescent="0.2">
      <c r="A51" s="5"/>
      <c r="B51" s="5"/>
      <c r="C51" s="5"/>
      <c r="D51" s="5"/>
      <c r="E51" s="294"/>
      <c r="F51" s="294"/>
      <c r="G51" s="294"/>
      <c r="H51" s="294"/>
      <c r="I51" s="294"/>
      <c r="J51" s="294"/>
      <c r="K51" s="294"/>
      <c r="L51" s="5"/>
    </row>
    <row r="52" spans="1:12" ht="14.45" customHeight="1" x14ac:dyDescent="0.2">
      <c r="A52" s="4"/>
      <c r="B52" s="4"/>
      <c r="C52" s="5"/>
      <c r="D52" s="5"/>
      <c r="E52" s="294"/>
      <c r="F52" s="294"/>
      <c r="G52" s="294"/>
      <c r="H52" s="294"/>
      <c r="I52" s="294"/>
      <c r="J52" s="294"/>
      <c r="K52" s="294"/>
      <c r="L52" s="5"/>
    </row>
  </sheetData>
  <mergeCells count="8">
    <mergeCell ref="A2:K2"/>
    <mergeCell ref="E50:K52"/>
    <mergeCell ref="A16:B16"/>
    <mergeCell ref="A19:B19"/>
    <mergeCell ref="A25:B25"/>
    <mergeCell ref="A26:B26"/>
    <mergeCell ref="E32:M32"/>
    <mergeCell ref="A4:L5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  <pageSetUpPr fitToPage="1"/>
  </sheetPr>
  <dimension ref="B2:P133"/>
  <sheetViews>
    <sheetView showGridLines="0" zoomScaleNormal="100" workbookViewId="0">
      <selection activeCell="E14" sqref="E14"/>
    </sheetView>
  </sheetViews>
  <sheetFormatPr baseColWidth="10" defaultColWidth="11.42578125" defaultRowHeight="14.45" customHeight="1" x14ac:dyDescent="0.25"/>
  <cols>
    <col min="1" max="1" width="11.42578125" style="3"/>
    <col min="2" max="2" width="11.42578125" style="2"/>
    <col min="3" max="3" width="39.85546875" style="1" customWidth="1"/>
    <col min="4" max="6" width="11.42578125" style="3"/>
    <col min="7" max="7" width="19" style="2" customWidth="1"/>
    <col min="8" max="13" width="11.42578125" style="3"/>
    <col min="14" max="14" width="14.28515625" style="3" customWidth="1"/>
    <col min="15" max="16384" width="11.42578125" style="3"/>
  </cols>
  <sheetData>
    <row r="2" spans="2:12" ht="14.45" customHeight="1" x14ac:dyDescent="0.2">
      <c r="B2" s="301" t="s">
        <v>774</v>
      </c>
      <c r="C2" s="301"/>
      <c r="D2" s="301"/>
      <c r="E2" s="301"/>
      <c r="F2" s="301"/>
      <c r="G2" s="301"/>
    </row>
    <row r="3" spans="2:12" ht="14.45" customHeight="1" x14ac:dyDescent="0.2">
      <c r="B3" s="15"/>
      <c r="C3" s="15"/>
      <c r="D3" s="15"/>
      <c r="E3" s="15"/>
      <c r="F3" s="15"/>
      <c r="G3" s="15"/>
    </row>
    <row r="4" spans="2:12" s="2" customFormat="1" ht="14.45" customHeight="1" x14ac:dyDescent="0.25">
      <c r="B4" s="295" t="s">
        <v>417</v>
      </c>
      <c r="C4" s="295"/>
      <c r="D4" s="295"/>
      <c r="E4" s="295"/>
      <c r="F4" s="295"/>
      <c r="G4" s="295"/>
    </row>
    <row r="5" spans="2:12" s="2" customFormat="1" ht="14.45" customHeight="1" x14ac:dyDescent="0.25">
      <c r="B5" s="296" t="s">
        <v>1</v>
      </c>
      <c r="C5" s="302" t="s">
        <v>67</v>
      </c>
      <c r="D5" s="208" t="s">
        <v>126</v>
      </c>
      <c r="E5" s="296" t="s">
        <v>127</v>
      </c>
      <c r="F5" s="296" t="s">
        <v>128</v>
      </c>
      <c r="G5" s="296" t="s">
        <v>129</v>
      </c>
    </row>
    <row r="6" spans="2:12" s="2" customFormat="1" ht="14.45" customHeight="1" x14ac:dyDescent="0.25">
      <c r="B6" s="296"/>
      <c r="C6" s="302"/>
      <c r="D6" s="208" t="s">
        <v>71</v>
      </c>
      <c r="E6" s="296"/>
      <c r="F6" s="296"/>
      <c r="G6" s="296"/>
    </row>
    <row r="7" spans="2:12" s="2" customFormat="1" ht="14.45" customHeight="1" x14ac:dyDescent="0.25">
      <c r="B7" s="211" t="s">
        <v>113</v>
      </c>
      <c r="C7" s="210" t="s">
        <v>418</v>
      </c>
      <c r="D7" s="211" t="s">
        <v>419</v>
      </c>
      <c r="E7" s="221">
        <v>44555</v>
      </c>
      <c r="F7" s="221">
        <v>44555</v>
      </c>
      <c r="G7" s="211" t="s">
        <v>420</v>
      </c>
    </row>
    <row r="8" spans="2:12" s="2" customFormat="1" ht="14.45" customHeight="1" x14ac:dyDescent="0.25">
      <c r="B8" s="297" t="s">
        <v>115</v>
      </c>
      <c r="C8" s="298" t="s">
        <v>131</v>
      </c>
      <c r="D8" s="211" t="s">
        <v>463</v>
      </c>
      <c r="E8" s="221">
        <v>35044</v>
      </c>
      <c r="F8" s="221">
        <v>35069</v>
      </c>
      <c r="G8" s="297" t="s">
        <v>78</v>
      </c>
    </row>
    <row r="9" spans="2:12" s="2" customFormat="1" ht="14.45" customHeight="1" x14ac:dyDescent="0.25">
      <c r="B9" s="297"/>
      <c r="C9" s="298"/>
      <c r="D9" s="211" t="s">
        <v>462</v>
      </c>
      <c r="E9" s="221">
        <v>35676</v>
      </c>
      <c r="F9" s="221">
        <v>35704</v>
      </c>
      <c r="G9" s="297"/>
    </row>
    <row r="10" spans="2:12" s="2" customFormat="1" ht="14.45" customHeight="1" x14ac:dyDescent="0.25">
      <c r="B10" s="297"/>
      <c r="C10" s="298"/>
      <c r="D10" s="211" t="s">
        <v>461</v>
      </c>
      <c r="E10" s="221">
        <v>36393</v>
      </c>
      <c r="F10" s="221">
        <v>36467</v>
      </c>
      <c r="G10" s="297"/>
    </row>
    <row r="11" spans="2:12" s="2" customFormat="1" ht="14.45" customHeight="1" x14ac:dyDescent="0.25">
      <c r="B11" s="297"/>
      <c r="C11" s="298"/>
      <c r="D11" s="211" t="s">
        <v>464</v>
      </c>
      <c r="E11" s="221">
        <v>38141</v>
      </c>
      <c r="F11" s="221">
        <v>38154</v>
      </c>
      <c r="G11" s="297"/>
    </row>
    <row r="12" spans="2:12" s="2" customFormat="1" ht="14.45" customHeight="1" x14ac:dyDescent="0.25">
      <c r="B12" s="297"/>
      <c r="C12" s="298"/>
      <c r="D12" s="211" t="s">
        <v>465</v>
      </c>
      <c r="E12" s="221">
        <v>38386</v>
      </c>
      <c r="F12" s="221">
        <v>38412</v>
      </c>
      <c r="G12" s="297"/>
    </row>
    <row r="13" spans="2:12" s="2" customFormat="1" ht="14.45" customHeight="1" x14ac:dyDescent="0.25">
      <c r="B13" s="297"/>
      <c r="C13" s="298"/>
      <c r="D13" s="211" t="s">
        <v>132</v>
      </c>
      <c r="E13" s="221">
        <v>38575</v>
      </c>
      <c r="F13" s="221">
        <v>38589</v>
      </c>
      <c r="G13" s="297"/>
      <c r="J13" s="2" t="s">
        <v>227</v>
      </c>
      <c r="K13" s="2">
        <v>11</v>
      </c>
      <c r="L13" s="90">
        <f>+K13/$K$16</f>
        <v>0.44</v>
      </c>
    </row>
    <row r="14" spans="2:12" s="2" customFormat="1" ht="14.45" customHeight="1" x14ac:dyDescent="0.25">
      <c r="B14" s="297"/>
      <c r="C14" s="298"/>
      <c r="D14" s="211" t="s">
        <v>133</v>
      </c>
      <c r="E14" s="221">
        <v>42204</v>
      </c>
      <c r="F14" s="221">
        <v>42226</v>
      </c>
      <c r="G14" s="297"/>
      <c r="J14" s="2" t="s">
        <v>228</v>
      </c>
      <c r="K14" s="2">
        <v>3</v>
      </c>
      <c r="L14" s="90">
        <f>+K14/$K$16</f>
        <v>0.12</v>
      </c>
    </row>
    <row r="15" spans="2:12" s="2" customFormat="1" ht="14.45" customHeight="1" x14ac:dyDescent="0.25">
      <c r="B15" s="211" t="s">
        <v>50</v>
      </c>
      <c r="C15" s="210" t="s">
        <v>421</v>
      </c>
      <c r="D15" s="211" t="s">
        <v>134</v>
      </c>
      <c r="E15" s="221">
        <v>42094</v>
      </c>
      <c r="F15" s="221">
        <v>42095</v>
      </c>
      <c r="G15" s="211" t="s">
        <v>78</v>
      </c>
      <c r="J15" s="2" t="s">
        <v>230</v>
      </c>
      <c r="K15" s="2">
        <v>11</v>
      </c>
      <c r="L15" s="90">
        <f>+K15/$K$16</f>
        <v>0.44</v>
      </c>
    </row>
    <row r="16" spans="2:12" ht="14.45" customHeight="1" x14ac:dyDescent="0.25">
      <c r="B16" s="211" t="s">
        <v>49</v>
      </c>
      <c r="C16" s="210" t="s">
        <v>421</v>
      </c>
      <c r="D16" s="211" t="s">
        <v>135</v>
      </c>
      <c r="E16" s="221">
        <v>42094</v>
      </c>
      <c r="F16" s="221">
        <v>42095</v>
      </c>
      <c r="G16" s="211" t="s">
        <v>78</v>
      </c>
      <c r="K16" s="3">
        <f>SUM(K13:K15)</f>
        <v>25</v>
      </c>
    </row>
    <row r="17" spans="2:16" ht="14.45" customHeight="1" x14ac:dyDescent="0.25">
      <c r="B17" s="297" t="s">
        <v>116</v>
      </c>
      <c r="C17" s="298" t="s">
        <v>422</v>
      </c>
      <c r="D17" s="211" t="s">
        <v>466</v>
      </c>
      <c r="E17" s="221">
        <v>34224</v>
      </c>
      <c r="F17" s="221">
        <v>34250</v>
      </c>
      <c r="G17" s="297" t="s">
        <v>130</v>
      </c>
      <c r="I17" s="292" t="s">
        <v>485</v>
      </c>
      <c r="J17" s="292"/>
      <c r="K17" s="292"/>
      <c r="L17" s="292"/>
      <c r="M17" s="292"/>
      <c r="N17" s="292"/>
      <c r="O17" s="42"/>
      <c r="P17" s="42"/>
    </row>
    <row r="18" spans="2:16" ht="14.45" customHeight="1" x14ac:dyDescent="0.25">
      <c r="B18" s="297"/>
      <c r="C18" s="298"/>
      <c r="D18" s="211" t="s">
        <v>136</v>
      </c>
      <c r="E18" s="221">
        <v>37526</v>
      </c>
      <c r="F18" s="221">
        <v>37550</v>
      </c>
      <c r="G18" s="297"/>
    </row>
    <row r="19" spans="2:16" ht="14.45" customHeight="1" x14ac:dyDescent="0.25">
      <c r="B19" s="297" t="s">
        <v>137</v>
      </c>
      <c r="C19" s="298" t="s">
        <v>138</v>
      </c>
      <c r="D19" s="211" t="s">
        <v>139</v>
      </c>
      <c r="E19" s="221">
        <v>34235</v>
      </c>
      <c r="F19" s="221">
        <v>34264</v>
      </c>
      <c r="G19" s="297" t="s">
        <v>78</v>
      </c>
    </row>
    <row r="20" spans="2:16" ht="14.45" customHeight="1" x14ac:dyDescent="0.25">
      <c r="B20" s="297"/>
      <c r="C20" s="298"/>
      <c r="D20" s="211" t="s">
        <v>467</v>
      </c>
      <c r="E20" s="221">
        <v>34900</v>
      </c>
      <c r="F20" s="221">
        <v>34905</v>
      </c>
      <c r="G20" s="297"/>
    </row>
    <row r="21" spans="2:16" ht="14.45" customHeight="1" x14ac:dyDescent="0.25">
      <c r="B21" s="297"/>
      <c r="C21" s="298"/>
      <c r="D21" s="211" t="s">
        <v>446</v>
      </c>
      <c r="E21" s="221"/>
      <c r="F21" s="221">
        <v>35419</v>
      </c>
      <c r="G21" s="297"/>
    </row>
    <row r="22" spans="2:16" ht="14.45" customHeight="1" x14ac:dyDescent="0.25">
      <c r="B22" s="297"/>
      <c r="C22" s="298"/>
      <c r="D22" s="211" t="s">
        <v>140</v>
      </c>
      <c r="E22" s="221">
        <v>35081</v>
      </c>
      <c r="F22" s="221">
        <v>35116</v>
      </c>
      <c r="G22" s="297"/>
    </row>
    <row r="23" spans="2:16" ht="14.45" customHeight="1" x14ac:dyDescent="0.25">
      <c r="B23" s="297"/>
      <c r="C23" s="298"/>
      <c r="D23" s="211" t="s">
        <v>141</v>
      </c>
      <c r="E23" s="221">
        <v>36627</v>
      </c>
      <c r="F23" s="221">
        <v>36647</v>
      </c>
      <c r="G23" s="297"/>
    </row>
    <row r="24" spans="2:16" ht="14.45" customHeight="1" x14ac:dyDescent="0.25">
      <c r="B24" s="297"/>
      <c r="C24" s="298"/>
      <c r="D24" s="211" t="s">
        <v>142</v>
      </c>
      <c r="E24" s="221">
        <v>37762</v>
      </c>
      <c r="F24" s="221">
        <v>37788</v>
      </c>
      <c r="G24" s="297"/>
    </row>
    <row r="25" spans="2:16" ht="14.45" customHeight="1" x14ac:dyDescent="0.25">
      <c r="B25" s="297"/>
      <c r="C25" s="298"/>
      <c r="D25" s="211" t="s">
        <v>143</v>
      </c>
      <c r="E25" s="221">
        <v>38723</v>
      </c>
      <c r="F25" s="221">
        <v>38779</v>
      </c>
      <c r="G25" s="297"/>
    </row>
    <row r="26" spans="2:16" ht="14.45" customHeight="1" x14ac:dyDescent="0.25">
      <c r="B26" s="297"/>
      <c r="C26" s="298"/>
      <c r="D26" s="211" t="s">
        <v>144</v>
      </c>
      <c r="E26" s="221">
        <v>42000</v>
      </c>
      <c r="F26" s="221">
        <v>42209</v>
      </c>
      <c r="G26" s="297"/>
    </row>
    <row r="27" spans="2:16" ht="14.45" customHeight="1" x14ac:dyDescent="0.25">
      <c r="B27" s="297" t="s">
        <v>56</v>
      </c>
      <c r="C27" s="298" t="s">
        <v>145</v>
      </c>
      <c r="D27" s="211" t="s">
        <v>146</v>
      </c>
      <c r="E27" s="221">
        <v>42171</v>
      </c>
      <c r="F27" s="221">
        <v>42171</v>
      </c>
      <c r="G27" s="297" t="s">
        <v>78</v>
      </c>
    </row>
    <row r="28" spans="2:16" ht="14.45" customHeight="1" x14ac:dyDescent="0.25">
      <c r="B28" s="297"/>
      <c r="C28" s="298"/>
      <c r="D28" s="211" t="s">
        <v>424</v>
      </c>
      <c r="E28" s="221">
        <v>42976</v>
      </c>
      <c r="F28" s="221">
        <v>43005</v>
      </c>
      <c r="G28" s="297"/>
    </row>
    <row r="29" spans="2:16" ht="14.45" customHeight="1" x14ac:dyDescent="0.25">
      <c r="B29" s="297" t="s">
        <v>51</v>
      </c>
      <c r="C29" s="298" t="s">
        <v>147</v>
      </c>
      <c r="D29" s="211" t="s">
        <v>468</v>
      </c>
      <c r="E29" s="221">
        <v>34409</v>
      </c>
      <c r="F29" s="221">
        <v>34474</v>
      </c>
      <c r="G29" s="297" t="s">
        <v>78</v>
      </c>
    </row>
    <row r="30" spans="2:16" ht="23.25" customHeight="1" x14ac:dyDescent="0.25">
      <c r="B30" s="297"/>
      <c r="C30" s="298"/>
      <c r="D30" s="211" t="s">
        <v>423</v>
      </c>
      <c r="E30" s="221">
        <v>35415</v>
      </c>
      <c r="F30" s="221">
        <v>35416</v>
      </c>
      <c r="G30" s="297"/>
    </row>
    <row r="31" spans="2:16" ht="23.25" customHeight="1" x14ac:dyDescent="0.25">
      <c r="B31" s="297"/>
      <c r="C31" s="298"/>
      <c r="D31" s="211" t="s">
        <v>469</v>
      </c>
      <c r="E31" s="221">
        <v>36627</v>
      </c>
      <c r="F31" s="221">
        <v>36654</v>
      </c>
      <c r="G31" s="297"/>
    </row>
    <row r="32" spans="2:16" ht="23.25" customHeight="1" x14ac:dyDescent="0.25">
      <c r="B32" s="297"/>
      <c r="C32" s="298"/>
      <c r="D32" s="211" t="s">
        <v>470</v>
      </c>
      <c r="E32" s="221">
        <v>37058</v>
      </c>
      <c r="F32" s="221">
        <v>37088</v>
      </c>
      <c r="G32" s="297"/>
    </row>
    <row r="33" spans="2:16" ht="23.25" customHeight="1" x14ac:dyDescent="0.25">
      <c r="B33" s="297"/>
      <c r="C33" s="298"/>
      <c r="D33" s="211" t="s">
        <v>471</v>
      </c>
      <c r="E33" s="221">
        <v>38163</v>
      </c>
      <c r="F33" s="221">
        <v>38189</v>
      </c>
      <c r="G33" s="297"/>
    </row>
    <row r="34" spans="2:16" ht="14.45" customHeight="1" x14ac:dyDescent="0.25">
      <c r="B34" s="297"/>
      <c r="C34" s="298"/>
      <c r="D34" s="211" t="s">
        <v>148</v>
      </c>
      <c r="E34" s="221">
        <v>38246</v>
      </c>
      <c r="F34" s="221">
        <v>38246</v>
      </c>
      <c r="G34" s="297"/>
    </row>
    <row r="35" spans="2:16" ht="14.45" customHeight="1" x14ac:dyDescent="0.25">
      <c r="B35" s="297"/>
      <c r="C35" s="298"/>
      <c r="D35" s="211" t="s">
        <v>149</v>
      </c>
      <c r="E35" s="221">
        <v>41790</v>
      </c>
      <c r="F35" s="221">
        <v>41949</v>
      </c>
      <c r="G35" s="297"/>
    </row>
    <row r="36" spans="2:16" ht="14.45" customHeight="1" x14ac:dyDescent="0.25">
      <c r="B36" s="297"/>
      <c r="C36" s="298"/>
      <c r="D36" s="211" t="s">
        <v>150</v>
      </c>
      <c r="E36" s="221">
        <v>43569</v>
      </c>
      <c r="F36" s="221">
        <v>43647</v>
      </c>
      <c r="G36" s="297"/>
    </row>
    <row r="37" spans="2:16" ht="11.25" x14ac:dyDescent="0.25">
      <c r="B37" s="297" t="s">
        <v>8</v>
      </c>
      <c r="C37" s="298" t="s">
        <v>151</v>
      </c>
      <c r="D37" s="211" t="s">
        <v>152</v>
      </c>
      <c r="E37" s="221">
        <v>35148</v>
      </c>
      <c r="F37" s="221">
        <v>35215</v>
      </c>
      <c r="G37" s="297" t="s">
        <v>78</v>
      </c>
    </row>
    <row r="38" spans="2:16" ht="11.25" x14ac:dyDescent="0.2">
      <c r="B38" s="297"/>
      <c r="C38" s="298"/>
      <c r="D38" s="211" t="s">
        <v>153</v>
      </c>
      <c r="E38" s="221">
        <v>39535</v>
      </c>
      <c r="F38" s="221">
        <v>40259</v>
      </c>
      <c r="G38" s="297"/>
      <c r="I38" s="1" t="s">
        <v>391</v>
      </c>
      <c r="N38" s="4"/>
      <c r="O38" s="5"/>
      <c r="P38" s="5"/>
    </row>
    <row r="39" spans="2:16" ht="14.45" customHeight="1" x14ac:dyDescent="0.25">
      <c r="B39" s="297"/>
      <c r="C39" s="298"/>
      <c r="D39" s="211" t="s">
        <v>154</v>
      </c>
      <c r="E39" s="221">
        <v>40909</v>
      </c>
      <c r="F39" s="221">
        <v>41649</v>
      </c>
      <c r="G39" s="297"/>
      <c r="I39" s="294" t="s">
        <v>432</v>
      </c>
      <c r="J39" s="294"/>
      <c r="K39" s="294"/>
      <c r="L39" s="294"/>
      <c r="M39" s="294"/>
      <c r="N39" s="294"/>
      <c r="O39" s="294"/>
    </row>
    <row r="40" spans="2:16" ht="14.45" customHeight="1" x14ac:dyDescent="0.25">
      <c r="B40" s="297"/>
      <c r="C40" s="298"/>
      <c r="D40" s="211" t="s">
        <v>425</v>
      </c>
      <c r="E40" s="221">
        <v>42894</v>
      </c>
      <c r="F40" s="221">
        <v>42936</v>
      </c>
      <c r="G40" s="297"/>
      <c r="I40" s="294"/>
      <c r="J40" s="294"/>
      <c r="K40" s="294"/>
      <c r="L40" s="294"/>
      <c r="M40" s="294"/>
      <c r="N40" s="294"/>
      <c r="O40" s="294"/>
    </row>
    <row r="41" spans="2:16" ht="14.45" customHeight="1" x14ac:dyDescent="0.25">
      <c r="B41" s="297"/>
      <c r="C41" s="298"/>
      <c r="D41" s="211" t="s">
        <v>426</v>
      </c>
      <c r="E41" s="221">
        <v>43543</v>
      </c>
      <c r="F41" s="221">
        <v>43557</v>
      </c>
      <c r="G41" s="297"/>
      <c r="I41" s="294"/>
      <c r="J41" s="294"/>
      <c r="K41" s="294"/>
      <c r="L41" s="294"/>
      <c r="M41" s="294"/>
      <c r="N41" s="294"/>
      <c r="O41" s="294"/>
    </row>
    <row r="42" spans="2:16" ht="14.45" customHeight="1" x14ac:dyDescent="0.25">
      <c r="B42" s="297"/>
      <c r="C42" s="298"/>
      <c r="D42" s="211" t="s">
        <v>427</v>
      </c>
      <c r="E42" s="221">
        <v>43988</v>
      </c>
      <c r="F42" s="221">
        <v>44006</v>
      </c>
      <c r="G42" s="297"/>
    </row>
    <row r="43" spans="2:16" ht="14.45" customHeight="1" x14ac:dyDescent="0.25">
      <c r="B43" s="297" t="s">
        <v>119</v>
      </c>
      <c r="C43" s="298" t="s">
        <v>131</v>
      </c>
      <c r="D43" s="211" t="s">
        <v>155</v>
      </c>
      <c r="E43" s="221">
        <v>35903</v>
      </c>
      <c r="F43" s="221">
        <v>35941</v>
      </c>
      <c r="G43" s="297" t="s">
        <v>78</v>
      </c>
    </row>
    <row r="44" spans="2:16" ht="11.25" customHeight="1" x14ac:dyDescent="0.25">
      <c r="B44" s="297"/>
      <c r="C44" s="298"/>
      <c r="D44" s="211" t="s">
        <v>156</v>
      </c>
      <c r="E44" s="221">
        <v>36533</v>
      </c>
      <c r="F44" s="221">
        <v>36581</v>
      </c>
      <c r="G44" s="297"/>
    </row>
    <row r="45" spans="2:16" ht="14.45" customHeight="1" x14ac:dyDescent="0.25">
      <c r="B45" s="297"/>
      <c r="C45" s="298"/>
      <c r="D45" s="211" t="s">
        <v>428</v>
      </c>
      <c r="E45" s="221">
        <v>41335</v>
      </c>
      <c r="F45" s="221">
        <v>41429</v>
      </c>
      <c r="G45" s="297"/>
    </row>
    <row r="46" spans="2:16" ht="14.45" customHeight="1" x14ac:dyDescent="0.25">
      <c r="B46" s="297"/>
      <c r="C46" s="298"/>
      <c r="D46" s="211" t="s">
        <v>472</v>
      </c>
      <c r="E46" s="221">
        <v>42000</v>
      </c>
      <c r="F46" s="221">
        <v>42033</v>
      </c>
      <c r="G46" s="297"/>
    </row>
    <row r="47" spans="2:16" ht="14.45" customHeight="1" x14ac:dyDescent="0.25">
      <c r="B47" s="297" t="s">
        <v>120</v>
      </c>
      <c r="C47" s="298" t="s">
        <v>131</v>
      </c>
      <c r="D47" s="211" t="s">
        <v>429</v>
      </c>
      <c r="E47" s="221">
        <v>38722</v>
      </c>
      <c r="F47" s="221">
        <v>38736</v>
      </c>
      <c r="G47" s="297" t="s">
        <v>78</v>
      </c>
    </row>
    <row r="48" spans="2:16" ht="11.25" customHeight="1" x14ac:dyDescent="0.25">
      <c r="B48" s="297"/>
      <c r="C48" s="298"/>
      <c r="D48" s="211" t="s">
        <v>157</v>
      </c>
      <c r="E48" s="221">
        <v>39721</v>
      </c>
      <c r="F48" s="221">
        <v>39791</v>
      </c>
      <c r="G48" s="297"/>
    </row>
    <row r="49" spans="2:7" ht="11.25" x14ac:dyDescent="0.25">
      <c r="B49" s="211" t="s">
        <v>58</v>
      </c>
      <c r="C49" s="210" t="s">
        <v>158</v>
      </c>
      <c r="D49" s="211" t="s">
        <v>447</v>
      </c>
      <c r="E49" s="221">
        <v>34274</v>
      </c>
      <c r="F49" s="221">
        <v>34289</v>
      </c>
      <c r="G49" s="211" t="s">
        <v>159</v>
      </c>
    </row>
    <row r="50" spans="2:7" ht="11.25" customHeight="1" x14ac:dyDescent="0.25">
      <c r="B50" s="297" t="s">
        <v>43</v>
      </c>
      <c r="C50" s="298" t="s">
        <v>160</v>
      </c>
      <c r="D50" s="211" t="s">
        <v>473</v>
      </c>
      <c r="E50" s="221">
        <v>37209</v>
      </c>
      <c r="F50" s="221">
        <v>37225</v>
      </c>
      <c r="G50" s="297" t="s">
        <v>78</v>
      </c>
    </row>
    <row r="51" spans="2:7" ht="14.45" customHeight="1" x14ac:dyDescent="0.25">
      <c r="B51" s="297"/>
      <c r="C51" s="298"/>
      <c r="D51" s="211" t="s">
        <v>474</v>
      </c>
      <c r="E51" s="221">
        <v>37554</v>
      </c>
      <c r="F51" s="221">
        <v>37644</v>
      </c>
      <c r="G51" s="297"/>
    </row>
    <row r="52" spans="2:7" ht="14.45" customHeight="1" x14ac:dyDescent="0.25">
      <c r="B52" s="297"/>
      <c r="C52" s="298"/>
      <c r="D52" s="211" t="s">
        <v>475</v>
      </c>
      <c r="E52" s="221">
        <v>38030</v>
      </c>
      <c r="F52" s="221">
        <v>38064</v>
      </c>
      <c r="G52" s="297"/>
    </row>
    <row r="53" spans="2:7" ht="14.45" customHeight="1" x14ac:dyDescent="0.25">
      <c r="B53" s="297"/>
      <c r="C53" s="298"/>
      <c r="D53" s="211" t="s">
        <v>161</v>
      </c>
      <c r="E53" s="221">
        <v>38386</v>
      </c>
      <c r="F53" s="221">
        <v>38386</v>
      </c>
      <c r="G53" s="297"/>
    </row>
    <row r="54" spans="2:7" ht="14.45" customHeight="1" x14ac:dyDescent="0.25">
      <c r="B54" s="297"/>
      <c r="C54" s="298"/>
      <c r="D54" s="211" t="s">
        <v>162</v>
      </c>
      <c r="E54" s="221">
        <v>39780</v>
      </c>
      <c r="F54" s="221">
        <v>39799</v>
      </c>
      <c r="G54" s="297"/>
    </row>
    <row r="55" spans="2:7" ht="14.45" customHeight="1" x14ac:dyDescent="0.25">
      <c r="B55" s="297"/>
      <c r="C55" s="298"/>
      <c r="D55" s="211" t="s">
        <v>163</v>
      </c>
      <c r="E55" s="221">
        <v>41273</v>
      </c>
      <c r="F55" s="221">
        <v>41277</v>
      </c>
      <c r="G55" s="297"/>
    </row>
    <row r="56" spans="2:7" ht="14.45" customHeight="1" x14ac:dyDescent="0.25">
      <c r="B56" s="297"/>
      <c r="C56" s="298"/>
      <c r="D56" s="211" t="s">
        <v>430</v>
      </c>
      <c r="E56" s="221">
        <v>42575</v>
      </c>
      <c r="F56" s="221">
        <v>42681</v>
      </c>
      <c r="G56" s="297"/>
    </row>
    <row r="57" spans="2:7" ht="14.45" customHeight="1" x14ac:dyDescent="0.25">
      <c r="B57" s="297"/>
      <c r="C57" s="298"/>
      <c r="D57" s="211" t="s">
        <v>431</v>
      </c>
      <c r="E57" s="221">
        <v>42851</v>
      </c>
      <c r="F57" s="221">
        <v>42866</v>
      </c>
      <c r="G57" s="297"/>
    </row>
    <row r="58" spans="2:7" ht="14.45" customHeight="1" x14ac:dyDescent="0.25">
      <c r="B58" s="297" t="s">
        <v>123</v>
      </c>
      <c r="C58" s="298" t="s">
        <v>164</v>
      </c>
      <c r="D58" s="211" t="s">
        <v>165</v>
      </c>
      <c r="E58" s="221">
        <v>37307</v>
      </c>
      <c r="F58" s="221">
        <v>37335</v>
      </c>
      <c r="G58" s="297" t="s">
        <v>102</v>
      </c>
    </row>
    <row r="59" spans="2:7" ht="14.45" customHeight="1" x14ac:dyDescent="0.25">
      <c r="B59" s="297"/>
      <c r="C59" s="298"/>
      <c r="D59" s="211" t="s">
        <v>166</v>
      </c>
      <c r="E59" s="221">
        <v>38634</v>
      </c>
      <c r="F59" s="221">
        <v>38670</v>
      </c>
      <c r="G59" s="297"/>
    </row>
    <row r="60" spans="2:7" ht="14.45" customHeight="1" x14ac:dyDescent="0.25">
      <c r="B60" s="297">
        <v>8</v>
      </c>
      <c r="C60" s="298" t="s">
        <v>167</v>
      </c>
      <c r="D60" s="211" t="s">
        <v>168</v>
      </c>
      <c r="E60" s="221">
        <v>34409</v>
      </c>
      <c r="F60" s="221">
        <v>34474</v>
      </c>
      <c r="G60" s="297" t="s">
        <v>78</v>
      </c>
    </row>
    <row r="61" spans="2:7" ht="14.45" customHeight="1" x14ac:dyDescent="0.25">
      <c r="B61" s="297"/>
      <c r="C61" s="298"/>
      <c r="D61" s="211" t="s">
        <v>169</v>
      </c>
      <c r="E61" s="221">
        <v>35267</v>
      </c>
      <c r="F61" s="221">
        <v>35268</v>
      </c>
      <c r="G61" s="297"/>
    </row>
    <row r="62" spans="2:7" ht="14.45" customHeight="1" x14ac:dyDescent="0.25">
      <c r="B62" s="297"/>
      <c r="C62" s="298"/>
      <c r="D62" s="211" t="s">
        <v>170</v>
      </c>
      <c r="E62" s="221">
        <v>37505</v>
      </c>
      <c r="F62" s="221">
        <v>37608</v>
      </c>
      <c r="G62" s="297"/>
    </row>
    <row r="63" spans="2:7" ht="14.45" customHeight="1" x14ac:dyDescent="0.25">
      <c r="B63" s="297"/>
      <c r="C63" s="298"/>
      <c r="D63" s="211" t="s">
        <v>171</v>
      </c>
      <c r="E63" s="221">
        <v>37700</v>
      </c>
      <c r="F63" s="221">
        <v>37755</v>
      </c>
      <c r="G63" s="297"/>
    </row>
    <row r="64" spans="2:7" ht="14.45" customHeight="1" x14ac:dyDescent="0.25">
      <c r="B64" s="297"/>
      <c r="C64" s="298"/>
      <c r="D64" s="211" t="s">
        <v>448</v>
      </c>
      <c r="E64" s="221">
        <v>40242</v>
      </c>
      <c r="F64" s="221">
        <v>40359</v>
      </c>
      <c r="G64" s="297"/>
    </row>
    <row r="65" spans="2:7" ht="14.45" customHeight="1" x14ac:dyDescent="0.25">
      <c r="B65" s="303">
        <v>39</v>
      </c>
      <c r="C65" s="304" t="s">
        <v>172</v>
      </c>
      <c r="D65" s="211" t="s">
        <v>173</v>
      </c>
      <c r="E65" s="221">
        <v>36349</v>
      </c>
      <c r="F65" s="221">
        <v>36412</v>
      </c>
      <c r="G65" s="297" t="s">
        <v>78</v>
      </c>
    </row>
    <row r="66" spans="2:7" ht="14.45" customHeight="1" x14ac:dyDescent="0.25">
      <c r="B66" s="303"/>
      <c r="C66" s="304"/>
      <c r="D66" s="211" t="s">
        <v>174</v>
      </c>
      <c r="E66" s="221">
        <v>36931</v>
      </c>
      <c r="F66" s="221">
        <v>37004</v>
      </c>
      <c r="G66" s="297"/>
    </row>
    <row r="67" spans="2:7" ht="14.45" customHeight="1" x14ac:dyDescent="0.25">
      <c r="B67" s="303"/>
      <c r="C67" s="304"/>
      <c r="D67" s="211" t="s">
        <v>175</v>
      </c>
      <c r="E67" s="221">
        <v>37554</v>
      </c>
      <c r="F67" s="221">
        <v>37644</v>
      </c>
      <c r="G67" s="297"/>
    </row>
    <row r="68" spans="2:7" ht="14.45" customHeight="1" x14ac:dyDescent="0.25">
      <c r="B68" s="303"/>
      <c r="C68" s="304"/>
      <c r="D68" s="211" t="s">
        <v>176</v>
      </c>
      <c r="E68" s="221">
        <v>37748</v>
      </c>
      <c r="F68" s="221">
        <v>37770</v>
      </c>
      <c r="G68" s="297"/>
    </row>
    <row r="69" spans="2:7" ht="14.45" customHeight="1" x14ac:dyDescent="0.25">
      <c r="B69" s="303"/>
      <c r="C69" s="304"/>
      <c r="D69" s="211" t="s">
        <v>177</v>
      </c>
      <c r="E69" s="221">
        <v>37936</v>
      </c>
      <c r="F69" s="221">
        <v>37952</v>
      </c>
      <c r="G69" s="297"/>
    </row>
    <row r="70" spans="2:7" ht="14.45" customHeight="1" x14ac:dyDescent="0.25">
      <c r="B70" s="303"/>
      <c r="C70" s="304"/>
      <c r="D70" s="211" t="s">
        <v>178</v>
      </c>
      <c r="E70" s="221">
        <v>38526</v>
      </c>
      <c r="F70" s="221">
        <v>38589</v>
      </c>
      <c r="G70" s="297"/>
    </row>
    <row r="71" spans="2:7" ht="14.45" customHeight="1" x14ac:dyDescent="0.25">
      <c r="B71" s="303"/>
      <c r="C71" s="304"/>
      <c r="D71" s="211" t="s">
        <v>179</v>
      </c>
      <c r="E71" s="221">
        <v>38862</v>
      </c>
      <c r="F71" s="221">
        <v>38936</v>
      </c>
      <c r="G71" s="297"/>
    </row>
    <row r="72" spans="2:7" ht="14.45" customHeight="1" x14ac:dyDescent="0.25">
      <c r="B72" s="303"/>
      <c r="C72" s="304"/>
      <c r="D72" s="211" t="s">
        <v>449</v>
      </c>
      <c r="E72" s="221">
        <v>39919</v>
      </c>
      <c r="F72" s="221">
        <v>40319</v>
      </c>
      <c r="G72" s="297"/>
    </row>
    <row r="73" spans="2:7" ht="14.45" customHeight="1" x14ac:dyDescent="0.25">
      <c r="B73" s="303"/>
      <c r="C73" s="304"/>
      <c r="D73" s="211" t="s">
        <v>450</v>
      </c>
      <c r="E73" s="221">
        <v>41088</v>
      </c>
      <c r="F73" s="221">
        <v>41148</v>
      </c>
      <c r="G73" s="297"/>
    </row>
    <row r="74" spans="2:7" ht="14.45" customHeight="1" x14ac:dyDescent="0.25">
      <c r="B74" s="303"/>
      <c r="C74" s="304"/>
      <c r="D74" s="211" t="s">
        <v>452</v>
      </c>
      <c r="E74" s="221">
        <v>41867</v>
      </c>
      <c r="F74" s="221">
        <v>41911</v>
      </c>
      <c r="G74" s="297"/>
    </row>
    <row r="75" spans="2:7" ht="14.45" customHeight="1" x14ac:dyDescent="0.25">
      <c r="B75" s="303"/>
      <c r="C75" s="304"/>
      <c r="D75" s="211" t="s">
        <v>451</v>
      </c>
      <c r="E75" s="221">
        <v>43468</v>
      </c>
      <c r="F75" s="221">
        <v>43656</v>
      </c>
      <c r="G75" s="297"/>
    </row>
    <row r="76" spans="2:7" ht="14.45" customHeight="1" x14ac:dyDescent="0.25">
      <c r="B76" s="305">
        <v>64</v>
      </c>
      <c r="C76" s="303" t="s">
        <v>180</v>
      </c>
      <c r="D76" s="230" t="s">
        <v>181</v>
      </c>
      <c r="E76" s="231">
        <v>35008</v>
      </c>
      <c r="F76" s="231">
        <v>35040</v>
      </c>
      <c r="G76" s="305" t="s">
        <v>78</v>
      </c>
    </row>
    <row r="77" spans="2:7" ht="14.45" customHeight="1" x14ac:dyDescent="0.25">
      <c r="B77" s="305"/>
      <c r="C77" s="303"/>
      <c r="D77" s="230" t="s">
        <v>182</v>
      </c>
      <c r="E77" s="231">
        <v>36422</v>
      </c>
      <c r="F77" s="231">
        <v>36459</v>
      </c>
      <c r="G77" s="305"/>
    </row>
    <row r="78" spans="2:7" ht="14.45" customHeight="1" x14ac:dyDescent="0.25">
      <c r="B78" s="305"/>
      <c r="C78" s="303"/>
      <c r="D78" s="230" t="s">
        <v>183</v>
      </c>
      <c r="E78" s="231">
        <v>36926</v>
      </c>
      <c r="F78" s="231">
        <v>37021</v>
      </c>
      <c r="G78" s="305"/>
    </row>
    <row r="79" spans="2:7" ht="14.45" customHeight="1" x14ac:dyDescent="0.25">
      <c r="B79" s="305"/>
      <c r="C79" s="303"/>
      <c r="D79" s="230" t="s">
        <v>184</v>
      </c>
      <c r="E79" s="231">
        <v>38061</v>
      </c>
      <c r="F79" s="231">
        <v>38063</v>
      </c>
      <c r="G79" s="305"/>
    </row>
    <row r="80" spans="2:7" ht="14.45" customHeight="1" x14ac:dyDescent="0.25">
      <c r="B80" s="305"/>
      <c r="C80" s="303"/>
      <c r="D80" s="230" t="s">
        <v>185</v>
      </c>
      <c r="E80" s="231">
        <v>38190</v>
      </c>
      <c r="F80" s="231">
        <v>38208</v>
      </c>
      <c r="G80" s="305"/>
    </row>
    <row r="81" spans="2:7" ht="14.45" customHeight="1" x14ac:dyDescent="0.25">
      <c r="B81" s="305"/>
      <c r="C81" s="303"/>
      <c r="D81" s="230" t="s">
        <v>186</v>
      </c>
      <c r="E81" s="231">
        <v>39407</v>
      </c>
      <c r="F81" s="231">
        <v>39421</v>
      </c>
      <c r="G81" s="305"/>
    </row>
    <row r="82" spans="2:7" ht="14.45" customHeight="1" x14ac:dyDescent="0.25">
      <c r="B82" s="305"/>
      <c r="C82" s="303"/>
      <c r="D82" s="230" t="s">
        <v>187</v>
      </c>
      <c r="E82" s="231">
        <v>40220</v>
      </c>
      <c r="F82" s="231">
        <v>40273</v>
      </c>
      <c r="G82" s="305"/>
    </row>
    <row r="83" spans="2:7" ht="14.45" customHeight="1" x14ac:dyDescent="0.25">
      <c r="B83" s="305"/>
      <c r="C83" s="303"/>
      <c r="D83" s="230" t="s">
        <v>188</v>
      </c>
      <c r="E83" s="231">
        <v>40298</v>
      </c>
      <c r="F83" s="231">
        <v>40309</v>
      </c>
      <c r="G83" s="305"/>
    </row>
    <row r="84" spans="2:7" ht="14.45" customHeight="1" x14ac:dyDescent="0.25">
      <c r="B84" s="305"/>
      <c r="C84" s="303"/>
      <c r="D84" s="230" t="s">
        <v>189</v>
      </c>
      <c r="E84" s="231">
        <v>41391</v>
      </c>
      <c r="F84" s="231">
        <v>41393</v>
      </c>
      <c r="G84" s="305"/>
    </row>
    <row r="85" spans="2:7" ht="14.45" customHeight="1" x14ac:dyDescent="0.25">
      <c r="B85" s="305"/>
      <c r="C85" s="303"/>
      <c r="D85" s="230" t="s">
        <v>476</v>
      </c>
      <c r="E85" s="231">
        <v>42705</v>
      </c>
      <c r="F85" s="231">
        <v>42706</v>
      </c>
      <c r="G85" s="305"/>
    </row>
    <row r="86" spans="2:7" ht="14.45" customHeight="1" x14ac:dyDescent="0.25">
      <c r="B86" s="305"/>
      <c r="C86" s="303"/>
      <c r="D86" s="230" t="s">
        <v>453</v>
      </c>
      <c r="E86" s="231">
        <v>44467</v>
      </c>
      <c r="F86" s="231">
        <v>44522</v>
      </c>
      <c r="G86" s="305"/>
    </row>
    <row r="87" spans="2:7" ht="14.45" customHeight="1" x14ac:dyDescent="0.25">
      <c r="B87" s="305">
        <v>67</v>
      </c>
      <c r="C87" s="304" t="s">
        <v>190</v>
      </c>
      <c r="D87" s="230" t="s">
        <v>191</v>
      </c>
      <c r="E87" s="231">
        <v>35043</v>
      </c>
      <c r="F87" s="231">
        <v>35046</v>
      </c>
      <c r="G87" s="305" t="s">
        <v>78</v>
      </c>
    </row>
    <row r="88" spans="2:7" ht="14.45" customHeight="1" x14ac:dyDescent="0.25">
      <c r="B88" s="305"/>
      <c r="C88" s="304"/>
      <c r="D88" s="230" t="s">
        <v>477</v>
      </c>
      <c r="E88" s="231">
        <v>35790</v>
      </c>
      <c r="F88" s="231">
        <v>35852</v>
      </c>
      <c r="G88" s="305"/>
    </row>
    <row r="89" spans="2:7" ht="14.45" customHeight="1" x14ac:dyDescent="0.25">
      <c r="B89" s="305"/>
      <c r="C89" s="304"/>
      <c r="D89" s="230" t="s">
        <v>192</v>
      </c>
      <c r="E89" s="231">
        <v>36421</v>
      </c>
      <c r="F89" s="231">
        <v>36549</v>
      </c>
      <c r="G89" s="305"/>
    </row>
    <row r="90" spans="2:7" ht="14.45" customHeight="1" x14ac:dyDescent="0.25">
      <c r="B90" s="305"/>
      <c r="C90" s="304"/>
      <c r="D90" s="230" t="s">
        <v>193</v>
      </c>
      <c r="E90" s="231">
        <v>36928</v>
      </c>
      <c r="F90" s="231">
        <v>37004</v>
      </c>
      <c r="G90" s="305"/>
    </row>
    <row r="91" spans="2:7" ht="14.45" customHeight="1" x14ac:dyDescent="0.25">
      <c r="B91" s="305"/>
      <c r="C91" s="304"/>
      <c r="D91" s="230" t="s">
        <v>194</v>
      </c>
      <c r="E91" s="231">
        <v>37700</v>
      </c>
      <c r="F91" s="231">
        <v>37712</v>
      </c>
      <c r="G91" s="305"/>
    </row>
    <row r="92" spans="2:7" ht="14.45" customHeight="1" x14ac:dyDescent="0.25">
      <c r="B92" s="305"/>
      <c r="C92" s="304"/>
      <c r="D92" s="230" t="s">
        <v>195</v>
      </c>
      <c r="E92" s="231">
        <v>38645</v>
      </c>
      <c r="F92" s="231">
        <v>38684</v>
      </c>
      <c r="G92" s="305"/>
    </row>
    <row r="93" spans="2:7" ht="14.45" customHeight="1" x14ac:dyDescent="0.25">
      <c r="B93" s="305"/>
      <c r="C93" s="304"/>
      <c r="D93" s="230" t="s">
        <v>196</v>
      </c>
      <c r="E93" s="231">
        <v>39403</v>
      </c>
      <c r="F93" s="231">
        <v>39413</v>
      </c>
      <c r="G93" s="305"/>
    </row>
    <row r="94" spans="2:7" ht="14.45" customHeight="1" x14ac:dyDescent="0.25">
      <c r="B94" s="305"/>
      <c r="C94" s="304"/>
      <c r="D94" s="230" t="s">
        <v>197</v>
      </c>
      <c r="E94" s="231">
        <v>40380</v>
      </c>
      <c r="F94" s="231">
        <v>40422</v>
      </c>
      <c r="G94" s="305"/>
    </row>
    <row r="95" spans="2:7" ht="14.45" customHeight="1" x14ac:dyDescent="0.25">
      <c r="B95" s="305"/>
      <c r="C95" s="304"/>
      <c r="D95" s="230" t="s">
        <v>229</v>
      </c>
      <c r="E95" s="231">
        <v>41588</v>
      </c>
      <c r="F95" s="231">
        <v>41592</v>
      </c>
      <c r="G95" s="305"/>
    </row>
    <row r="96" spans="2:7" ht="14.45" customHeight="1" x14ac:dyDescent="0.25">
      <c r="B96" s="305">
        <v>95</v>
      </c>
      <c r="C96" s="306" t="s">
        <v>198</v>
      </c>
      <c r="D96" s="230" t="s">
        <v>199</v>
      </c>
      <c r="E96" s="231">
        <v>38429</v>
      </c>
      <c r="F96" s="231">
        <v>38449</v>
      </c>
      <c r="G96" s="305" t="s">
        <v>78</v>
      </c>
    </row>
    <row r="97" spans="2:7" ht="14.45" customHeight="1" x14ac:dyDescent="0.25">
      <c r="B97" s="305"/>
      <c r="C97" s="306"/>
      <c r="D97" s="230" t="s">
        <v>454</v>
      </c>
      <c r="E97" s="231">
        <v>40906</v>
      </c>
      <c r="F97" s="231">
        <v>40924</v>
      </c>
      <c r="G97" s="305"/>
    </row>
    <row r="98" spans="2:7" ht="14.45" customHeight="1" x14ac:dyDescent="0.25">
      <c r="B98" s="305"/>
      <c r="C98" s="306"/>
      <c r="D98" s="230" t="s">
        <v>455</v>
      </c>
      <c r="E98" s="231">
        <v>41297</v>
      </c>
      <c r="F98" s="231">
        <v>41316</v>
      </c>
      <c r="G98" s="305"/>
    </row>
    <row r="99" spans="2:7" ht="14.45" customHeight="1" x14ac:dyDescent="0.25">
      <c r="B99" s="305"/>
      <c r="C99" s="306"/>
      <c r="D99" s="230" t="s">
        <v>234</v>
      </c>
      <c r="E99" s="231">
        <v>43099</v>
      </c>
      <c r="F99" s="231">
        <v>43132</v>
      </c>
      <c r="G99" s="305"/>
    </row>
    <row r="100" spans="2:7" ht="14.45" customHeight="1" x14ac:dyDescent="0.25">
      <c r="B100" s="305"/>
      <c r="C100" s="306"/>
      <c r="D100" s="230" t="s">
        <v>456</v>
      </c>
      <c r="E100" s="231">
        <v>43433</v>
      </c>
      <c r="F100" s="231">
        <v>43550</v>
      </c>
      <c r="G100" s="305"/>
    </row>
    <row r="101" spans="2:7" ht="14.45" customHeight="1" x14ac:dyDescent="0.25">
      <c r="B101" s="305" t="s">
        <v>122</v>
      </c>
      <c r="C101" s="306" t="s">
        <v>200</v>
      </c>
      <c r="D101" s="230" t="s">
        <v>201</v>
      </c>
      <c r="E101" s="231">
        <v>34424</v>
      </c>
      <c r="F101" s="231">
        <v>34424</v>
      </c>
      <c r="G101" s="305" t="s">
        <v>78</v>
      </c>
    </row>
    <row r="102" spans="2:7" ht="14.45" customHeight="1" x14ac:dyDescent="0.25">
      <c r="B102" s="305"/>
      <c r="C102" s="306"/>
      <c r="D102" s="230" t="s">
        <v>478</v>
      </c>
      <c r="E102" s="231">
        <v>35263</v>
      </c>
      <c r="F102" s="231">
        <v>35271</v>
      </c>
      <c r="G102" s="305"/>
    </row>
    <row r="103" spans="2:7" ht="14.45" customHeight="1" x14ac:dyDescent="0.25">
      <c r="B103" s="305"/>
      <c r="C103" s="306"/>
      <c r="D103" s="230" t="s">
        <v>202</v>
      </c>
      <c r="E103" s="231">
        <v>36327</v>
      </c>
      <c r="F103" s="231">
        <v>36413</v>
      </c>
      <c r="G103" s="305"/>
    </row>
    <row r="104" spans="2:7" ht="14.45" customHeight="1" x14ac:dyDescent="0.25">
      <c r="B104" s="305"/>
      <c r="C104" s="306"/>
      <c r="D104" s="230" t="s">
        <v>203</v>
      </c>
      <c r="E104" s="231">
        <v>37085</v>
      </c>
      <c r="F104" s="231">
        <v>37092</v>
      </c>
      <c r="G104" s="305"/>
    </row>
    <row r="105" spans="2:7" ht="14.45" customHeight="1" x14ac:dyDescent="0.25">
      <c r="B105" s="305"/>
      <c r="C105" s="306"/>
      <c r="D105" s="230" t="s">
        <v>457</v>
      </c>
      <c r="E105" s="231">
        <v>43992</v>
      </c>
      <c r="F105" s="231">
        <v>44013</v>
      </c>
      <c r="G105" s="305"/>
    </row>
    <row r="106" spans="2:7" ht="14.45" customHeight="1" x14ac:dyDescent="0.25">
      <c r="B106" s="307">
        <v>131</v>
      </c>
      <c r="C106" s="308" t="s">
        <v>392</v>
      </c>
      <c r="D106" s="232" t="s">
        <v>231</v>
      </c>
      <c r="E106" s="233">
        <v>39407</v>
      </c>
      <c r="F106" s="233">
        <v>39407</v>
      </c>
      <c r="G106" s="309" t="s">
        <v>78</v>
      </c>
    </row>
    <row r="107" spans="2:7" ht="14.45" customHeight="1" x14ac:dyDescent="0.25">
      <c r="B107" s="307"/>
      <c r="C107" s="308"/>
      <c r="D107" s="232" t="s">
        <v>232</v>
      </c>
      <c r="E107" s="233">
        <v>39674</v>
      </c>
      <c r="F107" s="233">
        <v>39703</v>
      </c>
      <c r="G107" s="309"/>
    </row>
    <row r="108" spans="2:7" ht="14.45" customHeight="1" x14ac:dyDescent="0.25">
      <c r="B108" s="307"/>
      <c r="C108" s="308"/>
      <c r="D108" s="232" t="s">
        <v>233</v>
      </c>
      <c r="E108" s="233">
        <v>42851</v>
      </c>
      <c r="F108" s="233">
        <v>42867</v>
      </c>
      <c r="G108" s="309"/>
    </row>
    <row r="109" spans="2:7" ht="14.45" customHeight="1" x14ac:dyDescent="0.25">
      <c r="B109" s="305">
        <v>56</v>
      </c>
      <c r="C109" s="304" t="s">
        <v>204</v>
      </c>
      <c r="D109" s="230" t="s">
        <v>205</v>
      </c>
      <c r="E109" s="231">
        <v>38226</v>
      </c>
      <c r="F109" s="231">
        <v>38237</v>
      </c>
      <c r="G109" s="305" t="s">
        <v>78</v>
      </c>
    </row>
    <row r="110" spans="2:7" ht="14.45" customHeight="1" x14ac:dyDescent="0.25">
      <c r="B110" s="305"/>
      <c r="C110" s="304"/>
      <c r="D110" s="230" t="s">
        <v>206</v>
      </c>
      <c r="E110" s="231">
        <v>38699</v>
      </c>
      <c r="F110" s="231">
        <v>38702</v>
      </c>
      <c r="G110" s="305"/>
    </row>
    <row r="111" spans="2:7" ht="14.45" customHeight="1" x14ac:dyDescent="0.25">
      <c r="B111" s="305"/>
      <c r="C111" s="304"/>
      <c r="D111" s="230" t="s">
        <v>207</v>
      </c>
      <c r="E111" s="231">
        <v>38926</v>
      </c>
      <c r="F111" s="231">
        <v>38957</v>
      </c>
      <c r="G111" s="305"/>
    </row>
    <row r="112" spans="2:7" ht="14.45" customHeight="1" x14ac:dyDescent="0.25">
      <c r="B112" s="305"/>
      <c r="C112" s="304"/>
      <c r="D112" s="230" t="s">
        <v>479</v>
      </c>
      <c r="E112" s="231">
        <v>39070</v>
      </c>
      <c r="F112" s="231">
        <v>39175</v>
      </c>
      <c r="G112" s="305"/>
    </row>
    <row r="113" spans="2:7" ht="14.45" customHeight="1" x14ac:dyDescent="0.25">
      <c r="B113" s="305"/>
      <c r="C113" s="304"/>
      <c r="D113" s="230" t="s">
        <v>208</v>
      </c>
      <c r="E113" s="231">
        <v>40067</v>
      </c>
      <c r="F113" s="231">
        <v>40198</v>
      </c>
      <c r="G113" s="305"/>
    </row>
    <row r="114" spans="2:7" ht="14.45" customHeight="1" x14ac:dyDescent="0.25">
      <c r="B114" s="305">
        <v>88</v>
      </c>
      <c r="C114" s="303" t="s">
        <v>209</v>
      </c>
      <c r="D114" s="230" t="s">
        <v>210</v>
      </c>
      <c r="E114" s="231">
        <v>36867</v>
      </c>
      <c r="F114" s="231">
        <v>36869</v>
      </c>
      <c r="G114" s="305" t="s">
        <v>78</v>
      </c>
    </row>
    <row r="115" spans="2:7" ht="14.45" customHeight="1" x14ac:dyDescent="0.25">
      <c r="B115" s="305"/>
      <c r="C115" s="303"/>
      <c r="D115" s="230" t="s">
        <v>458</v>
      </c>
      <c r="E115" s="231">
        <v>37063</v>
      </c>
      <c r="F115" s="231">
        <v>37078</v>
      </c>
      <c r="G115" s="305"/>
    </row>
    <row r="116" spans="2:7" ht="14.45" customHeight="1" x14ac:dyDescent="0.25">
      <c r="B116" s="305"/>
      <c r="C116" s="303"/>
      <c r="D116" s="230" t="s">
        <v>211</v>
      </c>
      <c r="E116" s="231">
        <v>37923</v>
      </c>
      <c r="F116" s="231">
        <v>37925</v>
      </c>
      <c r="G116" s="305"/>
    </row>
    <row r="117" spans="2:7" ht="14.45" customHeight="1" x14ac:dyDescent="0.25">
      <c r="B117" s="305"/>
      <c r="C117" s="303"/>
      <c r="D117" s="230" t="s">
        <v>212</v>
      </c>
      <c r="E117" s="231">
        <v>38163</v>
      </c>
      <c r="F117" s="231">
        <v>38218</v>
      </c>
      <c r="G117" s="305"/>
    </row>
    <row r="118" spans="2:7" ht="14.45" customHeight="1" x14ac:dyDescent="0.25">
      <c r="B118" s="305"/>
      <c r="C118" s="303"/>
      <c r="D118" s="230" t="s">
        <v>213</v>
      </c>
      <c r="E118" s="231">
        <v>38699</v>
      </c>
      <c r="F118" s="231">
        <v>38702</v>
      </c>
      <c r="G118" s="305"/>
    </row>
    <row r="119" spans="2:7" ht="14.45" customHeight="1" x14ac:dyDescent="0.25">
      <c r="B119" s="305"/>
      <c r="C119" s="303"/>
      <c r="D119" s="230" t="s">
        <v>214</v>
      </c>
      <c r="E119" s="231">
        <v>38730</v>
      </c>
      <c r="F119" s="231">
        <v>38736</v>
      </c>
      <c r="G119" s="305"/>
    </row>
    <row r="120" spans="2:7" ht="14.45" customHeight="1" x14ac:dyDescent="0.25">
      <c r="B120" s="305"/>
      <c r="C120" s="303"/>
      <c r="D120" s="234" t="s">
        <v>459</v>
      </c>
      <c r="E120" s="231">
        <v>39024</v>
      </c>
      <c r="F120" s="231">
        <v>39042</v>
      </c>
      <c r="G120" s="305"/>
    </row>
    <row r="121" spans="2:7" ht="14.45" customHeight="1" x14ac:dyDescent="0.25">
      <c r="B121" s="305"/>
      <c r="C121" s="303"/>
      <c r="D121" s="230" t="s">
        <v>215</v>
      </c>
      <c r="E121" s="231">
        <v>39024</v>
      </c>
      <c r="F121" s="231">
        <v>39070</v>
      </c>
      <c r="G121" s="305"/>
    </row>
    <row r="122" spans="2:7" ht="14.45" customHeight="1" x14ac:dyDescent="0.25">
      <c r="B122" s="305"/>
      <c r="C122" s="303"/>
      <c r="D122" s="230" t="s">
        <v>216</v>
      </c>
      <c r="E122" s="231">
        <v>40064</v>
      </c>
      <c r="F122" s="231">
        <v>40157</v>
      </c>
      <c r="G122" s="305"/>
    </row>
    <row r="123" spans="2:7" ht="14.45" customHeight="1" x14ac:dyDescent="0.25">
      <c r="B123" s="305"/>
      <c r="C123" s="303"/>
      <c r="D123" s="230" t="s">
        <v>217</v>
      </c>
      <c r="E123" s="231">
        <v>41847</v>
      </c>
      <c r="F123" s="231">
        <v>41857</v>
      </c>
      <c r="G123" s="305"/>
    </row>
    <row r="124" spans="2:7" ht="14.45" customHeight="1" x14ac:dyDescent="0.25">
      <c r="B124" s="305"/>
      <c r="C124" s="303"/>
      <c r="D124" s="230" t="s">
        <v>460</v>
      </c>
      <c r="E124" s="231">
        <v>41847</v>
      </c>
      <c r="F124" s="231">
        <v>41857</v>
      </c>
      <c r="G124" s="305"/>
    </row>
    <row r="125" spans="2:7" ht="14.45" customHeight="1" x14ac:dyDescent="0.25">
      <c r="B125" s="305">
        <v>57</v>
      </c>
      <c r="C125" s="304" t="s">
        <v>218</v>
      </c>
      <c r="D125" s="230" t="s">
        <v>219</v>
      </c>
      <c r="E125" s="231">
        <v>37974</v>
      </c>
      <c r="F125" s="231">
        <v>38013</v>
      </c>
      <c r="G125" s="305" t="s">
        <v>78</v>
      </c>
    </row>
    <row r="126" spans="2:7" ht="14.45" customHeight="1" x14ac:dyDescent="0.25">
      <c r="B126" s="305"/>
      <c r="C126" s="304"/>
      <c r="D126" s="230" t="s">
        <v>220</v>
      </c>
      <c r="E126" s="231">
        <v>38948</v>
      </c>
      <c r="F126" s="231">
        <v>39118</v>
      </c>
      <c r="G126" s="305"/>
    </row>
    <row r="127" spans="2:7" ht="14.45" customHeight="1" x14ac:dyDescent="0.25">
      <c r="B127" s="305"/>
      <c r="C127" s="304"/>
      <c r="D127" s="230" t="s">
        <v>221</v>
      </c>
      <c r="E127" s="231">
        <v>39387</v>
      </c>
      <c r="F127" s="231">
        <v>39469</v>
      </c>
      <c r="G127" s="305"/>
    </row>
    <row r="128" spans="2:7" ht="14.45" customHeight="1" x14ac:dyDescent="0.25">
      <c r="B128" s="305"/>
      <c r="C128" s="304"/>
      <c r="D128" s="230" t="s">
        <v>222</v>
      </c>
      <c r="E128" s="231">
        <v>41790</v>
      </c>
      <c r="F128" s="231">
        <v>41949</v>
      </c>
      <c r="G128" s="305"/>
    </row>
    <row r="129" spans="2:7" ht="14.45" customHeight="1" x14ac:dyDescent="0.25">
      <c r="B129" s="305">
        <v>58</v>
      </c>
      <c r="C129" s="306" t="s">
        <v>223</v>
      </c>
      <c r="D129" s="230" t="s">
        <v>224</v>
      </c>
      <c r="E129" s="231">
        <v>38526</v>
      </c>
      <c r="F129" s="231">
        <v>38545</v>
      </c>
      <c r="G129" s="305" t="s">
        <v>78</v>
      </c>
    </row>
    <row r="130" spans="2:7" ht="14.45" customHeight="1" x14ac:dyDescent="0.25">
      <c r="B130" s="305"/>
      <c r="C130" s="306"/>
      <c r="D130" s="230" t="s">
        <v>225</v>
      </c>
      <c r="E130" s="231">
        <v>41352</v>
      </c>
      <c r="F130" s="231">
        <v>41365</v>
      </c>
      <c r="G130" s="305"/>
    </row>
    <row r="131" spans="2:7" ht="14.45" customHeight="1" x14ac:dyDescent="0.25">
      <c r="B131" s="305"/>
      <c r="C131" s="306"/>
      <c r="D131" s="230" t="s">
        <v>226</v>
      </c>
      <c r="E131" s="231">
        <v>41790</v>
      </c>
      <c r="F131" s="231">
        <v>41949</v>
      </c>
      <c r="G131" s="305"/>
    </row>
    <row r="132" spans="2:7" ht="14.45" customHeight="1" x14ac:dyDescent="0.25">
      <c r="D132" s="2"/>
    </row>
    <row r="133" spans="2:7" ht="14.45" customHeight="1" x14ac:dyDescent="0.25">
      <c r="B133" s="1" t="s">
        <v>391</v>
      </c>
      <c r="D133" s="2"/>
    </row>
  </sheetData>
  <mergeCells count="72">
    <mergeCell ref="B129:B131"/>
    <mergeCell ref="C129:C131"/>
    <mergeCell ref="G129:G131"/>
    <mergeCell ref="B114:B124"/>
    <mergeCell ref="C114:C124"/>
    <mergeCell ref="G114:G124"/>
    <mergeCell ref="B125:B128"/>
    <mergeCell ref="C125:C128"/>
    <mergeCell ref="G125:G128"/>
    <mergeCell ref="B106:B108"/>
    <mergeCell ref="C106:C108"/>
    <mergeCell ref="G106:G108"/>
    <mergeCell ref="B109:B113"/>
    <mergeCell ref="C109:C113"/>
    <mergeCell ref="G109:G113"/>
    <mergeCell ref="B96:B100"/>
    <mergeCell ref="C96:C100"/>
    <mergeCell ref="G96:G100"/>
    <mergeCell ref="B101:B105"/>
    <mergeCell ref="C101:C105"/>
    <mergeCell ref="G101:G105"/>
    <mergeCell ref="B76:B86"/>
    <mergeCell ref="C76:C86"/>
    <mergeCell ref="G76:G86"/>
    <mergeCell ref="B87:B95"/>
    <mergeCell ref="C87:C95"/>
    <mergeCell ref="G87:G95"/>
    <mergeCell ref="B60:B64"/>
    <mergeCell ref="C60:C64"/>
    <mergeCell ref="G60:G64"/>
    <mergeCell ref="B65:B75"/>
    <mergeCell ref="C65:C75"/>
    <mergeCell ref="G65:G75"/>
    <mergeCell ref="B50:B57"/>
    <mergeCell ref="C50:C57"/>
    <mergeCell ref="G50:G57"/>
    <mergeCell ref="B58:B59"/>
    <mergeCell ref="C58:C59"/>
    <mergeCell ref="G58:G59"/>
    <mergeCell ref="I39:O41"/>
    <mergeCell ref="B43:B46"/>
    <mergeCell ref="C43:C46"/>
    <mergeCell ref="G43:G46"/>
    <mergeCell ref="B47:B48"/>
    <mergeCell ref="C47:C48"/>
    <mergeCell ref="G47:G48"/>
    <mergeCell ref="B29:B36"/>
    <mergeCell ref="C29:C36"/>
    <mergeCell ref="G29:G36"/>
    <mergeCell ref="B37:B42"/>
    <mergeCell ref="C37:C42"/>
    <mergeCell ref="G37:G42"/>
    <mergeCell ref="I17:N17"/>
    <mergeCell ref="B19:B26"/>
    <mergeCell ref="C19:C26"/>
    <mergeCell ref="G19:G26"/>
    <mergeCell ref="B27:B28"/>
    <mergeCell ref="C27:C28"/>
    <mergeCell ref="G27:G28"/>
    <mergeCell ref="B8:B14"/>
    <mergeCell ref="C8:C14"/>
    <mergeCell ref="G8:G14"/>
    <mergeCell ref="B17:B18"/>
    <mergeCell ref="C17:C18"/>
    <mergeCell ref="G17:G18"/>
    <mergeCell ref="B2:G2"/>
    <mergeCell ref="B4:G4"/>
    <mergeCell ref="B5:B6"/>
    <mergeCell ref="C5:C6"/>
    <mergeCell ref="E5:E6"/>
    <mergeCell ref="F5:F6"/>
    <mergeCell ref="G5:G6"/>
  </mergeCells>
  <pageMargins left="0.7" right="0.7" top="0.75" bottom="0.75" header="0.3" footer="0.3"/>
  <pageSetup scale="67"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fitToPage="1"/>
  </sheetPr>
  <dimension ref="A2:AF51"/>
  <sheetViews>
    <sheetView showGridLines="0" zoomScale="90" zoomScaleNormal="90" workbookViewId="0">
      <selection activeCell="A2" sqref="A2:O2"/>
    </sheetView>
  </sheetViews>
  <sheetFormatPr baseColWidth="10" defaultColWidth="9.5703125" defaultRowHeight="11.25" x14ac:dyDescent="0.2"/>
  <cols>
    <col min="1" max="1" width="15.5703125" style="44" customWidth="1"/>
    <col min="2" max="2" width="9.5703125" style="44"/>
    <col min="3" max="3" width="11.140625" style="44" customWidth="1"/>
    <col min="4" max="4" width="11.42578125" style="44" customWidth="1"/>
    <col min="5" max="5" width="12" style="44" customWidth="1"/>
    <col min="6" max="6" width="11.42578125" style="44" customWidth="1"/>
    <col min="7" max="10" width="12" style="44" customWidth="1"/>
    <col min="11" max="11" width="11.5703125" style="44" customWidth="1"/>
    <col min="12" max="12" width="12.140625" style="44" customWidth="1"/>
    <col min="13" max="13" width="11.85546875" style="44" customWidth="1"/>
    <col min="14" max="14" width="11.28515625" style="44" customWidth="1"/>
    <col min="15" max="15" width="12.28515625" style="44" customWidth="1"/>
    <col min="16" max="16384" width="9.5703125" style="44"/>
  </cols>
  <sheetData>
    <row r="2" spans="1:24" ht="12" x14ac:dyDescent="0.2">
      <c r="A2" s="301" t="s">
        <v>775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</row>
    <row r="4" spans="1:24" ht="14.45" customHeight="1" x14ac:dyDescent="0.2">
      <c r="A4" s="310" t="s">
        <v>235</v>
      </c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</row>
    <row r="5" spans="1:24" ht="14.45" customHeight="1" x14ac:dyDescent="0.2">
      <c r="A5" s="310">
        <v>2021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</row>
    <row r="6" spans="1:24" ht="14.45" customHeight="1" x14ac:dyDescent="0.2">
      <c r="A6" s="205" t="s">
        <v>0</v>
      </c>
      <c r="B6" s="205" t="s">
        <v>1</v>
      </c>
      <c r="C6" s="205" t="s">
        <v>236</v>
      </c>
      <c r="D6" s="205" t="s">
        <v>237</v>
      </c>
      <c r="E6" s="205" t="s">
        <v>238</v>
      </c>
      <c r="F6" s="205" t="s">
        <v>239</v>
      </c>
      <c r="G6" s="205" t="s">
        <v>240</v>
      </c>
      <c r="H6" s="205" t="s">
        <v>241</v>
      </c>
      <c r="I6" s="205" t="s">
        <v>242</v>
      </c>
      <c r="J6" s="205" t="s">
        <v>243</v>
      </c>
      <c r="K6" s="205" t="s">
        <v>244</v>
      </c>
      <c r="L6" s="205" t="s">
        <v>245</v>
      </c>
      <c r="M6" s="205" t="s">
        <v>246</v>
      </c>
      <c r="N6" s="205" t="s">
        <v>247</v>
      </c>
      <c r="O6" s="205" t="s">
        <v>41</v>
      </c>
    </row>
    <row r="7" spans="1:24" ht="14.45" customHeight="1" x14ac:dyDescent="0.2">
      <c r="A7" s="311" t="s">
        <v>248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Q7" s="300" t="s">
        <v>435</v>
      </c>
      <c r="R7" s="300"/>
      <c r="S7" s="300"/>
      <c r="T7" s="300"/>
      <c r="U7" s="300"/>
      <c r="V7" s="300"/>
      <c r="W7" s="300"/>
      <c r="X7" s="300"/>
    </row>
    <row r="8" spans="1:24" ht="14.45" customHeight="1" x14ac:dyDescent="0.2">
      <c r="A8" s="7" t="s">
        <v>434</v>
      </c>
      <c r="B8" s="8" t="s">
        <v>113</v>
      </c>
      <c r="C8" s="45">
        <v>17592</v>
      </c>
      <c r="D8" s="9">
        <v>16061</v>
      </c>
      <c r="E8" s="9">
        <v>16073</v>
      </c>
      <c r="F8" s="9">
        <v>16180</v>
      </c>
      <c r="G8" s="9">
        <v>17760</v>
      </c>
      <c r="H8" s="9">
        <v>16830</v>
      </c>
      <c r="I8" s="9">
        <v>16849</v>
      </c>
      <c r="J8" s="9">
        <v>17140</v>
      </c>
      <c r="K8" s="9">
        <v>16490</v>
      </c>
      <c r="L8" s="9">
        <v>16458</v>
      </c>
      <c r="M8" s="9">
        <v>14986</v>
      </c>
      <c r="N8" s="9">
        <v>13479</v>
      </c>
      <c r="O8" s="37">
        <f>SUM(C8:N8)</f>
        <v>195898</v>
      </c>
      <c r="P8" s="44">
        <f>+N8/30</f>
        <v>449.3</v>
      </c>
      <c r="Q8" s="300"/>
      <c r="R8" s="300"/>
      <c r="S8" s="300"/>
      <c r="T8" s="300"/>
      <c r="U8" s="300"/>
      <c r="V8" s="300"/>
      <c r="W8" s="300"/>
      <c r="X8" s="300"/>
    </row>
    <row r="9" spans="1:24" ht="14.45" customHeight="1" x14ac:dyDescent="0.2">
      <c r="A9" s="7" t="s">
        <v>249</v>
      </c>
      <c r="B9" s="8" t="s">
        <v>115</v>
      </c>
      <c r="C9" s="45">
        <v>12851</v>
      </c>
      <c r="D9" s="9">
        <v>13033</v>
      </c>
      <c r="E9" s="9">
        <v>11795</v>
      </c>
      <c r="F9" s="9">
        <v>12363</v>
      </c>
      <c r="G9" s="9">
        <v>11743</v>
      </c>
      <c r="H9" s="9">
        <v>11720</v>
      </c>
      <c r="I9" s="9">
        <v>11528</v>
      </c>
      <c r="J9" s="9">
        <v>11280</v>
      </c>
      <c r="K9" s="9">
        <v>10650</v>
      </c>
      <c r="L9" s="9">
        <v>11318</v>
      </c>
      <c r="M9" s="9">
        <v>10290</v>
      </c>
      <c r="N9" s="9">
        <v>11642</v>
      </c>
      <c r="O9" s="37">
        <f t="shared" ref="O9:O18" si="0">SUM(C9:N9)</f>
        <v>140213</v>
      </c>
    </row>
    <row r="10" spans="1:24" ht="14.45" customHeight="1" x14ac:dyDescent="0.2">
      <c r="A10" s="7" t="s">
        <v>433</v>
      </c>
      <c r="B10" s="8" t="s">
        <v>50</v>
      </c>
      <c r="C10" s="45">
        <v>18385</v>
      </c>
      <c r="D10" s="9">
        <v>15982</v>
      </c>
      <c r="E10" s="9">
        <v>17977</v>
      </c>
      <c r="F10" s="9">
        <v>17579</v>
      </c>
      <c r="G10" s="9">
        <v>16789</v>
      </c>
      <c r="H10" s="9">
        <v>16060</v>
      </c>
      <c r="I10" s="9">
        <v>16426</v>
      </c>
      <c r="J10" s="9">
        <v>15771</v>
      </c>
      <c r="K10" s="9">
        <v>14964</v>
      </c>
      <c r="L10" s="9">
        <v>14945</v>
      </c>
      <c r="M10" s="9">
        <v>14516</v>
      </c>
      <c r="N10" s="9">
        <v>12984</v>
      </c>
      <c r="O10" s="37">
        <f>SUM(C10:N10)</f>
        <v>192378</v>
      </c>
    </row>
    <row r="11" spans="1:24" ht="14.45" customHeight="1" x14ac:dyDescent="0.2">
      <c r="A11" s="7" t="s">
        <v>433</v>
      </c>
      <c r="B11" s="8" t="s">
        <v>49</v>
      </c>
      <c r="C11" s="45">
        <v>58128</v>
      </c>
      <c r="D11" s="9">
        <v>51965</v>
      </c>
      <c r="E11" s="9">
        <v>52322</v>
      </c>
      <c r="F11" s="9">
        <v>52863</v>
      </c>
      <c r="G11" s="9">
        <v>55763</v>
      </c>
      <c r="H11" s="9">
        <v>50145</v>
      </c>
      <c r="I11" s="9">
        <v>52958</v>
      </c>
      <c r="J11" s="9">
        <v>50376</v>
      </c>
      <c r="K11" s="9">
        <v>59220</v>
      </c>
      <c r="L11" s="9">
        <v>69493</v>
      </c>
      <c r="M11" s="9">
        <v>69496</v>
      </c>
      <c r="N11" s="9">
        <v>67955</v>
      </c>
      <c r="O11" s="37">
        <f t="shared" si="0"/>
        <v>690684</v>
      </c>
    </row>
    <row r="12" spans="1:24" ht="14.45" customHeight="1" x14ac:dyDescent="0.2">
      <c r="A12" s="7" t="s">
        <v>433</v>
      </c>
      <c r="B12" s="8" t="s">
        <v>116</v>
      </c>
      <c r="C12" s="45">
        <v>2631</v>
      </c>
      <c r="D12" s="9">
        <v>2386</v>
      </c>
      <c r="E12" s="9">
        <v>2141</v>
      </c>
      <c r="F12" s="9">
        <v>2430</v>
      </c>
      <c r="G12" s="9">
        <v>2415</v>
      </c>
      <c r="H12" s="9">
        <v>3104</v>
      </c>
      <c r="I12" s="9">
        <v>3343</v>
      </c>
      <c r="J12" s="9">
        <v>3757</v>
      </c>
      <c r="K12" s="9">
        <v>2986</v>
      </c>
      <c r="L12" s="9">
        <v>3275</v>
      </c>
      <c r="M12" s="9">
        <v>2766</v>
      </c>
      <c r="N12" s="9">
        <v>2856</v>
      </c>
      <c r="O12" s="37">
        <f t="shared" si="0"/>
        <v>34090</v>
      </c>
    </row>
    <row r="13" spans="1:24" ht="14.45" customHeight="1" x14ac:dyDescent="0.2">
      <c r="A13" s="7" t="s">
        <v>117</v>
      </c>
      <c r="B13" s="8" t="s">
        <v>250</v>
      </c>
      <c r="C13" s="9">
        <v>104164</v>
      </c>
      <c r="D13" s="9">
        <v>97566</v>
      </c>
      <c r="E13" s="9">
        <v>106545</v>
      </c>
      <c r="F13" s="9">
        <v>105441</v>
      </c>
      <c r="G13" s="9">
        <v>122511</v>
      </c>
      <c r="H13" s="9">
        <v>132229</v>
      </c>
      <c r="I13" s="9">
        <v>134130</v>
      </c>
      <c r="J13" s="9">
        <v>138613</v>
      </c>
      <c r="K13" s="9">
        <v>123273</v>
      </c>
      <c r="L13" s="9">
        <v>127017</v>
      </c>
      <c r="M13" s="9">
        <v>120666</v>
      </c>
      <c r="N13" s="9">
        <v>124439</v>
      </c>
      <c r="O13" s="37">
        <f t="shared" si="0"/>
        <v>1436594</v>
      </c>
    </row>
    <row r="14" spans="1:24" ht="14.45" customHeight="1" x14ac:dyDescent="0.2">
      <c r="A14" s="7" t="s">
        <v>251</v>
      </c>
      <c r="B14" s="8" t="s">
        <v>56</v>
      </c>
      <c r="C14" s="45">
        <v>4903</v>
      </c>
      <c r="D14" s="9">
        <v>4352</v>
      </c>
      <c r="E14" s="9">
        <v>4772</v>
      </c>
      <c r="F14" s="9">
        <v>4536</v>
      </c>
      <c r="G14" s="9">
        <v>4757</v>
      </c>
      <c r="H14" s="9">
        <v>4951</v>
      </c>
      <c r="I14" s="9">
        <v>4705</v>
      </c>
      <c r="J14" s="9">
        <v>4740</v>
      </c>
      <c r="K14" s="9">
        <v>4528</v>
      </c>
      <c r="L14" s="9">
        <v>4732</v>
      </c>
      <c r="M14" s="9">
        <v>4788</v>
      </c>
      <c r="N14" s="9">
        <v>4816</v>
      </c>
      <c r="O14" s="37">
        <f t="shared" si="0"/>
        <v>56580</v>
      </c>
    </row>
    <row r="15" spans="1:24" ht="14.45" customHeight="1" x14ac:dyDescent="0.2">
      <c r="A15" s="7" t="s">
        <v>23</v>
      </c>
      <c r="B15" s="8" t="s">
        <v>51</v>
      </c>
      <c r="C15" s="45">
        <v>374133</v>
      </c>
      <c r="D15" s="9">
        <v>336455</v>
      </c>
      <c r="E15" s="9">
        <v>365579</v>
      </c>
      <c r="F15" s="9">
        <v>349025</v>
      </c>
      <c r="G15" s="9">
        <v>364424</v>
      </c>
      <c r="H15" s="9">
        <v>358100</v>
      </c>
      <c r="I15" s="9">
        <v>373453</v>
      </c>
      <c r="J15" s="9">
        <v>376763</v>
      </c>
      <c r="K15" s="9">
        <v>363665</v>
      </c>
      <c r="L15" s="9">
        <v>387557</v>
      </c>
      <c r="M15" s="9">
        <v>376555</v>
      </c>
      <c r="N15" s="9">
        <v>381920</v>
      </c>
      <c r="O15" s="37">
        <f t="shared" si="0"/>
        <v>4407629</v>
      </c>
    </row>
    <row r="16" spans="1:24" ht="14.45" customHeight="1" x14ac:dyDescent="0.2">
      <c r="A16" s="7" t="s">
        <v>7</v>
      </c>
      <c r="B16" s="8" t="s">
        <v>8</v>
      </c>
      <c r="C16" s="45">
        <v>34851</v>
      </c>
      <c r="D16" s="9">
        <v>31387</v>
      </c>
      <c r="E16" s="9">
        <v>33685</v>
      </c>
      <c r="F16" s="9">
        <v>31590</v>
      </c>
      <c r="G16" s="9">
        <v>32664</v>
      </c>
      <c r="H16" s="9">
        <v>31389</v>
      </c>
      <c r="I16" s="9">
        <v>32368</v>
      </c>
      <c r="J16" s="9">
        <v>32066</v>
      </c>
      <c r="K16" s="9">
        <v>30254</v>
      </c>
      <c r="L16" s="9">
        <v>36121</v>
      </c>
      <c r="M16" s="9">
        <v>52604</v>
      </c>
      <c r="N16" s="9">
        <v>51755</v>
      </c>
      <c r="O16" s="37">
        <f t="shared" si="0"/>
        <v>430734</v>
      </c>
    </row>
    <row r="17" spans="1:32" ht="14.45" customHeight="1" x14ac:dyDescent="0.2">
      <c r="A17" s="7" t="s">
        <v>249</v>
      </c>
      <c r="B17" s="8" t="s">
        <v>119</v>
      </c>
      <c r="C17" s="45">
        <v>937</v>
      </c>
      <c r="D17" s="9">
        <v>882</v>
      </c>
      <c r="E17" s="9">
        <v>905</v>
      </c>
      <c r="F17" s="9">
        <v>915</v>
      </c>
      <c r="G17" s="9">
        <v>953</v>
      </c>
      <c r="H17" s="9">
        <v>881</v>
      </c>
      <c r="I17" s="9">
        <v>786</v>
      </c>
      <c r="J17" s="9">
        <v>1001</v>
      </c>
      <c r="K17" s="40">
        <v>913</v>
      </c>
      <c r="L17" s="40">
        <v>828</v>
      </c>
      <c r="M17" s="9">
        <v>851</v>
      </c>
      <c r="N17" s="9">
        <v>951</v>
      </c>
      <c r="O17" s="37">
        <f>SUM(C17:N17)</f>
        <v>10803</v>
      </c>
    </row>
    <row r="18" spans="1:32" ht="14.45" customHeight="1" x14ac:dyDescent="0.2">
      <c r="A18" s="7" t="s">
        <v>249</v>
      </c>
      <c r="B18" s="8" t="s">
        <v>120</v>
      </c>
      <c r="C18" s="44">
        <v>428</v>
      </c>
      <c r="D18" s="40">
        <v>335</v>
      </c>
      <c r="E18" s="40">
        <v>434</v>
      </c>
      <c r="F18" s="40">
        <v>498</v>
      </c>
      <c r="G18" s="40">
        <v>457</v>
      </c>
      <c r="H18" s="40">
        <v>375</v>
      </c>
      <c r="I18" s="40">
        <v>315</v>
      </c>
      <c r="J18" s="40">
        <v>305</v>
      </c>
      <c r="K18" s="40">
        <v>304</v>
      </c>
      <c r="L18" s="40">
        <v>300</v>
      </c>
      <c r="M18" s="40">
        <v>288</v>
      </c>
      <c r="N18" s="40">
        <v>284</v>
      </c>
      <c r="O18" s="37">
        <f t="shared" si="0"/>
        <v>4323</v>
      </c>
    </row>
    <row r="19" spans="1:32" ht="14.45" customHeight="1" x14ac:dyDescent="0.2">
      <c r="A19" s="235" t="s">
        <v>252</v>
      </c>
      <c r="B19" s="235"/>
      <c r="C19" s="237">
        <f>SUM(C8:C18)</f>
        <v>629003</v>
      </c>
      <c r="D19" s="237">
        <f>SUM(D8:D18)</f>
        <v>570404</v>
      </c>
      <c r="E19" s="237">
        <f t="shared" ref="E19:N19" si="1">SUM(E8:E18)</f>
        <v>612228</v>
      </c>
      <c r="F19" s="237">
        <f t="shared" si="1"/>
        <v>593420</v>
      </c>
      <c r="G19" s="237">
        <f t="shared" si="1"/>
        <v>630236</v>
      </c>
      <c r="H19" s="237">
        <f t="shared" si="1"/>
        <v>625784</v>
      </c>
      <c r="I19" s="237">
        <f t="shared" si="1"/>
        <v>646861</v>
      </c>
      <c r="J19" s="237">
        <f t="shared" si="1"/>
        <v>651812</v>
      </c>
      <c r="K19" s="237">
        <f t="shared" si="1"/>
        <v>627247</v>
      </c>
      <c r="L19" s="237">
        <f t="shared" si="1"/>
        <v>672044</v>
      </c>
      <c r="M19" s="237">
        <f t="shared" si="1"/>
        <v>667806</v>
      </c>
      <c r="N19" s="237">
        <f t="shared" si="1"/>
        <v>673081</v>
      </c>
      <c r="O19" s="237">
        <f>SUM(O8:O18)</f>
        <v>7599926</v>
      </c>
    </row>
    <row r="20" spans="1:32" ht="14.45" customHeight="1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32" ht="14.45" customHeight="1" x14ac:dyDescent="0.2">
      <c r="A21" s="7" t="s">
        <v>57</v>
      </c>
      <c r="B21" s="8" t="s">
        <v>58</v>
      </c>
      <c r="C21" s="45">
        <v>178202</v>
      </c>
      <c r="D21" s="9">
        <v>168629</v>
      </c>
      <c r="E21" s="9">
        <v>180450</v>
      </c>
      <c r="F21" s="9">
        <v>174810</v>
      </c>
      <c r="G21" s="9">
        <v>188731</v>
      </c>
      <c r="H21" s="9">
        <v>171161</v>
      </c>
      <c r="I21" s="9">
        <v>191016</v>
      </c>
      <c r="J21" s="9">
        <v>180708</v>
      </c>
      <c r="K21" s="9">
        <v>166164</v>
      </c>
      <c r="L21" s="9">
        <v>179258</v>
      </c>
      <c r="M21" s="9">
        <v>172086</v>
      </c>
      <c r="N21" s="9">
        <v>179224</v>
      </c>
      <c r="O21" s="37">
        <f>SUM(C21:N21)</f>
        <v>2130439</v>
      </c>
    </row>
    <row r="22" spans="1:32" ht="21" customHeight="1" x14ac:dyDescent="0.2">
      <c r="A22" s="47" t="s">
        <v>253</v>
      </c>
      <c r="B22" s="8" t="s">
        <v>43</v>
      </c>
      <c r="C22" s="40" t="s">
        <v>4</v>
      </c>
      <c r="D22" s="9" t="s">
        <v>4</v>
      </c>
      <c r="E22" s="9" t="s">
        <v>4</v>
      </c>
      <c r="F22" s="40" t="s">
        <v>4</v>
      </c>
      <c r="G22" s="9" t="s">
        <v>4</v>
      </c>
      <c r="H22" s="40" t="s">
        <v>4</v>
      </c>
      <c r="I22" s="9" t="s">
        <v>4</v>
      </c>
      <c r="J22" s="9" t="s">
        <v>4</v>
      </c>
      <c r="K22" s="40" t="s">
        <v>4</v>
      </c>
      <c r="L22" s="9" t="s">
        <v>4</v>
      </c>
      <c r="M22" s="40" t="s">
        <v>4</v>
      </c>
      <c r="N22" s="9" t="s">
        <v>4</v>
      </c>
      <c r="O22" s="37">
        <f>SUM(C22:N22)</f>
        <v>0</v>
      </c>
    </row>
    <row r="23" spans="1:32" ht="21" customHeight="1" x14ac:dyDescent="0.2">
      <c r="A23" s="47" t="s">
        <v>57</v>
      </c>
      <c r="B23" s="8" t="s">
        <v>123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9" t="s">
        <v>4</v>
      </c>
      <c r="N23" s="111" t="s">
        <v>4</v>
      </c>
      <c r="O23" s="37">
        <f>SUM(C23:N23)</f>
        <v>0</v>
      </c>
    </row>
    <row r="24" spans="1:32" ht="14.45" customHeight="1" x14ac:dyDescent="0.2">
      <c r="A24" s="235" t="s">
        <v>254</v>
      </c>
      <c r="B24" s="235"/>
      <c r="C24" s="237">
        <f>SUM(C21:C23)</f>
        <v>178202</v>
      </c>
      <c r="D24" s="237">
        <f t="shared" ref="D24:N24" si="2">SUM(D21:D23)</f>
        <v>168629</v>
      </c>
      <c r="E24" s="237">
        <f t="shared" si="2"/>
        <v>180450</v>
      </c>
      <c r="F24" s="237">
        <f t="shared" si="2"/>
        <v>174810</v>
      </c>
      <c r="G24" s="237">
        <f t="shared" si="2"/>
        <v>188731</v>
      </c>
      <c r="H24" s="237">
        <f t="shared" si="2"/>
        <v>171161</v>
      </c>
      <c r="I24" s="237">
        <f t="shared" si="2"/>
        <v>191016</v>
      </c>
      <c r="J24" s="237">
        <f t="shared" si="2"/>
        <v>180708</v>
      </c>
      <c r="K24" s="237">
        <f t="shared" si="2"/>
        <v>166164</v>
      </c>
      <c r="L24" s="237">
        <f t="shared" si="2"/>
        <v>179258</v>
      </c>
      <c r="M24" s="237">
        <f t="shared" si="2"/>
        <v>172086</v>
      </c>
      <c r="N24" s="237">
        <f t="shared" si="2"/>
        <v>179224</v>
      </c>
      <c r="O24" s="237">
        <f>SUM(O21:O23)</f>
        <v>2130439</v>
      </c>
      <c r="Q24" s="1" t="s">
        <v>391</v>
      </c>
    </row>
    <row r="25" spans="1:32" ht="14.4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1:32" ht="14.45" customHeight="1" x14ac:dyDescent="0.2">
      <c r="A26" s="7" t="s">
        <v>255</v>
      </c>
      <c r="B26" s="8">
        <v>192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37">
        <f>SUM(C26:N26)</f>
        <v>0</v>
      </c>
    </row>
    <row r="27" spans="1:32" ht="12" customHeight="1" x14ac:dyDescent="0.2">
      <c r="A27" s="7" t="s">
        <v>256</v>
      </c>
      <c r="B27" s="8">
        <v>8</v>
      </c>
      <c r="C27" s="9" t="s">
        <v>4</v>
      </c>
      <c r="D27" s="9" t="s">
        <v>4</v>
      </c>
      <c r="E27" s="9" t="s">
        <v>4</v>
      </c>
      <c r="F27" s="9" t="s">
        <v>4</v>
      </c>
      <c r="G27" s="9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9" t="s">
        <v>4</v>
      </c>
      <c r="N27" s="9" t="s">
        <v>4</v>
      </c>
      <c r="O27" s="37">
        <f>SUM(C27:N27)</f>
        <v>0</v>
      </c>
      <c r="S27" s="314" t="s">
        <v>436</v>
      </c>
      <c r="T27" s="314"/>
      <c r="U27" s="314"/>
      <c r="V27" s="314"/>
      <c r="W27" s="314"/>
      <c r="X27" s="314"/>
      <c r="Y27" s="314"/>
    </row>
    <row r="28" spans="1:32" ht="14.45" customHeight="1" x14ac:dyDescent="0.2">
      <c r="A28" s="7" t="s">
        <v>124</v>
      </c>
      <c r="B28" s="8">
        <v>67</v>
      </c>
      <c r="C28" s="48" t="s">
        <v>4</v>
      </c>
      <c r="D28" s="48" t="s">
        <v>4</v>
      </c>
      <c r="E28" s="48">
        <v>29003</v>
      </c>
      <c r="F28" s="48">
        <v>68248</v>
      </c>
      <c r="G28" s="48">
        <v>92102</v>
      </c>
      <c r="H28" s="48">
        <v>77343</v>
      </c>
      <c r="I28" s="48">
        <v>98914</v>
      </c>
      <c r="J28" s="48">
        <v>36939</v>
      </c>
      <c r="K28" s="48">
        <v>28566</v>
      </c>
      <c r="L28" s="48">
        <v>65916</v>
      </c>
      <c r="M28" s="48">
        <v>19678</v>
      </c>
      <c r="N28" s="48" t="s">
        <v>4</v>
      </c>
      <c r="O28" s="37">
        <f>SUM(C28:N28)</f>
        <v>516709</v>
      </c>
      <c r="S28" s="314"/>
      <c r="T28" s="314"/>
      <c r="U28" s="314"/>
      <c r="V28" s="314"/>
      <c r="W28" s="314"/>
      <c r="X28" s="314"/>
      <c r="Y28" s="314"/>
    </row>
    <row r="29" spans="1:32" ht="14.45" customHeight="1" x14ac:dyDescent="0.2">
      <c r="A29" s="7" t="s">
        <v>63</v>
      </c>
      <c r="B29" s="8">
        <v>95</v>
      </c>
      <c r="C29" s="48">
        <v>241508</v>
      </c>
      <c r="D29" s="48">
        <v>201347</v>
      </c>
      <c r="E29" s="48">
        <v>219225</v>
      </c>
      <c r="F29" s="48">
        <v>220661</v>
      </c>
      <c r="G29" s="48">
        <v>308241</v>
      </c>
      <c r="H29" s="48">
        <v>266315</v>
      </c>
      <c r="I29" s="48">
        <v>261835</v>
      </c>
      <c r="J29" s="48">
        <v>234442</v>
      </c>
      <c r="K29" s="48">
        <v>356235</v>
      </c>
      <c r="L29" s="48">
        <v>395774</v>
      </c>
      <c r="M29" s="48">
        <v>226229</v>
      </c>
      <c r="N29" s="48">
        <v>297311</v>
      </c>
      <c r="O29" s="37">
        <f>SUM(C29:N29)</f>
        <v>3229123</v>
      </c>
    </row>
    <row r="30" spans="1:32" ht="14.45" customHeight="1" x14ac:dyDescent="0.2">
      <c r="A30" s="7" t="s">
        <v>24</v>
      </c>
      <c r="B30" s="8">
        <v>131</v>
      </c>
      <c r="C30" s="9">
        <v>48309</v>
      </c>
      <c r="D30" s="9">
        <v>40657</v>
      </c>
      <c r="E30" s="9">
        <v>38597</v>
      </c>
      <c r="F30" s="9">
        <v>36426</v>
      </c>
      <c r="G30" s="9">
        <v>55659</v>
      </c>
      <c r="H30" s="9">
        <v>25839</v>
      </c>
      <c r="I30" s="9">
        <v>6891</v>
      </c>
      <c r="J30" s="9">
        <v>64788</v>
      </c>
      <c r="K30" s="9">
        <v>60526</v>
      </c>
      <c r="L30" s="9">
        <v>59803</v>
      </c>
      <c r="M30" s="9">
        <v>51888</v>
      </c>
      <c r="N30" s="9">
        <v>47070</v>
      </c>
      <c r="O30" s="37">
        <f>SUM(C30:N30)</f>
        <v>536453</v>
      </c>
      <c r="Z30" s="294" t="s">
        <v>486</v>
      </c>
      <c r="AA30" s="294"/>
      <c r="AB30" s="294"/>
      <c r="AC30" s="91"/>
      <c r="AD30" s="91"/>
      <c r="AE30" s="91"/>
      <c r="AF30" s="91"/>
    </row>
    <row r="31" spans="1:32" ht="14.45" customHeight="1" x14ac:dyDescent="0.2">
      <c r="A31" s="11" t="s">
        <v>258</v>
      </c>
      <c r="B31" s="11"/>
      <c r="C31" s="12">
        <f t="shared" ref="C31:N31" si="3">SUM(C26:C30)</f>
        <v>289817</v>
      </c>
      <c r="D31" s="12">
        <f t="shared" si="3"/>
        <v>242004</v>
      </c>
      <c r="E31" s="12">
        <f t="shared" si="3"/>
        <v>286825</v>
      </c>
      <c r="F31" s="12">
        <f t="shared" si="3"/>
        <v>325335</v>
      </c>
      <c r="G31" s="12">
        <f t="shared" si="3"/>
        <v>456002</v>
      </c>
      <c r="H31" s="12">
        <f t="shared" si="3"/>
        <v>369497</v>
      </c>
      <c r="I31" s="12">
        <f t="shared" si="3"/>
        <v>367640</v>
      </c>
      <c r="J31" s="12">
        <f t="shared" si="3"/>
        <v>336169</v>
      </c>
      <c r="K31" s="12">
        <f t="shared" si="3"/>
        <v>445327</v>
      </c>
      <c r="L31" s="12">
        <f t="shared" si="3"/>
        <v>521493</v>
      </c>
      <c r="M31" s="12">
        <f t="shared" si="3"/>
        <v>297795</v>
      </c>
      <c r="N31" s="12">
        <f t="shared" si="3"/>
        <v>344381</v>
      </c>
      <c r="O31" s="12">
        <f>SUM(O26:O30)</f>
        <v>4282285</v>
      </c>
      <c r="Z31" s="294"/>
      <c r="AA31" s="294"/>
      <c r="AB31" s="294"/>
      <c r="AC31" s="91"/>
      <c r="AD31" s="91"/>
      <c r="AE31" s="91"/>
      <c r="AF31" s="91"/>
    </row>
    <row r="32" spans="1:32" ht="14.4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Z32" s="294"/>
      <c r="AA32" s="294"/>
      <c r="AB32" s="294"/>
      <c r="AC32" s="91"/>
      <c r="AD32" s="91"/>
      <c r="AE32" s="91"/>
      <c r="AF32" s="91"/>
    </row>
    <row r="33" spans="1:28" ht="22.5" x14ac:dyDescent="0.2">
      <c r="A33" s="49" t="s">
        <v>259</v>
      </c>
      <c r="B33" s="49"/>
      <c r="C33" s="50">
        <f t="shared" ref="C33:N33" si="4">SUM(C31+C24+C19)</f>
        <v>1097022</v>
      </c>
      <c r="D33" s="50">
        <f t="shared" si="4"/>
        <v>981037</v>
      </c>
      <c r="E33" s="50">
        <f t="shared" si="4"/>
        <v>1079503</v>
      </c>
      <c r="F33" s="50">
        <f t="shared" si="4"/>
        <v>1093565</v>
      </c>
      <c r="G33" s="50">
        <f t="shared" si="4"/>
        <v>1274969</v>
      </c>
      <c r="H33" s="50">
        <f t="shared" si="4"/>
        <v>1166442</v>
      </c>
      <c r="I33" s="50">
        <f t="shared" si="4"/>
        <v>1205517</v>
      </c>
      <c r="J33" s="50">
        <f t="shared" si="4"/>
        <v>1168689</v>
      </c>
      <c r="K33" s="50">
        <f t="shared" si="4"/>
        <v>1238738</v>
      </c>
      <c r="L33" s="50">
        <f t="shared" si="4"/>
        <v>1372795</v>
      </c>
      <c r="M33" s="50">
        <f t="shared" si="4"/>
        <v>1137687</v>
      </c>
      <c r="N33" s="50">
        <f t="shared" si="4"/>
        <v>1196686</v>
      </c>
      <c r="O33" s="50">
        <f>SUM(O31+O24+O19)</f>
        <v>14012650</v>
      </c>
      <c r="Q33" s="108">
        <f>+O33/365</f>
        <v>38390.821917808222</v>
      </c>
      <c r="Z33" s="294"/>
      <c r="AA33" s="294"/>
      <c r="AB33" s="294"/>
    </row>
    <row r="34" spans="1:28" ht="14.45" customHeight="1" x14ac:dyDescent="0.2">
      <c r="A34" s="51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Z34" s="91"/>
      <c r="AA34" s="91"/>
      <c r="AB34" s="91"/>
    </row>
    <row r="35" spans="1:28" ht="14.45" customHeight="1" x14ac:dyDescent="0.2">
      <c r="A35" s="311" t="s">
        <v>260</v>
      </c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Z35" s="91"/>
      <c r="AA35" s="91"/>
      <c r="AB35" s="91"/>
    </row>
    <row r="36" spans="1:28" ht="14.45" customHeight="1" x14ac:dyDescent="0.2">
      <c r="A36" s="7" t="s">
        <v>57</v>
      </c>
      <c r="B36" s="43" t="s">
        <v>58</v>
      </c>
      <c r="C36" s="9">
        <v>24340</v>
      </c>
      <c r="D36" s="9">
        <v>23778</v>
      </c>
      <c r="E36" s="9">
        <v>28390</v>
      </c>
      <c r="F36" s="9">
        <v>27551</v>
      </c>
      <c r="G36" s="9">
        <v>25234</v>
      </c>
      <c r="H36" s="9">
        <v>24064</v>
      </c>
      <c r="I36" s="9">
        <v>19975</v>
      </c>
      <c r="J36" s="9">
        <v>20703</v>
      </c>
      <c r="K36" s="9">
        <v>21870</v>
      </c>
      <c r="L36" s="9">
        <v>22274</v>
      </c>
      <c r="M36" s="9">
        <v>20901</v>
      </c>
      <c r="N36" s="9">
        <v>20945</v>
      </c>
      <c r="O36" s="37">
        <f>SUM(C36:N36)</f>
        <v>280025</v>
      </c>
      <c r="Z36" s="91"/>
      <c r="AA36" s="91"/>
      <c r="AB36" s="91"/>
    </row>
    <row r="37" spans="1:28" ht="14.45" customHeight="1" x14ac:dyDescent="0.2">
      <c r="A37" s="235" t="s">
        <v>261</v>
      </c>
      <c r="B37" s="236"/>
      <c r="C37" s="10">
        <f>SUM(C36)</f>
        <v>24340</v>
      </c>
      <c r="D37" s="10">
        <f t="shared" ref="D37:N37" si="5">SUM(D36)</f>
        <v>23778</v>
      </c>
      <c r="E37" s="10">
        <f t="shared" si="5"/>
        <v>28390</v>
      </c>
      <c r="F37" s="10">
        <f t="shared" si="5"/>
        <v>27551</v>
      </c>
      <c r="G37" s="10">
        <f t="shared" si="5"/>
        <v>25234</v>
      </c>
      <c r="H37" s="10">
        <f t="shared" si="5"/>
        <v>24064</v>
      </c>
      <c r="I37" s="10">
        <f t="shared" si="5"/>
        <v>19975</v>
      </c>
      <c r="J37" s="10">
        <f t="shared" si="5"/>
        <v>20703</v>
      </c>
      <c r="K37" s="10">
        <f t="shared" si="5"/>
        <v>21870</v>
      </c>
      <c r="L37" s="10">
        <f t="shared" si="5"/>
        <v>22274</v>
      </c>
      <c r="M37" s="10">
        <f t="shared" si="5"/>
        <v>20901</v>
      </c>
      <c r="N37" s="10">
        <f t="shared" si="5"/>
        <v>20945</v>
      </c>
      <c r="O37" s="10">
        <f>SUM(O36)</f>
        <v>280025</v>
      </c>
      <c r="Z37" s="91"/>
      <c r="AA37" s="91"/>
      <c r="AB37" s="91"/>
    </row>
    <row r="38" spans="1:28" ht="14.45" customHeight="1" x14ac:dyDescent="0.2">
      <c r="A38" s="8"/>
      <c r="B38" s="8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1:28" ht="14.45" customHeight="1" x14ac:dyDescent="0.2">
      <c r="A39" s="7" t="s">
        <v>262</v>
      </c>
      <c r="B39" s="8" t="s">
        <v>122</v>
      </c>
      <c r="C39" s="9">
        <v>14279</v>
      </c>
      <c r="D39" s="9">
        <v>12634</v>
      </c>
      <c r="E39" s="9">
        <v>13562</v>
      </c>
      <c r="F39" s="9">
        <v>11989</v>
      </c>
      <c r="G39" s="9">
        <v>6133</v>
      </c>
      <c r="H39" s="9">
        <v>6170</v>
      </c>
      <c r="I39" s="9">
        <v>4352</v>
      </c>
      <c r="J39" s="9">
        <v>4074</v>
      </c>
      <c r="K39" s="9">
        <v>3639</v>
      </c>
      <c r="L39" s="9">
        <v>3691</v>
      </c>
      <c r="M39" s="9">
        <v>0</v>
      </c>
      <c r="N39" s="9">
        <v>2520</v>
      </c>
      <c r="O39" s="37">
        <f>SUM(C39:N39)</f>
        <v>83043</v>
      </c>
    </row>
    <row r="40" spans="1:28" ht="14.45" customHeight="1" x14ac:dyDescent="0.2">
      <c r="A40" s="7" t="s">
        <v>26</v>
      </c>
      <c r="B40" s="8">
        <v>88</v>
      </c>
      <c r="C40" s="9">
        <v>1509567</v>
      </c>
      <c r="D40" s="9">
        <v>1390965</v>
      </c>
      <c r="E40" s="9">
        <v>1145621</v>
      </c>
      <c r="F40" s="9">
        <v>1267038</v>
      </c>
      <c r="G40" s="9">
        <v>1544324</v>
      </c>
      <c r="H40" s="9">
        <v>1568533</v>
      </c>
      <c r="I40" s="9">
        <v>1541466</v>
      </c>
      <c r="J40" s="9">
        <v>1698343</v>
      </c>
      <c r="K40" s="9">
        <v>1659435</v>
      </c>
      <c r="L40" s="9">
        <v>1619602</v>
      </c>
      <c r="M40" s="9">
        <v>1539520</v>
      </c>
      <c r="N40" s="9">
        <v>1608067</v>
      </c>
      <c r="O40" s="37">
        <f>SUM(C40:N40)</f>
        <v>18092481</v>
      </c>
    </row>
    <row r="41" spans="1:28" ht="14.45" customHeight="1" x14ac:dyDescent="0.2">
      <c r="A41" s="7" t="s">
        <v>27</v>
      </c>
      <c r="B41" s="8">
        <v>57</v>
      </c>
      <c r="C41" s="9">
        <v>315050</v>
      </c>
      <c r="D41" s="9">
        <v>320341</v>
      </c>
      <c r="E41" s="9">
        <v>302720</v>
      </c>
      <c r="F41" s="9">
        <v>237669</v>
      </c>
      <c r="G41" s="9">
        <v>56652</v>
      </c>
      <c r="H41" s="9">
        <v>182496</v>
      </c>
      <c r="I41" s="9">
        <v>31892</v>
      </c>
      <c r="J41" s="9">
        <v>11797</v>
      </c>
      <c r="K41" s="9">
        <v>211301</v>
      </c>
      <c r="L41" s="9">
        <v>369744</v>
      </c>
      <c r="M41" s="9">
        <v>386642</v>
      </c>
      <c r="N41" s="9">
        <v>411102</v>
      </c>
      <c r="O41" s="37">
        <f>SUM(C41:N41)</f>
        <v>2837406</v>
      </c>
    </row>
    <row r="42" spans="1:28" ht="14.45" customHeight="1" x14ac:dyDescent="0.2">
      <c r="A42" s="7" t="s">
        <v>26</v>
      </c>
      <c r="B42" s="8">
        <v>56</v>
      </c>
      <c r="C42" s="9">
        <v>776031</v>
      </c>
      <c r="D42" s="9">
        <v>644316</v>
      </c>
      <c r="E42" s="9">
        <v>589416</v>
      </c>
      <c r="F42" s="9">
        <v>509652</v>
      </c>
      <c r="G42" s="9">
        <v>859860</v>
      </c>
      <c r="H42" s="9">
        <v>699732</v>
      </c>
      <c r="I42" s="9">
        <v>871815</v>
      </c>
      <c r="J42" s="9">
        <v>874401</v>
      </c>
      <c r="K42" s="9">
        <v>713590</v>
      </c>
      <c r="L42" s="9">
        <v>627735</v>
      </c>
      <c r="M42" s="9">
        <v>583547</v>
      </c>
      <c r="N42" s="9">
        <v>564650</v>
      </c>
      <c r="O42" s="37">
        <f>SUM(C42:N42)</f>
        <v>8314745</v>
      </c>
    </row>
    <row r="43" spans="1:28" ht="14.45" customHeight="1" x14ac:dyDescent="0.2">
      <c r="A43" s="235" t="s">
        <v>263</v>
      </c>
      <c r="B43" s="235"/>
      <c r="C43" s="10">
        <f>SUM(C39:C42)</f>
        <v>2614927</v>
      </c>
      <c r="D43" s="10">
        <f t="shared" ref="D43:N43" si="6">SUM(D39:D42)</f>
        <v>2368256</v>
      </c>
      <c r="E43" s="10">
        <f t="shared" si="6"/>
        <v>2051319</v>
      </c>
      <c r="F43" s="10">
        <f t="shared" si="6"/>
        <v>2026348</v>
      </c>
      <c r="G43" s="10">
        <f t="shared" si="6"/>
        <v>2466969</v>
      </c>
      <c r="H43" s="10">
        <f t="shared" si="6"/>
        <v>2456931</v>
      </c>
      <c r="I43" s="10">
        <f t="shared" si="6"/>
        <v>2449525</v>
      </c>
      <c r="J43" s="10">
        <f t="shared" si="6"/>
        <v>2588615</v>
      </c>
      <c r="K43" s="10">
        <f t="shared" si="6"/>
        <v>2587965</v>
      </c>
      <c r="L43" s="10">
        <f t="shared" si="6"/>
        <v>2620772</v>
      </c>
      <c r="M43" s="10">
        <f t="shared" si="6"/>
        <v>2509709</v>
      </c>
      <c r="N43" s="10">
        <f t="shared" si="6"/>
        <v>2586339</v>
      </c>
      <c r="O43" s="237">
        <f>SUM(O39:O42)</f>
        <v>29327675</v>
      </c>
    </row>
    <row r="44" spans="1:28" ht="14.45" customHeight="1" x14ac:dyDescent="0.2">
      <c r="A44" s="8"/>
      <c r="B44" s="8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S44" s="1" t="s">
        <v>391</v>
      </c>
    </row>
    <row r="45" spans="1:28" ht="24" customHeight="1" x14ac:dyDescent="0.2">
      <c r="A45" s="312" t="s">
        <v>264</v>
      </c>
      <c r="B45" s="312"/>
      <c r="C45" s="50">
        <f>SUM(C37+C43)</f>
        <v>2639267</v>
      </c>
      <c r="D45" s="50">
        <f t="shared" ref="D45:N45" si="7">SUM(D37+D43)</f>
        <v>2392034</v>
      </c>
      <c r="E45" s="50">
        <f>SUM(E37+E43)</f>
        <v>2079709</v>
      </c>
      <c r="F45" s="50">
        <f t="shared" si="7"/>
        <v>2053899</v>
      </c>
      <c r="G45" s="50">
        <f t="shared" si="7"/>
        <v>2492203</v>
      </c>
      <c r="H45" s="50">
        <f t="shared" si="7"/>
        <v>2480995</v>
      </c>
      <c r="I45" s="50">
        <f t="shared" si="7"/>
        <v>2469500</v>
      </c>
      <c r="J45" s="50">
        <f t="shared" si="7"/>
        <v>2609318</v>
      </c>
      <c r="K45" s="50">
        <f t="shared" si="7"/>
        <v>2609835</v>
      </c>
      <c r="L45" s="50">
        <f t="shared" si="7"/>
        <v>2643046</v>
      </c>
      <c r="M45" s="50">
        <f t="shared" si="7"/>
        <v>2530610</v>
      </c>
      <c r="N45" s="50">
        <f t="shared" si="7"/>
        <v>2607284</v>
      </c>
      <c r="O45" s="50">
        <f>SUM(O37+O43)</f>
        <v>29607700</v>
      </c>
      <c r="Q45" s="108">
        <f>+O45/365</f>
        <v>81116.986301369863</v>
      </c>
      <c r="S45" s="1"/>
    </row>
    <row r="46" spans="1:28" ht="14.45" customHeight="1" x14ac:dyDescent="0.2">
      <c r="A46" s="51"/>
      <c r="B46" s="51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1:28" ht="33.75" customHeight="1" x14ac:dyDescent="0.2">
      <c r="A47" s="313" t="s">
        <v>265</v>
      </c>
      <c r="B47" s="313"/>
      <c r="C47" s="206">
        <f>C33+C45</f>
        <v>3736289</v>
      </c>
      <c r="D47" s="206">
        <f t="shared" ref="D47:N47" si="8">D33+D45</f>
        <v>3373071</v>
      </c>
      <c r="E47" s="206">
        <f t="shared" si="8"/>
        <v>3159212</v>
      </c>
      <c r="F47" s="206">
        <f t="shared" si="8"/>
        <v>3147464</v>
      </c>
      <c r="G47" s="206">
        <f t="shared" si="8"/>
        <v>3767172</v>
      </c>
      <c r="H47" s="206">
        <f t="shared" si="8"/>
        <v>3647437</v>
      </c>
      <c r="I47" s="206">
        <f t="shared" si="8"/>
        <v>3675017</v>
      </c>
      <c r="J47" s="206">
        <f t="shared" si="8"/>
        <v>3778007</v>
      </c>
      <c r="K47" s="206">
        <f t="shared" si="8"/>
        <v>3848573</v>
      </c>
      <c r="L47" s="206">
        <f t="shared" si="8"/>
        <v>4015841</v>
      </c>
      <c r="M47" s="206">
        <f t="shared" si="8"/>
        <v>3668297</v>
      </c>
      <c r="N47" s="206">
        <f t="shared" si="8"/>
        <v>3803970</v>
      </c>
      <c r="O47" s="206">
        <f>O33+O45</f>
        <v>43620350</v>
      </c>
      <c r="S47" s="53" t="s">
        <v>266</v>
      </c>
      <c r="T47" s="54">
        <f>+O24+O37</f>
        <v>2410464</v>
      </c>
    </row>
    <row r="48" spans="1:28" ht="12.75" x14ac:dyDescent="0.2">
      <c r="S48" s="53" t="s">
        <v>109</v>
      </c>
      <c r="T48" s="54">
        <f>+O31+O43</f>
        <v>33609960</v>
      </c>
    </row>
    <row r="49" spans="1:20" ht="12.75" x14ac:dyDescent="0.2">
      <c r="A49" s="1" t="s">
        <v>391</v>
      </c>
      <c r="N49" s="114">
        <f>+N33/31</f>
        <v>38602.774193548386</v>
      </c>
      <c r="S49" s="53" t="s">
        <v>267</v>
      </c>
      <c r="T49" s="54">
        <f>+O19</f>
        <v>7599926</v>
      </c>
    </row>
    <row r="50" spans="1:20" ht="12.75" x14ac:dyDescent="0.2">
      <c r="S50" s="53"/>
      <c r="T50" s="54">
        <f>+SUM(T47:T49)</f>
        <v>43620350</v>
      </c>
    </row>
    <row r="51" spans="1:20" ht="12.75" x14ac:dyDescent="0.2">
      <c r="S51" s="53"/>
      <c r="T51" s="53"/>
    </row>
  </sheetData>
  <mergeCells count="10">
    <mergeCell ref="A45:B45"/>
    <mergeCell ref="A47:B47"/>
    <mergeCell ref="Q7:X8"/>
    <mergeCell ref="Z30:AB33"/>
    <mergeCell ref="S27:Y28"/>
    <mergeCell ref="A2:O2"/>
    <mergeCell ref="A4:O4"/>
    <mergeCell ref="A5:O5"/>
    <mergeCell ref="A7:O7"/>
    <mergeCell ref="A35:O35"/>
  </mergeCells>
  <pageMargins left="0.7" right="0.7" top="0.75" bottom="0.75" header="0.3" footer="0.3"/>
  <pageSetup scale="6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  <pageSetUpPr fitToPage="1"/>
  </sheetPr>
  <dimension ref="A2:V73"/>
  <sheetViews>
    <sheetView showGridLines="0" topLeftCell="A4" zoomScale="80" zoomScaleNormal="80" workbookViewId="0">
      <selection activeCell="H58" sqref="H58"/>
    </sheetView>
  </sheetViews>
  <sheetFormatPr baseColWidth="10" defaultColWidth="11.42578125" defaultRowHeight="14.45" customHeight="1" x14ac:dyDescent="0.2"/>
  <cols>
    <col min="1" max="1" width="15.28515625" style="55" customWidth="1"/>
    <col min="2" max="2" width="11.42578125" style="55"/>
    <col min="3" max="3" width="11.42578125" style="55" hidden="1" customWidth="1"/>
    <col min="4" max="13" width="11.42578125" style="55"/>
    <col min="14" max="14" width="17.7109375" style="55" customWidth="1"/>
    <col min="15" max="18" width="11.42578125" style="55"/>
    <col min="19" max="19" width="7.5703125" style="55" customWidth="1"/>
    <col min="20" max="16384" width="11.42578125" style="55"/>
  </cols>
  <sheetData>
    <row r="2" spans="1:18" ht="14.45" customHeight="1" x14ac:dyDescent="0.2">
      <c r="A2" s="301" t="s">
        <v>776</v>
      </c>
      <c r="B2" s="301"/>
      <c r="C2" s="301"/>
      <c r="D2" s="301"/>
      <c r="E2" s="301"/>
      <c r="F2" s="301"/>
      <c r="G2" s="301"/>
      <c r="H2" s="301"/>
      <c r="I2" s="301"/>
      <c r="J2" s="301"/>
      <c r="K2" s="15"/>
      <c r="L2" s="13"/>
      <c r="M2" s="13"/>
      <c r="N2" s="13"/>
      <c r="O2" s="13"/>
      <c r="P2" s="13"/>
    </row>
    <row r="4" spans="1:18" ht="14.45" customHeight="1" x14ac:dyDescent="0.2">
      <c r="A4" s="295" t="s">
        <v>777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1:18" ht="14.45" customHeight="1" x14ac:dyDescent="0.2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</row>
    <row r="6" spans="1:18" ht="14.45" customHeight="1" x14ac:dyDescent="0.2">
      <c r="A6" s="319" t="s">
        <v>268</v>
      </c>
      <c r="B6" s="319"/>
      <c r="C6" s="319"/>
      <c r="D6" s="319"/>
      <c r="E6" s="319"/>
      <c r="F6" s="319"/>
      <c r="G6" s="319"/>
      <c r="H6" s="319"/>
      <c r="I6" s="319"/>
      <c r="J6" s="319"/>
      <c r="K6" s="319"/>
    </row>
    <row r="7" spans="1:18" ht="14.45" customHeight="1" x14ac:dyDescent="0.2">
      <c r="A7" s="238" t="s">
        <v>0</v>
      </c>
      <c r="B7" s="238" t="s">
        <v>1</v>
      </c>
      <c r="C7" s="238">
        <v>2013</v>
      </c>
      <c r="D7" s="238">
        <v>2014</v>
      </c>
      <c r="E7" s="238">
        <v>2015</v>
      </c>
      <c r="F7" s="238">
        <v>2016</v>
      </c>
      <c r="G7" s="238">
        <v>2017</v>
      </c>
      <c r="H7" s="238">
        <v>2018</v>
      </c>
      <c r="I7" s="238">
        <v>2019</v>
      </c>
      <c r="J7" s="238">
        <v>2020</v>
      </c>
      <c r="K7" s="238">
        <v>2021</v>
      </c>
    </row>
    <row r="8" spans="1:18" ht="14.45" customHeight="1" x14ac:dyDescent="0.2">
      <c r="A8" s="210" t="s">
        <v>434</v>
      </c>
      <c r="B8" s="223" t="s">
        <v>113</v>
      </c>
      <c r="C8" s="239">
        <v>532.79999999999995</v>
      </c>
      <c r="D8" s="239">
        <v>592.5</v>
      </c>
      <c r="E8" s="239">
        <v>506.9</v>
      </c>
      <c r="F8" s="239">
        <v>381.3</v>
      </c>
      <c r="G8" s="239">
        <v>310.39999999999998</v>
      </c>
      <c r="H8" s="239">
        <v>263.3</v>
      </c>
      <c r="I8" s="240">
        <v>236.24100000000001</v>
      </c>
      <c r="J8" s="240">
        <v>219.62100000000001</v>
      </c>
      <c r="K8" s="240">
        <f>195898/1000</f>
        <v>195.898</v>
      </c>
    </row>
    <row r="9" spans="1:18" ht="14.45" customHeight="1" x14ac:dyDescent="0.2">
      <c r="A9" s="210" t="s">
        <v>249</v>
      </c>
      <c r="B9" s="223" t="s">
        <v>269</v>
      </c>
      <c r="C9" s="239">
        <v>154.5</v>
      </c>
      <c r="D9" s="239">
        <v>142.30000000000001</v>
      </c>
      <c r="E9" s="239">
        <v>129.9</v>
      </c>
      <c r="F9" s="239">
        <v>116.1</v>
      </c>
      <c r="G9" s="239">
        <v>104.2</v>
      </c>
      <c r="H9" s="239">
        <v>112.5</v>
      </c>
      <c r="I9" s="240">
        <v>120.003</v>
      </c>
      <c r="J9" s="240">
        <v>144.40199999999999</v>
      </c>
      <c r="K9" s="240">
        <v>140.21299999999999</v>
      </c>
      <c r="M9" s="321" t="s">
        <v>487</v>
      </c>
      <c r="N9" s="321"/>
      <c r="O9" s="321"/>
      <c r="P9" s="321"/>
      <c r="Q9" s="321"/>
      <c r="R9" s="321"/>
    </row>
    <row r="10" spans="1:18" ht="14.45" customHeight="1" x14ac:dyDescent="0.2">
      <c r="A10" s="210" t="s">
        <v>433</v>
      </c>
      <c r="B10" s="223" t="s">
        <v>50</v>
      </c>
      <c r="C10" s="239">
        <v>708.8</v>
      </c>
      <c r="D10" s="239">
        <v>569.29999999999995</v>
      </c>
      <c r="E10" s="239">
        <v>450.2</v>
      </c>
      <c r="F10" s="239">
        <v>347.7</v>
      </c>
      <c r="G10" s="239">
        <v>268.2</v>
      </c>
      <c r="H10" s="239">
        <v>275.3</v>
      </c>
      <c r="I10" s="240">
        <v>263.86</v>
      </c>
      <c r="J10" s="240">
        <v>247.74199999999999</v>
      </c>
      <c r="K10" s="240">
        <v>192.37799999999999</v>
      </c>
      <c r="M10" s="321"/>
      <c r="N10" s="321"/>
      <c r="O10" s="321"/>
      <c r="P10" s="321"/>
      <c r="Q10" s="321"/>
      <c r="R10" s="321"/>
    </row>
    <row r="11" spans="1:18" ht="14.45" customHeight="1" x14ac:dyDescent="0.2">
      <c r="A11" s="210" t="s">
        <v>433</v>
      </c>
      <c r="B11" s="223" t="s">
        <v>49</v>
      </c>
      <c r="C11" s="239">
        <v>259.8</v>
      </c>
      <c r="D11" s="239">
        <v>244.5</v>
      </c>
      <c r="E11" s="239">
        <v>233</v>
      </c>
      <c r="F11" s="239">
        <v>232.7</v>
      </c>
      <c r="G11" s="239">
        <v>531.20000000000005</v>
      </c>
      <c r="H11" s="239">
        <v>754.5</v>
      </c>
      <c r="I11" s="240">
        <v>946.48400000000004</v>
      </c>
      <c r="J11" s="240">
        <v>785.44899999999996</v>
      </c>
      <c r="K11" s="240">
        <v>690.68399999999997</v>
      </c>
    </row>
    <row r="12" spans="1:18" ht="14.45" customHeight="1" x14ac:dyDescent="0.2">
      <c r="A12" s="210" t="s">
        <v>433</v>
      </c>
      <c r="B12" s="223" t="s">
        <v>116</v>
      </c>
      <c r="C12" s="239">
        <v>48.2</v>
      </c>
      <c r="D12" s="239">
        <v>48.3</v>
      </c>
      <c r="E12" s="239">
        <v>59.1</v>
      </c>
      <c r="F12" s="239">
        <v>46.9</v>
      </c>
      <c r="G12" s="239">
        <v>36.200000000000003</v>
      </c>
      <c r="H12" s="239">
        <v>39.9</v>
      </c>
      <c r="I12" s="240">
        <v>38.347000000000001</v>
      </c>
      <c r="J12" s="240">
        <v>34.567999999999998</v>
      </c>
      <c r="K12" s="240">
        <v>34.090000000000003</v>
      </c>
    </row>
    <row r="13" spans="1:18" ht="14.45" customHeight="1" x14ac:dyDescent="0.2">
      <c r="A13" s="210" t="s">
        <v>117</v>
      </c>
      <c r="B13" s="223" t="s">
        <v>270</v>
      </c>
      <c r="C13" s="239">
        <v>1262.3</v>
      </c>
      <c r="D13" s="239">
        <v>1306.5999999999999</v>
      </c>
      <c r="E13" s="239">
        <v>1246.9000000000001</v>
      </c>
      <c r="F13" s="239">
        <v>1172.4000000000001</v>
      </c>
      <c r="G13" s="239">
        <v>1132.7</v>
      </c>
      <c r="H13" s="239">
        <v>1377.2</v>
      </c>
      <c r="I13" s="240">
        <v>1422.4659999999999</v>
      </c>
      <c r="J13" s="240">
        <v>1273.002</v>
      </c>
      <c r="K13" s="240">
        <v>1436.5940000000001</v>
      </c>
    </row>
    <row r="14" spans="1:18" ht="14.45" customHeight="1" x14ac:dyDescent="0.2">
      <c r="A14" s="210" t="s">
        <v>251</v>
      </c>
      <c r="B14" s="223" t="s">
        <v>56</v>
      </c>
      <c r="C14" s="239">
        <v>74.7</v>
      </c>
      <c r="D14" s="239">
        <v>71.599999999999994</v>
      </c>
      <c r="E14" s="239">
        <v>65.599999999999994</v>
      </c>
      <c r="F14" s="239">
        <v>69.3</v>
      </c>
      <c r="G14" s="239">
        <v>63.6</v>
      </c>
      <c r="H14" s="239">
        <v>63</v>
      </c>
      <c r="I14" s="240">
        <v>61.78</v>
      </c>
      <c r="J14" s="240">
        <v>59.177999999999997</v>
      </c>
      <c r="K14" s="240">
        <v>56.58</v>
      </c>
    </row>
    <row r="15" spans="1:18" ht="14.45" customHeight="1" x14ac:dyDescent="0.2">
      <c r="A15" s="210" t="s">
        <v>23</v>
      </c>
      <c r="B15" s="223" t="s">
        <v>51</v>
      </c>
      <c r="C15" s="239">
        <v>4221</v>
      </c>
      <c r="D15" s="239">
        <v>3790.9</v>
      </c>
      <c r="E15" s="239">
        <v>3900.5</v>
      </c>
      <c r="F15" s="239">
        <v>3941.7</v>
      </c>
      <c r="G15" s="239">
        <v>4085.3</v>
      </c>
      <c r="H15" s="239">
        <v>4827.2</v>
      </c>
      <c r="I15" s="240">
        <v>5227.6310000000003</v>
      </c>
      <c r="J15" s="240">
        <v>4798.0129999999999</v>
      </c>
      <c r="K15" s="240">
        <v>4407.6289999999999</v>
      </c>
    </row>
    <row r="16" spans="1:18" ht="14.45" customHeight="1" x14ac:dyDescent="0.2">
      <c r="A16" s="210" t="s">
        <v>52</v>
      </c>
      <c r="B16" s="223" t="s">
        <v>8</v>
      </c>
      <c r="C16" s="239">
        <v>1817.5</v>
      </c>
      <c r="D16" s="239">
        <v>2312.3000000000002</v>
      </c>
      <c r="E16" s="239">
        <v>1488.1</v>
      </c>
      <c r="F16" s="239">
        <v>1338.7</v>
      </c>
      <c r="G16" s="239">
        <v>989.1</v>
      </c>
      <c r="H16" s="239">
        <v>715.7</v>
      </c>
      <c r="I16" s="240">
        <v>717.73900000000003</v>
      </c>
      <c r="J16" s="240">
        <v>509.14600000000002</v>
      </c>
      <c r="K16" s="240">
        <v>430.73399999999998</v>
      </c>
    </row>
    <row r="17" spans="1:22" ht="14.45" customHeight="1" x14ac:dyDescent="0.2">
      <c r="A17" s="210" t="s">
        <v>249</v>
      </c>
      <c r="B17" s="223" t="s">
        <v>119</v>
      </c>
      <c r="C17" s="239">
        <v>31.7</v>
      </c>
      <c r="D17" s="239">
        <v>24.6</v>
      </c>
      <c r="E17" s="239">
        <v>21.5</v>
      </c>
      <c r="F17" s="239">
        <v>17.600000000000001</v>
      </c>
      <c r="G17" s="239">
        <v>14.4</v>
      </c>
      <c r="H17" s="239">
        <v>13</v>
      </c>
      <c r="I17" s="240">
        <v>13.388</v>
      </c>
      <c r="J17" s="240">
        <v>12.891999999999999</v>
      </c>
      <c r="K17" s="240">
        <v>10.803000000000001</v>
      </c>
      <c r="T17" s="56">
        <f>+K37/J37-1</f>
        <v>-3.2420077488954036E-2</v>
      </c>
    </row>
    <row r="18" spans="1:22" ht="14.45" customHeight="1" x14ac:dyDescent="0.2">
      <c r="A18" s="210" t="s">
        <v>249</v>
      </c>
      <c r="B18" s="223" t="s">
        <v>120</v>
      </c>
      <c r="C18" s="239">
        <v>11.3</v>
      </c>
      <c r="D18" s="239">
        <v>9</v>
      </c>
      <c r="E18" s="239">
        <v>7</v>
      </c>
      <c r="F18" s="239">
        <v>5.4</v>
      </c>
      <c r="G18" s="239">
        <v>4.5</v>
      </c>
      <c r="H18" s="239">
        <v>8.1999999999999993</v>
      </c>
      <c r="I18" s="240">
        <v>5.7469999999999999</v>
      </c>
      <c r="J18" s="240">
        <v>5.0510000000000002</v>
      </c>
      <c r="K18" s="240">
        <v>4.3230000000000004</v>
      </c>
    </row>
    <row r="19" spans="1:22" ht="14.45" customHeight="1" x14ac:dyDescent="0.2">
      <c r="A19" s="213" t="s">
        <v>252</v>
      </c>
      <c r="B19" s="213"/>
      <c r="C19" s="241">
        <v>9122.6</v>
      </c>
      <c r="D19" s="241">
        <v>9112</v>
      </c>
      <c r="E19" s="241">
        <v>8108.6</v>
      </c>
      <c r="F19" s="241">
        <v>7669.9</v>
      </c>
      <c r="G19" s="241">
        <v>7539.8</v>
      </c>
      <c r="H19" s="241">
        <v>8449.7000000000007</v>
      </c>
      <c r="I19" s="242">
        <f>SUM(I8:I18)</f>
        <v>9053.6859999999997</v>
      </c>
      <c r="J19" s="242">
        <f>SUM(J8:J18)</f>
        <v>8089.0639999999994</v>
      </c>
      <c r="K19" s="242">
        <f>SUM(K8:K18)</f>
        <v>7599.9260000000004</v>
      </c>
      <c r="T19" s="320" t="s">
        <v>481</v>
      </c>
      <c r="U19" s="320"/>
      <c r="V19" s="320"/>
    </row>
    <row r="20" spans="1:22" ht="14.45" customHeight="1" x14ac:dyDescent="0.2">
      <c r="A20" s="243"/>
      <c r="B20" s="244"/>
      <c r="C20" s="239"/>
      <c r="D20" s="239"/>
      <c r="E20" s="239"/>
      <c r="F20" s="239"/>
      <c r="G20" s="239"/>
      <c r="H20" s="239"/>
      <c r="I20" s="240"/>
      <c r="J20" s="240"/>
      <c r="K20" s="240"/>
      <c r="T20" s="320"/>
      <c r="U20" s="320"/>
      <c r="V20" s="320"/>
    </row>
    <row r="21" spans="1:22" ht="14.45" customHeight="1" x14ac:dyDescent="0.2">
      <c r="A21" s="210" t="s">
        <v>57</v>
      </c>
      <c r="B21" s="223" t="s">
        <v>271</v>
      </c>
      <c r="C21" s="239">
        <v>3729.5</v>
      </c>
      <c r="D21" s="239">
        <v>3905.7</v>
      </c>
      <c r="E21" s="239">
        <v>3507.4</v>
      </c>
      <c r="F21" s="239">
        <v>3060.5</v>
      </c>
      <c r="G21" s="239">
        <v>2866.8</v>
      </c>
      <c r="H21" s="239">
        <v>2795.4</v>
      </c>
      <c r="I21" s="240">
        <v>2611.7800000000002</v>
      </c>
      <c r="J21" s="240">
        <v>2272.8820000000001</v>
      </c>
      <c r="K21" s="240">
        <v>2130.4389999999999</v>
      </c>
      <c r="T21" s="320"/>
      <c r="U21" s="320"/>
      <c r="V21" s="320"/>
    </row>
    <row r="22" spans="1:22" ht="14.45" customHeight="1" x14ac:dyDescent="0.2">
      <c r="A22" s="210" t="s">
        <v>57</v>
      </c>
      <c r="B22" s="223" t="s">
        <v>123</v>
      </c>
      <c r="C22" s="239" t="s">
        <v>4</v>
      </c>
      <c r="D22" s="239" t="s">
        <v>4</v>
      </c>
      <c r="E22" s="239" t="s">
        <v>4</v>
      </c>
      <c r="F22" s="239" t="s">
        <v>4</v>
      </c>
      <c r="G22" s="239" t="s">
        <v>4</v>
      </c>
      <c r="H22" s="239" t="s">
        <v>4</v>
      </c>
      <c r="I22" s="245">
        <v>3.4350000000000001</v>
      </c>
      <c r="J22" s="245">
        <v>0</v>
      </c>
      <c r="K22" s="245">
        <v>0</v>
      </c>
    </row>
    <row r="23" spans="1:22" ht="14.45" customHeight="1" x14ac:dyDescent="0.2">
      <c r="A23" s="210" t="s">
        <v>42</v>
      </c>
      <c r="B23" s="223" t="s">
        <v>43</v>
      </c>
      <c r="C23" s="239">
        <v>993.1</v>
      </c>
      <c r="D23" s="239">
        <v>1811</v>
      </c>
      <c r="E23" s="239">
        <v>1422.1</v>
      </c>
      <c r="F23" s="239">
        <v>1019.8</v>
      </c>
      <c r="G23" s="239">
        <v>850.7</v>
      </c>
      <c r="H23" s="239">
        <v>574.20000000000005</v>
      </c>
      <c r="I23" s="240">
        <v>476.95400000000001</v>
      </c>
      <c r="J23" s="240">
        <v>32.491999999999997</v>
      </c>
      <c r="K23" s="240">
        <v>0</v>
      </c>
    </row>
    <row r="24" spans="1:22" ht="14.45" customHeight="1" x14ac:dyDescent="0.2">
      <c r="A24" s="213" t="s">
        <v>272</v>
      </c>
      <c r="B24" s="213"/>
      <c r="C24" s="241">
        <v>4722.6000000000004</v>
      </c>
      <c r="D24" s="241">
        <v>5716.7</v>
      </c>
      <c r="E24" s="241">
        <v>4929.5</v>
      </c>
      <c r="F24" s="241">
        <v>4080.3</v>
      </c>
      <c r="G24" s="241">
        <v>3717.4</v>
      </c>
      <c r="H24" s="241">
        <v>3369.5</v>
      </c>
      <c r="I24" s="242">
        <f>SUM(I21:I23)</f>
        <v>3092.1690000000003</v>
      </c>
      <c r="J24" s="242">
        <f>SUM(J21:J23)</f>
        <v>2305.3740000000003</v>
      </c>
      <c r="K24" s="242">
        <f>SUM(K21:K23)</f>
        <v>2130.4389999999999</v>
      </c>
    </row>
    <row r="25" spans="1:22" ht="14.45" customHeight="1" x14ac:dyDescent="0.2">
      <c r="A25" s="243"/>
      <c r="B25" s="244"/>
      <c r="C25" s="239"/>
      <c r="D25" s="239"/>
      <c r="E25" s="239"/>
      <c r="F25" s="239"/>
      <c r="G25" s="239"/>
      <c r="H25" s="239"/>
      <c r="I25" s="240"/>
      <c r="J25" s="240"/>
      <c r="K25" s="240"/>
    </row>
    <row r="26" spans="1:22" ht="14.45" customHeight="1" x14ac:dyDescent="0.2">
      <c r="A26" s="210" t="s">
        <v>26</v>
      </c>
      <c r="B26" s="223" t="s">
        <v>273</v>
      </c>
      <c r="C26" s="239">
        <v>5407.3</v>
      </c>
      <c r="D26" s="239">
        <v>4734.8999999999996</v>
      </c>
      <c r="E26" s="239">
        <v>2594.6</v>
      </c>
      <c r="F26" s="239" t="s">
        <v>4</v>
      </c>
      <c r="G26" s="239" t="s">
        <v>4</v>
      </c>
      <c r="H26" s="239" t="s">
        <v>4</v>
      </c>
      <c r="I26" s="240" t="s">
        <v>4</v>
      </c>
      <c r="J26" s="240">
        <v>0</v>
      </c>
      <c r="K26" s="240">
        <v>0</v>
      </c>
    </row>
    <row r="27" spans="1:22" ht="14.45" customHeight="1" x14ac:dyDescent="0.2">
      <c r="A27" s="210" t="s">
        <v>255</v>
      </c>
      <c r="B27" s="211">
        <v>192</v>
      </c>
      <c r="C27" s="239" t="s">
        <v>4</v>
      </c>
      <c r="D27" s="239" t="s">
        <v>4</v>
      </c>
      <c r="E27" s="239">
        <v>877.7</v>
      </c>
      <c r="F27" s="239">
        <v>414.9</v>
      </c>
      <c r="G27" s="239">
        <v>1387.7</v>
      </c>
      <c r="H27" s="239">
        <v>2642</v>
      </c>
      <c r="I27" s="240">
        <v>2458.9830000000002</v>
      </c>
      <c r="J27" s="240">
        <v>475.53500000000003</v>
      </c>
      <c r="K27" s="240">
        <v>0</v>
      </c>
    </row>
    <row r="28" spans="1:22" ht="14.45" customHeight="1" x14ac:dyDescent="0.2">
      <c r="A28" s="210" t="s">
        <v>26</v>
      </c>
      <c r="B28" s="223">
        <v>8</v>
      </c>
      <c r="C28" s="239">
        <v>3482.7</v>
      </c>
      <c r="D28" s="239">
        <v>3489.1</v>
      </c>
      <c r="E28" s="239">
        <v>2806.4</v>
      </c>
      <c r="F28" s="239">
        <v>1601.3</v>
      </c>
      <c r="G28" s="239">
        <v>2132</v>
      </c>
      <c r="H28" s="239">
        <v>2058.4</v>
      </c>
      <c r="I28" s="240">
        <v>1611</v>
      </c>
      <c r="J28" s="240">
        <v>593.93299999999999</v>
      </c>
      <c r="K28" s="240">
        <v>0</v>
      </c>
      <c r="M28" s="1" t="s">
        <v>391</v>
      </c>
    </row>
    <row r="29" spans="1:22" ht="14.45" customHeight="1" x14ac:dyDescent="0.2">
      <c r="A29" s="210" t="s">
        <v>124</v>
      </c>
      <c r="B29" s="223">
        <v>67</v>
      </c>
      <c r="C29" s="239">
        <v>14.4</v>
      </c>
      <c r="D29" s="239">
        <v>1846.5</v>
      </c>
      <c r="E29" s="239">
        <v>555.1</v>
      </c>
      <c r="F29" s="239">
        <v>131.6</v>
      </c>
      <c r="G29" s="239" t="s">
        <v>4</v>
      </c>
      <c r="H29" s="239">
        <v>134.80000000000001</v>
      </c>
      <c r="I29" s="240">
        <v>504.66800000000001</v>
      </c>
      <c r="J29" s="240">
        <v>246.72900000000001</v>
      </c>
      <c r="K29" s="240">
        <v>516.70899999999995</v>
      </c>
    </row>
    <row r="30" spans="1:22" ht="14.45" customHeight="1" x14ac:dyDescent="0.2">
      <c r="A30" s="210" t="s">
        <v>22</v>
      </c>
      <c r="B30" s="223">
        <v>95</v>
      </c>
      <c r="C30" s="239">
        <v>6.2</v>
      </c>
      <c r="D30" s="239" t="s">
        <v>4</v>
      </c>
      <c r="E30" s="239" t="s">
        <v>4</v>
      </c>
      <c r="F30" s="239" t="s">
        <v>4</v>
      </c>
      <c r="G30" s="239" t="s">
        <v>4</v>
      </c>
      <c r="H30" s="239">
        <v>170.4</v>
      </c>
      <c r="I30" s="240">
        <v>1498.825</v>
      </c>
      <c r="J30" s="240">
        <v>2065.4409999999998</v>
      </c>
      <c r="K30" s="240">
        <v>3229.123</v>
      </c>
      <c r="M30" s="322" t="s">
        <v>495</v>
      </c>
      <c r="N30" s="322"/>
      <c r="O30" s="322"/>
      <c r="P30" s="322"/>
      <c r="Q30" s="322"/>
      <c r="R30" s="322"/>
    </row>
    <row r="31" spans="1:22" ht="14.45" customHeight="1" x14ac:dyDescent="0.2">
      <c r="A31" s="210" t="s">
        <v>274</v>
      </c>
      <c r="B31" s="223">
        <v>102</v>
      </c>
      <c r="C31" s="239">
        <v>50.8</v>
      </c>
      <c r="D31" s="239" t="s">
        <v>4</v>
      </c>
      <c r="E31" s="239" t="s">
        <v>4</v>
      </c>
      <c r="F31" s="239" t="s">
        <v>4</v>
      </c>
      <c r="G31" s="239" t="s">
        <v>4</v>
      </c>
      <c r="H31" s="239" t="s">
        <v>4</v>
      </c>
      <c r="I31" s="240" t="s">
        <v>4</v>
      </c>
      <c r="J31" s="240">
        <v>0</v>
      </c>
      <c r="K31" s="240">
        <v>0</v>
      </c>
      <c r="M31" s="322"/>
      <c r="N31" s="322"/>
      <c r="O31" s="322"/>
      <c r="P31" s="322"/>
      <c r="Q31" s="322"/>
      <c r="R31" s="322"/>
    </row>
    <row r="32" spans="1:22" ht="14.45" customHeight="1" x14ac:dyDescent="0.2">
      <c r="A32" s="210" t="s">
        <v>257</v>
      </c>
      <c r="B32" s="223" t="s">
        <v>275</v>
      </c>
      <c r="C32" s="239">
        <v>109.1</v>
      </c>
      <c r="D32" s="239">
        <v>107.6</v>
      </c>
      <c r="E32" s="239">
        <v>96.7</v>
      </c>
      <c r="F32" s="239">
        <v>38.5</v>
      </c>
      <c r="G32" s="239">
        <v>27.4</v>
      </c>
      <c r="H32" s="239">
        <v>7.4</v>
      </c>
      <c r="I32" s="240" t="s">
        <v>4</v>
      </c>
      <c r="J32" s="240">
        <v>0</v>
      </c>
      <c r="K32" s="240">
        <v>0</v>
      </c>
    </row>
    <row r="33" spans="1:22" ht="14.45" customHeight="1" x14ac:dyDescent="0.2">
      <c r="A33" s="210" t="s">
        <v>257</v>
      </c>
      <c r="B33" s="223" t="s">
        <v>276</v>
      </c>
      <c r="C33" s="239">
        <v>37.700000000000003</v>
      </c>
      <c r="D33" s="239">
        <v>30.6</v>
      </c>
      <c r="E33" s="239">
        <v>24.9</v>
      </c>
      <c r="F33" s="239">
        <v>15.9</v>
      </c>
      <c r="G33" s="239">
        <v>10.5</v>
      </c>
      <c r="H33" s="239">
        <v>2.7</v>
      </c>
      <c r="I33" s="240" t="s">
        <v>4</v>
      </c>
      <c r="J33" s="240">
        <v>0</v>
      </c>
      <c r="K33" s="240">
        <v>0</v>
      </c>
    </row>
    <row r="34" spans="1:22" ht="14.45" customHeight="1" x14ac:dyDescent="0.2">
      <c r="A34" s="210" t="s">
        <v>24</v>
      </c>
      <c r="B34" s="223">
        <v>131</v>
      </c>
      <c r="C34" s="239">
        <v>2.6</v>
      </c>
      <c r="D34" s="239">
        <v>258.3</v>
      </c>
      <c r="E34" s="239">
        <v>1179.3</v>
      </c>
      <c r="F34" s="239">
        <v>820.7</v>
      </c>
      <c r="G34" s="239">
        <v>1085.5</v>
      </c>
      <c r="H34" s="239">
        <v>1002.2</v>
      </c>
      <c r="I34" s="240">
        <v>1119.7380000000001</v>
      </c>
      <c r="J34" s="240">
        <v>745.76400000000001</v>
      </c>
      <c r="K34" s="240">
        <v>536.45299999999997</v>
      </c>
    </row>
    <row r="35" spans="1:22" ht="14.45" customHeight="1" x14ac:dyDescent="0.2">
      <c r="A35" s="213" t="s">
        <v>258</v>
      </c>
      <c r="B35" s="213"/>
      <c r="C35" s="241">
        <v>9110.7999999999993</v>
      </c>
      <c r="D35" s="241">
        <v>10467.1</v>
      </c>
      <c r="E35" s="241">
        <v>8134.7</v>
      </c>
      <c r="F35" s="241">
        <v>3022.8</v>
      </c>
      <c r="G35" s="241">
        <v>4643.1000000000004</v>
      </c>
      <c r="H35" s="241">
        <v>6017.8</v>
      </c>
      <c r="I35" s="242">
        <f>SUM(I26:I34)</f>
        <v>7193.2139999999999</v>
      </c>
      <c r="J35" s="242">
        <f>SUM(J26:J34)</f>
        <v>4127.402</v>
      </c>
      <c r="K35" s="242">
        <f>SUM(K26:K34)</f>
        <v>4282.2849999999999</v>
      </c>
    </row>
    <row r="36" spans="1:22" ht="14.45" customHeight="1" x14ac:dyDescent="0.2">
      <c r="A36" s="316" t="s">
        <v>277</v>
      </c>
      <c r="B36" s="316"/>
      <c r="C36" s="247">
        <v>22956</v>
      </c>
      <c r="D36" s="247">
        <v>25295.8</v>
      </c>
      <c r="E36" s="247">
        <v>21172.799999999999</v>
      </c>
      <c r="F36" s="247">
        <v>14773</v>
      </c>
      <c r="G36" s="247">
        <v>15900.3</v>
      </c>
      <c r="H36" s="247">
        <v>17837</v>
      </c>
      <c r="I36" s="248">
        <f>SUM(I19+I24+I35)</f>
        <v>19339.069</v>
      </c>
      <c r="J36" s="248">
        <f>SUM(J19+J24+J35)</f>
        <v>14521.84</v>
      </c>
      <c r="K36" s="248">
        <f>SUM(K19+K24+K35)</f>
        <v>14012.65</v>
      </c>
    </row>
    <row r="37" spans="1:22" ht="14.45" customHeight="1" x14ac:dyDescent="0.2">
      <c r="A37" s="316" t="s">
        <v>278</v>
      </c>
      <c r="B37" s="316"/>
      <c r="C37" s="249">
        <v>62.9</v>
      </c>
      <c r="D37" s="249">
        <v>69.3</v>
      </c>
      <c r="E37" s="249">
        <v>58</v>
      </c>
      <c r="F37" s="249">
        <v>40.5</v>
      </c>
      <c r="G37" s="249">
        <v>43.6</v>
      </c>
      <c r="H37" s="249">
        <v>48.9</v>
      </c>
      <c r="I37" s="250">
        <f>I36/365</f>
        <v>52.983750684931508</v>
      </c>
      <c r="J37" s="250">
        <f>J36/366</f>
        <v>39.677158469945354</v>
      </c>
      <c r="K37" s="250">
        <f>K36/365</f>
        <v>38.390821917808218</v>
      </c>
    </row>
    <row r="38" spans="1:22" ht="14.45" customHeight="1" x14ac:dyDescent="0.2">
      <c r="A38" s="317"/>
      <c r="B38" s="317"/>
      <c r="C38" s="317"/>
      <c r="D38" s="317"/>
      <c r="E38" s="317"/>
      <c r="F38" s="317"/>
      <c r="G38" s="317"/>
      <c r="H38" s="317"/>
      <c r="I38" s="252"/>
      <c r="J38" s="252"/>
      <c r="K38" s="252"/>
    </row>
    <row r="39" spans="1:22" ht="14.45" customHeight="1" x14ac:dyDescent="0.2">
      <c r="A39" s="319" t="s">
        <v>279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</row>
    <row r="40" spans="1:22" ht="14.45" customHeight="1" x14ac:dyDescent="0.2">
      <c r="A40" s="238" t="s">
        <v>0</v>
      </c>
      <c r="B40" s="238" t="s">
        <v>1</v>
      </c>
      <c r="C40" s="238">
        <v>2013</v>
      </c>
      <c r="D40" s="238">
        <v>2014</v>
      </c>
      <c r="E40" s="238">
        <v>2015</v>
      </c>
      <c r="F40" s="238">
        <v>2016</v>
      </c>
      <c r="G40" s="238">
        <v>2017</v>
      </c>
      <c r="H40" s="238">
        <v>2018</v>
      </c>
      <c r="I40" s="238">
        <v>2019</v>
      </c>
      <c r="J40" s="238">
        <v>2020</v>
      </c>
      <c r="K40" s="238">
        <v>2021</v>
      </c>
      <c r="T40" s="57">
        <f>+K49/J49-1</f>
        <v>-4.5060713872695168E-2</v>
      </c>
    </row>
    <row r="41" spans="1:22" ht="14.45" customHeight="1" x14ac:dyDescent="0.2">
      <c r="A41" s="210" t="s">
        <v>57</v>
      </c>
      <c r="B41" s="223" t="s">
        <v>271</v>
      </c>
      <c r="C41" s="253">
        <v>479.2</v>
      </c>
      <c r="D41" s="253">
        <v>466.4</v>
      </c>
      <c r="E41" s="253">
        <v>470.5</v>
      </c>
      <c r="F41" s="253">
        <v>429.7</v>
      </c>
      <c r="G41" s="253">
        <v>374.7</v>
      </c>
      <c r="H41" s="253">
        <v>374</v>
      </c>
      <c r="I41" s="254">
        <v>349.291</v>
      </c>
      <c r="J41" s="254">
        <v>351.20400000000001</v>
      </c>
      <c r="K41" s="254">
        <v>280.02499999999998</v>
      </c>
    </row>
    <row r="42" spans="1:22" ht="14.45" customHeight="1" x14ac:dyDescent="0.2">
      <c r="A42" s="213" t="s">
        <v>261</v>
      </c>
      <c r="B42" s="255"/>
      <c r="C42" s="256">
        <v>479.2</v>
      </c>
      <c r="D42" s="256">
        <v>466.4</v>
      </c>
      <c r="E42" s="256">
        <v>470.5</v>
      </c>
      <c r="F42" s="256">
        <v>429.7</v>
      </c>
      <c r="G42" s="256">
        <v>374.7</v>
      </c>
      <c r="H42" s="256">
        <v>374</v>
      </c>
      <c r="I42" s="257">
        <f>SUM(I41)</f>
        <v>349.291</v>
      </c>
      <c r="J42" s="257">
        <f>SUM(J41)</f>
        <v>351.20400000000001</v>
      </c>
      <c r="K42" s="257">
        <f>SUM(K41)</f>
        <v>280.02499999999998</v>
      </c>
      <c r="T42" s="320" t="s">
        <v>482</v>
      </c>
      <c r="U42" s="320"/>
      <c r="V42" s="320"/>
    </row>
    <row r="43" spans="1:22" ht="14.45" customHeight="1" x14ac:dyDescent="0.2">
      <c r="A43" s="210" t="s">
        <v>121</v>
      </c>
      <c r="B43" s="223" t="s">
        <v>280</v>
      </c>
      <c r="C43" s="253">
        <v>837.9</v>
      </c>
      <c r="D43" s="253">
        <v>784.4</v>
      </c>
      <c r="E43" s="253">
        <v>720.5</v>
      </c>
      <c r="F43" s="253">
        <v>471.5</v>
      </c>
      <c r="G43" s="253">
        <v>410</v>
      </c>
      <c r="H43" s="253">
        <v>382.1</v>
      </c>
      <c r="I43" s="254">
        <v>275.7</v>
      </c>
      <c r="J43" s="254">
        <v>168.126</v>
      </c>
      <c r="K43" s="254">
        <v>83.043000000000006</v>
      </c>
      <c r="T43" s="320"/>
      <c r="U43" s="320"/>
      <c r="V43" s="320"/>
    </row>
    <row r="44" spans="1:22" ht="14.45" customHeight="1" x14ac:dyDescent="0.2">
      <c r="A44" s="210" t="s">
        <v>26</v>
      </c>
      <c r="B44" s="223">
        <v>88</v>
      </c>
      <c r="C44" s="253">
        <v>22938.799999999999</v>
      </c>
      <c r="D44" s="253">
        <v>21194.1</v>
      </c>
      <c r="E44" s="253">
        <v>18818.400000000001</v>
      </c>
      <c r="F44" s="253">
        <v>18371.8</v>
      </c>
      <c r="G44" s="253">
        <v>17865</v>
      </c>
      <c r="H44" s="253">
        <v>16975.599999999999</v>
      </c>
      <c r="I44" s="254">
        <v>17338.600999999999</v>
      </c>
      <c r="J44" s="254">
        <v>17833.251</v>
      </c>
      <c r="K44" s="254">
        <v>18092.481</v>
      </c>
      <c r="T44" s="320"/>
      <c r="U44" s="320"/>
      <c r="V44" s="320"/>
    </row>
    <row r="45" spans="1:22" ht="14.45" customHeight="1" x14ac:dyDescent="0.2">
      <c r="A45" s="210" t="s">
        <v>27</v>
      </c>
      <c r="B45" s="223">
        <v>57</v>
      </c>
      <c r="C45" s="253" t="s">
        <v>4</v>
      </c>
      <c r="D45" s="253">
        <v>1609.9</v>
      </c>
      <c r="E45" s="253">
        <v>1755.2</v>
      </c>
      <c r="F45" s="253">
        <v>3214.3</v>
      </c>
      <c r="G45" s="253">
        <v>3700</v>
      </c>
      <c r="H45" s="253">
        <v>4493.6000000000004</v>
      </c>
      <c r="I45" s="254">
        <v>4459.2550000000001</v>
      </c>
      <c r="J45" s="254">
        <v>4362.8249999999998</v>
      </c>
      <c r="K45" s="254">
        <v>2837.4059999999999</v>
      </c>
    </row>
    <row r="46" spans="1:22" ht="14.45" customHeight="1" x14ac:dyDescent="0.2">
      <c r="A46" s="210" t="s">
        <v>26</v>
      </c>
      <c r="B46" s="223">
        <v>56</v>
      </c>
      <c r="C46" s="253">
        <v>13931.2</v>
      </c>
      <c r="D46" s="253">
        <v>13696</v>
      </c>
      <c r="E46" s="253">
        <v>11595.3</v>
      </c>
      <c r="F46" s="253">
        <v>12184.4</v>
      </c>
      <c r="G46" s="253">
        <v>10784.5</v>
      </c>
      <c r="H46" s="253">
        <v>8973.6</v>
      </c>
      <c r="I46" s="254">
        <v>9236.3130000000001</v>
      </c>
      <c r="J46" s="254">
        <v>8374.3369999999995</v>
      </c>
      <c r="K46" s="254">
        <v>8314.7450000000008</v>
      </c>
    </row>
    <row r="47" spans="1:22" ht="14.45" customHeight="1" x14ac:dyDescent="0.2">
      <c r="A47" s="213" t="s">
        <v>263</v>
      </c>
      <c r="B47" s="255"/>
      <c r="C47" s="256">
        <v>37707.9</v>
      </c>
      <c r="D47" s="256">
        <v>37284.5</v>
      </c>
      <c r="E47" s="256">
        <v>32889.5</v>
      </c>
      <c r="F47" s="256">
        <v>34242</v>
      </c>
      <c r="G47" s="256">
        <v>32759.5</v>
      </c>
      <c r="H47" s="256">
        <v>30825</v>
      </c>
      <c r="I47" s="257">
        <f>SUM(I43:I46)</f>
        <v>31309.868999999999</v>
      </c>
      <c r="J47" s="257">
        <f>SUM(J43:J46)</f>
        <v>30738.539000000001</v>
      </c>
      <c r="K47" s="257">
        <f>SUM(K43:K46)</f>
        <v>29327.675000000003</v>
      </c>
    </row>
    <row r="48" spans="1:22" ht="33.75" customHeight="1" x14ac:dyDescent="0.2">
      <c r="A48" s="316" t="s">
        <v>281</v>
      </c>
      <c r="B48" s="316"/>
      <c r="C48" s="258">
        <v>38187.1</v>
      </c>
      <c r="D48" s="258">
        <v>37750.800000000003</v>
      </c>
      <c r="E48" s="258">
        <v>33360</v>
      </c>
      <c r="F48" s="258">
        <v>34671.699999999997</v>
      </c>
      <c r="G48" s="258">
        <v>33134.199999999997</v>
      </c>
      <c r="H48" s="258">
        <v>31199</v>
      </c>
      <c r="I48" s="259">
        <f>SUM(I42+I47)</f>
        <v>31659.16</v>
      </c>
      <c r="J48" s="259">
        <f>SUM(J42+J47)</f>
        <v>31089.743000000002</v>
      </c>
      <c r="K48" s="259">
        <f>SUM(K42+K47)</f>
        <v>29607.700000000004</v>
      </c>
      <c r="M48" s="1" t="s">
        <v>391</v>
      </c>
    </row>
    <row r="49" spans="1:19" ht="21.75" customHeight="1" x14ac:dyDescent="0.2">
      <c r="A49" s="316" t="s">
        <v>282</v>
      </c>
      <c r="B49" s="316"/>
      <c r="C49" s="249">
        <v>104.6</v>
      </c>
      <c r="D49" s="249">
        <v>103.4</v>
      </c>
      <c r="E49" s="249">
        <v>91.4</v>
      </c>
      <c r="F49" s="249">
        <v>95</v>
      </c>
      <c r="G49" s="249">
        <v>90.8</v>
      </c>
      <c r="H49" s="249">
        <v>85.5</v>
      </c>
      <c r="I49" s="250">
        <f>I48/365</f>
        <v>86.737424657534248</v>
      </c>
      <c r="J49" s="250">
        <f>J48/366</f>
        <v>84.944653005464488</v>
      </c>
      <c r="K49" s="250">
        <f>K48/365</f>
        <v>81.116986301369877</v>
      </c>
      <c r="M49" s="1"/>
    </row>
    <row r="50" spans="1:19" ht="14.45" customHeight="1" x14ac:dyDescent="0.2">
      <c r="A50" s="318"/>
      <c r="B50" s="318"/>
      <c r="C50" s="260"/>
      <c r="D50" s="260"/>
      <c r="E50" s="260"/>
      <c r="F50" s="260"/>
      <c r="G50" s="260"/>
      <c r="H50" s="260"/>
      <c r="I50" s="261"/>
      <c r="J50" s="261"/>
      <c r="K50" s="261"/>
      <c r="L50" s="58"/>
    </row>
    <row r="51" spans="1:19" ht="20.25" customHeight="1" x14ac:dyDescent="0.2">
      <c r="A51" s="288" t="s">
        <v>283</v>
      </c>
      <c r="B51" s="288"/>
      <c r="C51" s="262">
        <v>61143.1</v>
      </c>
      <c r="D51" s="262">
        <v>63046.6</v>
      </c>
      <c r="E51" s="262">
        <v>54532.800000000003</v>
      </c>
      <c r="F51" s="262">
        <v>49444.7</v>
      </c>
      <c r="G51" s="262">
        <v>49034.5</v>
      </c>
      <c r="H51" s="262">
        <v>49036</v>
      </c>
      <c r="I51" s="263">
        <f>SUM(I36+I48)</f>
        <v>50998.228999999999</v>
      </c>
      <c r="J51" s="263">
        <f>SUM(J36+J48)</f>
        <v>45611.582999999999</v>
      </c>
      <c r="K51" s="263">
        <f>SUM(K36+K48)</f>
        <v>43620.350000000006</v>
      </c>
    </row>
    <row r="52" spans="1:19" ht="24" customHeight="1" x14ac:dyDescent="0.2">
      <c r="A52" s="288" t="s">
        <v>284</v>
      </c>
      <c r="B52" s="288"/>
      <c r="C52" s="220">
        <v>167.5</v>
      </c>
      <c r="D52" s="220">
        <v>172.7</v>
      </c>
      <c r="E52" s="220">
        <v>149.4</v>
      </c>
      <c r="F52" s="220">
        <v>135.5</v>
      </c>
      <c r="G52" s="220">
        <v>134.30000000000001</v>
      </c>
      <c r="H52" s="220">
        <v>134.30000000000001</v>
      </c>
      <c r="I52" s="263">
        <v>139.721</v>
      </c>
      <c r="J52" s="263">
        <f>+J51/366</f>
        <v>124.62181147540983</v>
      </c>
      <c r="K52" s="263">
        <f>+K51/365</f>
        <v>119.5078082191781</v>
      </c>
    </row>
    <row r="53" spans="1:19" ht="14.45" customHeight="1" x14ac:dyDescent="0.2">
      <c r="H53" s="59"/>
      <c r="N53" s="315" t="s">
        <v>437</v>
      </c>
      <c r="O53" s="315"/>
      <c r="P53" s="315"/>
      <c r="Q53" s="315"/>
      <c r="R53" s="315"/>
      <c r="S53" s="315"/>
    </row>
    <row r="54" spans="1:19" ht="14.45" customHeight="1" x14ac:dyDescent="0.2">
      <c r="A54" s="1" t="s">
        <v>391</v>
      </c>
      <c r="N54" s="315"/>
      <c r="O54" s="315"/>
      <c r="P54" s="315"/>
      <c r="Q54" s="315"/>
      <c r="R54" s="315"/>
      <c r="S54" s="315"/>
    </row>
    <row r="55" spans="1:19" ht="14.45" customHeight="1" x14ac:dyDescent="0.2">
      <c r="N55" s="60"/>
      <c r="O55" s="61">
        <v>2022</v>
      </c>
      <c r="P55" s="61">
        <v>2023</v>
      </c>
      <c r="Q55" s="61">
        <v>2024</v>
      </c>
      <c r="R55" s="61">
        <v>2025</v>
      </c>
      <c r="S55" s="61">
        <v>2026</v>
      </c>
    </row>
    <row r="56" spans="1:19" ht="14.45" customHeight="1" x14ac:dyDescent="0.2">
      <c r="N56" s="62" t="s">
        <v>285</v>
      </c>
      <c r="O56" s="63">
        <v>52.126232155902827</v>
      </c>
      <c r="P56" s="63">
        <v>60.079577566887167</v>
      </c>
      <c r="Q56" s="63">
        <v>53.5804578918898</v>
      </c>
      <c r="R56" s="63">
        <v>50.951652538892233</v>
      </c>
      <c r="S56" s="63">
        <v>48.753232100459108</v>
      </c>
    </row>
    <row r="57" spans="1:19" ht="14.45" customHeight="1" x14ac:dyDescent="0.2">
      <c r="N57" s="60" t="s">
        <v>286</v>
      </c>
      <c r="O57" s="64">
        <v>80.586957949417581</v>
      </c>
      <c r="P57" s="64">
        <v>78.411468268553946</v>
      </c>
      <c r="Q57" s="64">
        <v>78.591069066126025</v>
      </c>
      <c r="R57" s="64">
        <v>79.035816584038841</v>
      </c>
      <c r="S57" s="64">
        <v>83.139241336323565</v>
      </c>
    </row>
    <row r="58" spans="1:19" ht="14.45" customHeight="1" x14ac:dyDescent="0.2">
      <c r="O58" s="92">
        <f>SUM(O56:O57)</f>
        <v>132.71319010532039</v>
      </c>
      <c r="P58" s="92">
        <f>SUM(P56:P57)</f>
        <v>138.49104583544113</v>
      </c>
      <c r="Q58" s="92">
        <f>SUM(Q56:Q57)</f>
        <v>132.17152695801582</v>
      </c>
      <c r="R58" s="92">
        <f>SUM(R56:R57)</f>
        <v>129.98746912293109</v>
      </c>
      <c r="S58" s="92">
        <f>SUM(S56:S57)</f>
        <v>131.89247343678267</v>
      </c>
    </row>
    <row r="73" spans="14:14" ht="14.45" customHeight="1" x14ac:dyDescent="0.2">
      <c r="N73" s="1" t="s">
        <v>391</v>
      </c>
    </row>
  </sheetData>
  <mergeCells count="17">
    <mergeCell ref="A36:B36"/>
    <mergeCell ref="A2:J2"/>
    <mergeCell ref="T42:V44"/>
    <mergeCell ref="T19:V21"/>
    <mergeCell ref="M9:R10"/>
    <mergeCell ref="M30:R31"/>
    <mergeCell ref="A6:K6"/>
    <mergeCell ref="A4:K5"/>
    <mergeCell ref="A51:B51"/>
    <mergeCell ref="A52:B52"/>
    <mergeCell ref="N53:S54"/>
    <mergeCell ref="A37:B37"/>
    <mergeCell ref="A38:H38"/>
    <mergeCell ref="A48:B48"/>
    <mergeCell ref="A49:B49"/>
    <mergeCell ref="A50:B50"/>
    <mergeCell ref="A39:K39"/>
  </mergeCells>
  <pageMargins left="0.7" right="0.7" top="0.75" bottom="0.75" header="0.3" footer="0.3"/>
  <pageSetup scale="94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499984740745262"/>
    <pageSetUpPr fitToPage="1"/>
  </sheetPr>
  <dimension ref="A2:Q70"/>
  <sheetViews>
    <sheetView showGridLines="0" zoomScale="90" zoomScaleNormal="90" workbookViewId="0">
      <selection activeCell="E26" sqref="E26"/>
    </sheetView>
  </sheetViews>
  <sheetFormatPr baseColWidth="10" defaultColWidth="13.7109375" defaultRowHeight="14.45" customHeight="1" x14ac:dyDescent="0.25"/>
  <cols>
    <col min="1" max="1" width="13.7109375" style="1"/>
    <col min="2" max="2" width="18.42578125" style="2" customWidth="1"/>
    <col min="3" max="14" width="13.7109375" style="3"/>
    <col min="15" max="15" width="15" style="3" bestFit="1" customWidth="1"/>
    <col min="16" max="16384" width="13.7109375" style="3"/>
  </cols>
  <sheetData>
    <row r="2" spans="1:15" ht="14.45" customHeight="1" x14ac:dyDescent="0.2">
      <c r="A2" s="301" t="s">
        <v>438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</row>
    <row r="4" spans="1:15" s="2" customFormat="1" ht="14.45" customHeight="1" x14ac:dyDescent="0.25">
      <c r="A4" s="295" t="s">
        <v>778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</row>
    <row r="5" spans="1:15" s="2" customFormat="1" ht="14.45" customHeigh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</row>
    <row r="6" spans="1:15" s="2" customFormat="1" ht="14.45" customHeight="1" x14ac:dyDescent="0.25">
      <c r="A6" s="208" t="s">
        <v>0</v>
      </c>
      <c r="B6" s="208" t="s">
        <v>1</v>
      </c>
      <c r="C6" s="208" t="s">
        <v>236</v>
      </c>
      <c r="D6" s="208" t="s">
        <v>237</v>
      </c>
      <c r="E6" s="208" t="s">
        <v>238</v>
      </c>
      <c r="F6" s="208" t="s">
        <v>239</v>
      </c>
      <c r="G6" s="208" t="s">
        <v>240</v>
      </c>
      <c r="H6" s="208" t="s">
        <v>241</v>
      </c>
      <c r="I6" s="208" t="s">
        <v>242</v>
      </c>
      <c r="J6" s="208" t="s">
        <v>243</v>
      </c>
      <c r="K6" s="208" t="s">
        <v>244</v>
      </c>
      <c r="L6" s="208" t="s">
        <v>245</v>
      </c>
      <c r="M6" s="208" t="s">
        <v>246</v>
      </c>
      <c r="N6" s="208" t="s">
        <v>247</v>
      </c>
      <c r="O6" s="208" t="s">
        <v>287</v>
      </c>
    </row>
    <row r="7" spans="1:15" ht="14.45" customHeight="1" x14ac:dyDescent="0.25">
      <c r="A7" s="210" t="s">
        <v>433</v>
      </c>
      <c r="B7" s="211" t="s">
        <v>113</v>
      </c>
      <c r="C7" s="212">
        <v>106946</v>
      </c>
      <c r="D7" s="212">
        <v>97585</v>
      </c>
      <c r="E7" s="212">
        <v>107793</v>
      </c>
      <c r="F7" s="212">
        <v>105087</v>
      </c>
      <c r="G7" s="212">
        <v>95910</v>
      </c>
      <c r="H7" s="212">
        <v>97779</v>
      </c>
      <c r="I7" s="212">
        <v>100769</v>
      </c>
      <c r="J7" s="212">
        <v>100664</v>
      </c>
      <c r="K7" s="212">
        <v>95966</v>
      </c>
      <c r="L7" s="212">
        <v>90237</v>
      </c>
      <c r="M7" s="212">
        <v>75287</v>
      </c>
      <c r="N7" s="212">
        <v>65455</v>
      </c>
      <c r="O7" s="212">
        <f t="shared" ref="O7:O13" si="0">SUM(C7:N7)</f>
        <v>1139478</v>
      </c>
    </row>
    <row r="8" spans="1:15" ht="14.45" customHeight="1" x14ac:dyDescent="0.25">
      <c r="A8" s="210" t="s">
        <v>434</v>
      </c>
      <c r="B8" s="211" t="s">
        <v>439</v>
      </c>
      <c r="C8" s="212" t="s">
        <v>4</v>
      </c>
      <c r="D8" s="212" t="s">
        <v>4</v>
      </c>
      <c r="E8" s="212" t="s">
        <v>4</v>
      </c>
      <c r="F8" s="212" t="s">
        <v>4</v>
      </c>
      <c r="G8" s="212" t="s">
        <v>4</v>
      </c>
      <c r="H8" s="212" t="s">
        <v>4</v>
      </c>
      <c r="I8" s="212" t="s">
        <v>4</v>
      </c>
      <c r="J8" s="212" t="s">
        <v>4</v>
      </c>
      <c r="K8" s="212" t="s">
        <v>4</v>
      </c>
      <c r="L8" s="212" t="s">
        <v>4</v>
      </c>
      <c r="M8" s="212" t="s">
        <v>4</v>
      </c>
      <c r="N8" s="212">
        <v>10410.3861</v>
      </c>
      <c r="O8" s="212">
        <f t="shared" si="0"/>
        <v>10410.3861</v>
      </c>
    </row>
    <row r="9" spans="1:15" ht="14.45" customHeight="1" x14ac:dyDescent="0.25">
      <c r="A9" s="210" t="s">
        <v>114</v>
      </c>
      <c r="B9" s="211" t="s">
        <v>115</v>
      </c>
      <c r="C9" s="212">
        <v>54399.59199999999</v>
      </c>
      <c r="D9" s="212">
        <v>46259.7307</v>
      </c>
      <c r="E9" s="212">
        <v>31613.8763</v>
      </c>
      <c r="F9" s="212">
        <v>34644.103799999997</v>
      </c>
      <c r="G9" s="212">
        <v>32852.017099999997</v>
      </c>
      <c r="H9" s="212">
        <v>41104.991800000003</v>
      </c>
      <c r="I9" s="212">
        <v>21748.656999999996</v>
      </c>
      <c r="J9" s="212">
        <v>2111.1480999999999</v>
      </c>
      <c r="K9" s="212">
        <v>452.53820000000002</v>
      </c>
      <c r="L9" s="212">
        <v>5777.2115999999987</v>
      </c>
      <c r="M9" s="212">
        <v>8806.4802999999993</v>
      </c>
      <c r="N9" s="212">
        <v>14596.1975</v>
      </c>
      <c r="O9" s="212">
        <f t="shared" si="0"/>
        <v>294366.54440000001</v>
      </c>
    </row>
    <row r="10" spans="1:15" ht="14.45" customHeight="1" x14ac:dyDescent="0.25">
      <c r="A10" s="210" t="s">
        <v>433</v>
      </c>
      <c r="B10" s="211" t="s">
        <v>49</v>
      </c>
      <c r="C10" s="212">
        <v>14354.143899999999</v>
      </c>
      <c r="D10" s="212">
        <v>17449.530299999999</v>
      </c>
      <c r="E10" s="212">
        <v>10951.3999</v>
      </c>
      <c r="F10" s="212">
        <v>19997.305499999999</v>
      </c>
      <c r="G10" s="212">
        <v>30449.462599999999</v>
      </c>
      <c r="H10" s="212">
        <v>34421.247100000001</v>
      </c>
      <c r="I10" s="212">
        <v>42761.916100000002</v>
      </c>
      <c r="J10" s="212">
        <v>39080.933599999997</v>
      </c>
      <c r="K10" s="212">
        <v>31326.271200000003</v>
      </c>
      <c r="L10" s="212">
        <v>18235.022099999998</v>
      </c>
      <c r="M10" s="212">
        <v>11062.4097</v>
      </c>
      <c r="N10" s="212">
        <v>23174.3256</v>
      </c>
      <c r="O10" s="212">
        <f t="shared" si="0"/>
        <v>293263.96759999997</v>
      </c>
    </row>
    <row r="11" spans="1:15" ht="14.45" customHeight="1" x14ac:dyDescent="0.25">
      <c r="A11" s="210" t="s">
        <v>117</v>
      </c>
      <c r="B11" s="211" t="s">
        <v>250</v>
      </c>
      <c r="C11" s="212">
        <v>86029</v>
      </c>
      <c r="D11" s="212">
        <v>43607</v>
      </c>
      <c r="E11" s="212">
        <v>73421</v>
      </c>
      <c r="F11" s="212">
        <v>93096</v>
      </c>
      <c r="G11" s="212">
        <v>115664</v>
      </c>
      <c r="H11" s="212">
        <v>117699</v>
      </c>
      <c r="I11" s="212">
        <v>136146</v>
      </c>
      <c r="J11" s="212">
        <v>127233</v>
      </c>
      <c r="K11" s="212">
        <v>130641</v>
      </c>
      <c r="L11" s="212">
        <v>144391</v>
      </c>
      <c r="M11" s="212">
        <v>139514</v>
      </c>
      <c r="N11" s="212">
        <v>142332</v>
      </c>
      <c r="O11" s="212">
        <f t="shared" si="0"/>
        <v>1349773</v>
      </c>
    </row>
    <row r="12" spans="1:15" ht="14.45" customHeight="1" x14ac:dyDescent="0.25">
      <c r="A12" s="210" t="s">
        <v>23</v>
      </c>
      <c r="B12" s="211" t="s">
        <v>51</v>
      </c>
      <c r="C12" s="212">
        <v>469854</v>
      </c>
      <c r="D12" s="212">
        <v>408025</v>
      </c>
      <c r="E12" s="212">
        <v>446244</v>
      </c>
      <c r="F12" s="212">
        <v>438652</v>
      </c>
      <c r="G12" s="212">
        <v>454388</v>
      </c>
      <c r="H12" s="212">
        <v>440793</v>
      </c>
      <c r="I12" s="212">
        <v>442593</v>
      </c>
      <c r="J12" s="212">
        <v>442771</v>
      </c>
      <c r="K12" s="212">
        <v>423443</v>
      </c>
      <c r="L12" s="212">
        <v>456569</v>
      </c>
      <c r="M12" s="212">
        <v>434464</v>
      </c>
      <c r="N12" s="212">
        <v>461386</v>
      </c>
      <c r="O12" s="212">
        <f t="shared" si="0"/>
        <v>5319182</v>
      </c>
    </row>
    <row r="13" spans="1:15" ht="14.45" customHeight="1" x14ac:dyDescent="0.25">
      <c r="A13" s="210" t="s">
        <v>52</v>
      </c>
      <c r="B13" s="211" t="s">
        <v>8</v>
      </c>
      <c r="C13" s="212">
        <v>387028.94439999998</v>
      </c>
      <c r="D13" s="212">
        <v>378129.76480000006</v>
      </c>
      <c r="E13" s="212">
        <v>376500.59829999995</v>
      </c>
      <c r="F13" s="212">
        <v>471022.87300000002</v>
      </c>
      <c r="G13" s="212">
        <v>391442.67930000002</v>
      </c>
      <c r="H13" s="212">
        <v>323770.90549999999</v>
      </c>
      <c r="I13" s="212">
        <v>336162.60710000002</v>
      </c>
      <c r="J13" s="212">
        <v>370557.53519999998</v>
      </c>
      <c r="K13" s="212">
        <v>331869.57390000002</v>
      </c>
      <c r="L13" s="212">
        <v>334301.804</v>
      </c>
      <c r="M13" s="212">
        <v>342189.9325</v>
      </c>
      <c r="N13" s="212">
        <v>369464.51309999992</v>
      </c>
      <c r="O13" s="212">
        <f t="shared" si="0"/>
        <v>4412441.7311000004</v>
      </c>
    </row>
    <row r="14" spans="1:15" ht="14.45" customHeight="1" x14ac:dyDescent="0.25">
      <c r="A14" s="281" t="s">
        <v>252</v>
      </c>
      <c r="B14" s="281"/>
      <c r="C14" s="214">
        <f t="shared" ref="C14:O14" si="1">SUM(C7:C13)</f>
        <v>1118611.6802999999</v>
      </c>
      <c r="D14" s="214">
        <f t="shared" si="1"/>
        <v>991056.02579999994</v>
      </c>
      <c r="E14" s="214">
        <f t="shared" si="1"/>
        <v>1046523.8744999999</v>
      </c>
      <c r="F14" s="214">
        <f t="shared" si="1"/>
        <v>1162499.2823000001</v>
      </c>
      <c r="G14" s="214">
        <f t="shared" si="1"/>
        <v>1120706.159</v>
      </c>
      <c r="H14" s="214">
        <f t="shared" si="1"/>
        <v>1055568.1444000001</v>
      </c>
      <c r="I14" s="214">
        <f t="shared" si="1"/>
        <v>1080181.1801999998</v>
      </c>
      <c r="J14" s="214">
        <f t="shared" si="1"/>
        <v>1082417.6169</v>
      </c>
      <c r="K14" s="214">
        <f t="shared" si="1"/>
        <v>1013698.3833000001</v>
      </c>
      <c r="L14" s="214">
        <f t="shared" si="1"/>
        <v>1049511.0377</v>
      </c>
      <c r="M14" s="214">
        <f t="shared" si="1"/>
        <v>1011323.8225</v>
      </c>
      <c r="N14" s="214">
        <f t="shared" si="1"/>
        <v>1086818.4223</v>
      </c>
      <c r="O14" s="214">
        <f t="shared" si="1"/>
        <v>12818915.6292</v>
      </c>
    </row>
    <row r="15" spans="1:15" ht="14.45" customHeight="1" x14ac:dyDescent="0.25">
      <c r="A15" s="210" t="s">
        <v>57</v>
      </c>
      <c r="B15" s="211" t="s">
        <v>58</v>
      </c>
      <c r="C15" s="212">
        <v>186948.72489999997</v>
      </c>
      <c r="D15" s="212">
        <v>224789.33600000001</v>
      </c>
      <c r="E15" s="212">
        <v>218944.25839999999</v>
      </c>
      <c r="F15" s="212">
        <v>176535.9596</v>
      </c>
      <c r="G15" s="212">
        <v>287488.62270000001</v>
      </c>
      <c r="H15" s="212">
        <v>279687.78999999998</v>
      </c>
      <c r="I15" s="212">
        <v>323206.40279999998</v>
      </c>
      <c r="J15" s="212">
        <v>321549.22820000001</v>
      </c>
      <c r="K15" s="212">
        <v>317153.9314</v>
      </c>
      <c r="L15" s="212">
        <v>344662.16279999999</v>
      </c>
      <c r="M15" s="212">
        <v>379775.25509999995</v>
      </c>
      <c r="N15" s="212">
        <v>382613.24070000002</v>
      </c>
      <c r="O15" s="212">
        <f>SUM(C15:N15)</f>
        <v>3443354.9126000004</v>
      </c>
    </row>
    <row r="16" spans="1:15" ht="14.45" customHeight="1" x14ac:dyDescent="0.25">
      <c r="A16" s="281" t="s">
        <v>288</v>
      </c>
      <c r="B16" s="281"/>
      <c r="C16" s="214">
        <f>SUM(C15)</f>
        <v>186948.72489999997</v>
      </c>
      <c r="D16" s="214">
        <f t="shared" ref="D16:O16" si="2">SUM(D15)</f>
        <v>224789.33600000001</v>
      </c>
      <c r="E16" s="214">
        <f t="shared" si="2"/>
        <v>218944.25839999999</v>
      </c>
      <c r="F16" s="214">
        <f t="shared" si="2"/>
        <v>176535.9596</v>
      </c>
      <c r="G16" s="214">
        <f t="shared" si="2"/>
        <v>287488.62270000001</v>
      </c>
      <c r="H16" s="214">
        <f t="shared" si="2"/>
        <v>279687.78999999998</v>
      </c>
      <c r="I16" s="214">
        <f t="shared" si="2"/>
        <v>323206.40279999998</v>
      </c>
      <c r="J16" s="214">
        <f t="shared" si="2"/>
        <v>321549.22820000001</v>
      </c>
      <c r="K16" s="214">
        <f t="shared" si="2"/>
        <v>317153.9314</v>
      </c>
      <c r="L16" s="214">
        <f t="shared" si="2"/>
        <v>344662.16279999999</v>
      </c>
      <c r="M16" s="214">
        <f t="shared" si="2"/>
        <v>379775.25509999995</v>
      </c>
      <c r="N16" s="214">
        <f t="shared" si="2"/>
        <v>382613.24070000002</v>
      </c>
      <c r="O16" s="214">
        <f t="shared" si="2"/>
        <v>3443354.9126000004</v>
      </c>
    </row>
    <row r="17" spans="1:17" ht="14.45" customHeight="1" x14ac:dyDescent="0.25">
      <c r="A17" s="210" t="s">
        <v>121</v>
      </c>
      <c r="B17" s="211" t="s">
        <v>280</v>
      </c>
      <c r="C17" s="212">
        <v>55882.691800000001</v>
      </c>
      <c r="D17" s="212">
        <v>183512.8928</v>
      </c>
      <c r="E17" s="212">
        <v>168492.51990000001</v>
      </c>
      <c r="F17" s="212">
        <v>4713.2605000000003</v>
      </c>
      <c r="G17" s="212">
        <v>206457.3749</v>
      </c>
      <c r="H17" s="212">
        <v>270620.71149999998</v>
      </c>
      <c r="I17" s="212">
        <v>218189.8088</v>
      </c>
      <c r="J17" s="212">
        <v>538917.15</v>
      </c>
      <c r="K17" s="212">
        <v>582095.66980000003</v>
      </c>
      <c r="L17" s="212">
        <v>258195.61139999999</v>
      </c>
      <c r="M17" s="212">
        <v>53657.770499999999</v>
      </c>
      <c r="N17" s="212">
        <v>17729.517899999999</v>
      </c>
      <c r="O17" s="212">
        <f>SUM(C17:N17)</f>
        <v>2558464.9797999999</v>
      </c>
    </row>
    <row r="18" spans="1:17" ht="14.45" customHeight="1" x14ac:dyDescent="0.25">
      <c r="A18" s="210" t="s">
        <v>27</v>
      </c>
      <c r="B18" s="211">
        <v>57</v>
      </c>
      <c r="C18" s="212">
        <v>4820594.3316000002</v>
      </c>
      <c r="D18" s="212">
        <v>4906359.21</v>
      </c>
      <c r="E18" s="212">
        <v>4574478.6178000001</v>
      </c>
      <c r="F18" s="212">
        <v>3474040.1088</v>
      </c>
      <c r="G18" s="212">
        <v>831237.4</v>
      </c>
      <c r="H18" s="212">
        <v>2679420.06</v>
      </c>
      <c r="I18" s="212">
        <v>465560</v>
      </c>
      <c r="J18" s="212">
        <v>172725.2</v>
      </c>
      <c r="K18" s="212">
        <v>3245383.9018000001</v>
      </c>
      <c r="L18" s="212">
        <v>5582423.0999999996</v>
      </c>
      <c r="M18" s="212">
        <v>5834340.2507999996</v>
      </c>
      <c r="N18" s="212">
        <v>6107385.1804</v>
      </c>
      <c r="O18" s="212">
        <f>SUM(C18:N18)</f>
        <v>42693947.361199997</v>
      </c>
    </row>
    <row r="19" spans="1:17" ht="14.45" customHeight="1" x14ac:dyDescent="0.25">
      <c r="A19" s="298" t="s">
        <v>289</v>
      </c>
      <c r="B19" s="211">
        <v>56</v>
      </c>
      <c r="C19" s="212">
        <v>12890380.8051</v>
      </c>
      <c r="D19" s="212">
        <v>10237675.7599</v>
      </c>
      <c r="E19" s="212">
        <v>8586099.7433000002</v>
      </c>
      <c r="F19" s="212">
        <v>6632477.7358000008</v>
      </c>
      <c r="G19" s="212">
        <v>1527364.0508000001</v>
      </c>
      <c r="H19" s="212">
        <v>5141184.9868999999</v>
      </c>
      <c r="I19" s="212">
        <v>895324.21589999984</v>
      </c>
      <c r="J19" s="212">
        <v>7605.6623</v>
      </c>
      <c r="K19" s="212">
        <v>6760199.2720000008</v>
      </c>
      <c r="L19" s="212">
        <v>10589866.2818</v>
      </c>
      <c r="M19" s="212">
        <v>12102098.6722</v>
      </c>
      <c r="N19" s="212">
        <v>12965808.0151</v>
      </c>
      <c r="O19" s="212">
        <f>SUM(C19:N19)</f>
        <v>88336085.201099992</v>
      </c>
    </row>
    <row r="20" spans="1:17" ht="14.45" customHeight="1" x14ac:dyDescent="0.25">
      <c r="A20" s="298"/>
      <c r="B20" s="211">
        <v>88</v>
      </c>
      <c r="C20" s="212">
        <v>16578564.793800002</v>
      </c>
      <c r="D20" s="212">
        <v>16280719.3013</v>
      </c>
      <c r="E20" s="212">
        <v>18505543.313299999</v>
      </c>
      <c r="F20" s="212">
        <v>14687955.8167</v>
      </c>
      <c r="G20" s="212">
        <v>20233571.132199999</v>
      </c>
      <c r="H20" s="212">
        <v>22617370.388800003</v>
      </c>
      <c r="I20" s="212">
        <v>22556395.636500001</v>
      </c>
      <c r="J20" s="212">
        <v>24255592.0273</v>
      </c>
      <c r="K20" s="212">
        <v>26288585.662300002</v>
      </c>
      <c r="L20" s="212">
        <v>24562218.688900005</v>
      </c>
      <c r="M20" s="212">
        <v>23461732.713300001</v>
      </c>
      <c r="N20" s="212">
        <v>21811494.950799998</v>
      </c>
      <c r="O20" s="212">
        <f>SUM(C20:N20)</f>
        <v>251839744.42519999</v>
      </c>
    </row>
    <row r="21" spans="1:17" ht="14.45" customHeight="1" x14ac:dyDescent="0.25">
      <c r="A21" s="281" t="s">
        <v>258</v>
      </c>
      <c r="B21" s="281"/>
      <c r="C21" s="214">
        <f>SUM(C17:C20)</f>
        <v>34345422.622299999</v>
      </c>
      <c r="D21" s="214">
        <f t="shared" ref="D21:O21" si="3">SUM(D17:D20)</f>
        <v>31608267.164000001</v>
      </c>
      <c r="E21" s="214">
        <f t="shared" si="3"/>
        <v>31834614.1943</v>
      </c>
      <c r="F21" s="214">
        <f t="shared" si="3"/>
        <v>24799186.921800002</v>
      </c>
      <c r="G21" s="214">
        <f t="shared" si="3"/>
        <v>22798629.957899999</v>
      </c>
      <c r="H21" s="214">
        <f t="shared" si="3"/>
        <v>30708596.147200003</v>
      </c>
      <c r="I21" s="214">
        <f t="shared" si="3"/>
        <v>24135469.661200002</v>
      </c>
      <c r="J21" s="214">
        <f t="shared" si="3"/>
        <v>24974840.0396</v>
      </c>
      <c r="K21" s="214">
        <f t="shared" si="3"/>
        <v>36876264.505900003</v>
      </c>
      <c r="L21" s="214">
        <f t="shared" si="3"/>
        <v>40992703.682100005</v>
      </c>
      <c r="M21" s="214">
        <f t="shared" si="3"/>
        <v>41451829.406800002</v>
      </c>
      <c r="N21" s="214">
        <f t="shared" si="3"/>
        <v>40902417.664199993</v>
      </c>
      <c r="O21" s="214">
        <f t="shared" si="3"/>
        <v>385428241.96729994</v>
      </c>
      <c r="Q21" s="3">
        <f>+O22/365</f>
        <v>1100521.9520797259</v>
      </c>
    </row>
    <row r="22" spans="1:17" ht="14.45" customHeight="1" x14ac:dyDescent="0.25">
      <c r="A22" s="215" t="s">
        <v>125</v>
      </c>
      <c r="B22" s="207"/>
      <c r="C22" s="216">
        <f>SUM(C14+C16+C21)-1</f>
        <v>35650982.027499996</v>
      </c>
      <c r="D22" s="216">
        <f t="shared" ref="D22:M22" si="4">SUM(D14+D16+D21)</f>
        <v>32824112.525800001</v>
      </c>
      <c r="E22" s="216">
        <f t="shared" si="4"/>
        <v>33100082.327199999</v>
      </c>
      <c r="F22" s="216">
        <f>SUM(F14+F16+F21)-1</f>
        <v>26138221.163700003</v>
      </c>
      <c r="G22" s="216">
        <f t="shared" si="4"/>
        <v>24206824.739599999</v>
      </c>
      <c r="H22" s="216">
        <f t="shared" si="4"/>
        <v>32043852.081600003</v>
      </c>
      <c r="I22" s="216">
        <f t="shared" si="4"/>
        <v>25538857.244200002</v>
      </c>
      <c r="J22" s="216">
        <f>SUM(J14+J16+J21)+1</f>
        <v>26378807.8847</v>
      </c>
      <c r="K22" s="216">
        <f>SUM(K14+K16+K21)-1</f>
        <v>38207115.820600003</v>
      </c>
      <c r="L22" s="216">
        <f t="shared" si="4"/>
        <v>42386876.882600002</v>
      </c>
      <c r="M22" s="216">
        <f t="shared" si="4"/>
        <v>42842928.484400004</v>
      </c>
      <c r="N22" s="216">
        <f>SUM(N14+N16+N21)+1</f>
        <v>42371850.327199996</v>
      </c>
      <c r="O22" s="216">
        <f>SUM(O14+O16+O21)</f>
        <v>401690512.50909996</v>
      </c>
      <c r="Q22" s="4">
        <f>+Q21/1000</f>
        <v>1100.5219520797259</v>
      </c>
    </row>
    <row r="24" spans="1:17" ht="14.45" customHeight="1" x14ac:dyDescent="0.25">
      <c r="A24" s="1" t="s">
        <v>391</v>
      </c>
    </row>
    <row r="25" spans="1:17" ht="14.45" customHeight="1" x14ac:dyDescent="0.2">
      <c r="B25" s="65"/>
      <c r="C25" s="66">
        <v>44197</v>
      </c>
      <c r="D25" s="66">
        <v>44228</v>
      </c>
      <c r="E25" s="66">
        <v>44256</v>
      </c>
      <c r="F25" s="66">
        <v>44287</v>
      </c>
      <c r="G25" s="66">
        <v>44317</v>
      </c>
      <c r="H25" s="66">
        <v>44348</v>
      </c>
      <c r="I25" s="66">
        <v>44378</v>
      </c>
      <c r="J25" s="66">
        <v>44409</v>
      </c>
      <c r="K25" s="66">
        <v>44440</v>
      </c>
      <c r="L25" s="66">
        <v>44470</v>
      </c>
      <c r="M25" s="66">
        <v>44501</v>
      </c>
      <c r="N25" s="66">
        <v>44531</v>
      </c>
      <c r="O25" s="65"/>
    </row>
    <row r="26" spans="1:17" ht="14.45" customHeight="1" x14ac:dyDescent="0.2">
      <c r="B26" s="65" t="s">
        <v>290</v>
      </c>
      <c r="C26" s="67">
        <f>+C14+C16</f>
        <v>1305560.4051999999</v>
      </c>
      <c r="D26" s="67">
        <f t="shared" ref="D26:N26" si="5">+D14+D16</f>
        <v>1215845.3618000001</v>
      </c>
      <c r="E26" s="67">
        <f t="shared" si="5"/>
        <v>1265468.1328999999</v>
      </c>
      <c r="F26" s="67">
        <f t="shared" si="5"/>
        <v>1339035.2419</v>
      </c>
      <c r="G26" s="67">
        <f t="shared" si="5"/>
        <v>1408194.7816999999</v>
      </c>
      <c r="H26" s="67">
        <f t="shared" si="5"/>
        <v>1335255.9344000001</v>
      </c>
      <c r="I26" s="67">
        <f t="shared" si="5"/>
        <v>1403387.5829999999</v>
      </c>
      <c r="J26" s="67">
        <f t="shared" si="5"/>
        <v>1403966.8451</v>
      </c>
      <c r="K26" s="67">
        <f t="shared" si="5"/>
        <v>1330852.3147</v>
      </c>
      <c r="L26" s="67">
        <f t="shared" si="5"/>
        <v>1394173.2005</v>
      </c>
      <c r="M26" s="67">
        <f t="shared" si="5"/>
        <v>1391099.0776</v>
      </c>
      <c r="N26" s="67">
        <f t="shared" si="5"/>
        <v>1469431.6629999999</v>
      </c>
      <c r="O26" s="65"/>
    </row>
    <row r="27" spans="1:17" ht="14.45" customHeight="1" x14ac:dyDescent="0.2">
      <c r="B27" s="65" t="s">
        <v>291</v>
      </c>
      <c r="C27" s="67">
        <f>+C21</f>
        <v>34345422.622299999</v>
      </c>
      <c r="D27" s="67">
        <f t="shared" ref="D27:N27" si="6">+D21</f>
        <v>31608267.164000001</v>
      </c>
      <c r="E27" s="67">
        <f t="shared" si="6"/>
        <v>31834614.1943</v>
      </c>
      <c r="F27" s="67">
        <f t="shared" si="6"/>
        <v>24799186.921800002</v>
      </c>
      <c r="G27" s="67">
        <f t="shared" si="6"/>
        <v>22798629.957899999</v>
      </c>
      <c r="H27" s="67">
        <f t="shared" si="6"/>
        <v>30708596.147200003</v>
      </c>
      <c r="I27" s="67">
        <f t="shared" si="6"/>
        <v>24135469.661200002</v>
      </c>
      <c r="J27" s="67">
        <f t="shared" si="6"/>
        <v>24974840.0396</v>
      </c>
      <c r="K27" s="67">
        <f t="shared" si="6"/>
        <v>36876264.505900003</v>
      </c>
      <c r="L27" s="67">
        <f t="shared" si="6"/>
        <v>40992703.682100005</v>
      </c>
      <c r="M27" s="67">
        <f t="shared" si="6"/>
        <v>41451829.406800002</v>
      </c>
      <c r="N27" s="67">
        <f t="shared" si="6"/>
        <v>40902417.664199993</v>
      </c>
      <c r="O27" s="65"/>
    </row>
    <row r="28" spans="1:17" ht="14.45" customHeight="1" x14ac:dyDescent="0.2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7" ht="14.45" customHeight="1" x14ac:dyDescent="0.2">
      <c r="B29" s="65" t="s">
        <v>287</v>
      </c>
      <c r="C29" s="67">
        <f>+C26+C27</f>
        <v>35650983.027499996</v>
      </c>
      <c r="D29" s="67">
        <f t="shared" ref="D29:N29" si="7">+D26+D27</f>
        <v>32824112.525800001</v>
      </c>
      <c r="E29" s="67">
        <f t="shared" si="7"/>
        <v>33100082.327199999</v>
      </c>
      <c r="F29" s="67">
        <f t="shared" si="7"/>
        <v>26138222.163700003</v>
      </c>
      <c r="G29" s="67">
        <f t="shared" si="7"/>
        <v>24206824.739599999</v>
      </c>
      <c r="H29" s="67">
        <f t="shared" si="7"/>
        <v>32043852.081600003</v>
      </c>
      <c r="I29" s="67">
        <f t="shared" si="7"/>
        <v>25538857.244200002</v>
      </c>
      <c r="J29" s="67">
        <f t="shared" si="7"/>
        <v>26378806.8847</v>
      </c>
      <c r="K29" s="67">
        <f t="shared" si="7"/>
        <v>38207116.820600003</v>
      </c>
      <c r="L29" s="67">
        <f t="shared" si="7"/>
        <v>42386876.882600002</v>
      </c>
      <c r="M29" s="67">
        <f t="shared" si="7"/>
        <v>42842928.484400004</v>
      </c>
      <c r="N29" s="67">
        <f t="shared" si="7"/>
        <v>42371849.327199996</v>
      </c>
      <c r="O29" s="65"/>
    </row>
    <row r="30" spans="1:17" ht="14.45" customHeight="1" x14ac:dyDescent="0.2">
      <c r="B30" s="65" t="s">
        <v>292</v>
      </c>
      <c r="C30" s="67">
        <f>C29/1000</f>
        <v>35650.983027499999</v>
      </c>
      <c r="D30" s="67">
        <f t="shared" ref="D30:M30" si="8">D29/1000</f>
        <v>32824.112525800003</v>
      </c>
      <c r="E30" s="67">
        <f t="shared" si="8"/>
        <v>33100.082327199998</v>
      </c>
      <c r="F30" s="67">
        <f t="shared" si="8"/>
        <v>26138.222163700004</v>
      </c>
      <c r="G30" s="67">
        <f t="shared" si="8"/>
        <v>24206.824739600001</v>
      </c>
      <c r="H30" s="67">
        <f t="shared" si="8"/>
        <v>32043.852081600002</v>
      </c>
      <c r="I30" s="67">
        <f t="shared" si="8"/>
        <v>25538.857244200004</v>
      </c>
      <c r="J30" s="67">
        <f t="shared" si="8"/>
        <v>26378.8068847</v>
      </c>
      <c r="K30" s="67">
        <f t="shared" si="8"/>
        <v>38207.1168206</v>
      </c>
      <c r="L30" s="67">
        <f t="shared" si="8"/>
        <v>42386.876882600001</v>
      </c>
      <c r="M30" s="67">
        <f t="shared" si="8"/>
        <v>42842.928484400007</v>
      </c>
      <c r="N30" s="67">
        <f>N29/1000</f>
        <v>42371.849327199998</v>
      </c>
      <c r="O30" s="65"/>
    </row>
    <row r="31" spans="1:17" ht="14.45" customHeight="1" x14ac:dyDescent="0.2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7" ht="14.45" customHeight="1" x14ac:dyDescent="0.2">
      <c r="B32" s="65" t="s">
        <v>290</v>
      </c>
      <c r="C32" s="93">
        <f>C26/1000</f>
        <v>1305.5604051999999</v>
      </c>
      <c r="D32" s="93">
        <f t="shared" ref="D32:N33" si="9">D26/1000</f>
        <v>1215.8453618000001</v>
      </c>
      <c r="E32" s="93">
        <f t="shared" si="9"/>
        <v>1265.4681328999998</v>
      </c>
      <c r="F32" s="93">
        <f t="shared" si="9"/>
        <v>1339.0352419000001</v>
      </c>
      <c r="G32" s="93">
        <f t="shared" si="9"/>
        <v>1408.1947817</v>
      </c>
      <c r="H32" s="93">
        <f t="shared" si="9"/>
        <v>1335.2559344000001</v>
      </c>
      <c r="I32" s="93">
        <f t="shared" si="9"/>
        <v>1403.3875829999999</v>
      </c>
      <c r="J32" s="93">
        <f t="shared" si="9"/>
        <v>1403.9668451</v>
      </c>
      <c r="K32" s="93">
        <f t="shared" si="9"/>
        <v>1330.8523147000001</v>
      </c>
      <c r="L32" s="93">
        <f t="shared" si="9"/>
        <v>1394.1732005000001</v>
      </c>
      <c r="M32" s="93">
        <f t="shared" si="9"/>
        <v>1391.0990775999999</v>
      </c>
      <c r="N32" s="93">
        <f t="shared" si="9"/>
        <v>1469.4316629999998</v>
      </c>
      <c r="O32" s="65"/>
    </row>
    <row r="33" spans="2:15" ht="14.45" customHeight="1" x14ac:dyDescent="0.2">
      <c r="B33" s="65" t="s">
        <v>291</v>
      </c>
      <c r="C33" s="93">
        <f>C27/1000</f>
        <v>34345.422622300001</v>
      </c>
      <c r="D33" s="93">
        <f t="shared" si="9"/>
        <v>31608.267164000001</v>
      </c>
      <c r="E33" s="93">
        <f t="shared" si="9"/>
        <v>31834.6141943</v>
      </c>
      <c r="F33" s="93">
        <f t="shared" si="9"/>
        <v>24799.186921800003</v>
      </c>
      <c r="G33" s="93">
        <f t="shared" si="9"/>
        <v>22798.629957900001</v>
      </c>
      <c r="H33" s="93">
        <f t="shared" si="9"/>
        <v>30708.596147200002</v>
      </c>
      <c r="I33" s="93">
        <f>I27/1000</f>
        <v>24135.469661200001</v>
      </c>
      <c r="J33" s="93">
        <f t="shared" si="9"/>
        <v>24974.8400396</v>
      </c>
      <c r="K33" s="93">
        <f t="shared" si="9"/>
        <v>36876.264505900006</v>
      </c>
      <c r="L33" s="93">
        <f t="shared" si="9"/>
        <v>40992.703682100007</v>
      </c>
      <c r="M33" s="93">
        <f t="shared" si="9"/>
        <v>41451.829406800003</v>
      </c>
      <c r="N33" s="93">
        <f t="shared" si="9"/>
        <v>40902.417664199995</v>
      </c>
      <c r="O33" s="65"/>
    </row>
    <row r="37" spans="2:15" ht="18.75" customHeight="1" x14ac:dyDescent="0.2">
      <c r="C37" s="13" t="s">
        <v>440</v>
      </c>
    </row>
    <row r="60" spans="2:2" ht="14.45" customHeight="1" x14ac:dyDescent="0.25">
      <c r="B60" s="1" t="s">
        <v>391</v>
      </c>
    </row>
    <row r="62" spans="2:2" ht="14.45" customHeight="1" x14ac:dyDescent="0.25">
      <c r="B62" s="1"/>
    </row>
    <row r="70" spans="2:2" ht="14.45" customHeight="1" x14ac:dyDescent="0.25">
      <c r="B70" s="1"/>
    </row>
  </sheetData>
  <mergeCells count="6">
    <mergeCell ref="A21:B21"/>
    <mergeCell ref="A2:O2"/>
    <mergeCell ref="A14:B14"/>
    <mergeCell ref="A16:B16"/>
    <mergeCell ref="A19:A20"/>
    <mergeCell ref="A4:O5"/>
  </mergeCells>
  <pageMargins left="0.7" right="0.7" top="0.75" bottom="0.75" header="0.3" footer="0.3"/>
  <pageSetup scale="43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  <pageSetUpPr fitToPage="1"/>
  </sheetPr>
  <dimension ref="A2:O80"/>
  <sheetViews>
    <sheetView showGridLines="0" zoomScaleNormal="100" workbookViewId="0">
      <selection activeCell="A4" sqref="A4:K23"/>
    </sheetView>
  </sheetViews>
  <sheetFormatPr baseColWidth="10" defaultColWidth="9.42578125" defaultRowHeight="11.25" x14ac:dyDescent="0.25"/>
  <cols>
    <col min="1" max="1" width="18.42578125" style="70" customWidth="1"/>
    <col min="2" max="2" width="9.42578125" style="68"/>
    <col min="3" max="3" width="9.42578125" style="69" hidden="1" customWidth="1"/>
    <col min="4" max="16384" width="9.42578125" style="69"/>
  </cols>
  <sheetData>
    <row r="2" spans="1:11" ht="12" x14ac:dyDescent="0.2">
      <c r="A2" s="301" t="s">
        <v>779</v>
      </c>
      <c r="B2" s="301"/>
      <c r="C2" s="301"/>
      <c r="D2" s="301"/>
      <c r="E2" s="301"/>
      <c r="F2" s="301"/>
      <c r="G2" s="301"/>
      <c r="H2" s="301"/>
      <c r="I2" s="301"/>
      <c r="J2" s="301"/>
      <c r="K2" s="15"/>
    </row>
    <row r="4" spans="1:11" s="68" customFormat="1" ht="14.45" customHeight="1" x14ac:dyDescent="0.25">
      <c r="A4" s="295" t="s">
        <v>780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1:11" s="68" customFormat="1" ht="14.45" customHeigh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</row>
    <row r="6" spans="1:11" s="68" customFormat="1" ht="14.45" customHeight="1" x14ac:dyDescent="0.25">
      <c r="A6" s="228" t="s">
        <v>0</v>
      </c>
      <c r="B6" s="208" t="s">
        <v>1</v>
      </c>
      <c r="C6" s="208">
        <v>2013</v>
      </c>
      <c r="D6" s="208">
        <v>2014</v>
      </c>
      <c r="E6" s="208">
        <v>2015</v>
      </c>
      <c r="F6" s="208">
        <v>2016</v>
      </c>
      <c r="G6" s="208">
        <v>2017</v>
      </c>
      <c r="H6" s="208">
        <v>2018</v>
      </c>
      <c r="I6" s="208">
        <v>2019</v>
      </c>
      <c r="J6" s="208">
        <v>2020</v>
      </c>
      <c r="K6" s="208">
        <v>2021</v>
      </c>
    </row>
    <row r="7" spans="1:11" ht="14.45" customHeight="1" x14ac:dyDescent="0.25">
      <c r="A7" s="210" t="s">
        <v>433</v>
      </c>
      <c r="B7" s="211" t="s">
        <v>113</v>
      </c>
      <c r="C7" s="264">
        <v>2029.2</v>
      </c>
      <c r="D7" s="264">
        <v>2922.7</v>
      </c>
      <c r="E7" s="264">
        <v>3461.3</v>
      </c>
      <c r="F7" s="264">
        <v>3028.3</v>
      </c>
      <c r="G7" s="264">
        <v>2661.1</v>
      </c>
      <c r="H7" s="264">
        <v>2228.8000000000002</v>
      </c>
      <c r="I7" s="264">
        <v>1770.7429999999999</v>
      </c>
      <c r="J7" s="264">
        <v>1337.327</v>
      </c>
      <c r="K7" s="264">
        <v>1139.4780000000001</v>
      </c>
    </row>
    <row r="8" spans="1:11" ht="14.45" customHeight="1" x14ac:dyDescent="0.25">
      <c r="A8" s="210" t="s">
        <v>434</v>
      </c>
      <c r="B8" s="211" t="s">
        <v>439</v>
      </c>
      <c r="C8" s="264" t="s">
        <v>4</v>
      </c>
      <c r="D8" s="264" t="s">
        <v>4</v>
      </c>
      <c r="E8" s="264" t="s">
        <v>4</v>
      </c>
      <c r="F8" s="264" t="s">
        <v>4</v>
      </c>
      <c r="G8" s="264" t="s">
        <v>4</v>
      </c>
      <c r="H8" s="264" t="s">
        <v>4</v>
      </c>
      <c r="I8" s="264" t="s">
        <v>4</v>
      </c>
      <c r="J8" s="264" t="s">
        <v>4</v>
      </c>
      <c r="K8" s="264">
        <v>10.4103861</v>
      </c>
    </row>
    <row r="9" spans="1:11" ht="14.45" customHeight="1" x14ac:dyDescent="0.25">
      <c r="A9" s="210" t="s">
        <v>249</v>
      </c>
      <c r="B9" s="211" t="s">
        <v>115</v>
      </c>
      <c r="C9" s="218">
        <v>393.9</v>
      </c>
      <c r="D9" s="218">
        <v>643</v>
      </c>
      <c r="E9" s="218">
        <v>764.6</v>
      </c>
      <c r="F9" s="218">
        <v>856.3</v>
      </c>
      <c r="G9" s="218">
        <v>844.4</v>
      </c>
      <c r="H9" s="218">
        <v>886.8</v>
      </c>
      <c r="I9" s="218">
        <v>773.56</v>
      </c>
      <c r="J9" s="264">
        <v>528.78778420000003</v>
      </c>
      <c r="K9" s="264">
        <v>294.36654440000001</v>
      </c>
    </row>
    <row r="10" spans="1:11" ht="14.45" customHeight="1" x14ac:dyDescent="0.25">
      <c r="A10" s="210" t="s">
        <v>48</v>
      </c>
      <c r="B10" s="211" t="s">
        <v>49</v>
      </c>
      <c r="C10" s="218" t="s">
        <v>4</v>
      </c>
      <c r="D10" s="218" t="s">
        <v>4</v>
      </c>
      <c r="E10" s="218" t="s">
        <v>4</v>
      </c>
      <c r="F10" s="218" t="s">
        <v>4</v>
      </c>
      <c r="G10" s="218" t="s">
        <v>4</v>
      </c>
      <c r="H10" s="218" t="s">
        <v>4</v>
      </c>
      <c r="I10" s="218">
        <v>15.904999999999999</v>
      </c>
      <c r="J10" s="264">
        <v>202.84981180000003</v>
      </c>
      <c r="K10" s="264">
        <v>293.2639676</v>
      </c>
    </row>
    <row r="11" spans="1:11" ht="14.45" customHeight="1" x14ac:dyDescent="0.25">
      <c r="A11" s="210" t="s">
        <v>117</v>
      </c>
      <c r="B11" s="211" t="s">
        <v>137</v>
      </c>
      <c r="C11" s="264">
        <v>1029.4000000000001</v>
      </c>
      <c r="D11" s="264">
        <v>1028.7</v>
      </c>
      <c r="E11" s="264">
        <v>1127.3</v>
      </c>
      <c r="F11" s="264">
        <v>1156.7</v>
      </c>
      <c r="G11" s="264">
        <v>1055.8</v>
      </c>
      <c r="H11" s="264">
        <v>1055.5</v>
      </c>
      <c r="I11" s="264">
        <v>1254.9590000000001</v>
      </c>
      <c r="J11" s="264">
        <v>1277.5640000000001</v>
      </c>
      <c r="K11" s="264">
        <v>1349.7729999999999</v>
      </c>
    </row>
    <row r="12" spans="1:11" ht="14.45" customHeight="1" x14ac:dyDescent="0.25">
      <c r="A12" s="210" t="s">
        <v>23</v>
      </c>
      <c r="B12" s="211" t="s">
        <v>51</v>
      </c>
      <c r="C12" s="264">
        <v>2411.8000000000002</v>
      </c>
      <c r="D12" s="264">
        <v>4074.2</v>
      </c>
      <c r="E12" s="264">
        <v>4827.3</v>
      </c>
      <c r="F12" s="264">
        <v>5344.6</v>
      </c>
      <c r="G12" s="264">
        <v>5189.8</v>
      </c>
      <c r="H12" s="264">
        <v>5474.5</v>
      </c>
      <c r="I12" s="264">
        <v>5679.241</v>
      </c>
      <c r="J12" s="264">
        <v>5593.7359999999999</v>
      </c>
      <c r="K12" s="264">
        <v>5319.1819999999998</v>
      </c>
    </row>
    <row r="13" spans="1:11" ht="14.45" customHeight="1" x14ac:dyDescent="0.25">
      <c r="A13" s="210" t="s">
        <v>293</v>
      </c>
      <c r="B13" s="211" t="s">
        <v>8</v>
      </c>
      <c r="C13" s="264">
        <v>2223.1</v>
      </c>
      <c r="D13" s="264">
        <v>2678.9</v>
      </c>
      <c r="E13" s="264">
        <v>3880.9</v>
      </c>
      <c r="F13" s="264">
        <v>3749.5</v>
      </c>
      <c r="G13" s="264">
        <v>3588.1</v>
      </c>
      <c r="H13" s="264">
        <v>4594.3</v>
      </c>
      <c r="I13" s="264">
        <v>6342.9179999999997</v>
      </c>
      <c r="J13" s="264">
        <v>4858.8297472000004</v>
      </c>
      <c r="K13" s="264">
        <v>4412.4417311000007</v>
      </c>
    </row>
    <row r="14" spans="1:11" ht="14.45" customHeight="1" x14ac:dyDescent="0.25">
      <c r="A14" s="213" t="s">
        <v>252</v>
      </c>
      <c r="B14" s="265"/>
      <c r="C14" s="266">
        <v>8087.5</v>
      </c>
      <c r="D14" s="266">
        <v>11347.6</v>
      </c>
      <c r="E14" s="266">
        <v>14061.4</v>
      </c>
      <c r="F14" s="266">
        <v>14135.4</v>
      </c>
      <c r="G14" s="266">
        <v>13339.2</v>
      </c>
      <c r="H14" s="266">
        <v>14239.9</v>
      </c>
      <c r="I14" s="266">
        <v>15837.325999999999</v>
      </c>
      <c r="J14" s="266">
        <f>SUM(J7:J13)</f>
        <v>13799.094343200002</v>
      </c>
      <c r="K14" s="266">
        <f>SUM(K7:K13)</f>
        <v>12818.915629200001</v>
      </c>
    </row>
    <row r="15" spans="1:11" ht="14.45" customHeight="1" x14ac:dyDescent="0.25">
      <c r="A15" s="210" t="s">
        <v>57</v>
      </c>
      <c r="B15" s="211" t="s">
        <v>58</v>
      </c>
      <c r="C15" s="264">
        <v>1305.4000000000001</v>
      </c>
      <c r="D15" s="264">
        <v>2091.8000000000002</v>
      </c>
      <c r="E15" s="264">
        <v>2281.1</v>
      </c>
      <c r="F15" s="264">
        <v>2804.3</v>
      </c>
      <c r="G15" s="264">
        <v>2585</v>
      </c>
      <c r="H15" s="264">
        <v>2693.9</v>
      </c>
      <c r="I15" s="264">
        <v>2828.91</v>
      </c>
      <c r="J15" s="264">
        <v>1799.2779903999999</v>
      </c>
      <c r="K15" s="264">
        <v>3443.3549126000003</v>
      </c>
    </row>
    <row r="16" spans="1:11" ht="14.45" customHeight="1" x14ac:dyDescent="0.25">
      <c r="A16" s="213" t="s">
        <v>288</v>
      </c>
      <c r="B16" s="265"/>
      <c r="C16" s="266">
        <v>1305.4000000000001</v>
      </c>
      <c r="D16" s="266">
        <v>2091.8000000000002</v>
      </c>
      <c r="E16" s="266">
        <v>2281.1</v>
      </c>
      <c r="F16" s="266">
        <v>2804.3</v>
      </c>
      <c r="G16" s="266">
        <v>2585</v>
      </c>
      <c r="H16" s="266">
        <v>2693.9</v>
      </c>
      <c r="I16" s="266">
        <v>2828.91</v>
      </c>
      <c r="J16" s="266">
        <f>SUM(J15)</f>
        <v>1799.2779903999999</v>
      </c>
      <c r="K16" s="266">
        <f>SUM(K15)</f>
        <v>3443.3549126000003</v>
      </c>
    </row>
    <row r="17" spans="1:11" ht="14.45" customHeight="1" x14ac:dyDescent="0.25">
      <c r="A17" s="210" t="s">
        <v>121</v>
      </c>
      <c r="B17" s="211" t="s">
        <v>280</v>
      </c>
      <c r="C17" s="264">
        <v>5333.3540000000003</v>
      </c>
      <c r="D17" s="264">
        <v>5298.5</v>
      </c>
      <c r="E17" s="264">
        <v>6141.6</v>
      </c>
      <c r="F17" s="264">
        <v>4599.6000000000004</v>
      </c>
      <c r="G17" s="264">
        <v>1585</v>
      </c>
      <c r="H17" s="264">
        <v>4538.3999999999996</v>
      </c>
      <c r="I17" s="264">
        <v>4004.68</v>
      </c>
      <c r="J17" s="264">
        <v>959.84025639999993</v>
      </c>
      <c r="K17" s="264">
        <v>2558.4649798</v>
      </c>
    </row>
    <row r="18" spans="1:11" ht="14.45" customHeight="1" x14ac:dyDescent="0.25">
      <c r="A18" s="210" t="s">
        <v>27</v>
      </c>
      <c r="B18" s="211">
        <v>57</v>
      </c>
      <c r="C18" s="218" t="s">
        <v>4</v>
      </c>
      <c r="D18" s="264">
        <v>22611</v>
      </c>
      <c r="E18" s="264">
        <v>26776.400000000001</v>
      </c>
      <c r="F18" s="264">
        <v>49525.599999999999</v>
      </c>
      <c r="G18" s="264">
        <v>55007.199999999997</v>
      </c>
      <c r="H18" s="264">
        <v>60877.5</v>
      </c>
      <c r="I18" s="264">
        <v>64709.839</v>
      </c>
      <c r="J18" s="264">
        <v>64318.5563692</v>
      </c>
      <c r="K18" s="264">
        <v>42693.9473612</v>
      </c>
    </row>
    <row r="19" spans="1:11" ht="14.45" customHeight="1" x14ac:dyDescent="0.25">
      <c r="A19" s="298" t="s">
        <v>26</v>
      </c>
      <c r="B19" s="211">
        <v>56</v>
      </c>
      <c r="C19" s="264">
        <v>229823.41</v>
      </c>
      <c r="D19" s="264">
        <v>190569.9</v>
      </c>
      <c r="E19" s="264">
        <v>154238.39999999999</v>
      </c>
      <c r="F19" s="264">
        <v>164978</v>
      </c>
      <c r="G19" s="264">
        <v>151765.20000000001</v>
      </c>
      <c r="H19" s="264">
        <v>130059</v>
      </c>
      <c r="I19" s="264">
        <v>137796.08900000001</v>
      </c>
      <c r="J19" s="264">
        <v>133134.84327729998</v>
      </c>
      <c r="K19" s="264">
        <v>88336.085201099995</v>
      </c>
    </row>
    <row r="20" spans="1:11" ht="14.45" customHeight="1" x14ac:dyDescent="0.25">
      <c r="A20" s="298"/>
      <c r="B20" s="211">
        <v>88</v>
      </c>
      <c r="C20" s="212">
        <v>186009</v>
      </c>
      <c r="D20" s="264">
        <v>224488.3</v>
      </c>
      <c r="E20" s="264">
        <v>237744.7</v>
      </c>
      <c r="F20" s="264">
        <v>258388</v>
      </c>
      <c r="G20" s="264">
        <v>232768.6</v>
      </c>
      <c r="H20" s="264">
        <v>236835.4</v>
      </c>
      <c r="I20" s="264">
        <v>249058.03099999999</v>
      </c>
      <c r="J20" s="264">
        <v>210815.73423789997</v>
      </c>
      <c r="K20" s="264">
        <v>251839.74442519998</v>
      </c>
    </row>
    <row r="21" spans="1:11" ht="14.45" customHeight="1" x14ac:dyDescent="0.25">
      <c r="A21" s="213" t="s">
        <v>258</v>
      </c>
      <c r="B21" s="265"/>
      <c r="C21" s="266">
        <v>421166.3</v>
      </c>
      <c r="D21" s="266">
        <v>442967.6</v>
      </c>
      <c r="E21" s="266">
        <v>424901.2</v>
      </c>
      <c r="F21" s="266">
        <v>477491.20000000001</v>
      </c>
      <c r="G21" s="266">
        <v>441126</v>
      </c>
      <c r="H21" s="266">
        <v>432310.3</v>
      </c>
      <c r="I21" s="266">
        <v>455568.63899999997</v>
      </c>
      <c r="J21" s="266">
        <f>SUM(J17:J20)</f>
        <v>409228.97414079995</v>
      </c>
      <c r="K21" s="266">
        <f>SUM(K17:K20)</f>
        <v>385428.24196729995</v>
      </c>
    </row>
    <row r="22" spans="1:11" ht="14.45" customHeight="1" x14ac:dyDescent="0.25">
      <c r="A22" s="246" t="s">
        <v>125</v>
      </c>
      <c r="B22" s="267"/>
      <c r="C22" s="268">
        <v>430559.14</v>
      </c>
      <c r="D22" s="268">
        <v>456407</v>
      </c>
      <c r="E22" s="268">
        <v>441243.8</v>
      </c>
      <c r="F22" s="268">
        <v>494430.9</v>
      </c>
      <c r="G22" s="268">
        <v>457050.1</v>
      </c>
      <c r="H22" s="268">
        <v>449244.1</v>
      </c>
      <c r="I22" s="268">
        <v>474234.87499999994</v>
      </c>
      <c r="J22" s="268">
        <f>SUM(J14+J16+J21)</f>
        <v>424827.34647439996</v>
      </c>
      <c r="K22" s="268">
        <f>SUM(K14+K16+K21)</f>
        <v>401690.51250909996</v>
      </c>
    </row>
    <row r="23" spans="1:11" x14ac:dyDescent="0.25">
      <c r="A23" s="215" t="s">
        <v>294</v>
      </c>
      <c r="B23" s="207"/>
      <c r="C23" s="262">
        <v>1179.5999999999999</v>
      </c>
      <c r="D23" s="262">
        <v>1250.4000000000001</v>
      </c>
      <c r="E23" s="262">
        <v>1208.9000000000001</v>
      </c>
      <c r="F23" s="262">
        <v>1354.6</v>
      </c>
      <c r="G23" s="262">
        <v>1252.2</v>
      </c>
      <c r="H23" s="262">
        <v>1230.8</v>
      </c>
      <c r="I23" s="262">
        <v>1299.2736301369862</v>
      </c>
      <c r="J23" s="262">
        <f>J22/366</f>
        <v>1160.7304548480874</v>
      </c>
      <c r="K23" s="262">
        <f>K22/365</f>
        <v>1100.5219520797259</v>
      </c>
    </row>
    <row r="25" spans="1:11" x14ac:dyDescent="0.25">
      <c r="A25" s="1" t="s">
        <v>391</v>
      </c>
    </row>
    <row r="26" spans="1:11" x14ac:dyDescent="0.25">
      <c r="A26" s="1"/>
    </row>
    <row r="27" spans="1:11" ht="12" x14ac:dyDescent="0.2">
      <c r="B27" s="301" t="s">
        <v>441</v>
      </c>
      <c r="C27" s="301"/>
      <c r="D27" s="301"/>
      <c r="E27" s="301"/>
      <c r="F27" s="301"/>
      <c r="G27" s="301"/>
      <c r="H27" s="301"/>
      <c r="I27" s="301"/>
      <c r="J27" s="301"/>
      <c r="K27" s="15"/>
    </row>
    <row r="33" spans="13:15" ht="12.75" x14ac:dyDescent="0.25">
      <c r="M33" s="94">
        <f>+K23/J23-1</f>
        <v>-5.187121826336627E-2</v>
      </c>
    </row>
    <row r="35" spans="13:15" x14ac:dyDescent="0.25">
      <c r="M35" s="323" t="s">
        <v>483</v>
      </c>
      <c r="N35" s="323"/>
      <c r="O35" s="323"/>
    </row>
    <row r="36" spans="13:15" x14ac:dyDescent="0.25">
      <c r="M36" s="323"/>
      <c r="N36" s="323"/>
      <c r="O36" s="323"/>
    </row>
    <row r="37" spans="13:15" x14ac:dyDescent="0.25">
      <c r="M37" s="323"/>
      <c r="N37" s="323"/>
      <c r="O37" s="323"/>
    </row>
    <row r="38" spans="13:15" x14ac:dyDescent="0.25">
      <c r="M38" s="323"/>
      <c r="N38" s="323"/>
      <c r="O38" s="323"/>
    </row>
    <row r="39" spans="13:15" x14ac:dyDescent="0.25">
      <c r="M39" s="323"/>
      <c r="N39" s="323"/>
      <c r="O39" s="323"/>
    </row>
    <row r="50" spans="1:6" x14ac:dyDescent="0.25">
      <c r="C50" s="1" t="s">
        <v>391</v>
      </c>
    </row>
    <row r="52" spans="1:6" ht="12.75" x14ac:dyDescent="0.2">
      <c r="A52" s="65"/>
      <c r="B52" s="65"/>
      <c r="C52" s="65"/>
      <c r="D52" s="65"/>
      <c r="E52" s="65"/>
      <c r="F52" s="65"/>
    </row>
    <row r="54" spans="1:6" ht="12.75" x14ac:dyDescent="0.25">
      <c r="B54" s="71" t="s">
        <v>442</v>
      </c>
    </row>
    <row r="75" spans="1:7" x14ac:dyDescent="0.25">
      <c r="B75" s="1"/>
    </row>
    <row r="77" spans="1:7" x14ac:dyDescent="0.25">
      <c r="B77" s="1" t="s">
        <v>391</v>
      </c>
    </row>
    <row r="78" spans="1:7" x14ac:dyDescent="0.25">
      <c r="B78" s="1"/>
    </row>
    <row r="79" spans="1:7" ht="12.75" x14ac:dyDescent="0.2">
      <c r="A79" s="65"/>
      <c r="B79" s="105">
        <v>2022</v>
      </c>
      <c r="C79" s="105">
        <v>2022</v>
      </c>
      <c r="D79" s="105">
        <v>2023</v>
      </c>
      <c r="E79" s="105">
        <v>2024</v>
      </c>
      <c r="F79" s="105">
        <v>2025</v>
      </c>
      <c r="G79" s="105">
        <v>2026</v>
      </c>
    </row>
    <row r="80" spans="1:7" ht="12.75" x14ac:dyDescent="0.2">
      <c r="A80" s="65" t="s">
        <v>295</v>
      </c>
      <c r="B80" s="106">
        <v>1225</v>
      </c>
      <c r="C80" s="106">
        <v>1225.040371522377</v>
      </c>
      <c r="D80" s="106">
        <v>1294.9358856485517</v>
      </c>
      <c r="E80" s="106">
        <v>1329.5060427766023</v>
      </c>
      <c r="F80" s="106">
        <v>1370.2851550001415</v>
      </c>
      <c r="G80" s="106">
        <v>1444.9102300495522</v>
      </c>
    </row>
  </sheetData>
  <mergeCells count="5">
    <mergeCell ref="A19:A20"/>
    <mergeCell ref="M35:O39"/>
    <mergeCell ref="A2:J2"/>
    <mergeCell ref="B27:J27"/>
    <mergeCell ref="A4:K5"/>
  </mergeCells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499984740745262"/>
    <pageSetUpPr fitToPage="1"/>
  </sheetPr>
  <dimension ref="A2:P39"/>
  <sheetViews>
    <sheetView showGridLines="0" workbookViewId="0">
      <selection activeCell="D41" sqref="D41"/>
    </sheetView>
  </sheetViews>
  <sheetFormatPr baseColWidth="10" defaultColWidth="11.42578125" defaultRowHeight="11.25" x14ac:dyDescent="0.25"/>
  <cols>
    <col min="1" max="1" width="11.42578125" style="69"/>
    <col min="2" max="2" width="11.42578125" style="69" hidden="1" customWidth="1"/>
    <col min="3" max="8" width="11.42578125" style="69"/>
    <col min="9" max="10" width="10.7109375" style="69" customWidth="1"/>
    <col min="11" max="16384" width="11.42578125" style="69"/>
  </cols>
  <sheetData>
    <row r="2" spans="1:16" ht="12" x14ac:dyDescent="0.2">
      <c r="A2" s="301" t="s">
        <v>783</v>
      </c>
      <c r="B2" s="301"/>
      <c r="C2" s="301"/>
      <c r="D2" s="301"/>
      <c r="E2" s="301"/>
      <c r="F2" s="301"/>
      <c r="G2" s="301"/>
      <c r="H2" s="301"/>
      <c r="I2" s="301"/>
      <c r="J2" s="301"/>
      <c r="K2" s="13"/>
      <c r="L2" s="13"/>
      <c r="M2" s="13"/>
      <c r="N2" s="13"/>
      <c r="O2" s="13"/>
      <c r="P2" s="13"/>
    </row>
    <row r="4" spans="1:16" s="68" customFormat="1" ht="11.25" customHeight="1" x14ac:dyDescent="0.25">
      <c r="A4" s="295" t="s">
        <v>784</v>
      </c>
      <c r="B4" s="295"/>
      <c r="C4" s="295"/>
      <c r="D4" s="295"/>
      <c r="E4" s="295"/>
      <c r="F4" s="295"/>
      <c r="G4" s="295"/>
      <c r="H4" s="295"/>
      <c r="I4" s="295"/>
      <c r="J4" s="295"/>
    </row>
    <row r="5" spans="1:16" s="68" customForma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</row>
    <row r="6" spans="1:16" s="68" customFormat="1" x14ac:dyDescent="0.25">
      <c r="A6" s="269"/>
      <c r="B6" s="208">
        <v>2013</v>
      </c>
      <c r="C6" s="208">
        <v>2014</v>
      </c>
      <c r="D6" s="208">
        <v>2015</v>
      </c>
      <c r="E6" s="208">
        <v>2016</v>
      </c>
      <c r="F6" s="208">
        <v>2017</v>
      </c>
      <c r="G6" s="208">
        <v>2018</v>
      </c>
      <c r="H6" s="208">
        <v>2019</v>
      </c>
      <c r="I6" s="208">
        <v>2020</v>
      </c>
      <c r="J6" s="208">
        <v>2021</v>
      </c>
    </row>
    <row r="7" spans="1:16" x14ac:dyDescent="0.25">
      <c r="A7" s="218" t="s">
        <v>31</v>
      </c>
      <c r="B7" s="218">
        <v>492.44</v>
      </c>
      <c r="C7" s="218">
        <v>501.76</v>
      </c>
      <c r="D7" s="218">
        <v>316.69</v>
      </c>
      <c r="E7" s="218">
        <v>46.95</v>
      </c>
      <c r="F7" s="218">
        <v>17.079999999999998</v>
      </c>
      <c r="G7" s="218">
        <v>40.76</v>
      </c>
      <c r="H7" s="240">
        <v>57.727806999999999</v>
      </c>
      <c r="I7" s="240">
        <v>61.1</v>
      </c>
      <c r="J7" s="240">
        <v>3.2</v>
      </c>
      <c r="L7" s="102">
        <f>+J7/I7-1</f>
        <v>-0.94762684124386254</v>
      </c>
    </row>
    <row r="8" spans="1:16" x14ac:dyDescent="0.25">
      <c r="A8" s="218" t="s">
        <v>337</v>
      </c>
      <c r="B8" s="218">
        <v>895.41</v>
      </c>
      <c r="C8" s="218">
        <v>688.01</v>
      </c>
      <c r="D8" s="218">
        <v>438.23</v>
      </c>
      <c r="E8" s="218">
        <v>285.69</v>
      </c>
      <c r="F8" s="218">
        <v>469.79</v>
      </c>
      <c r="G8" s="218">
        <v>561.16999999999996</v>
      </c>
      <c r="H8" s="240">
        <v>561.99657999999999</v>
      </c>
      <c r="I8" s="240">
        <v>184.55</v>
      </c>
      <c r="J8" s="240">
        <v>309.61</v>
      </c>
      <c r="L8" s="102">
        <f>+J8/I8-1</f>
        <v>0.67764833378488221</v>
      </c>
    </row>
    <row r="9" spans="1:16" ht="12.75" x14ac:dyDescent="0.25">
      <c r="A9" s="270" t="s">
        <v>287</v>
      </c>
      <c r="B9" s="271">
        <f>SUM(B7:B8)</f>
        <v>1387.85</v>
      </c>
      <c r="C9" s="271">
        <f>SUM(C7:C8)</f>
        <v>1189.77</v>
      </c>
      <c r="D9" s="271">
        <f t="shared" ref="D9:J9" si="0">SUM(D7:D8)</f>
        <v>754.92000000000007</v>
      </c>
      <c r="E9" s="271">
        <f t="shared" si="0"/>
        <v>332.64</v>
      </c>
      <c r="F9" s="271">
        <f t="shared" si="0"/>
        <v>486.87</v>
      </c>
      <c r="G9" s="271">
        <f t="shared" si="0"/>
        <v>601.92999999999995</v>
      </c>
      <c r="H9" s="271">
        <f t="shared" si="0"/>
        <v>619.72438699999998</v>
      </c>
      <c r="I9" s="271">
        <f t="shared" si="0"/>
        <v>245.65</v>
      </c>
      <c r="J9" s="271">
        <f t="shared" si="0"/>
        <v>312.81</v>
      </c>
      <c r="L9" s="102">
        <f>+J9/I9-1</f>
        <v>0.27339710970893538</v>
      </c>
    </row>
    <row r="10" spans="1:16" x14ac:dyDescent="0.25">
      <c r="A10" s="1" t="s">
        <v>391</v>
      </c>
    </row>
    <row r="12" spans="1:16" x14ac:dyDescent="0.25">
      <c r="A12" s="40" t="s">
        <v>31</v>
      </c>
      <c r="B12" s="98">
        <v>492.44</v>
      </c>
      <c r="C12" s="98">
        <v>501.76</v>
      </c>
      <c r="D12" s="98">
        <v>316.69</v>
      </c>
      <c r="E12" s="98">
        <v>46.95</v>
      </c>
      <c r="F12" s="98">
        <v>17.079999999999998</v>
      </c>
      <c r="G12" s="98">
        <v>40.76</v>
      </c>
      <c r="H12" s="99">
        <v>57.727806999999999</v>
      </c>
      <c r="I12" s="99">
        <v>61.1</v>
      </c>
      <c r="J12" s="98">
        <v>3</v>
      </c>
    </row>
    <row r="13" spans="1:16" x14ac:dyDescent="0.25">
      <c r="A13" s="40" t="s">
        <v>337</v>
      </c>
      <c r="B13" s="98">
        <v>895.41</v>
      </c>
      <c r="C13" s="98">
        <v>688.01</v>
      </c>
      <c r="D13" s="98">
        <v>438.23</v>
      </c>
      <c r="E13" s="98">
        <v>285.69</v>
      </c>
      <c r="F13" s="98">
        <v>469.79</v>
      </c>
      <c r="G13" s="98">
        <v>561.16999999999996</v>
      </c>
      <c r="H13" s="99">
        <v>561.99657999999999</v>
      </c>
      <c r="I13" s="99">
        <v>184.55</v>
      </c>
      <c r="J13" s="98">
        <v>310</v>
      </c>
    </row>
    <row r="16" spans="1:16" ht="10.15" customHeight="1" x14ac:dyDescent="0.25">
      <c r="B16" s="101"/>
      <c r="C16" s="101"/>
      <c r="D16" s="101"/>
      <c r="E16" s="322" t="s">
        <v>496</v>
      </c>
      <c r="F16" s="322"/>
      <c r="G16" s="322"/>
      <c r="H16" s="322"/>
      <c r="I16" s="322"/>
      <c r="J16" s="322"/>
    </row>
    <row r="17" spans="2:15" ht="15" customHeight="1" x14ac:dyDescent="0.25">
      <c r="B17" s="101"/>
      <c r="C17" s="101"/>
      <c r="D17" s="101"/>
      <c r="E17" s="322"/>
      <c r="F17" s="322"/>
      <c r="G17" s="322"/>
      <c r="H17" s="322"/>
      <c r="I17" s="322"/>
      <c r="J17" s="322"/>
    </row>
    <row r="22" spans="2:15" ht="10.15" customHeight="1" x14ac:dyDescent="0.25">
      <c r="L22" s="324" t="s">
        <v>484</v>
      </c>
      <c r="M22" s="324"/>
      <c r="N22" s="324"/>
      <c r="O22" s="324"/>
    </row>
    <row r="23" spans="2:15" x14ac:dyDescent="0.25">
      <c r="L23" s="324"/>
      <c r="M23" s="324"/>
      <c r="N23" s="324"/>
      <c r="O23" s="324"/>
    </row>
    <row r="24" spans="2:15" x14ac:dyDescent="0.25">
      <c r="L24" s="324"/>
      <c r="M24" s="324"/>
      <c r="N24" s="324"/>
      <c r="O24" s="324"/>
    </row>
    <row r="25" spans="2:15" x14ac:dyDescent="0.25">
      <c r="L25" s="324"/>
      <c r="M25" s="324"/>
      <c r="N25" s="324"/>
      <c r="O25" s="324"/>
    </row>
    <row r="26" spans="2:15" x14ac:dyDescent="0.25">
      <c r="L26" s="324"/>
      <c r="M26" s="324"/>
      <c r="N26" s="324"/>
      <c r="O26" s="324"/>
    </row>
    <row r="27" spans="2:15" x14ac:dyDescent="0.25">
      <c r="L27" s="324"/>
      <c r="M27" s="324"/>
      <c r="N27" s="324"/>
      <c r="O27" s="324"/>
    </row>
    <row r="28" spans="2:15" x14ac:dyDescent="0.25">
      <c r="I28" s="100"/>
      <c r="J28" s="100"/>
      <c r="K28" s="100"/>
      <c r="L28" s="100"/>
    </row>
    <row r="39" spans="5:5" x14ac:dyDescent="0.25">
      <c r="E39" s="1" t="s">
        <v>391</v>
      </c>
    </row>
  </sheetData>
  <mergeCells count="4">
    <mergeCell ref="L22:O27"/>
    <mergeCell ref="A2:J2"/>
    <mergeCell ref="E16:J17"/>
    <mergeCell ref="A4:J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499984740745262"/>
    <pageSetUpPr fitToPage="1"/>
  </sheetPr>
  <dimension ref="A2:O53"/>
  <sheetViews>
    <sheetView showGridLines="0" topLeftCell="A4" zoomScale="68" zoomScaleNormal="80" workbookViewId="0">
      <selection activeCell="F6" sqref="F6"/>
    </sheetView>
  </sheetViews>
  <sheetFormatPr baseColWidth="10" defaultColWidth="9.5703125" defaultRowHeight="14.45" customHeight="1" x14ac:dyDescent="0.25"/>
  <cols>
    <col min="1" max="1" width="32.7109375" style="1" customWidth="1"/>
    <col min="2" max="2" width="9.5703125" style="2"/>
    <col min="3" max="3" width="11" style="3" bestFit="1" customWidth="1"/>
    <col min="4" max="7" width="10.7109375" style="3" bestFit="1" customWidth="1"/>
    <col min="8" max="9" width="10.28515625" style="3" bestFit="1" customWidth="1"/>
    <col min="10" max="12" width="10" style="3" bestFit="1" customWidth="1"/>
    <col min="13" max="14" width="10.7109375" style="3" bestFit="1" customWidth="1"/>
    <col min="15" max="15" width="11.7109375" style="113" bestFit="1" customWidth="1"/>
    <col min="16" max="16" width="9.5703125" style="3"/>
    <col min="17" max="17" width="2.5703125" style="3" customWidth="1"/>
    <col min="18" max="16384" width="9.5703125" style="3"/>
  </cols>
  <sheetData>
    <row r="2" spans="1:15" ht="14.45" customHeight="1" x14ac:dyDescent="0.2">
      <c r="A2" s="301" t="s">
        <v>782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</row>
    <row r="4" spans="1:15" s="2" customFormat="1" ht="14.45" customHeight="1" x14ac:dyDescent="0.25">
      <c r="A4" s="295" t="s">
        <v>781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</row>
    <row r="5" spans="1:15" s="2" customFormat="1" ht="14.45" customHeight="1" x14ac:dyDescent="0.25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</row>
    <row r="6" spans="1:15" s="2" customFormat="1" ht="14.45" customHeight="1" x14ac:dyDescent="0.25">
      <c r="A6" s="208"/>
      <c r="B6" s="208" t="s">
        <v>1</v>
      </c>
      <c r="C6" s="208" t="s">
        <v>296</v>
      </c>
      <c r="D6" s="208" t="s">
        <v>297</v>
      </c>
      <c r="E6" s="208" t="s">
        <v>298</v>
      </c>
      <c r="F6" s="208" t="s">
        <v>299</v>
      </c>
      <c r="G6" s="208" t="s">
        <v>300</v>
      </c>
      <c r="H6" s="208" t="s">
        <v>301</v>
      </c>
      <c r="I6" s="208" t="s">
        <v>302</v>
      </c>
      <c r="J6" s="208" t="s">
        <v>303</v>
      </c>
      <c r="K6" s="208" t="s">
        <v>304</v>
      </c>
      <c r="L6" s="208" t="s">
        <v>305</v>
      </c>
      <c r="M6" s="208" t="s">
        <v>306</v>
      </c>
      <c r="N6" s="208" t="s">
        <v>307</v>
      </c>
      <c r="O6" s="208" t="s">
        <v>287</v>
      </c>
    </row>
    <row r="7" spans="1:15" ht="14.45" customHeight="1" x14ac:dyDescent="0.25">
      <c r="A7" s="272" t="s">
        <v>308</v>
      </c>
      <c r="B7" s="273" t="s">
        <v>122</v>
      </c>
      <c r="C7" s="274">
        <v>0.45459004999999997</v>
      </c>
      <c r="D7" s="274">
        <v>1.7316850400000001</v>
      </c>
      <c r="E7" s="274">
        <v>0.23603998999999998</v>
      </c>
      <c r="F7" s="274">
        <v>0.27495904999999998</v>
      </c>
      <c r="G7" s="274">
        <v>0.38186555999999999</v>
      </c>
      <c r="H7" s="274">
        <v>0.22652845999999999</v>
      </c>
      <c r="I7" s="274">
        <v>0.27695628999999999</v>
      </c>
      <c r="J7" s="274">
        <v>0.52682156000000002</v>
      </c>
      <c r="K7" s="274">
        <v>0.52543305000000007</v>
      </c>
      <c r="L7" s="274">
        <v>1.1469090900000001</v>
      </c>
      <c r="M7" s="274">
        <v>-3.6711590000000002E-2</v>
      </c>
      <c r="N7" s="274">
        <v>2.2509130600000002</v>
      </c>
      <c r="O7" s="275">
        <f>+SUM(C7:N7)</f>
        <v>7.9959896100000005</v>
      </c>
    </row>
    <row r="8" spans="1:15" ht="14.45" customHeight="1" x14ac:dyDescent="0.25">
      <c r="A8" s="272" t="s">
        <v>309</v>
      </c>
      <c r="B8" s="273" t="s">
        <v>43</v>
      </c>
      <c r="C8" s="276">
        <v>0</v>
      </c>
      <c r="D8" s="276">
        <v>0</v>
      </c>
      <c r="E8" s="276">
        <v>0</v>
      </c>
      <c r="F8" s="276">
        <v>0.21403616</v>
      </c>
      <c r="G8" s="276">
        <v>7.1657999999999999E-2</v>
      </c>
      <c r="H8" s="276">
        <v>0.250865</v>
      </c>
      <c r="I8" s="276">
        <v>0.10210273</v>
      </c>
      <c r="J8" s="276">
        <v>2.7199060000000001E-2</v>
      </c>
      <c r="K8" s="276">
        <v>5.6691599999999995E-3</v>
      </c>
      <c r="L8" s="276">
        <v>4.6204820000000001E-2</v>
      </c>
      <c r="M8" s="276">
        <v>2.2161069999999998E-2</v>
      </c>
      <c r="N8" s="276">
        <v>3.9062920000000001E-2</v>
      </c>
      <c r="O8" s="277">
        <f t="shared" ref="O8:O20" si="0">+SUM(C8:N8)</f>
        <v>0.77895892000000011</v>
      </c>
    </row>
    <row r="9" spans="1:15" ht="14.45" customHeight="1" x14ac:dyDescent="0.25">
      <c r="A9" s="272" t="s">
        <v>310</v>
      </c>
      <c r="B9" s="273">
        <v>131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  <c r="H9" s="276">
        <v>0</v>
      </c>
      <c r="I9" s="276">
        <v>0</v>
      </c>
      <c r="J9" s="276">
        <v>0</v>
      </c>
      <c r="K9" s="276">
        <v>0</v>
      </c>
      <c r="L9" s="276">
        <v>0</v>
      </c>
      <c r="M9" s="276">
        <v>0</v>
      </c>
      <c r="N9" s="276">
        <v>0</v>
      </c>
      <c r="O9" s="277">
        <f t="shared" si="0"/>
        <v>0</v>
      </c>
    </row>
    <row r="10" spans="1:15" ht="14.45" customHeight="1" x14ac:dyDescent="0.25">
      <c r="A10" s="325" t="s">
        <v>311</v>
      </c>
      <c r="B10" s="273">
        <v>58</v>
      </c>
      <c r="C10" s="276">
        <v>0.31390700999999999</v>
      </c>
      <c r="D10" s="276">
        <v>0.39653730999999998</v>
      </c>
      <c r="E10" s="276">
        <v>0.46187421999999995</v>
      </c>
      <c r="F10" s="276">
        <v>0.40244342999999999</v>
      </c>
      <c r="G10" s="276">
        <v>0.39767809000000004</v>
      </c>
      <c r="H10" s="276">
        <v>0.66614039000000003</v>
      </c>
      <c r="I10" s="276">
        <v>0.58715882999999991</v>
      </c>
      <c r="J10" s="276">
        <v>1.1733262499999999</v>
      </c>
      <c r="K10" s="276">
        <v>9.4191097300000006</v>
      </c>
      <c r="L10" s="276">
        <v>7.6914704699999996</v>
      </c>
      <c r="M10" s="276">
        <v>1.36180152</v>
      </c>
      <c r="N10" s="276">
        <v>5.5160106200000012</v>
      </c>
      <c r="O10" s="277">
        <f t="shared" si="0"/>
        <v>28.387457869999999</v>
      </c>
    </row>
    <row r="11" spans="1:15" ht="14.45" customHeight="1" x14ac:dyDescent="0.25">
      <c r="A11" s="325"/>
      <c r="B11" s="273" t="s">
        <v>51</v>
      </c>
      <c r="C11" s="276">
        <v>1.2149501999999999</v>
      </c>
      <c r="D11" s="276">
        <v>1.79308994</v>
      </c>
      <c r="E11" s="276">
        <v>2.4015243599999998</v>
      </c>
      <c r="F11" s="276">
        <v>3.7128626600000003</v>
      </c>
      <c r="G11" s="276">
        <v>3.6962729100000002</v>
      </c>
      <c r="H11" s="276">
        <v>3.7719509900000001</v>
      </c>
      <c r="I11" s="276">
        <v>4.4809536300000001</v>
      </c>
      <c r="J11" s="276">
        <v>4.4022539299999996</v>
      </c>
      <c r="K11" s="276">
        <v>5.3757168600000007</v>
      </c>
      <c r="L11" s="276">
        <v>5.7657305999999995</v>
      </c>
      <c r="M11" s="276">
        <v>2.2983887200000002</v>
      </c>
      <c r="N11" s="276">
        <v>2.8660752899999999</v>
      </c>
      <c r="O11" s="277">
        <f t="shared" si="0"/>
        <v>41.77977009</v>
      </c>
    </row>
    <row r="12" spans="1:15" ht="14.45" customHeight="1" x14ac:dyDescent="0.25">
      <c r="A12" s="272" t="s">
        <v>312</v>
      </c>
      <c r="B12" s="273">
        <v>192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  <c r="H12" s="276">
        <v>0</v>
      </c>
      <c r="I12" s="276">
        <v>0</v>
      </c>
      <c r="J12" s="276">
        <v>0</v>
      </c>
      <c r="K12" s="276">
        <v>0</v>
      </c>
      <c r="L12" s="276">
        <v>0</v>
      </c>
      <c r="M12" s="276">
        <v>0</v>
      </c>
      <c r="N12" s="276">
        <v>0</v>
      </c>
      <c r="O12" s="277">
        <f t="shared" si="0"/>
        <v>0</v>
      </c>
    </row>
    <row r="13" spans="1:15" ht="14.45" customHeight="1" x14ac:dyDescent="0.25">
      <c r="A13" s="272" t="s">
        <v>313</v>
      </c>
      <c r="B13" s="273">
        <v>100</v>
      </c>
      <c r="C13" s="276" t="s">
        <v>314</v>
      </c>
      <c r="D13" s="276" t="s">
        <v>314</v>
      </c>
      <c r="E13" s="276" t="s">
        <v>314</v>
      </c>
      <c r="F13" s="276" t="s">
        <v>314</v>
      </c>
      <c r="G13" s="276" t="s">
        <v>314</v>
      </c>
      <c r="H13" s="276" t="s">
        <v>314</v>
      </c>
      <c r="I13" s="276" t="s">
        <v>314</v>
      </c>
      <c r="J13" s="276" t="s">
        <v>314</v>
      </c>
      <c r="K13" s="276" t="s">
        <v>314</v>
      </c>
      <c r="L13" s="276" t="s">
        <v>314</v>
      </c>
      <c r="M13" s="276" t="s">
        <v>314</v>
      </c>
      <c r="N13" s="276" t="s">
        <v>314</v>
      </c>
      <c r="O13" s="277">
        <f t="shared" si="0"/>
        <v>0</v>
      </c>
    </row>
    <row r="14" spans="1:15" ht="18" customHeight="1" x14ac:dyDescent="0.25">
      <c r="A14" s="272" t="s">
        <v>315</v>
      </c>
      <c r="B14" s="273" t="s">
        <v>56</v>
      </c>
      <c r="C14" s="276">
        <v>4.1533500000000001E-3</v>
      </c>
      <c r="D14" s="276">
        <v>1.3217870000000001E-2</v>
      </c>
      <c r="E14" s="276">
        <v>2.0330000000000001E-3</v>
      </c>
      <c r="F14" s="276">
        <v>2.66825E-3</v>
      </c>
      <c r="G14" s="276">
        <v>1.6000000000000001E-3</v>
      </c>
      <c r="H14" s="276">
        <v>3.3119299999999998E-3</v>
      </c>
      <c r="I14" s="276">
        <v>1.1963399999999999E-3</v>
      </c>
      <c r="J14" s="276">
        <v>8.0000000000000004E-4</v>
      </c>
      <c r="K14" s="276">
        <v>2.19031E-3</v>
      </c>
      <c r="L14" s="276">
        <v>1.5512499999999999E-3</v>
      </c>
      <c r="M14" s="276">
        <v>1.6000000000000001E-3</v>
      </c>
      <c r="N14" s="276">
        <v>1.6000000000000001E-3</v>
      </c>
      <c r="O14" s="277">
        <f t="shared" si="0"/>
        <v>3.5922299999999997E-2</v>
      </c>
    </row>
    <row r="15" spans="1:15" ht="14.45" customHeight="1" x14ac:dyDescent="0.25">
      <c r="A15" s="325" t="s">
        <v>443</v>
      </c>
      <c r="B15" s="273" t="s">
        <v>113</v>
      </c>
      <c r="C15" s="276">
        <v>5.2859099999999996E-3</v>
      </c>
      <c r="D15" s="276">
        <v>-6.69391E-3</v>
      </c>
      <c r="E15" s="276">
        <v>0</v>
      </c>
      <c r="F15" s="276">
        <v>-0.40885169999999998</v>
      </c>
      <c r="G15" s="276">
        <v>-2.0579689999999998E-2</v>
      </c>
      <c r="H15" s="276">
        <v>-3.32694E-3</v>
      </c>
      <c r="I15" s="276">
        <v>-0.73689468999999996</v>
      </c>
      <c r="J15" s="276">
        <v>-0.73689468999999996</v>
      </c>
      <c r="K15" s="276">
        <v>-0.42799977</v>
      </c>
      <c r="L15" s="276">
        <v>-2.9030009999999998E-2</v>
      </c>
      <c r="M15" s="276">
        <v>-0.13908361000000002</v>
      </c>
      <c r="N15" s="276">
        <v>0</v>
      </c>
      <c r="O15" s="277">
        <f t="shared" si="0"/>
        <v>-2.5040691000000002</v>
      </c>
    </row>
    <row r="16" spans="1:15" ht="14.45" customHeight="1" x14ac:dyDescent="0.25">
      <c r="A16" s="325"/>
      <c r="B16" s="273" t="s">
        <v>50</v>
      </c>
      <c r="C16" s="276">
        <v>1.7887470000000003E-2</v>
      </c>
      <c r="D16" s="276">
        <v>4.9289410000000006E-2</v>
      </c>
      <c r="E16" s="276">
        <v>3.528506E-2</v>
      </c>
      <c r="F16" s="276">
        <v>1.8333950000000002E-2</v>
      </c>
      <c r="G16" s="276">
        <v>4.1512400000000005E-2</v>
      </c>
      <c r="H16" s="276">
        <v>-4.08793E-3</v>
      </c>
      <c r="I16" s="276">
        <v>5.2406889999999998E-2</v>
      </c>
      <c r="J16" s="276">
        <v>-6.9474949999999994E-2</v>
      </c>
      <c r="K16" s="276">
        <v>0.46172863000000003</v>
      </c>
      <c r="L16" s="276">
        <v>4.8814510000000005E-2</v>
      </c>
      <c r="M16" s="276">
        <v>0.12132127000000001</v>
      </c>
      <c r="N16" s="276">
        <v>2.22102369</v>
      </c>
      <c r="O16" s="277">
        <f t="shared" si="0"/>
        <v>2.9940404000000003</v>
      </c>
    </row>
    <row r="17" spans="1:15" ht="14.45" customHeight="1" x14ac:dyDescent="0.25">
      <c r="A17" s="325"/>
      <c r="B17" s="273" t="s">
        <v>49</v>
      </c>
      <c r="C17" s="276">
        <v>4.474649E-2</v>
      </c>
      <c r="D17" s="276">
        <v>0.10986369</v>
      </c>
      <c r="E17" s="276">
        <v>7.8596300000000008E-2</v>
      </c>
      <c r="F17" s="276">
        <v>0.41775847999999999</v>
      </c>
      <c r="G17" s="276">
        <v>0.20210754</v>
      </c>
      <c r="H17" s="276">
        <v>0.12542529999999999</v>
      </c>
      <c r="I17" s="276">
        <v>0.15375851000000001</v>
      </c>
      <c r="J17" s="276">
        <v>0.53832460999999998</v>
      </c>
      <c r="K17" s="276">
        <v>2.5602096099999998</v>
      </c>
      <c r="L17" s="276">
        <v>2.2243413400000001</v>
      </c>
      <c r="M17" s="276">
        <v>2.0498813</v>
      </c>
      <c r="N17" s="276">
        <v>1.37236856</v>
      </c>
      <c r="O17" s="277">
        <f t="shared" si="0"/>
        <v>9.8773817300000015</v>
      </c>
    </row>
    <row r="18" spans="1:15" ht="14.45" customHeight="1" x14ac:dyDescent="0.25">
      <c r="A18" s="272" t="s">
        <v>316</v>
      </c>
      <c r="B18" s="273">
        <v>64</v>
      </c>
      <c r="C18" s="276">
        <v>2.1027939999999998E-2</v>
      </c>
      <c r="D18" s="276">
        <v>2.3156450000000002E-2</v>
      </c>
      <c r="E18" s="276">
        <v>2.4349409999999998E-2</v>
      </c>
      <c r="F18" s="276">
        <v>2.5049909999999998E-2</v>
      </c>
      <c r="G18" s="276">
        <v>2.5784619999999998E-2</v>
      </c>
      <c r="H18" s="276">
        <v>6.9489999999999992E-4</v>
      </c>
      <c r="I18" s="276">
        <v>9.8782900000000014E-3</v>
      </c>
      <c r="J18" s="276">
        <v>-8.2159999999999999E-5</v>
      </c>
      <c r="K18" s="276">
        <v>-1.7793900000000001E-3</v>
      </c>
      <c r="L18" s="276">
        <v>3.6351000000000001E-2</v>
      </c>
      <c r="M18" s="276">
        <v>5.8308449999999998E-2</v>
      </c>
      <c r="N18" s="276">
        <v>8.6393300000000006E-3</v>
      </c>
      <c r="O18" s="277">
        <f t="shared" si="0"/>
        <v>0.23137875000000002</v>
      </c>
    </row>
    <row r="19" spans="1:15" ht="14.45" customHeight="1" x14ac:dyDescent="0.25">
      <c r="A19" s="272" t="s">
        <v>317</v>
      </c>
      <c r="B19" s="273" t="s">
        <v>3</v>
      </c>
      <c r="C19" s="276">
        <v>2.1715099999999998E-2</v>
      </c>
      <c r="D19" s="276">
        <v>1.308933E-2</v>
      </c>
      <c r="E19" s="276">
        <v>3.5075830000000002E-2</v>
      </c>
      <c r="F19" s="276">
        <v>1.9749610000000001E-2</v>
      </c>
      <c r="G19" s="276">
        <v>1.8251689999999997E-2</v>
      </c>
      <c r="H19" s="276">
        <v>1.8588260000000002E-2</v>
      </c>
      <c r="I19" s="276">
        <v>4.4436239999999995E-2</v>
      </c>
      <c r="J19" s="276">
        <v>2.1258549999999998E-2</v>
      </c>
      <c r="K19" s="276">
        <v>1.9552600000000003E-2</v>
      </c>
      <c r="L19" s="276">
        <v>1.0821219999999999E-2</v>
      </c>
      <c r="M19" s="276">
        <v>1.11494E-2</v>
      </c>
      <c r="N19" s="276">
        <v>-8.9604899999999998E-3</v>
      </c>
      <c r="O19" s="277">
        <f t="shared" si="0"/>
        <v>0.22472734</v>
      </c>
    </row>
    <row r="20" spans="1:15" ht="14.45" customHeight="1" x14ac:dyDescent="0.25">
      <c r="A20" s="272" t="s">
        <v>318</v>
      </c>
      <c r="B20" s="273">
        <v>95</v>
      </c>
      <c r="C20" s="276">
        <v>1.37442869</v>
      </c>
      <c r="D20" s="276">
        <v>1.2579570500000001</v>
      </c>
      <c r="E20" s="276">
        <v>3.9427438800000001</v>
      </c>
      <c r="F20" s="276">
        <v>7.5583582300000005</v>
      </c>
      <c r="G20" s="276">
        <v>6.88032865</v>
      </c>
      <c r="H20" s="276">
        <v>7.4024027699999992</v>
      </c>
      <c r="I20" s="276">
        <v>7.09918285</v>
      </c>
      <c r="J20" s="276">
        <v>12.22768499</v>
      </c>
      <c r="K20" s="276">
        <v>6.5551146600000001</v>
      </c>
      <c r="L20" s="276">
        <v>8.8971213300000009</v>
      </c>
      <c r="M20" s="276">
        <v>8.7652458099999997</v>
      </c>
      <c r="N20" s="276">
        <v>8.3026069499999995</v>
      </c>
      <c r="O20" s="277">
        <f t="shared" si="0"/>
        <v>80.26317585999999</v>
      </c>
    </row>
    <row r="21" spans="1:15" ht="22.5" x14ac:dyDescent="0.25">
      <c r="A21" s="272" t="s">
        <v>319</v>
      </c>
      <c r="B21" s="273">
        <v>67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  <c r="H21" s="276">
        <v>0</v>
      </c>
      <c r="I21" s="276">
        <v>0</v>
      </c>
      <c r="J21" s="276">
        <v>0</v>
      </c>
      <c r="K21" s="276">
        <v>0</v>
      </c>
      <c r="L21" s="276">
        <v>0</v>
      </c>
      <c r="M21" s="276">
        <v>0</v>
      </c>
      <c r="N21" s="276">
        <v>0</v>
      </c>
      <c r="O21" s="277">
        <f>+SUM(C21:N21)</f>
        <v>0</v>
      </c>
    </row>
    <row r="22" spans="1:15" ht="14.45" customHeight="1" x14ac:dyDescent="0.25">
      <c r="A22" s="272" t="s">
        <v>443</v>
      </c>
      <c r="B22" s="273" t="s">
        <v>116</v>
      </c>
      <c r="C22" s="276">
        <v>0</v>
      </c>
      <c r="D22" s="276">
        <v>0</v>
      </c>
      <c r="E22" s="276">
        <v>1.106972E-2</v>
      </c>
      <c r="F22" s="276">
        <v>3.5611000000000003E-4</v>
      </c>
      <c r="G22" s="276">
        <v>2.5333720000000001E-2</v>
      </c>
      <c r="H22" s="276">
        <v>4.1527019999999998E-2</v>
      </c>
      <c r="I22" s="276">
        <v>3.1470780000000004E-2</v>
      </c>
      <c r="J22" s="276">
        <v>-1.3222100000000001E-3</v>
      </c>
      <c r="K22" s="276">
        <v>0</v>
      </c>
      <c r="L22" s="276">
        <v>1.6605000000000002E-4</v>
      </c>
      <c r="M22" s="276">
        <v>9.7852000000000008E-3</v>
      </c>
      <c r="N22" s="276">
        <v>0.12059931</v>
      </c>
      <c r="O22" s="277">
        <f t="shared" ref="O22:O50" si="1">+SUM(C22:N22)</f>
        <v>0.23898570000000002</v>
      </c>
    </row>
    <row r="23" spans="1:15" ht="22.5" x14ac:dyDescent="0.25">
      <c r="A23" s="272" t="s">
        <v>320</v>
      </c>
      <c r="B23" s="273" t="s">
        <v>34</v>
      </c>
      <c r="C23" s="276">
        <v>0.107669</v>
      </c>
      <c r="D23" s="276">
        <v>5.3557E-2</v>
      </c>
      <c r="E23" s="276">
        <v>3.7199999999999999E-4</v>
      </c>
      <c r="F23" s="276">
        <v>4.9419999999999999E-2</v>
      </c>
      <c r="G23" s="276">
        <v>1.3278999999999999E-2</v>
      </c>
      <c r="H23" s="276">
        <v>2.1148E-2</v>
      </c>
      <c r="I23" s="276">
        <v>1.8754E-2</v>
      </c>
      <c r="J23" s="276">
        <v>0</v>
      </c>
      <c r="K23" s="276">
        <v>0</v>
      </c>
      <c r="L23" s="276">
        <v>0</v>
      </c>
      <c r="M23" s="276">
        <v>0</v>
      </c>
      <c r="N23" s="276">
        <v>0</v>
      </c>
      <c r="O23" s="277">
        <f t="shared" si="1"/>
        <v>0.26419900000000002</v>
      </c>
    </row>
    <row r="24" spans="1:15" ht="14.45" customHeight="1" x14ac:dyDescent="0.25">
      <c r="A24" s="278" t="s">
        <v>321</v>
      </c>
      <c r="B24" s="273" t="s">
        <v>322</v>
      </c>
      <c r="C24" s="276" t="s">
        <v>314</v>
      </c>
      <c r="D24" s="276" t="s">
        <v>314</v>
      </c>
      <c r="E24" s="276" t="s">
        <v>314</v>
      </c>
      <c r="F24" s="276" t="s">
        <v>314</v>
      </c>
      <c r="G24" s="276" t="s">
        <v>314</v>
      </c>
      <c r="H24" s="276" t="s">
        <v>314</v>
      </c>
      <c r="I24" s="276" t="s">
        <v>314</v>
      </c>
      <c r="J24" s="276" t="s">
        <v>314</v>
      </c>
      <c r="K24" s="276" t="s">
        <v>314</v>
      </c>
      <c r="L24" s="276" t="s">
        <v>314</v>
      </c>
      <c r="M24" s="276" t="s">
        <v>314</v>
      </c>
      <c r="N24" s="276" t="s">
        <v>314</v>
      </c>
      <c r="O24" s="277">
        <f t="shared" si="1"/>
        <v>0</v>
      </c>
    </row>
    <row r="25" spans="1:15" ht="22.5" x14ac:dyDescent="0.25">
      <c r="A25" s="272" t="s">
        <v>323</v>
      </c>
      <c r="B25" s="273" t="s">
        <v>8</v>
      </c>
      <c r="C25" s="276">
        <v>0.29081070000000003</v>
      </c>
      <c r="D25" s="276">
        <v>0.17291218</v>
      </c>
      <c r="E25" s="276">
        <v>0.25443767</v>
      </c>
      <c r="F25" s="276">
        <v>0.38572803000000006</v>
      </c>
      <c r="G25" s="276">
        <v>0.40202729999999998</v>
      </c>
      <c r="H25" s="276">
        <v>0.37591034000000001</v>
      </c>
      <c r="I25" s="276">
        <v>0.29471987999999999</v>
      </c>
      <c r="J25" s="276">
        <v>0.65518511000000001</v>
      </c>
      <c r="K25" s="276">
        <v>1.14574508</v>
      </c>
      <c r="L25" s="276">
        <v>1.80946893</v>
      </c>
      <c r="M25" s="276">
        <v>0.69086829000000005</v>
      </c>
      <c r="N25" s="276">
        <v>1.10448127</v>
      </c>
      <c r="O25" s="277">
        <f t="shared" si="1"/>
        <v>7.5822947799999998</v>
      </c>
    </row>
    <row r="26" spans="1:15" ht="14.45" customHeight="1" x14ac:dyDescent="0.25">
      <c r="A26" s="272" t="s">
        <v>312</v>
      </c>
      <c r="B26" s="273">
        <v>116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  <c r="H26" s="276">
        <v>0</v>
      </c>
      <c r="I26" s="276">
        <v>0</v>
      </c>
      <c r="J26" s="276">
        <v>0</v>
      </c>
      <c r="K26" s="276">
        <v>0</v>
      </c>
      <c r="L26" s="276">
        <v>0</v>
      </c>
      <c r="M26" s="276">
        <v>0</v>
      </c>
      <c r="N26" s="276">
        <v>0</v>
      </c>
      <c r="O26" s="277">
        <f t="shared" si="1"/>
        <v>0</v>
      </c>
    </row>
    <row r="27" spans="1:15" ht="14.45" customHeight="1" x14ac:dyDescent="0.25">
      <c r="A27" s="325" t="s">
        <v>324</v>
      </c>
      <c r="B27" s="273" t="s">
        <v>119</v>
      </c>
      <c r="C27" s="276">
        <v>0</v>
      </c>
      <c r="D27" s="276">
        <v>0</v>
      </c>
      <c r="E27" s="276">
        <v>0</v>
      </c>
      <c r="F27" s="276">
        <v>0</v>
      </c>
      <c r="G27" s="276">
        <v>0</v>
      </c>
      <c r="H27" s="276">
        <v>0</v>
      </c>
      <c r="I27" s="276">
        <v>0</v>
      </c>
      <c r="J27" s="276">
        <v>0</v>
      </c>
      <c r="K27" s="276">
        <v>0</v>
      </c>
      <c r="L27" s="276">
        <v>0</v>
      </c>
      <c r="M27" s="276">
        <v>0</v>
      </c>
      <c r="N27" s="276">
        <v>0</v>
      </c>
      <c r="O27" s="277">
        <f t="shared" si="1"/>
        <v>0</v>
      </c>
    </row>
    <row r="28" spans="1:15" ht="14.45" customHeight="1" x14ac:dyDescent="0.25">
      <c r="A28" s="325"/>
      <c r="B28" s="273" t="s">
        <v>120</v>
      </c>
      <c r="C28" s="276">
        <v>0</v>
      </c>
      <c r="D28" s="276">
        <v>2.4820749999999999E-2</v>
      </c>
      <c r="E28" s="276">
        <v>0</v>
      </c>
      <c r="F28" s="276">
        <v>0</v>
      </c>
      <c r="G28" s="276">
        <v>0</v>
      </c>
      <c r="H28" s="276">
        <v>0</v>
      </c>
      <c r="I28" s="276">
        <v>0</v>
      </c>
      <c r="J28" s="276">
        <v>0</v>
      </c>
      <c r="K28" s="276">
        <v>0</v>
      </c>
      <c r="L28" s="276">
        <v>0</v>
      </c>
      <c r="M28" s="276">
        <v>0</v>
      </c>
      <c r="N28" s="276">
        <v>0</v>
      </c>
      <c r="O28" s="277">
        <f t="shared" si="1"/>
        <v>2.4820749999999999E-2</v>
      </c>
    </row>
    <row r="29" spans="1:15" ht="22.5" x14ac:dyDescent="0.25">
      <c r="A29" s="272" t="s">
        <v>319</v>
      </c>
      <c r="B29" s="273">
        <v>39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  <c r="H29" s="276">
        <v>0</v>
      </c>
      <c r="I29" s="276">
        <v>0</v>
      </c>
      <c r="J29" s="276">
        <v>0</v>
      </c>
      <c r="K29" s="276">
        <v>0</v>
      </c>
      <c r="L29" s="276">
        <v>0</v>
      </c>
      <c r="M29" s="276">
        <v>0</v>
      </c>
      <c r="N29" s="276">
        <v>0</v>
      </c>
      <c r="O29" s="277">
        <f t="shared" si="1"/>
        <v>0</v>
      </c>
    </row>
    <row r="30" spans="1:15" ht="22.5" x14ac:dyDescent="0.25">
      <c r="A30" s="272" t="s">
        <v>325</v>
      </c>
      <c r="B30" s="273" t="s">
        <v>40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  <c r="H30" s="276">
        <v>0</v>
      </c>
      <c r="I30" s="276">
        <v>0</v>
      </c>
      <c r="J30" s="276">
        <v>0</v>
      </c>
      <c r="K30" s="276">
        <v>0</v>
      </c>
      <c r="L30" s="276">
        <v>0</v>
      </c>
      <c r="M30" s="276">
        <v>0</v>
      </c>
      <c r="N30" s="276">
        <v>0</v>
      </c>
      <c r="O30" s="277">
        <f t="shared" si="1"/>
        <v>0</v>
      </c>
    </row>
    <row r="31" spans="1:15" ht="14.45" customHeight="1" x14ac:dyDescent="0.25">
      <c r="A31" s="272" t="s">
        <v>326</v>
      </c>
      <c r="B31" s="273" t="s">
        <v>115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  <c r="H31" s="276">
        <v>0</v>
      </c>
      <c r="I31" s="276">
        <v>0</v>
      </c>
      <c r="J31" s="276">
        <v>0</v>
      </c>
      <c r="K31" s="276">
        <v>0</v>
      </c>
      <c r="L31" s="276">
        <v>0</v>
      </c>
      <c r="M31" s="276">
        <v>0</v>
      </c>
      <c r="N31" s="276">
        <v>0</v>
      </c>
      <c r="O31" s="277">
        <f t="shared" si="1"/>
        <v>0</v>
      </c>
    </row>
    <row r="32" spans="1:15" ht="14.45" customHeight="1" x14ac:dyDescent="0.25">
      <c r="A32" s="325" t="s">
        <v>327</v>
      </c>
      <c r="B32" s="273">
        <v>107</v>
      </c>
      <c r="C32" s="276">
        <v>0.13382511999999999</v>
      </c>
      <c r="D32" s="276">
        <v>3.0645499999999999E-2</v>
      </c>
      <c r="E32" s="276">
        <v>0.10398114999999999</v>
      </c>
      <c r="F32" s="276">
        <v>0.24462914000000002</v>
      </c>
      <c r="G32" s="276">
        <v>3.5534900000000001E-2</v>
      </c>
      <c r="H32" s="276">
        <v>5.5143959999999999E-2</v>
      </c>
      <c r="I32" s="276">
        <v>3.0092689999999998E-2</v>
      </c>
      <c r="J32" s="276">
        <v>9.3174610000000005E-2</v>
      </c>
      <c r="K32" s="276">
        <v>0.14287242999999999</v>
      </c>
      <c r="L32" s="276">
        <v>9.6030960000000012E-2</v>
      </c>
      <c r="M32" s="276">
        <v>0.13844657000000002</v>
      </c>
      <c r="N32" s="276">
        <v>0.14099808</v>
      </c>
      <c r="O32" s="277">
        <f t="shared" si="1"/>
        <v>1.2453751099999999</v>
      </c>
    </row>
    <row r="33" spans="1:15" ht="22.9" customHeight="1" x14ac:dyDescent="0.25">
      <c r="A33" s="325"/>
      <c r="B33" s="273">
        <v>133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  <c r="H33" s="276">
        <v>0</v>
      </c>
      <c r="I33" s="276">
        <v>0</v>
      </c>
      <c r="J33" s="276">
        <v>0</v>
      </c>
      <c r="K33" s="276">
        <v>0</v>
      </c>
      <c r="L33" s="276">
        <v>0</v>
      </c>
      <c r="M33" s="276">
        <v>0</v>
      </c>
      <c r="N33" s="276">
        <v>0</v>
      </c>
      <c r="O33" s="277">
        <f t="shared" si="1"/>
        <v>0</v>
      </c>
    </row>
    <row r="34" spans="1:15" ht="14.45" customHeight="1" x14ac:dyDescent="0.25">
      <c r="A34" s="272" t="s">
        <v>110</v>
      </c>
      <c r="B34" s="273">
        <v>108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  <c r="H34" s="276">
        <v>0</v>
      </c>
      <c r="I34" s="276">
        <v>0</v>
      </c>
      <c r="J34" s="276">
        <v>0</v>
      </c>
      <c r="K34" s="276">
        <v>0</v>
      </c>
      <c r="L34" s="276">
        <v>0</v>
      </c>
      <c r="M34" s="276">
        <v>0</v>
      </c>
      <c r="N34" s="276">
        <v>0</v>
      </c>
      <c r="O34" s="277">
        <f t="shared" si="1"/>
        <v>0</v>
      </c>
    </row>
    <row r="35" spans="1:15" ht="14.45" customHeight="1" x14ac:dyDescent="0.25">
      <c r="A35" s="272" t="s">
        <v>328</v>
      </c>
      <c r="B35" s="273">
        <v>8</v>
      </c>
      <c r="C35" s="276">
        <v>-0.46900933</v>
      </c>
      <c r="D35" s="276">
        <v>-1.98118298</v>
      </c>
      <c r="E35" s="276">
        <v>0</v>
      </c>
      <c r="F35" s="276">
        <v>0</v>
      </c>
      <c r="G35" s="276">
        <v>3.6603664</v>
      </c>
      <c r="H35" s="276">
        <v>0.5680769</v>
      </c>
      <c r="I35" s="276">
        <v>-0.5680769200000001</v>
      </c>
      <c r="J35" s="276">
        <v>0</v>
      </c>
      <c r="K35" s="276">
        <v>0</v>
      </c>
      <c r="L35" s="276">
        <v>0</v>
      </c>
      <c r="M35" s="276">
        <v>0</v>
      </c>
      <c r="N35" s="276">
        <v>0</v>
      </c>
      <c r="O35" s="277">
        <f t="shared" si="1"/>
        <v>1.2101740699999994</v>
      </c>
    </row>
    <row r="36" spans="1:15" ht="14.45" customHeight="1" x14ac:dyDescent="0.25">
      <c r="A36" s="325" t="s">
        <v>329</v>
      </c>
      <c r="B36" s="273">
        <v>56</v>
      </c>
      <c r="C36" s="276">
        <v>1.0088177600000001</v>
      </c>
      <c r="D36" s="276">
        <v>-0.19319163</v>
      </c>
      <c r="E36" s="276">
        <v>4.6058934599999999</v>
      </c>
      <c r="F36" s="276">
        <v>1.8112793</v>
      </c>
      <c r="G36" s="276">
        <v>5.6984989999999999E-2</v>
      </c>
      <c r="H36" s="276">
        <v>1.6372360500000001</v>
      </c>
      <c r="I36" s="276">
        <v>-2.6665281699999999</v>
      </c>
      <c r="J36" s="276">
        <v>3.73052882</v>
      </c>
      <c r="K36" s="276">
        <v>0.45769780999999998</v>
      </c>
      <c r="L36" s="276">
        <v>1.7059959</v>
      </c>
      <c r="M36" s="276">
        <v>2.65136744</v>
      </c>
      <c r="N36" s="276">
        <v>6.60936258</v>
      </c>
      <c r="O36" s="277">
        <f t="shared" si="1"/>
        <v>21.415444309999998</v>
      </c>
    </row>
    <row r="37" spans="1:15" ht="14.45" customHeight="1" x14ac:dyDescent="0.25">
      <c r="A37" s="325"/>
      <c r="B37" s="273">
        <v>88</v>
      </c>
      <c r="C37" s="276">
        <v>5.8288464199999996</v>
      </c>
      <c r="D37" s="276">
        <v>17.281360289999999</v>
      </c>
      <c r="E37" s="276">
        <v>4.5200000899999999</v>
      </c>
      <c r="F37" s="276">
        <v>10.221870839999999</v>
      </c>
      <c r="G37" s="276">
        <v>4.0692149999999998</v>
      </c>
      <c r="H37" s="276">
        <v>5.0780378599999993</v>
      </c>
      <c r="I37" s="276">
        <v>3.18812206</v>
      </c>
      <c r="J37" s="276">
        <v>5.5196619</v>
      </c>
      <c r="K37" s="276">
        <v>4.1809217500000004</v>
      </c>
      <c r="L37" s="276">
        <v>5.5749053399999999</v>
      </c>
      <c r="M37" s="276">
        <v>5.6524625099999994</v>
      </c>
      <c r="N37" s="276">
        <v>8.3365358099999991</v>
      </c>
      <c r="O37" s="277">
        <f t="shared" si="1"/>
        <v>79.451939870000004</v>
      </c>
    </row>
    <row r="38" spans="1:15" ht="22.5" x14ac:dyDescent="0.25">
      <c r="A38" s="272" t="s">
        <v>330</v>
      </c>
      <c r="B38" s="273">
        <v>57</v>
      </c>
      <c r="C38" s="276">
        <v>-0.10470897999999999</v>
      </c>
      <c r="D38" s="276">
        <v>0.28588034999999995</v>
      </c>
      <c r="E38" s="276">
        <v>0.18183960999999998</v>
      </c>
      <c r="F38" s="276">
        <v>0.23468798999999999</v>
      </c>
      <c r="G38" s="276">
        <v>0.1183101</v>
      </c>
      <c r="H38" s="276">
        <v>9.4501309999999991E-2</v>
      </c>
      <c r="I38" s="276">
        <v>0.12227136999999999</v>
      </c>
      <c r="J38" s="276">
        <v>0.56420437999999995</v>
      </c>
      <c r="K38" s="276">
        <v>0.24962877</v>
      </c>
      <c r="L38" s="276">
        <v>-1.9877470000000001E-2</v>
      </c>
      <c r="M38" s="276">
        <v>0.17458179999999998</v>
      </c>
      <c r="N38" s="276">
        <v>0.74896783999999994</v>
      </c>
      <c r="O38" s="277">
        <f t="shared" si="1"/>
        <v>2.6502870699999996</v>
      </c>
    </row>
    <row r="39" spans="1:15" ht="22.5" x14ac:dyDescent="0.25">
      <c r="A39" s="272" t="s">
        <v>331</v>
      </c>
      <c r="B39" s="273" t="s">
        <v>332</v>
      </c>
      <c r="C39" s="276">
        <v>0.26984433000000002</v>
      </c>
      <c r="D39" s="276">
        <v>1.2212609699999999</v>
      </c>
      <c r="E39" s="276">
        <v>1.7347496</v>
      </c>
      <c r="F39" s="276">
        <v>2.3169426500000001</v>
      </c>
      <c r="G39" s="276">
        <v>3.0238261200000003</v>
      </c>
      <c r="H39" s="276">
        <v>3.8938008900000001</v>
      </c>
      <c r="I39" s="276">
        <v>2.0601194</v>
      </c>
      <c r="J39" s="276">
        <v>2.0081487600000001</v>
      </c>
      <c r="K39" s="276">
        <v>1.06875057</v>
      </c>
      <c r="L39" s="276">
        <v>1.7104845099999999</v>
      </c>
      <c r="M39" s="276">
        <v>0.25095538000000001</v>
      </c>
      <c r="N39" s="276">
        <v>0.17494817999999998</v>
      </c>
      <c r="O39" s="277">
        <f t="shared" si="1"/>
        <v>19.73383136</v>
      </c>
    </row>
    <row r="40" spans="1:15" ht="14.45" customHeight="1" x14ac:dyDescent="0.25">
      <c r="A40" s="325" t="s">
        <v>333</v>
      </c>
      <c r="B40" s="273" t="s">
        <v>58</v>
      </c>
      <c r="C40" s="276">
        <v>9.5183770000000001E-2</v>
      </c>
      <c r="D40" s="276">
        <v>0.20762975</v>
      </c>
      <c r="E40" s="276">
        <v>0.35393405</v>
      </c>
      <c r="F40" s="276">
        <v>0.40785713000000001</v>
      </c>
      <c r="G40" s="276">
        <v>0.86493100000000001</v>
      </c>
      <c r="H40" s="276">
        <v>0.56708274999999997</v>
      </c>
      <c r="I40" s="276">
        <v>0.97955219999999998</v>
      </c>
      <c r="J40" s="276">
        <v>0.65007703000000006</v>
      </c>
      <c r="K40" s="276">
        <v>0.32863053000000003</v>
      </c>
      <c r="L40" s="276">
        <v>0.69249795999999997</v>
      </c>
      <c r="M40" s="276">
        <v>0.73521778000000004</v>
      </c>
      <c r="N40" s="276">
        <v>1.58007502</v>
      </c>
      <c r="O40" s="277">
        <f t="shared" si="1"/>
        <v>7.4626689700000002</v>
      </c>
    </row>
    <row r="41" spans="1:15" ht="14.45" customHeight="1" x14ac:dyDescent="0.25">
      <c r="A41" s="325"/>
      <c r="B41" s="273" t="s">
        <v>123</v>
      </c>
      <c r="C41" s="276">
        <v>0</v>
      </c>
      <c r="D41" s="276">
        <v>0</v>
      </c>
      <c r="E41" s="276">
        <v>0</v>
      </c>
      <c r="F41" s="276">
        <v>0</v>
      </c>
      <c r="G41" s="276">
        <v>0</v>
      </c>
      <c r="H41" s="276">
        <v>0</v>
      </c>
      <c r="I41" s="276">
        <v>0</v>
      </c>
      <c r="J41" s="276">
        <v>0</v>
      </c>
      <c r="K41" s="276">
        <v>0</v>
      </c>
      <c r="L41" s="276">
        <v>0</v>
      </c>
      <c r="M41" s="276">
        <v>0</v>
      </c>
      <c r="N41" s="276">
        <v>0</v>
      </c>
      <c r="O41" s="277">
        <f t="shared" si="1"/>
        <v>0</v>
      </c>
    </row>
    <row r="42" spans="1:15" ht="14.45" customHeight="1" x14ac:dyDescent="0.25">
      <c r="A42" s="325" t="s">
        <v>334</v>
      </c>
      <c r="B42" s="273" t="s">
        <v>13</v>
      </c>
      <c r="C42" s="276">
        <v>5.8349999999999999E-3</v>
      </c>
      <c r="D42" s="276">
        <v>7.4400000000000004E-3</v>
      </c>
      <c r="E42" s="276">
        <v>0</v>
      </c>
      <c r="F42" s="276">
        <v>0</v>
      </c>
      <c r="G42" s="276">
        <v>2.9640000000000001E-3</v>
      </c>
      <c r="H42" s="276">
        <v>6.6680000000000003E-3</v>
      </c>
      <c r="I42" s="276">
        <v>3.3340000000000002E-3</v>
      </c>
      <c r="J42" s="276">
        <v>3.3340000000000002E-3</v>
      </c>
      <c r="K42" s="276">
        <v>3.62E-3</v>
      </c>
      <c r="L42" s="276">
        <v>3.826E-3</v>
      </c>
      <c r="M42" s="276">
        <v>3.3340000000000002E-3</v>
      </c>
      <c r="N42" s="276">
        <v>5.3344000000000003E-2</v>
      </c>
      <c r="O42" s="277">
        <f t="shared" si="1"/>
        <v>9.3699000000000005E-2</v>
      </c>
    </row>
    <row r="43" spans="1:15" ht="14.45" customHeight="1" x14ac:dyDescent="0.25">
      <c r="A43" s="325"/>
      <c r="B43" s="273" t="s">
        <v>14</v>
      </c>
      <c r="C43" s="276">
        <v>5.8329999999999996E-3</v>
      </c>
      <c r="D43" s="276">
        <v>7.437E-3</v>
      </c>
      <c r="E43" s="276">
        <v>0</v>
      </c>
      <c r="F43" s="276">
        <v>0</v>
      </c>
      <c r="G43" s="276">
        <v>2.9629999999999999E-3</v>
      </c>
      <c r="H43" s="276">
        <v>6.6660000000000001E-3</v>
      </c>
      <c r="I43" s="276">
        <v>3.333E-3</v>
      </c>
      <c r="J43" s="276">
        <v>3.333E-3</v>
      </c>
      <c r="K43" s="276">
        <v>3.6189999999999998E-3</v>
      </c>
      <c r="L43" s="276">
        <v>3.8249999999999998E-3</v>
      </c>
      <c r="M43" s="276">
        <v>3.333E-3</v>
      </c>
      <c r="N43" s="276">
        <v>5.3328E-2</v>
      </c>
      <c r="O43" s="277">
        <f t="shared" si="1"/>
        <v>9.3670000000000003E-2</v>
      </c>
    </row>
    <row r="44" spans="1:15" ht="14.45" customHeight="1" x14ac:dyDescent="0.25">
      <c r="A44" s="325"/>
      <c r="B44" s="273" t="s">
        <v>15</v>
      </c>
      <c r="C44" s="276">
        <v>5.8329999999999996E-3</v>
      </c>
      <c r="D44" s="276">
        <v>7.437E-3</v>
      </c>
      <c r="E44" s="276">
        <v>0</v>
      </c>
      <c r="F44" s="276">
        <v>0</v>
      </c>
      <c r="G44" s="276">
        <v>2.9629999999999999E-3</v>
      </c>
      <c r="H44" s="276">
        <v>6.6660000000000001E-3</v>
      </c>
      <c r="I44" s="276">
        <v>3.333E-3</v>
      </c>
      <c r="J44" s="276">
        <v>3.333E-3</v>
      </c>
      <c r="K44" s="276">
        <v>3.6189999999999998E-3</v>
      </c>
      <c r="L44" s="276">
        <v>3.8249999999999998E-3</v>
      </c>
      <c r="M44" s="276">
        <v>3.333E-3</v>
      </c>
      <c r="N44" s="276">
        <v>5.3328E-2</v>
      </c>
      <c r="O44" s="277">
        <f t="shared" si="1"/>
        <v>9.3670000000000003E-2</v>
      </c>
    </row>
    <row r="45" spans="1:15" ht="19.149999999999999" customHeight="1" x14ac:dyDescent="0.25">
      <c r="A45" s="325" t="s">
        <v>335</v>
      </c>
      <c r="B45" s="273" t="s">
        <v>37</v>
      </c>
      <c r="C45" s="276">
        <v>7.0201780000000005E-2</v>
      </c>
      <c r="D45" s="276">
        <v>9.7819799999999991E-3</v>
      </c>
      <c r="E45" s="276">
        <v>3.4084749999999997E-2</v>
      </c>
      <c r="F45" s="276">
        <v>3.0917110000000001E-2</v>
      </c>
      <c r="G45" s="276">
        <v>3.7400770000000007E-2</v>
      </c>
      <c r="H45" s="276">
        <v>3.8047769999999995E-2</v>
      </c>
      <c r="I45" s="276">
        <v>0</v>
      </c>
      <c r="J45" s="276">
        <v>0</v>
      </c>
      <c r="K45" s="276">
        <v>0</v>
      </c>
      <c r="L45" s="276">
        <v>0</v>
      </c>
      <c r="M45" s="276">
        <v>0</v>
      </c>
      <c r="N45" s="276">
        <v>0</v>
      </c>
      <c r="O45" s="277">
        <f t="shared" si="1"/>
        <v>0.22043415999999999</v>
      </c>
    </row>
    <row r="46" spans="1:15" ht="19.149999999999999" customHeight="1" x14ac:dyDescent="0.25">
      <c r="A46" s="325"/>
      <c r="B46" s="273" t="s">
        <v>38</v>
      </c>
      <c r="C46" s="276">
        <v>7.5290460000000003E-2</v>
      </c>
      <c r="D46" s="276">
        <v>2.6328689999999998E-2</v>
      </c>
      <c r="E46" s="276">
        <v>2.6321959999999998E-2</v>
      </c>
      <c r="F46" s="276">
        <v>4.1249180000000003E-2</v>
      </c>
      <c r="G46" s="276">
        <v>3.1045409999999999E-2</v>
      </c>
      <c r="H46" s="276">
        <v>2.6568270000000001E-2</v>
      </c>
      <c r="I46" s="276">
        <v>3.3459230000000006E-2</v>
      </c>
      <c r="J46" s="276">
        <v>4.7632359999999999E-2</v>
      </c>
      <c r="K46" s="276">
        <v>1.471309E-2</v>
      </c>
      <c r="L46" s="276">
        <v>5.0017449999999998E-2</v>
      </c>
      <c r="M46" s="276">
        <v>4.5465970000000001E-2</v>
      </c>
      <c r="N46" s="276">
        <v>4.7940540000000004E-2</v>
      </c>
      <c r="O46" s="277">
        <f t="shared" si="1"/>
        <v>0.46603261000000007</v>
      </c>
    </row>
    <row r="47" spans="1:15" ht="19.149999999999999" customHeight="1" x14ac:dyDescent="0.25">
      <c r="A47" s="325"/>
      <c r="B47" s="273" t="s">
        <v>39</v>
      </c>
      <c r="C47" s="276">
        <v>5.9424230000000001E-2</v>
      </c>
      <c r="D47" s="276">
        <v>3.9584419999999995E-2</v>
      </c>
      <c r="E47" s="276">
        <v>5.6838100000000001E-3</v>
      </c>
      <c r="F47" s="276">
        <v>3.7078940000000005E-2</v>
      </c>
      <c r="G47" s="276">
        <v>3.5038800000000002E-2</v>
      </c>
      <c r="H47" s="276">
        <v>2.8689070000000001E-2</v>
      </c>
      <c r="I47" s="276">
        <v>3.8880050000000006E-2</v>
      </c>
      <c r="J47" s="276">
        <v>6.0842609999999998E-2</v>
      </c>
      <c r="K47" s="276">
        <v>1.774009E-2</v>
      </c>
      <c r="L47" s="276">
        <v>4.9666410000000001E-2</v>
      </c>
      <c r="M47" s="276">
        <v>3.4171889999999996E-2</v>
      </c>
      <c r="N47" s="276">
        <v>4.883295E-2</v>
      </c>
      <c r="O47" s="277">
        <f t="shared" si="1"/>
        <v>0.45563326999999998</v>
      </c>
    </row>
    <row r="48" spans="1:15" ht="24" customHeight="1" x14ac:dyDescent="0.25">
      <c r="A48" s="278" t="s">
        <v>330</v>
      </c>
      <c r="B48" s="273">
        <v>103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  <c r="H48" s="276">
        <v>0</v>
      </c>
      <c r="I48" s="276">
        <v>0</v>
      </c>
      <c r="J48" s="276">
        <v>0</v>
      </c>
      <c r="K48" s="276">
        <v>0</v>
      </c>
      <c r="L48" s="276">
        <v>0</v>
      </c>
      <c r="M48" s="276">
        <v>0</v>
      </c>
      <c r="N48" s="276">
        <v>0</v>
      </c>
      <c r="O48" s="277">
        <f t="shared" si="1"/>
        <v>0</v>
      </c>
    </row>
    <row r="49" spans="1:15" ht="24" customHeight="1" x14ac:dyDescent="0.25">
      <c r="A49" s="278" t="s">
        <v>97</v>
      </c>
      <c r="B49" s="273" t="s">
        <v>36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  <c r="H49" s="276">
        <v>0</v>
      </c>
      <c r="I49" s="276">
        <v>0</v>
      </c>
      <c r="J49" s="276">
        <v>0</v>
      </c>
      <c r="K49" s="276">
        <v>0</v>
      </c>
      <c r="L49" s="276">
        <v>0</v>
      </c>
      <c r="M49" s="276">
        <v>0</v>
      </c>
      <c r="N49" s="276">
        <v>0</v>
      </c>
      <c r="O49" s="277">
        <f t="shared" si="1"/>
        <v>0</v>
      </c>
    </row>
    <row r="50" spans="1:15" ht="24.6" customHeight="1" x14ac:dyDescent="0.25">
      <c r="A50" s="278" t="s">
        <v>336</v>
      </c>
      <c r="B50" s="273" t="s">
        <v>35</v>
      </c>
      <c r="C50" s="276">
        <v>3.5000000000000001E-3</v>
      </c>
      <c r="D50" s="276">
        <v>3.5000000000000001E-3</v>
      </c>
      <c r="E50" s="276">
        <v>3.5000000000000001E-3</v>
      </c>
      <c r="F50" s="276">
        <v>3.5000000000000001E-3</v>
      </c>
      <c r="G50" s="276">
        <v>3.5000000000000001E-3</v>
      </c>
      <c r="H50" s="276">
        <v>3.5000000000000001E-3</v>
      </c>
      <c r="I50" s="276">
        <v>3.5000000000000001E-3</v>
      </c>
      <c r="J50" s="276">
        <v>3.5000000000000001E-3</v>
      </c>
      <c r="K50" s="276">
        <v>3.5000000000000001E-3</v>
      </c>
      <c r="L50" s="276">
        <v>3.5000000000000001E-3</v>
      </c>
      <c r="M50" s="276">
        <v>3.5000000000000001E-3</v>
      </c>
      <c r="N50" s="276">
        <v>3.5000000000000001E-3</v>
      </c>
      <c r="O50" s="277">
        <f t="shared" si="1"/>
        <v>4.200000000000001E-2</v>
      </c>
    </row>
    <row r="51" spans="1:15" s="74" customFormat="1" ht="20.45" customHeight="1" x14ac:dyDescent="0.25">
      <c r="A51" s="326" t="s">
        <v>41</v>
      </c>
      <c r="B51" s="326"/>
      <c r="C51" s="279">
        <f>+SUM(C7:C50)</f>
        <v>10.859888470000001</v>
      </c>
      <c r="D51" s="279">
        <f t="shared" ref="D51:N51" si="2">+SUM(D7:D50)</f>
        <v>22.586393449999992</v>
      </c>
      <c r="E51" s="279">
        <f t="shared" si="2"/>
        <v>19.053389920000001</v>
      </c>
      <c r="F51" s="279">
        <f t="shared" si="2"/>
        <v>28.022884450000006</v>
      </c>
      <c r="G51" s="279">
        <f t="shared" si="2"/>
        <v>24.08216328</v>
      </c>
      <c r="H51" s="279">
        <f>+SUM(H7:H50)</f>
        <v>24.907763319999994</v>
      </c>
      <c r="I51" s="279">
        <f>+SUM(I7:I50)</f>
        <v>15.647472479999999</v>
      </c>
      <c r="J51" s="279">
        <f t="shared" si="2"/>
        <v>31.452850520000002</v>
      </c>
      <c r="K51" s="279">
        <f t="shared" si="2"/>
        <v>32.116003570000004</v>
      </c>
      <c r="L51" s="279">
        <f>+SUM(L7:L50)</f>
        <v>37.524617659999997</v>
      </c>
      <c r="M51" s="279">
        <f t="shared" si="2"/>
        <v>24.910885169999997</v>
      </c>
      <c r="N51" s="279">
        <f t="shared" si="2"/>
        <v>41.64558151</v>
      </c>
      <c r="O51" s="279">
        <f>+SUM(O7:O50)</f>
        <v>312.8098938</v>
      </c>
    </row>
    <row r="53" spans="1:15" ht="14.45" customHeight="1" x14ac:dyDescent="0.25">
      <c r="A53" s="1" t="s">
        <v>391</v>
      </c>
      <c r="C53" s="96"/>
      <c r="D53" s="96"/>
      <c r="E53" s="96"/>
      <c r="F53" s="96"/>
      <c r="G53" s="96"/>
      <c r="H53" s="97"/>
      <c r="I53" s="96"/>
      <c r="J53" s="96"/>
      <c r="K53" s="96"/>
      <c r="L53" s="96"/>
      <c r="M53" s="96"/>
      <c r="N53" s="96"/>
      <c r="O53" s="112"/>
    </row>
  </sheetData>
  <mergeCells count="11">
    <mergeCell ref="A32:A33"/>
    <mergeCell ref="A2:O2"/>
    <mergeCell ref="A10:A11"/>
    <mergeCell ref="A15:A17"/>
    <mergeCell ref="A27:A28"/>
    <mergeCell ref="A4:O5"/>
    <mergeCell ref="A36:A37"/>
    <mergeCell ref="A40:A41"/>
    <mergeCell ref="A42:A44"/>
    <mergeCell ref="A45:A47"/>
    <mergeCell ref="A51:B51"/>
  </mergeCells>
  <pageMargins left="0.7" right="0.7" top="0.75" bottom="0.75" header="0.3" footer="0.3"/>
  <pageSetup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499984740745262"/>
    <pageSetUpPr fitToPage="1"/>
  </sheetPr>
  <dimension ref="A2:I35"/>
  <sheetViews>
    <sheetView showGridLines="0" zoomScaleNormal="100" workbookViewId="0">
      <selection activeCell="H49" sqref="H49"/>
    </sheetView>
  </sheetViews>
  <sheetFormatPr baseColWidth="10" defaultColWidth="11.42578125" defaultRowHeight="11.25" x14ac:dyDescent="0.2"/>
  <cols>
    <col min="1" max="16384" width="11.42578125" style="44"/>
  </cols>
  <sheetData>
    <row r="2" spans="1:9" ht="12" x14ac:dyDescent="0.2">
      <c r="A2" s="301" t="s">
        <v>785</v>
      </c>
      <c r="B2" s="301"/>
      <c r="C2" s="301"/>
      <c r="D2" s="301"/>
      <c r="E2" s="301"/>
      <c r="F2" s="301"/>
      <c r="G2" s="13"/>
      <c r="H2" s="13"/>
      <c r="I2" s="13"/>
    </row>
    <row r="4" spans="1:9" ht="11.25" customHeight="1" x14ac:dyDescent="0.2">
      <c r="A4" s="336" t="s">
        <v>786</v>
      </c>
      <c r="B4" s="336"/>
      <c r="C4" s="336"/>
      <c r="D4" s="336"/>
      <c r="E4" s="336"/>
      <c r="F4" s="336"/>
    </row>
    <row r="5" spans="1:9" x14ac:dyDescent="0.2">
      <c r="A5" s="336"/>
      <c r="B5" s="336"/>
      <c r="C5" s="336"/>
      <c r="D5" s="336"/>
      <c r="E5" s="336"/>
      <c r="F5" s="336"/>
    </row>
    <row r="6" spans="1:9" x14ac:dyDescent="0.2">
      <c r="A6" s="208" t="s">
        <v>338</v>
      </c>
      <c r="B6" s="208">
        <v>2022</v>
      </c>
      <c r="C6" s="208">
        <v>2023</v>
      </c>
      <c r="D6" s="208">
        <v>2024</v>
      </c>
      <c r="E6" s="208">
        <v>2025</v>
      </c>
      <c r="F6" s="208">
        <v>2026</v>
      </c>
    </row>
    <row r="7" spans="1:9" ht="15" x14ac:dyDescent="0.25">
      <c r="A7" s="211" t="s">
        <v>31</v>
      </c>
      <c r="B7" s="337">
        <v>4.6323878699999996</v>
      </c>
      <c r="C7" s="337">
        <v>99.27</v>
      </c>
      <c r="D7" s="338">
        <v>0</v>
      </c>
      <c r="E7" s="338">
        <v>0</v>
      </c>
      <c r="F7" s="338">
        <v>0</v>
      </c>
      <c r="H7"/>
    </row>
    <row r="8" spans="1:9" x14ac:dyDescent="0.2">
      <c r="A8" s="211" t="s">
        <v>337</v>
      </c>
      <c r="B8" s="338">
        <v>392.69381916376921</v>
      </c>
      <c r="C8" s="338">
        <v>366.54710724488223</v>
      </c>
      <c r="D8" s="338">
        <v>475.7120535453015</v>
      </c>
      <c r="E8" s="338">
        <v>522.6670842567587</v>
      </c>
      <c r="F8" s="338">
        <v>609.09866051986342</v>
      </c>
    </row>
    <row r="9" spans="1:9" x14ac:dyDescent="0.2">
      <c r="A9" s="339" t="s">
        <v>287</v>
      </c>
      <c r="B9" s="340">
        <f>SUM(B7:B8)</f>
        <v>397.32620703376921</v>
      </c>
      <c r="C9" s="340">
        <f>SUM(C7:C8)</f>
        <v>465.81710724488221</v>
      </c>
      <c r="D9" s="340">
        <f>SUM(D7:D8)</f>
        <v>475.7120535453015</v>
      </c>
      <c r="E9" s="340">
        <f>SUM(E7:E8)</f>
        <v>522.6670842567587</v>
      </c>
      <c r="F9" s="340">
        <f>SUM(F7:F8)</f>
        <v>609.09866051986342</v>
      </c>
    </row>
    <row r="10" spans="1:9" x14ac:dyDescent="0.2">
      <c r="A10" s="1" t="s">
        <v>391</v>
      </c>
    </row>
    <row r="12" spans="1:9" ht="13.5" customHeight="1" x14ac:dyDescent="0.2">
      <c r="A12" s="327" t="s">
        <v>490</v>
      </c>
      <c r="B12" s="327"/>
      <c r="C12" s="327"/>
      <c r="D12" s="327"/>
      <c r="E12" s="327"/>
      <c r="F12" s="327"/>
      <c r="G12" s="110"/>
    </row>
    <row r="13" spans="1:9" ht="13.5" customHeight="1" x14ac:dyDescent="0.2">
      <c r="A13" s="327"/>
      <c r="B13" s="327"/>
      <c r="C13" s="327"/>
      <c r="D13" s="327"/>
      <c r="E13" s="327"/>
      <c r="F13" s="327"/>
      <c r="G13" s="110"/>
    </row>
    <row r="14" spans="1:9" x14ac:dyDescent="0.2">
      <c r="A14" s="327"/>
      <c r="B14" s="327"/>
      <c r="C14" s="327"/>
      <c r="D14" s="327"/>
      <c r="E14" s="327"/>
      <c r="F14" s="327"/>
    </row>
    <row r="35" spans="2:2" x14ac:dyDescent="0.2">
      <c r="B35" s="1" t="s">
        <v>391</v>
      </c>
    </row>
  </sheetData>
  <mergeCells count="3">
    <mergeCell ref="A2:F2"/>
    <mergeCell ref="A12:F14"/>
    <mergeCell ref="A4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F5F6-DACE-48FE-9912-74226EA837A5}">
  <dimension ref="A2:B11"/>
  <sheetViews>
    <sheetView workbookViewId="0">
      <selection activeCell="F18" sqref="F18"/>
    </sheetView>
  </sheetViews>
  <sheetFormatPr baseColWidth="10" defaultRowHeight="15" x14ac:dyDescent="0.25"/>
  <cols>
    <col min="1" max="1" width="17.7109375" customWidth="1"/>
  </cols>
  <sheetData>
    <row r="2" spans="1:2" x14ac:dyDescent="0.25">
      <c r="A2" t="s">
        <v>787</v>
      </c>
    </row>
    <row r="3" spans="1:2" x14ac:dyDescent="0.25">
      <c r="A3" s="342" t="s">
        <v>630</v>
      </c>
      <c r="B3" s="343" t="s">
        <v>788</v>
      </c>
    </row>
    <row r="4" spans="1:2" x14ac:dyDescent="0.25">
      <c r="A4" s="342"/>
      <c r="B4" s="343"/>
    </row>
    <row r="5" spans="1:2" ht="22.5" x14ac:dyDescent="0.25">
      <c r="A5" s="344" t="s">
        <v>764</v>
      </c>
      <c r="B5" s="345">
        <v>30.7</v>
      </c>
    </row>
    <row r="6" spans="1:2" ht="22.5" x14ac:dyDescent="0.25">
      <c r="A6" s="344" t="s">
        <v>765</v>
      </c>
      <c r="B6" s="345">
        <v>213.1</v>
      </c>
    </row>
    <row r="7" spans="1:2" x14ac:dyDescent="0.25">
      <c r="A7" s="344" t="s">
        <v>766</v>
      </c>
      <c r="B7" s="345">
        <v>4.1500000000000004</v>
      </c>
    </row>
    <row r="8" spans="1:2" ht="22.5" x14ac:dyDescent="0.25">
      <c r="A8" s="344" t="s">
        <v>767</v>
      </c>
      <c r="B8" s="345">
        <v>30.48</v>
      </c>
    </row>
    <row r="9" spans="1:2" ht="22.5" x14ac:dyDescent="0.25">
      <c r="A9" s="344" t="s">
        <v>768</v>
      </c>
      <c r="B9" s="345">
        <v>0</v>
      </c>
    </row>
    <row r="10" spans="1:2" x14ac:dyDescent="0.25">
      <c r="A10" s="344" t="s">
        <v>769</v>
      </c>
      <c r="B10" s="345">
        <v>4.9800000000000004</v>
      </c>
    </row>
    <row r="11" spans="1:2" x14ac:dyDescent="0.25">
      <c r="A11" s="346" t="s">
        <v>41</v>
      </c>
      <c r="B11" s="347">
        <f>SUM(B5:B10)</f>
        <v>283.41000000000003</v>
      </c>
    </row>
  </sheetData>
  <mergeCells count="2">
    <mergeCell ref="A3:A4"/>
    <mergeCell ref="B3:B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499984740745262"/>
    <pageSetUpPr fitToPage="1"/>
  </sheetPr>
  <dimension ref="A2:R55"/>
  <sheetViews>
    <sheetView showGridLines="0" zoomScale="70" zoomScaleNormal="70" workbookViewId="0">
      <pane ySplit="8" topLeftCell="A9" activePane="bottomLeft" state="frozen"/>
      <selection activeCell="Q43" sqref="Q43"/>
      <selection pane="bottomLeft" activeCell="A2" sqref="A2:O2"/>
    </sheetView>
  </sheetViews>
  <sheetFormatPr baseColWidth="10" defaultColWidth="11.28515625" defaultRowHeight="11.25" x14ac:dyDescent="0.2"/>
  <cols>
    <col min="1" max="1" width="15.85546875" style="86" customWidth="1"/>
    <col min="2" max="2" width="12.7109375" style="79" customWidth="1"/>
    <col min="3" max="14" width="10.140625" style="79" customWidth="1"/>
    <col min="15" max="15" width="11.42578125" style="79" customWidth="1"/>
    <col min="16" max="16384" width="11.28515625" style="79"/>
  </cols>
  <sheetData>
    <row r="2" spans="1:15" ht="12" x14ac:dyDescent="0.2">
      <c r="A2" s="301" t="s">
        <v>789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</row>
    <row r="4" spans="1:15" s="68" customFormat="1" ht="11.25" customHeight="1" x14ac:dyDescent="0.25">
      <c r="A4" s="348" t="s">
        <v>790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</row>
    <row r="5" spans="1:15" s="68" customFormat="1" x14ac:dyDescent="0.25">
      <c r="A5" s="348"/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</row>
    <row r="6" spans="1:15" s="68" customFormat="1" x14ac:dyDescent="0.25">
      <c r="A6" s="328"/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</row>
    <row r="7" spans="1:15" s="68" customFormat="1" x14ac:dyDescent="0.25">
      <c r="A7" s="354" t="s">
        <v>339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</row>
    <row r="8" spans="1:15" s="68" customFormat="1" x14ac:dyDescent="0.25">
      <c r="A8" s="205" t="s">
        <v>0</v>
      </c>
      <c r="B8" s="205" t="s">
        <v>1</v>
      </c>
      <c r="C8" s="205" t="s">
        <v>296</v>
      </c>
      <c r="D8" s="205" t="s">
        <v>297</v>
      </c>
      <c r="E8" s="205" t="s">
        <v>298</v>
      </c>
      <c r="F8" s="205" t="s">
        <v>299</v>
      </c>
      <c r="G8" s="205" t="s">
        <v>300</v>
      </c>
      <c r="H8" s="205" t="s">
        <v>301</v>
      </c>
      <c r="I8" s="205" t="s">
        <v>302</v>
      </c>
      <c r="J8" s="205" t="s">
        <v>303</v>
      </c>
      <c r="K8" s="205" t="s">
        <v>304</v>
      </c>
      <c r="L8" s="205" t="s">
        <v>305</v>
      </c>
      <c r="M8" s="205" t="s">
        <v>306</v>
      </c>
      <c r="N8" s="205" t="s">
        <v>307</v>
      </c>
      <c r="O8" s="205" t="s">
        <v>41</v>
      </c>
    </row>
    <row r="9" spans="1:15" s="77" customFormat="1" x14ac:dyDescent="0.2">
      <c r="A9" s="76" t="s">
        <v>249</v>
      </c>
      <c r="B9" s="72" t="s">
        <v>115</v>
      </c>
      <c r="C9" s="73">
        <v>0.29729365000000002</v>
      </c>
      <c r="D9" s="73">
        <v>0.32956069999999998</v>
      </c>
      <c r="E9" s="73">
        <v>0.33032682000000002</v>
      </c>
      <c r="F9" s="73">
        <v>0.33508980999999999</v>
      </c>
      <c r="G9" s="73">
        <v>0.34147585999999996</v>
      </c>
      <c r="H9" s="73">
        <v>0.36807566999999997</v>
      </c>
      <c r="I9" s="73">
        <v>0.36930609000000003</v>
      </c>
      <c r="J9" s="73">
        <v>0.33466608000000003</v>
      </c>
      <c r="K9" s="73">
        <v>0.34501195000000001</v>
      </c>
      <c r="L9" s="73">
        <v>0.41053499999999998</v>
      </c>
      <c r="M9" s="73">
        <v>0.36287495000000003</v>
      </c>
      <c r="N9" s="73">
        <v>0.37279495000000001</v>
      </c>
      <c r="O9" s="73">
        <f>+SUM(C9:N9)</f>
        <v>4.1970115300000002</v>
      </c>
    </row>
    <row r="10" spans="1:15" s="77" customFormat="1" x14ac:dyDescent="0.2">
      <c r="A10" s="76" t="s">
        <v>433</v>
      </c>
      <c r="B10" s="72" t="s">
        <v>50</v>
      </c>
      <c r="C10" s="73">
        <v>0.35809295000000002</v>
      </c>
      <c r="D10" s="73">
        <v>0.37926042999999998</v>
      </c>
      <c r="E10" s="73">
        <v>0.46826462000000002</v>
      </c>
      <c r="F10" s="73">
        <v>0.44263646000000001</v>
      </c>
      <c r="G10" s="73">
        <v>0.47157764000000002</v>
      </c>
      <c r="H10" s="73">
        <v>0.51287338999999998</v>
      </c>
      <c r="I10" s="73">
        <v>0.54018445999999998</v>
      </c>
      <c r="J10" s="73">
        <v>0.46896391999999998</v>
      </c>
      <c r="K10" s="73">
        <v>0.49009759000000003</v>
      </c>
      <c r="L10" s="73">
        <v>0.59717686999999997</v>
      </c>
      <c r="M10" s="73">
        <v>0.56227378000000006</v>
      </c>
      <c r="N10" s="73">
        <v>0.42632962000000002</v>
      </c>
      <c r="O10" s="73">
        <f t="shared" ref="O10:O29" si="0">+SUM(C10:N10)</f>
        <v>5.7177317300000006</v>
      </c>
    </row>
    <row r="11" spans="1:15" s="77" customFormat="1" x14ac:dyDescent="0.2">
      <c r="A11" s="76" t="s">
        <v>433</v>
      </c>
      <c r="B11" s="72" t="s">
        <v>49</v>
      </c>
      <c r="C11" s="73">
        <v>1.1315757399999999</v>
      </c>
      <c r="D11" s="73">
        <v>1.2359045900000001</v>
      </c>
      <c r="E11" s="73">
        <v>1.3646233999999999</v>
      </c>
      <c r="F11" s="73">
        <v>1.3370738700000002</v>
      </c>
      <c r="G11" s="73">
        <v>1.5714391200000002</v>
      </c>
      <c r="H11" s="73">
        <v>1.5994683700000001</v>
      </c>
      <c r="I11" s="73">
        <v>1.7498196499999998</v>
      </c>
      <c r="J11" s="73">
        <v>1.50569262</v>
      </c>
      <c r="K11" s="73">
        <v>1.95485324</v>
      </c>
      <c r="L11" s="73">
        <v>2.7940759900000001</v>
      </c>
      <c r="M11" s="73">
        <v>2.7044986299999998</v>
      </c>
      <c r="N11" s="73">
        <v>2.2466418500000001</v>
      </c>
      <c r="O11" s="73">
        <f t="shared" si="0"/>
        <v>21.195667069999999</v>
      </c>
    </row>
    <row r="12" spans="1:15" s="77" customFormat="1" x14ac:dyDescent="0.2">
      <c r="A12" s="76" t="s">
        <v>117</v>
      </c>
      <c r="B12" s="72" t="s">
        <v>340</v>
      </c>
      <c r="C12" s="73">
        <v>1.3763466899999999</v>
      </c>
      <c r="D12" s="73">
        <v>1.54038232</v>
      </c>
      <c r="E12" s="73">
        <v>1.79067328</v>
      </c>
      <c r="F12" s="73">
        <v>1.7429355900000001</v>
      </c>
      <c r="G12" s="73">
        <v>2.1765072700000001</v>
      </c>
      <c r="H12" s="73">
        <v>2.62397401</v>
      </c>
      <c r="I12" s="73">
        <v>2.6984579900000001</v>
      </c>
      <c r="J12" s="73">
        <v>2.5602904999999998</v>
      </c>
      <c r="K12" s="73">
        <v>2.51925833</v>
      </c>
      <c r="L12" s="73">
        <v>3.14947759</v>
      </c>
      <c r="M12" s="73">
        <v>2.8791941299999997</v>
      </c>
      <c r="N12" s="73">
        <v>2.5676220600000002</v>
      </c>
      <c r="O12" s="73">
        <f t="shared" si="0"/>
        <v>27.62511976</v>
      </c>
    </row>
    <row r="13" spans="1:15" s="77" customFormat="1" x14ac:dyDescent="0.2">
      <c r="A13" s="76" t="s">
        <v>251</v>
      </c>
      <c r="B13" s="72" t="s">
        <v>56</v>
      </c>
      <c r="C13" s="73">
        <v>8.0036029999999994E-2</v>
      </c>
      <c r="D13" s="73">
        <v>8.8606550000000006E-2</v>
      </c>
      <c r="E13" s="73">
        <v>0.10624219</v>
      </c>
      <c r="F13" s="73">
        <v>9.874100999999999E-2</v>
      </c>
      <c r="G13" s="73">
        <v>0.11534417999999999</v>
      </c>
      <c r="H13" s="73">
        <v>0.13837779</v>
      </c>
      <c r="I13" s="73">
        <v>0.13442320000000002</v>
      </c>
      <c r="J13" s="73">
        <v>0.12190442999999999</v>
      </c>
      <c r="K13" s="73">
        <v>0.13059536999999999</v>
      </c>
      <c r="L13" s="73">
        <v>0.16789891000000001</v>
      </c>
      <c r="M13" s="73">
        <v>0.16086412999999999</v>
      </c>
      <c r="N13" s="73">
        <v>0.13898723999999998</v>
      </c>
      <c r="O13" s="73">
        <f t="shared" si="0"/>
        <v>1.4820210300000001</v>
      </c>
    </row>
    <row r="14" spans="1:15" s="77" customFormat="1" x14ac:dyDescent="0.2">
      <c r="A14" s="76" t="s">
        <v>23</v>
      </c>
      <c r="B14" s="72" t="s">
        <v>51</v>
      </c>
      <c r="C14" s="73">
        <v>3.9202748199999999</v>
      </c>
      <c r="D14" s="73">
        <v>4.5078878099999997</v>
      </c>
      <c r="E14" s="73">
        <v>5.4621969100000003</v>
      </c>
      <c r="F14" s="73">
        <v>5.0366869200000002</v>
      </c>
      <c r="G14" s="73">
        <v>5.9383113700000001</v>
      </c>
      <c r="H14" s="73">
        <v>6.7455063399999995</v>
      </c>
      <c r="I14" s="73">
        <v>7.2454489899999999</v>
      </c>
      <c r="J14" s="73">
        <v>6.50803054</v>
      </c>
      <c r="K14" s="73">
        <v>7.0042151800000001</v>
      </c>
      <c r="L14" s="73">
        <v>9.4923465</v>
      </c>
      <c r="M14" s="73">
        <v>8.7318257100000007</v>
      </c>
      <c r="N14" s="73">
        <v>7.2516562000000002</v>
      </c>
      <c r="O14" s="73">
        <f t="shared" si="0"/>
        <v>77.84438729</v>
      </c>
    </row>
    <row r="15" spans="1:15" s="77" customFormat="1" x14ac:dyDescent="0.2">
      <c r="A15" s="76" t="s">
        <v>52</v>
      </c>
      <c r="B15" s="72" t="s">
        <v>8</v>
      </c>
      <c r="C15" s="73">
        <v>0.50598818000000001</v>
      </c>
      <c r="D15" s="73">
        <v>0.52264989000000006</v>
      </c>
      <c r="E15" s="73">
        <v>0.59183404000000006</v>
      </c>
      <c r="F15" s="73">
        <v>0.54887178000000003</v>
      </c>
      <c r="G15" s="73">
        <v>0.60779829000000007</v>
      </c>
      <c r="H15" s="73">
        <v>0.63791081000000005</v>
      </c>
      <c r="I15" s="73">
        <v>0.66821503999999998</v>
      </c>
      <c r="J15" s="73">
        <v>0.61953615000000006</v>
      </c>
      <c r="K15" s="73">
        <v>0.62744127000000005</v>
      </c>
      <c r="L15" s="73">
        <v>0.85438068999999994</v>
      </c>
      <c r="M15" s="73">
        <v>1.0880882000000001</v>
      </c>
      <c r="N15" s="73">
        <v>0.95526</v>
      </c>
      <c r="O15" s="73">
        <f t="shared" si="0"/>
        <v>8.2279743399999994</v>
      </c>
    </row>
    <row r="16" spans="1:15" s="77" customFormat="1" x14ac:dyDescent="0.2">
      <c r="A16" s="76" t="s">
        <v>249</v>
      </c>
      <c r="B16" s="72" t="s">
        <v>119</v>
      </c>
      <c r="C16" s="73">
        <v>1.9838910000000001E-2</v>
      </c>
      <c r="D16" s="73">
        <v>2.0740650000000003E-2</v>
      </c>
      <c r="E16" s="73">
        <v>2.2563009999999998E-2</v>
      </c>
      <c r="F16" s="73">
        <v>2.2508210000000001E-2</v>
      </c>
      <c r="G16" s="73">
        <v>2.4773799999999999E-2</v>
      </c>
      <c r="H16" s="73">
        <v>2.468091E-2</v>
      </c>
      <c r="I16" s="73">
        <v>2.1955009999999997E-2</v>
      </c>
      <c r="J16" s="73">
        <v>2.6520040000000002E-2</v>
      </c>
      <c r="K16" s="73">
        <v>2.5827889999999999E-2</v>
      </c>
      <c r="L16" s="73">
        <v>2.6352179999999999E-2</v>
      </c>
      <c r="M16" s="73">
        <v>2.5926380000000002E-2</v>
      </c>
      <c r="N16" s="73">
        <v>2.7328400000000003E-2</v>
      </c>
      <c r="O16" s="73">
        <f t="shared" si="0"/>
        <v>0.28901538999999998</v>
      </c>
    </row>
    <row r="17" spans="1:15" s="77" customFormat="1" x14ac:dyDescent="0.2">
      <c r="A17" s="76" t="s">
        <v>249</v>
      </c>
      <c r="B17" s="72" t="s">
        <v>120</v>
      </c>
      <c r="C17" s="73">
        <v>3.9486499999999997E-3</v>
      </c>
      <c r="D17" s="73">
        <v>3.6369899999999997E-3</v>
      </c>
      <c r="E17" s="73">
        <v>5.1135799999999995E-3</v>
      </c>
      <c r="F17" s="73">
        <v>5.7243699999999995E-3</v>
      </c>
      <c r="G17" s="73">
        <v>5.7523599999999998E-3</v>
      </c>
      <c r="H17" s="73">
        <v>5.2512600000000006E-3</v>
      </c>
      <c r="I17" s="73">
        <v>4.5281599999999998E-3</v>
      </c>
      <c r="J17" s="73">
        <v>4.0471999999999999E-3</v>
      </c>
      <c r="K17" s="73">
        <v>4.35871E-3</v>
      </c>
      <c r="L17" s="73">
        <v>5.1253100000000001E-3</v>
      </c>
      <c r="M17" s="73">
        <v>4.7856800000000005E-3</v>
      </c>
      <c r="N17" s="73">
        <v>4.0935900000000002E-3</v>
      </c>
      <c r="O17" s="73">
        <f t="shared" si="0"/>
        <v>5.6365860000000004E-2</v>
      </c>
    </row>
    <row r="18" spans="1:15" s="77" customFormat="1" x14ac:dyDescent="0.2">
      <c r="A18" s="389" t="s">
        <v>341</v>
      </c>
      <c r="B18" s="389"/>
      <c r="C18" s="359">
        <f>+SUM(C9:C17)</f>
        <v>7.6933956199999995</v>
      </c>
      <c r="D18" s="359">
        <f t="shared" ref="D18:N18" si="1">+SUM(D9:D17)</f>
        <v>8.6286299300000007</v>
      </c>
      <c r="E18" s="359">
        <f t="shared" si="1"/>
        <v>10.141837850000002</v>
      </c>
      <c r="F18" s="359">
        <f t="shared" si="1"/>
        <v>9.5702680200000003</v>
      </c>
      <c r="G18" s="359">
        <f t="shared" si="1"/>
        <v>11.252979890000001</v>
      </c>
      <c r="H18" s="359">
        <f t="shared" si="1"/>
        <v>12.656118549999999</v>
      </c>
      <c r="I18" s="359">
        <f t="shared" si="1"/>
        <v>13.432338589999997</v>
      </c>
      <c r="J18" s="359">
        <f t="shared" si="1"/>
        <v>12.149651480000001</v>
      </c>
      <c r="K18" s="359">
        <f t="shared" si="1"/>
        <v>13.101659530000001</v>
      </c>
      <c r="L18" s="359">
        <f t="shared" si="1"/>
        <v>17.497369039999999</v>
      </c>
      <c r="M18" s="359">
        <f t="shared" si="1"/>
        <v>16.520331590000005</v>
      </c>
      <c r="N18" s="359">
        <f t="shared" si="1"/>
        <v>13.990713909999998</v>
      </c>
      <c r="O18" s="359">
        <f>+SUM(O9:O17)</f>
        <v>146.63529399999999</v>
      </c>
    </row>
    <row r="19" spans="1:15" s="77" customFormat="1" x14ac:dyDescent="0.2">
      <c r="A19" s="76" t="s">
        <v>26</v>
      </c>
      <c r="B19" s="72">
        <v>8</v>
      </c>
      <c r="C19" s="73">
        <v>0</v>
      </c>
      <c r="D19" s="73">
        <v>0</v>
      </c>
      <c r="E19" s="73">
        <v>0</v>
      </c>
      <c r="F19" s="73">
        <v>0</v>
      </c>
      <c r="G19" s="73">
        <v>0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f t="shared" si="0"/>
        <v>0</v>
      </c>
    </row>
    <row r="20" spans="1:15" s="77" customFormat="1" x14ac:dyDescent="0.2">
      <c r="A20" s="76" t="s">
        <v>124</v>
      </c>
      <c r="B20" s="72">
        <v>67</v>
      </c>
      <c r="C20" s="73">
        <v>0</v>
      </c>
      <c r="D20" s="73">
        <v>0</v>
      </c>
      <c r="E20" s="73">
        <v>0.16942010000000002</v>
      </c>
      <c r="F20" s="73">
        <v>0.40149303000000003</v>
      </c>
      <c r="G20" s="73">
        <v>0.58343650999999996</v>
      </c>
      <c r="H20" s="73">
        <v>0.55366413999999997</v>
      </c>
      <c r="I20" s="73">
        <v>0.69686137999999997</v>
      </c>
      <c r="J20" s="73">
        <v>0.24137714999999998</v>
      </c>
      <c r="K20" s="73">
        <v>0.20948276000000002</v>
      </c>
      <c r="L20" s="73">
        <v>0.54912738999999999</v>
      </c>
      <c r="M20" s="73">
        <v>0.15154864000000001</v>
      </c>
      <c r="N20" s="73">
        <v>0</v>
      </c>
      <c r="O20" s="73">
        <f t="shared" si="0"/>
        <v>3.5564111000000005</v>
      </c>
    </row>
    <row r="21" spans="1:15" s="77" customFormat="1" x14ac:dyDescent="0.2">
      <c r="A21" s="76" t="s">
        <v>63</v>
      </c>
      <c r="B21" s="72">
        <v>95</v>
      </c>
      <c r="C21" s="73">
        <v>0.52584313999999999</v>
      </c>
      <c r="D21" s="73">
        <v>0.50005516999999999</v>
      </c>
      <c r="E21" s="73">
        <v>0.59010335000000003</v>
      </c>
      <c r="F21" s="73">
        <v>0.59475772999999998</v>
      </c>
      <c r="G21" s="73">
        <v>0.93748704000000005</v>
      </c>
      <c r="H21" s="73">
        <v>0.85766808999999999</v>
      </c>
      <c r="I21" s="73">
        <v>0.8376546800000001</v>
      </c>
      <c r="J21" s="73">
        <v>0.67818851000000002</v>
      </c>
      <c r="K21" s="73">
        <v>1.2787594600000001</v>
      </c>
      <c r="L21" s="73">
        <v>1.64577219</v>
      </c>
      <c r="M21" s="73">
        <v>0.79373569999999993</v>
      </c>
      <c r="N21" s="73">
        <v>1.0122363699999999</v>
      </c>
      <c r="O21" s="73">
        <f t="shared" si="0"/>
        <v>10.252261429999999</v>
      </c>
    </row>
    <row r="22" spans="1:15" s="77" customFormat="1" x14ac:dyDescent="0.2">
      <c r="A22" s="76" t="s">
        <v>342</v>
      </c>
      <c r="B22" s="72" t="s">
        <v>280</v>
      </c>
      <c r="C22" s="73">
        <v>0.18537112</v>
      </c>
      <c r="D22" s="73">
        <v>0.19405522</v>
      </c>
      <c r="E22" s="73">
        <v>0.22180596</v>
      </c>
      <c r="F22" s="73">
        <v>0.19197</v>
      </c>
      <c r="G22" s="73">
        <v>0.10734105000000001</v>
      </c>
      <c r="H22" s="73">
        <v>0.12129039</v>
      </c>
      <c r="I22" s="73">
        <v>8.5900089999999998E-2</v>
      </c>
      <c r="J22" s="73">
        <v>7.3198089999999993E-2</v>
      </c>
      <c r="K22" s="73">
        <v>7.5648469999999995E-2</v>
      </c>
      <c r="L22" s="73">
        <v>9.1171039999999995E-2</v>
      </c>
      <c r="M22" s="73">
        <v>0</v>
      </c>
      <c r="N22" s="73">
        <v>4.7510469999999999E-2</v>
      </c>
      <c r="O22" s="73">
        <f>+SUM(C22:N22)</f>
        <v>1.3952618999999999</v>
      </c>
    </row>
    <row r="23" spans="1:15" s="77" customFormat="1" x14ac:dyDescent="0.2">
      <c r="A23" s="76" t="s">
        <v>24</v>
      </c>
      <c r="B23" s="72">
        <v>131</v>
      </c>
      <c r="C23" s="73">
        <v>0.49280291999999998</v>
      </c>
      <c r="D23" s="73">
        <v>0.48330844000000001</v>
      </c>
      <c r="E23" s="73">
        <v>0.48216932000000001</v>
      </c>
      <c r="F23" s="73">
        <v>0.44669197999999999</v>
      </c>
      <c r="G23" s="73">
        <v>0.72739549000000003</v>
      </c>
      <c r="H23" s="73">
        <v>0.36537970000000003</v>
      </c>
      <c r="I23" s="73">
        <v>9.8866039999999988E-2</v>
      </c>
      <c r="J23" s="73">
        <v>0.88420604000000003</v>
      </c>
      <c r="K23" s="73">
        <v>0.89363199999999998</v>
      </c>
      <c r="L23" s="73">
        <v>1.01416781</v>
      </c>
      <c r="M23" s="73">
        <v>0.84923780000000004</v>
      </c>
      <c r="N23" s="73">
        <v>0.70037833999999999</v>
      </c>
      <c r="O23" s="73">
        <f t="shared" si="0"/>
        <v>7.4382358800000006</v>
      </c>
    </row>
    <row r="24" spans="1:15" s="77" customFormat="1" x14ac:dyDescent="0.2">
      <c r="A24" s="76" t="s">
        <v>26</v>
      </c>
      <c r="B24" s="72">
        <v>88</v>
      </c>
      <c r="C24" s="73">
        <v>20.744573840000001</v>
      </c>
      <c r="D24" s="73">
        <v>21.203234050000002</v>
      </c>
      <c r="E24" s="73">
        <v>18.476722769999999</v>
      </c>
      <c r="F24" s="73">
        <v>18.73340439</v>
      </c>
      <c r="G24" s="73">
        <v>23.582903390000002</v>
      </c>
      <c r="H24" s="73">
        <v>27.304524559999997</v>
      </c>
      <c r="I24" s="73">
        <v>28.941625440000003</v>
      </c>
      <c r="J24" s="73">
        <v>32.087281420000004</v>
      </c>
      <c r="K24" s="73">
        <v>35.113562189999996</v>
      </c>
      <c r="L24" s="73">
        <v>39.237578060000004</v>
      </c>
      <c r="M24" s="73">
        <v>33.739119760000001</v>
      </c>
      <c r="N24" s="73">
        <v>31.025033520000001</v>
      </c>
      <c r="O24" s="73">
        <f t="shared" si="0"/>
        <v>330.18956339000005</v>
      </c>
    </row>
    <row r="25" spans="1:15" s="77" customFormat="1" x14ac:dyDescent="0.2">
      <c r="A25" s="76" t="s">
        <v>27</v>
      </c>
      <c r="B25" s="72">
        <v>57</v>
      </c>
      <c r="C25" s="73">
        <v>0.64515089999999997</v>
      </c>
      <c r="D25" s="73">
        <v>0.71097410999999999</v>
      </c>
      <c r="E25" s="73">
        <v>0.68317691000000003</v>
      </c>
      <c r="F25" s="73">
        <v>0.48371464000000003</v>
      </c>
      <c r="G25" s="73">
        <v>0.11473543</v>
      </c>
      <c r="H25" s="73">
        <v>0.44868767999999998</v>
      </c>
      <c r="I25" s="73">
        <v>7.4919490000000005E-2</v>
      </c>
      <c r="J25" s="73">
        <v>2.260993E-2</v>
      </c>
      <c r="K25" s="73">
        <v>0.69044786999999996</v>
      </c>
      <c r="L25" s="73">
        <v>1.3537050500000001</v>
      </c>
      <c r="M25" s="73">
        <v>1.28394502</v>
      </c>
      <c r="N25" s="73">
        <v>1.20399766</v>
      </c>
      <c r="O25" s="73">
        <f t="shared" si="0"/>
        <v>7.7160646899999996</v>
      </c>
    </row>
    <row r="26" spans="1:15" s="77" customFormat="1" x14ac:dyDescent="0.2">
      <c r="A26" s="76" t="s">
        <v>26</v>
      </c>
      <c r="B26" s="72">
        <v>56</v>
      </c>
      <c r="C26" s="73">
        <v>11.460034929999999</v>
      </c>
      <c r="D26" s="73">
        <v>10.528554189999999</v>
      </c>
      <c r="E26" s="73">
        <v>10.140703179999999</v>
      </c>
      <c r="F26" s="73">
        <v>8.0660274699999999</v>
      </c>
      <c r="G26" s="73">
        <v>14.09693225</v>
      </c>
      <c r="H26" s="73">
        <v>13.100249300000002</v>
      </c>
      <c r="I26" s="73">
        <v>17.578574360000001</v>
      </c>
      <c r="J26" s="73">
        <v>17.74466984</v>
      </c>
      <c r="K26" s="73">
        <v>16.132799900000002</v>
      </c>
      <c r="L26" s="73">
        <v>16.332106890000002</v>
      </c>
      <c r="M26" s="73">
        <v>13.710247470000001</v>
      </c>
      <c r="N26" s="73">
        <v>11.71868113</v>
      </c>
      <c r="O26" s="73">
        <f t="shared" si="0"/>
        <v>160.60958091000003</v>
      </c>
    </row>
    <row r="27" spans="1:15" s="77" customFormat="1" x14ac:dyDescent="0.2">
      <c r="A27" s="390" t="s">
        <v>258</v>
      </c>
      <c r="B27" s="390"/>
      <c r="C27" s="359">
        <f>+SUM(C19:C26)</f>
        <v>34.053776850000006</v>
      </c>
      <c r="D27" s="359">
        <f t="shared" ref="D27:N27" si="2">+SUM(D19:D26)</f>
        <v>33.620181180000003</v>
      </c>
      <c r="E27" s="359">
        <f t="shared" si="2"/>
        <v>30.764101589999999</v>
      </c>
      <c r="F27" s="359">
        <f t="shared" si="2"/>
        <v>28.918059239999998</v>
      </c>
      <c r="G27" s="359">
        <f t="shared" si="2"/>
        <v>40.150231160000004</v>
      </c>
      <c r="H27" s="359">
        <f t="shared" si="2"/>
        <v>42.751463860000001</v>
      </c>
      <c r="I27" s="359">
        <f t="shared" si="2"/>
        <v>48.314401480000001</v>
      </c>
      <c r="J27" s="359">
        <f t="shared" si="2"/>
        <v>51.731530980000002</v>
      </c>
      <c r="K27" s="359">
        <f t="shared" si="2"/>
        <v>54.394332649999996</v>
      </c>
      <c r="L27" s="359">
        <f t="shared" si="2"/>
        <v>60.223628430000005</v>
      </c>
      <c r="M27" s="359">
        <f t="shared" si="2"/>
        <v>50.527834389999995</v>
      </c>
      <c r="N27" s="359">
        <f t="shared" si="2"/>
        <v>45.707837490000003</v>
      </c>
      <c r="O27" s="359">
        <f>+SUM(O19:O26)</f>
        <v>521.1573793</v>
      </c>
    </row>
    <row r="28" spans="1:15" s="77" customFormat="1" ht="22.5" x14ac:dyDescent="0.2">
      <c r="A28" s="76" t="s">
        <v>309</v>
      </c>
      <c r="B28" s="72" t="s">
        <v>43</v>
      </c>
      <c r="C28" s="78">
        <v>0</v>
      </c>
      <c r="D28" s="73">
        <v>0</v>
      </c>
      <c r="E28" s="73">
        <v>0</v>
      </c>
      <c r="F28" s="78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f t="shared" si="0"/>
        <v>0</v>
      </c>
    </row>
    <row r="29" spans="1:15" s="77" customFormat="1" x14ac:dyDescent="0.2">
      <c r="A29" s="76" t="s">
        <v>333</v>
      </c>
      <c r="B29" s="72" t="s">
        <v>123</v>
      </c>
      <c r="C29" s="78">
        <v>0</v>
      </c>
      <c r="D29" s="73">
        <v>0</v>
      </c>
      <c r="E29" s="73">
        <v>0</v>
      </c>
      <c r="F29" s="78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f t="shared" si="0"/>
        <v>0</v>
      </c>
    </row>
    <row r="30" spans="1:15" x14ac:dyDescent="0.2">
      <c r="A30" s="389" t="s">
        <v>261</v>
      </c>
      <c r="B30" s="389"/>
      <c r="C30" s="359">
        <f>+C28+C29</f>
        <v>0</v>
      </c>
      <c r="D30" s="359">
        <f t="shared" ref="D30:O30" si="3">+D28+D29</f>
        <v>0</v>
      </c>
      <c r="E30" s="359">
        <f t="shared" si="3"/>
        <v>0</v>
      </c>
      <c r="F30" s="359">
        <f t="shared" si="3"/>
        <v>0</v>
      </c>
      <c r="G30" s="359">
        <f t="shared" si="3"/>
        <v>0</v>
      </c>
      <c r="H30" s="359">
        <f t="shared" si="3"/>
        <v>0</v>
      </c>
      <c r="I30" s="359">
        <f t="shared" si="3"/>
        <v>0</v>
      </c>
      <c r="J30" s="359">
        <f t="shared" si="3"/>
        <v>0</v>
      </c>
      <c r="K30" s="359">
        <f t="shared" si="3"/>
        <v>0</v>
      </c>
      <c r="L30" s="359">
        <f t="shared" si="3"/>
        <v>0</v>
      </c>
      <c r="M30" s="359">
        <f t="shared" si="3"/>
        <v>0</v>
      </c>
      <c r="N30" s="359">
        <f t="shared" si="3"/>
        <v>0</v>
      </c>
      <c r="O30" s="359">
        <f t="shared" si="3"/>
        <v>0</v>
      </c>
    </row>
    <row r="31" spans="1:15" x14ac:dyDescent="0.2">
      <c r="A31" s="392" t="s">
        <v>343</v>
      </c>
      <c r="B31" s="392"/>
      <c r="C31" s="393">
        <f>+C18+C27+C30</f>
        <v>41.747172470000002</v>
      </c>
      <c r="D31" s="393">
        <f t="shared" ref="D31:N31" si="4">+D18+D27+D30</f>
        <v>42.248811110000005</v>
      </c>
      <c r="E31" s="393">
        <f t="shared" si="4"/>
        <v>40.905939439999997</v>
      </c>
      <c r="F31" s="393">
        <f t="shared" si="4"/>
        <v>38.488327259999998</v>
      </c>
      <c r="G31" s="393">
        <f t="shared" si="4"/>
        <v>51.403211050000003</v>
      </c>
      <c r="H31" s="393">
        <f t="shared" si="4"/>
        <v>55.407582410000003</v>
      </c>
      <c r="I31" s="393">
        <f t="shared" si="4"/>
        <v>61.746740070000001</v>
      </c>
      <c r="J31" s="393">
        <f t="shared" si="4"/>
        <v>63.881182460000005</v>
      </c>
      <c r="K31" s="393">
        <f t="shared" si="4"/>
        <v>67.495992180000002</v>
      </c>
      <c r="L31" s="393">
        <f t="shared" si="4"/>
        <v>77.72099747</v>
      </c>
      <c r="M31" s="393">
        <f t="shared" si="4"/>
        <v>67.048165979999993</v>
      </c>
      <c r="N31" s="393">
        <f t="shared" si="4"/>
        <v>59.698551399999999</v>
      </c>
      <c r="O31" s="393">
        <f>+O18+O27+O30</f>
        <v>667.79267329999993</v>
      </c>
    </row>
    <row r="32" spans="1:15" x14ac:dyDescent="0.2">
      <c r="A32" s="80"/>
      <c r="B32" s="8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</row>
    <row r="33" spans="1:15" s="83" customFormat="1" x14ac:dyDescent="0.2">
      <c r="A33" s="354" t="s">
        <v>344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</row>
    <row r="34" spans="1:15" x14ac:dyDescent="0.2">
      <c r="A34" s="351" t="s">
        <v>0</v>
      </c>
      <c r="B34" s="352" t="s">
        <v>1</v>
      </c>
      <c r="C34" s="352" t="s">
        <v>296</v>
      </c>
      <c r="D34" s="352" t="s">
        <v>297</v>
      </c>
      <c r="E34" s="352" t="s">
        <v>298</v>
      </c>
      <c r="F34" s="352" t="s">
        <v>299</v>
      </c>
      <c r="G34" s="352" t="s">
        <v>300</v>
      </c>
      <c r="H34" s="352" t="s">
        <v>301</v>
      </c>
      <c r="I34" s="352" t="s">
        <v>302</v>
      </c>
      <c r="J34" s="352" t="s">
        <v>303</v>
      </c>
      <c r="K34" s="352" t="s">
        <v>304</v>
      </c>
      <c r="L34" s="352" t="s">
        <v>305</v>
      </c>
      <c r="M34" s="352" t="s">
        <v>306</v>
      </c>
      <c r="N34" s="352" t="s">
        <v>307</v>
      </c>
      <c r="O34" s="353" t="s">
        <v>287</v>
      </c>
    </row>
    <row r="35" spans="1:15" s="77" customFormat="1" x14ac:dyDescent="0.2">
      <c r="A35" s="76" t="s">
        <v>117</v>
      </c>
      <c r="B35" s="84" t="s">
        <v>340</v>
      </c>
      <c r="C35" s="73">
        <v>5.033402E-2</v>
      </c>
      <c r="D35" s="73">
        <v>2.4726069999999999E-2</v>
      </c>
      <c r="E35" s="73">
        <v>4.1585339999999998E-2</v>
      </c>
      <c r="F35" s="73">
        <v>5.2501069999999997E-2</v>
      </c>
      <c r="G35" s="73">
        <v>6.571573E-2</v>
      </c>
      <c r="H35" s="73">
        <v>6.6670590000000002E-2</v>
      </c>
      <c r="I35" s="73">
        <v>7.7538300000000004E-2</v>
      </c>
      <c r="J35" s="73">
        <v>7.2536869999999989E-2</v>
      </c>
      <c r="K35" s="73">
        <v>7.5915589999999991E-2</v>
      </c>
      <c r="L35" s="73">
        <v>8.2720910000000009E-2</v>
      </c>
      <c r="M35" s="73">
        <v>7.9769880000000001E-2</v>
      </c>
      <c r="N35" s="73">
        <v>2.7757839999999999E-2</v>
      </c>
      <c r="O35" s="73">
        <f t="shared" ref="O35:O40" si="5">+SUM(C35:N35)</f>
        <v>0.71777221000000002</v>
      </c>
    </row>
    <row r="36" spans="1:15" s="77" customFormat="1" x14ac:dyDescent="0.2">
      <c r="A36" s="76" t="s">
        <v>433</v>
      </c>
      <c r="B36" s="84" t="s">
        <v>49</v>
      </c>
      <c r="C36" s="73">
        <v>2.177538E-2</v>
      </c>
      <c r="D36" s="73">
        <v>2.6944669999999997E-2</v>
      </c>
      <c r="E36" s="73">
        <v>2.0762050000000001E-2</v>
      </c>
      <c r="F36" s="73">
        <v>3.0066580000000002E-2</v>
      </c>
      <c r="G36" s="73">
        <v>4.3589949999999995E-2</v>
      </c>
      <c r="H36" s="73">
        <v>3.103794E-2</v>
      </c>
      <c r="I36" s="73">
        <v>4.9685180000000002E-2</v>
      </c>
      <c r="J36" s="73">
        <v>4.6015529999999999E-2</v>
      </c>
      <c r="K36" s="73">
        <v>4.9596910000000001E-2</v>
      </c>
      <c r="L36" s="73">
        <v>4.6024989999999995E-2</v>
      </c>
      <c r="M36" s="73">
        <v>3.1084669999999998E-2</v>
      </c>
      <c r="N36" s="73">
        <v>4.7855300000000003E-2</v>
      </c>
      <c r="O36" s="73">
        <f t="shared" si="5"/>
        <v>0.44443914999999995</v>
      </c>
    </row>
    <row r="37" spans="1:15" s="77" customFormat="1" x14ac:dyDescent="0.2">
      <c r="A37" s="76" t="s">
        <v>23</v>
      </c>
      <c r="B37" s="84" t="s">
        <v>51</v>
      </c>
      <c r="C37" s="73">
        <v>0.24484428</v>
      </c>
      <c r="D37" s="73">
        <v>0.2151575</v>
      </c>
      <c r="E37" s="73">
        <v>0.23973617999999999</v>
      </c>
      <c r="F37" s="73">
        <v>0.23360532000000001</v>
      </c>
      <c r="G37" s="73">
        <v>0.24322778</v>
      </c>
      <c r="H37" s="73">
        <v>0.23214736999999999</v>
      </c>
      <c r="I37" s="73">
        <v>0.24039780999999999</v>
      </c>
      <c r="J37" s="73">
        <v>0.24385223</v>
      </c>
      <c r="K37" s="73">
        <v>0.23308801999999998</v>
      </c>
      <c r="L37" s="73">
        <v>0.24432110999999998</v>
      </c>
      <c r="M37" s="73">
        <v>0.24011784999999999</v>
      </c>
      <c r="N37" s="73">
        <v>0.25211653000000001</v>
      </c>
      <c r="O37" s="73">
        <f t="shared" si="5"/>
        <v>2.8626119799999996</v>
      </c>
    </row>
    <row r="38" spans="1:15" s="77" customFormat="1" x14ac:dyDescent="0.2">
      <c r="A38" s="76" t="s">
        <v>434</v>
      </c>
      <c r="B38" s="84" t="s">
        <v>439</v>
      </c>
      <c r="C38" s="73">
        <v>0</v>
      </c>
      <c r="D38" s="73">
        <v>0</v>
      </c>
      <c r="E38" s="73">
        <v>0</v>
      </c>
      <c r="F38" s="73">
        <v>0</v>
      </c>
      <c r="G38" s="73">
        <v>0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7.1283100000000005E-3</v>
      </c>
      <c r="O38" s="73">
        <f t="shared" si="5"/>
        <v>7.1283100000000005E-3</v>
      </c>
    </row>
    <row r="39" spans="1:15" s="77" customFormat="1" x14ac:dyDescent="0.2">
      <c r="A39" s="76" t="s">
        <v>249</v>
      </c>
      <c r="B39" s="72" t="s">
        <v>115</v>
      </c>
      <c r="C39" s="73">
        <v>2.6261960000000001E-2</v>
      </c>
      <c r="D39" s="73">
        <v>2.669581E-2</v>
      </c>
      <c r="E39" s="73">
        <v>1.8341070000000001E-2</v>
      </c>
      <c r="F39" s="73">
        <v>2.0098650000000003E-2</v>
      </c>
      <c r="G39" s="73">
        <v>1.9073619999999999E-2</v>
      </c>
      <c r="H39" s="73">
        <v>2.3698360000000002E-2</v>
      </c>
      <c r="I39" s="73">
        <v>1.2595250000000001E-2</v>
      </c>
      <c r="J39" s="73">
        <v>1.23321E-3</v>
      </c>
      <c r="K39" s="73">
        <v>2.6085000000000002E-4</v>
      </c>
      <c r="L39" s="73">
        <v>3.3470100000000001E-3</v>
      </c>
      <c r="M39" s="73">
        <v>5.0735200000000006E-3</v>
      </c>
      <c r="N39" s="73">
        <v>8.3711299999999992E-3</v>
      </c>
      <c r="O39" s="73">
        <f t="shared" si="5"/>
        <v>0.16505044000000005</v>
      </c>
    </row>
    <row r="40" spans="1:15" s="77" customFormat="1" x14ac:dyDescent="0.2">
      <c r="A40" s="76" t="s">
        <v>52</v>
      </c>
      <c r="B40" s="84" t="s">
        <v>8</v>
      </c>
      <c r="C40" s="73">
        <v>0.19488772999999998</v>
      </c>
      <c r="D40" s="73">
        <v>0.20163515999999998</v>
      </c>
      <c r="E40" s="73">
        <v>0.19467690999999998</v>
      </c>
      <c r="F40" s="73">
        <v>0.22828794000000002</v>
      </c>
      <c r="G40" s="73">
        <v>0.21177170000000001</v>
      </c>
      <c r="H40" s="73">
        <v>0.19438079999999999</v>
      </c>
      <c r="I40" s="73">
        <v>0.19820558000000002</v>
      </c>
      <c r="J40" s="73">
        <v>0.22166695</v>
      </c>
      <c r="K40" s="73">
        <v>0.19485729999999998</v>
      </c>
      <c r="L40" s="73">
        <v>0.19734599</v>
      </c>
      <c r="M40" s="73">
        <v>0.20033026000000001</v>
      </c>
      <c r="N40" s="73">
        <v>0.21733078000000003</v>
      </c>
      <c r="O40" s="73">
        <f t="shared" si="5"/>
        <v>2.4553770999999998</v>
      </c>
    </row>
    <row r="41" spans="1:15" s="77" customFormat="1" x14ac:dyDescent="0.2">
      <c r="A41" s="390" t="s">
        <v>341</v>
      </c>
      <c r="B41" s="390"/>
      <c r="C41" s="359">
        <f t="shared" ref="C41:O41" si="6">+SUM(C35:C40)</f>
        <v>0.53810336999999997</v>
      </c>
      <c r="D41" s="359">
        <f t="shared" si="6"/>
        <v>0.49515920999999996</v>
      </c>
      <c r="E41" s="359">
        <f t="shared" si="6"/>
        <v>0.51510155000000002</v>
      </c>
      <c r="F41" s="359">
        <f t="shared" si="6"/>
        <v>0.56455955999999996</v>
      </c>
      <c r="G41" s="359">
        <f t="shared" si="6"/>
        <v>0.58337877999999999</v>
      </c>
      <c r="H41" s="359">
        <f t="shared" si="6"/>
        <v>0.54793506000000003</v>
      </c>
      <c r="I41" s="359">
        <f t="shared" si="6"/>
        <v>0.57842212000000004</v>
      </c>
      <c r="J41" s="359">
        <f t="shared" si="6"/>
        <v>0.58530479000000002</v>
      </c>
      <c r="K41" s="359">
        <f t="shared" si="6"/>
        <v>0.55371866999999997</v>
      </c>
      <c r="L41" s="359">
        <f t="shared" si="6"/>
        <v>0.57376000999999999</v>
      </c>
      <c r="M41" s="359">
        <f t="shared" si="6"/>
        <v>0.55637618</v>
      </c>
      <c r="N41" s="359">
        <f t="shared" si="6"/>
        <v>0.56055989000000006</v>
      </c>
      <c r="O41" s="359">
        <f t="shared" si="6"/>
        <v>6.6523791899999987</v>
      </c>
    </row>
    <row r="42" spans="1:15" s="77" customFormat="1" ht="9.6" customHeight="1" x14ac:dyDescent="0.2">
      <c r="A42" s="76" t="s">
        <v>342</v>
      </c>
      <c r="B42" s="84" t="s">
        <v>122</v>
      </c>
      <c r="C42" s="73">
        <v>9.0414850000000005E-2</v>
      </c>
      <c r="D42" s="73">
        <v>0.29688641999999998</v>
      </c>
      <c r="E42" s="73">
        <v>0.27338629999999997</v>
      </c>
      <c r="F42" s="73">
        <v>7.6551000000000006E-3</v>
      </c>
      <c r="G42" s="73">
        <v>0.33429053999999997</v>
      </c>
      <c r="H42" s="73">
        <v>0.43825460999999999</v>
      </c>
      <c r="I42" s="73">
        <v>0.35278940000000003</v>
      </c>
      <c r="J42" s="73">
        <v>0.87406517000000006</v>
      </c>
      <c r="K42" s="73">
        <v>0.94777107999999999</v>
      </c>
      <c r="L42" s="73">
        <v>0.42045012999999998</v>
      </c>
      <c r="M42" s="73">
        <v>8.7415289999999993E-2</v>
      </c>
      <c r="N42" s="73">
        <v>2.8866269999999999E-2</v>
      </c>
      <c r="O42" s="73">
        <f t="shared" ref="O42:O47" si="7">+SUM(C42:N42)</f>
        <v>4.1522451599999997</v>
      </c>
    </row>
    <row r="43" spans="1:15" s="77" customFormat="1" x14ac:dyDescent="0.2">
      <c r="A43" s="76" t="s">
        <v>26</v>
      </c>
      <c r="B43" s="84">
        <v>88</v>
      </c>
      <c r="C43" s="73">
        <v>12.191886070000001</v>
      </c>
      <c r="D43" s="73">
        <v>11.83036032</v>
      </c>
      <c r="E43" s="73">
        <v>13.53817257</v>
      </c>
      <c r="F43" s="73">
        <v>10.759876869999999</v>
      </c>
      <c r="G43" s="73">
        <v>15.279893130000001</v>
      </c>
      <c r="H43" s="73">
        <v>16.174683130000002</v>
      </c>
      <c r="I43" s="73">
        <v>16.57927819</v>
      </c>
      <c r="J43" s="73">
        <v>17.723977659999999</v>
      </c>
      <c r="K43" s="73">
        <v>18.830385620000001</v>
      </c>
      <c r="L43" s="73">
        <v>17.597088829999997</v>
      </c>
      <c r="M43" s="73">
        <v>17.010705609999999</v>
      </c>
      <c r="N43" s="73">
        <v>16.076912060000002</v>
      </c>
      <c r="O43" s="73">
        <f t="shared" si="7"/>
        <v>183.59322006000002</v>
      </c>
    </row>
    <row r="44" spans="1:15" s="77" customFormat="1" x14ac:dyDescent="0.2">
      <c r="A44" s="76" t="s">
        <v>26</v>
      </c>
      <c r="B44" s="84" t="s">
        <v>444</v>
      </c>
      <c r="C44" s="73">
        <v>5.6310926399999994</v>
      </c>
      <c r="D44" s="73">
        <v>1.1355252199999999</v>
      </c>
      <c r="E44" s="73">
        <v>0.80995879000000004</v>
      </c>
      <c r="F44" s="73">
        <v>1.39390375</v>
      </c>
      <c r="G44" s="73">
        <v>1.40248795</v>
      </c>
      <c r="H44" s="73">
        <v>2.5880194700000003</v>
      </c>
      <c r="I44" s="73">
        <v>1.4084273799999998</v>
      </c>
      <c r="J44" s="73">
        <v>1.8889189099999999</v>
      </c>
      <c r="K44" s="73">
        <v>6.5067204900000002</v>
      </c>
      <c r="L44" s="73">
        <v>7.58137668</v>
      </c>
      <c r="M44" s="73">
        <v>9.4891440100000004</v>
      </c>
      <c r="N44" s="73">
        <v>11.040763650000001</v>
      </c>
      <c r="O44" s="73">
        <f t="shared" si="7"/>
        <v>50.876338939999997</v>
      </c>
    </row>
    <row r="45" spans="1:15" s="77" customFormat="1" x14ac:dyDescent="0.2">
      <c r="A45" s="76" t="s">
        <v>26</v>
      </c>
      <c r="B45" s="84" t="s">
        <v>445</v>
      </c>
      <c r="C45" s="73">
        <v>4.5210649999999998E-2</v>
      </c>
      <c r="D45" s="73">
        <v>4.5950209999999998E-2</v>
      </c>
      <c r="E45" s="73">
        <v>4.4218519999999997E-2</v>
      </c>
      <c r="F45" s="73">
        <v>3.4628779999999998E-2</v>
      </c>
      <c r="G45" s="73">
        <v>8.0503699999999994E-3</v>
      </c>
      <c r="H45" s="73">
        <v>2.588648E-2</v>
      </c>
      <c r="I45" s="73">
        <v>4.57559E-3</v>
      </c>
      <c r="J45" s="73">
        <v>1.7245399999999999E-3</v>
      </c>
      <c r="K45" s="73">
        <v>2.7973120000000001E-2</v>
      </c>
      <c r="L45" s="73">
        <v>4.9151529999999999E-2</v>
      </c>
      <c r="M45" s="73">
        <v>5.5031779999999995E-2</v>
      </c>
      <c r="N45" s="73">
        <v>5.8241569999999999E-2</v>
      </c>
      <c r="O45" s="73">
        <f t="shared" si="7"/>
        <v>0.40064313999999995</v>
      </c>
    </row>
    <row r="46" spans="1:15" s="77" customFormat="1" x14ac:dyDescent="0.2">
      <c r="A46" s="76" t="s">
        <v>27</v>
      </c>
      <c r="B46" s="84">
        <v>57</v>
      </c>
      <c r="C46" s="73">
        <v>3.9285156800000003</v>
      </c>
      <c r="D46" s="73">
        <v>0.83070396999999996</v>
      </c>
      <c r="E46" s="73">
        <v>0.57529826000000006</v>
      </c>
      <c r="F46" s="73">
        <v>0.77240869999999995</v>
      </c>
      <c r="G46" s="73">
        <v>0.26784742</v>
      </c>
      <c r="H46" s="73">
        <v>1.1340518700000002</v>
      </c>
      <c r="I46" s="73">
        <v>0.18005003999999999</v>
      </c>
      <c r="J46" s="73">
        <v>8.3969420000000003E-2</v>
      </c>
      <c r="K46" s="73">
        <v>3.9111591200000002</v>
      </c>
      <c r="L46" s="73">
        <v>6.3513480400000004</v>
      </c>
      <c r="M46" s="73">
        <v>8.5008756699999992</v>
      </c>
      <c r="N46" s="73">
        <v>9.4122688699999983</v>
      </c>
      <c r="O46" s="73">
        <f t="shared" si="7"/>
        <v>35.948497059999994</v>
      </c>
    </row>
    <row r="47" spans="1:15" s="77" customFormat="1" x14ac:dyDescent="0.2">
      <c r="A47" s="76" t="s">
        <v>26</v>
      </c>
      <c r="B47" s="84">
        <v>56</v>
      </c>
      <c r="C47" s="73">
        <v>0.36345073</v>
      </c>
      <c r="D47" s="73">
        <v>0.31366094999999999</v>
      </c>
      <c r="E47" s="73">
        <v>0.28181424999999999</v>
      </c>
      <c r="F47" s="73">
        <v>0.20314648999999999</v>
      </c>
      <c r="G47" s="73">
        <v>5.2625580000000005E-2</v>
      </c>
      <c r="H47" s="73">
        <v>0.16017644</v>
      </c>
      <c r="I47" s="73">
        <v>2.9568459999999998E-2</v>
      </c>
      <c r="J47" s="73">
        <v>6.0436800000000001E-3</v>
      </c>
      <c r="K47" s="73">
        <v>0.22508392000000002</v>
      </c>
      <c r="L47" s="73">
        <v>0.35240113000000001</v>
      </c>
      <c r="M47" s="73">
        <v>0.37666403999999998</v>
      </c>
      <c r="N47" s="73">
        <v>0.40550052000000003</v>
      </c>
      <c r="O47" s="73">
        <f t="shared" si="7"/>
        <v>2.7701361900000001</v>
      </c>
    </row>
    <row r="48" spans="1:15" s="77" customFormat="1" x14ac:dyDescent="0.2">
      <c r="A48" s="76" t="s">
        <v>26</v>
      </c>
      <c r="B48" s="84" t="s">
        <v>345</v>
      </c>
      <c r="C48" s="73">
        <v>38.07788395</v>
      </c>
      <c r="D48" s="73">
        <v>6.9098347800000006</v>
      </c>
      <c r="E48" s="73">
        <v>4.2962929900000004</v>
      </c>
      <c r="F48" s="73">
        <v>6.06208715</v>
      </c>
      <c r="G48" s="73">
        <v>2.6801962700000002</v>
      </c>
      <c r="H48" s="73">
        <v>9.4142408</v>
      </c>
      <c r="I48" s="73">
        <v>1.6811718600000001</v>
      </c>
      <c r="J48" s="73">
        <v>0</v>
      </c>
      <c r="K48" s="73">
        <v>31.553116719999998</v>
      </c>
      <c r="L48" s="73">
        <v>45.053731069999998</v>
      </c>
      <c r="M48" s="73">
        <v>67.060754219999993</v>
      </c>
      <c r="N48" s="73">
        <v>74.640640000000005</v>
      </c>
      <c r="O48" s="73">
        <f>+SUM(C48:N48)</f>
        <v>287.42994980999998</v>
      </c>
    </row>
    <row r="49" spans="1:18" x14ac:dyDescent="0.2">
      <c r="A49" s="391" t="s">
        <v>258</v>
      </c>
      <c r="B49" s="391"/>
      <c r="C49" s="360">
        <f>+SUM(C42:C48)</f>
        <v>60.328454570000005</v>
      </c>
      <c r="D49" s="360">
        <f t="shared" ref="D49:N49" si="8">+SUM(D42:D48)</f>
        <v>21.362921870000001</v>
      </c>
      <c r="E49" s="360">
        <f t="shared" si="8"/>
        <v>19.819141680000001</v>
      </c>
      <c r="F49" s="360">
        <f t="shared" si="8"/>
        <v>19.233706839999996</v>
      </c>
      <c r="G49" s="360">
        <f t="shared" si="8"/>
        <v>20.025391259999999</v>
      </c>
      <c r="H49" s="360">
        <f t="shared" si="8"/>
        <v>29.935312800000005</v>
      </c>
      <c r="I49" s="360">
        <f t="shared" si="8"/>
        <v>20.23586092</v>
      </c>
      <c r="J49" s="360">
        <f t="shared" si="8"/>
        <v>20.578699380000003</v>
      </c>
      <c r="K49" s="360">
        <f t="shared" si="8"/>
        <v>62.002210069999997</v>
      </c>
      <c r="L49" s="360">
        <f t="shared" si="8"/>
        <v>77.405547409999997</v>
      </c>
      <c r="M49" s="360">
        <f t="shared" si="8"/>
        <v>102.58059061999998</v>
      </c>
      <c r="N49" s="360">
        <f t="shared" si="8"/>
        <v>111.66319294</v>
      </c>
      <c r="O49" s="360">
        <f>+SUM(O42:O48)</f>
        <v>565.17103036000003</v>
      </c>
    </row>
    <row r="50" spans="1:18" x14ac:dyDescent="0.2">
      <c r="A50" s="355" t="s">
        <v>346</v>
      </c>
      <c r="B50" s="355"/>
      <c r="C50" s="356">
        <f>+C41+C49</f>
        <v>60.866557940000007</v>
      </c>
      <c r="D50" s="356">
        <f t="shared" ref="D50:O50" si="9">+D41+D49</f>
        <v>21.858081080000002</v>
      </c>
      <c r="E50" s="356">
        <f t="shared" si="9"/>
        <v>20.334243230000002</v>
      </c>
      <c r="F50" s="356">
        <f t="shared" si="9"/>
        <v>19.798266399999996</v>
      </c>
      <c r="G50" s="356">
        <f t="shared" si="9"/>
        <v>20.60877004</v>
      </c>
      <c r="H50" s="356">
        <f t="shared" si="9"/>
        <v>30.483247860000006</v>
      </c>
      <c r="I50" s="356">
        <f t="shared" si="9"/>
        <v>20.814283039999999</v>
      </c>
      <c r="J50" s="356">
        <f t="shared" si="9"/>
        <v>21.164004170000002</v>
      </c>
      <c r="K50" s="356">
        <f t="shared" si="9"/>
        <v>62.555928739999999</v>
      </c>
      <c r="L50" s="356">
        <f t="shared" si="9"/>
        <v>77.979307419999998</v>
      </c>
      <c r="M50" s="356">
        <f t="shared" si="9"/>
        <v>103.13696679999998</v>
      </c>
      <c r="N50" s="356">
        <f t="shared" si="9"/>
        <v>112.22375283</v>
      </c>
      <c r="O50" s="356">
        <f t="shared" si="9"/>
        <v>571.82340955000006</v>
      </c>
    </row>
    <row r="51" spans="1:18" x14ac:dyDescent="0.2">
      <c r="A51" s="80"/>
      <c r="B51" s="81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</row>
    <row r="52" spans="1:18" s="85" customFormat="1" ht="12" x14ac:dyDescent="0.2">
      <c r="A52" s="349" t="s">
        <v>347</v>
      </c>
      <c r="B52" s="349"/>
      <c r="C52" s="350">
        <f>+C31+C50</f>
        <v>102.61373041000002</v>
      </c>
      <c r="D52" s="350">
        <f t="shared" ref="D52:N52" si="10">+D31+D50</f>
        <v>64.106892190000011</v>
      </c>
      <c r="E52" s="350">
        <f t="shared" si="10"/>
        <v>61.240182669999996</v>
      </c>
      <c r="F52" s="350">
        <f t="shared" si="10"/>
        <v>58.286593659999994</v>
      </c>
      <c r="G52" s="350">
        <f t="shared" si="10"/>
        <v>72.011981090000006</v>
      </c>
      <c r="H52" s="350">
        <f t="shared" si="10"/>
        <v>85.890830270000009</v>
      </c>
      <c r="I52" s="350">
        <f t="shared" si="10"/>
        <v>82.561023110000008</v>
      </c>
      <c r="J52" s="350">
        <f t="shared" si="10"/>
        <v>85.045186630000003</v>
      </c>
      <c r="K52" s="350">
        <f t="shared" si="10"/>
        <v>130.05192091999999</v>
      </c>
      <c r="L52" s="350">
        <f t="shared" si="10"/>
        <v>155.70030488999998</v>
      </c>
      <c r="M52" s="350">
        <f t="shared" si="10"/>
        <v>170.18513277999998</v>
      </c>
      <c r="N52" s="350">
        <f t="shared" si="10"/>
        <v>171.92230423000001</v>
      </c>
      <c r="O52" s="350">
        <f>+O31+O50</f>
        <v>1239.6160828500001</v>
      </c>
    </row>
    <row r="53" spans="1:18" x14ac:dyDescent="0.2">
      <c r="A53" s="1" t="s">
        <v>391</v>
      </c>
    </row>
    <row r="55" spans="1:18" x14ac:dyDescent="0.2">
      <c r="C55" s="103">
        <f>+C52*1000000</f>
        <v>102613730.41000001</v>
      </c>
      <c r="D55" s="103">
        <f t="shared" ref="D55:O55" si="11">+D52*1000000</f>
        <v>64106892.190000013</v>
      </c>
      <c r="E55" s="103">
        <f t="shared" si="11"/>
        <v>61240182.669999994</v>
      </c>
      <c r="F55" s="103">
        <f t="shared" si="11"/>
        <v>58286593.659999996</v>
      </c>
      <c r="G55" s="103">
        <f t="shared" si="11"/>
        <v>72011981.090000004</v>
      </c>
      <c r="H55" s="103">
        <f t="shared" si="11"/>
        <v>85890830.270000011</v>
      </c>
      <c r="I55" s="103">
        <f t="shared" si="11"/>
        <v>82561023.110000014</v>
      </c>
      <c r="J55" s="103">
        <f t="shared" si="11"/>
        <v>85045186.63000001</v>
      </c>
      <c r="K55" s="103">
        <f t="shared" si="11"/>
        <v>130051920.91999999</v>
      </c>
      <c r="L55" s="103">
        <f t="shared" si="11"/>
        <v>155700304.88999999</v>
      </c>
      <c r="M55" s="103">
        <f t="shared" si="11"/>
        <v>170185132.77999997</v>
      </c>
      <c r="N55" s="103">
        <f t="shared" si="11"/>
        <v>171922304.23000002</v>
      </c>
      <c r="O55" s="103">
        <f t="shared" si="11"/>
        <v>1239616082.8500001</v>
      </c>
      <c r="P55" s="103"/>
      <c r="Q55" s="103"/>
      <c r="R55" s="103"/>
    </row>
  </sheetData>
  <mergeCells count="13">
    <mergeCell ref="A27:B27"/>
    <mergeCell ref="A2:O2"/>
    <mergeCell ref="A6:O6"/>
    <mergeCell ref="A7:O7"/>
    <mergeCell ref="A18:B18"/>
    <mergeCell ref="A4:O5"/>
    <mergeCell ref="A52:B52"/>
    <mergeCell ref="A30:B30"/>
    <mergeCell ref="A31:B31"/>
    <mergeCell ref="A33:O33"/>
    <mergeCell ref="A41:B41"/>
    <mergeCell ref="A49:B49"/>
    <mergeCell ref="A50:B50"/>
  </mergeCells>
  <pageMargins left="0.7" right="0.7" top="0.75" bottom="0.75" header="0.3" footer="0.3"/>
  <pageSetup scale="62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499984740745262"/>
  </sheetPr>
  <dimension ref="A2:O30"/>
  <sheetViews>
    <sheetView showGridLines="0" workbookViewId="0">
      <pane ySplit="5" topLeftCell="A6" activePane="bottomLeft" state="frozen"/>
      <selection pane="bottomLeft" activeCell="I35" sqref="I35"/>
    </sheetView>
  </sheetViews>
  <sheetFormatPr baseColWidth="10" defaultRowHeight="15" x14ac:dyDescent="0.25"/>
  <cols>
    <col min="1" max="1" width="14.42578125" bestFit="1" customWidth="1"/>
  </cols>
  <sheetData>
    <row r="2" spans="1:15" x14ac:dyDescent="0.25">
      <c r="A2" s="301" t="s">
        <v>791</v>
      </c>
      <c r="B2" s="301"/>
      <c r="C2" s="301"/>
      <c r="D2" s="301"/>
      <c r="E2" s="301"/>
      <c r="F2" s="301"/>
      <c r="G2" s="301"/>
      <c r="H2" s="301"/>
      <c r="I2" s="301"/>
      <c r="J2" s="301"/>
    </row>
    <row r="3" spans="1:1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5" ht="15" customHeight="1" x14ac:dyDescent="0.25">
      <c r="A4" s="336" t="s">
        <v>519</v>
      </c>
      <c r="B4" s="336"/>
      <c r="C4" s="336"/>
      <c r="D4" s="336"/>
      <c r="E4" s="336"/>
      <c r="F4" s="336"/>
      <c r="G4" s="336"/>
      <c r="H4" s="336"/>
      <c r="I4" s="336"/>
      <c r="J4" s="336"/>
      <c r="K4" s="115"/>
      <c r="L4" s="115"/>
      <c r="M4" s="115"/>
      <c r="N4" s="115"/>
      <c r="O4" s="115"/>
    </row>
    <row r="5" spans="1:15" x14ac:dyDescent="0.25">
      <c r="A5" s="208" t="s">
        <v>497</v>
      </c>
      <c r="B5" s="208">
        <v>2013</v>
      </c>
      <c r="C5" s="208">
        <v>2014</v>
      </c>
      <c r="D5" s="208">
        <v>2015</v>
      </c>
      <c r="E5" s="208">
        <v>2016</v>
      </c>
      <c r="F5" s="208">
        <v>2017</v>
      </c>
      <c r="G5" s="208">
        <v>2018</v>
      </c>
      <c r="H5" s="208">
        <v>2019</v>
      </c>
      <c r="I5" s="208">
        <v>2020</v>
      </c>
      <c r="J5" s="208">
        <v>2021</v>
      </c>
    </row>
    <row r="6" spans="1:15" x14ac:dyDescent="0.25">
      <c r="A6" s="357" t="s">
        <v>498</v>
      </c>
      <c r="B6" s="358">
        <v>8.66</v>
      </c>
      <c r="C6" s="358">
        <v>7.46</v>
      </c>
      <c r="D6" s="358">
        <v>3.59</v>
      </c>
      <c r="E6" s="358">
        <v>2.62</v>
      </c>
      <c r="F6" s="358">
        <v>3.13</v>
      </c>
      <c r="G6" s="358">
        <v>4.2300000000000004</v>
      </c>
      <c r="H6" s="358">
        <v>3.88</v>
      </c>
      <c r="I6" s="358">
        <v>2.72</v>
      </c>
      <c r="J6" s="358">
        <v>4.3600000000000003</v>
      </c>
    </row>
    <row r="7" spans="1:15" x14ac:dyDescent="0.25">
      <c r="A7" s="357" t="s">
        <v>499</v>
      </c>
      <c r="B7" s="358">
        <v>37.409999999999997</v>
      </c>
      <c r="C7" s="358">
        <v>27.33</v>
      </c>
      <c r="D7" s="358">
        <v>8.9700000000000006</v>
      </c>
      <c r="E7" s="358">
        <v>4.43</v>
      </c>
      <c r="F7" s="358">
        <v>5.18</v>
      </c>
      <c r="G7" s="358">
        <v>8.49</v>
      </c>
      <c r="H7" s="358">
        <v>6.83</v>
      </c>
      <c r="I7" s="358">
        <v>3.24</v>
      </c>
      <c r="J7" s="358">
        <v>5.72</v>
      </c>
    </row>
    <row r="8" spans="1:15" x14ac:dyDescent="0.25">
      <c r="A8" s="357" t="s">
        <v>500</v>
      </c>
      <c r="B8" s="358">
        <v>13.54</v>
      </c>
      <c r="C8" s="358">
        <v>11.59</v>
      </c>
      <c r="D8" s="358">
        <v>4.47</v>
      </c>
      <c r="E8" s="358">
        <v>2.99</v>
      </c>
      <c r="F8" s="358">
        <v>9.81</v>
      </c>
      <c r="G8" s="358">
        <v>23.27</v>
      </c>
      <c r="H8" s="358">
        <v>24.38</v>
      </c>
      <c r="I8" s="358">
        <v>10.210000000000001</v>
      </c>
      <c r="J8" s="358">
        <v>21.64</v>
      </c>
    </row>
    <row r="9" spans="1:15" x14ac:dyDescent="0.25">
      <c r="A9" s="357" t="s">
        <v>501</v>
      </c>
      <c r="B9" s="358" t="s">
        <v>502</v>
      </c>
      <c r="C9" s="358" t="s">
        <v>502</v>
      </c>
      <c r="D9" s="358">
        <v>0.39</v>
      </c>
      <c r="E9" s="358">
        <v>0.75</v>
      </c>
      <c r="F9" s="358">
        <v>1.04</v>
      </c>
      <c r="G9" s="358">
        <v>1.7</v>
      </c>
      <c r="H9" s="358">
        <v>1.38</v>
      </c>
      <c r="I9" s="358">
        <v>0.63</v>
      </c>
      <c r="J9" s="358">
        <v>1.48</v>
      </c>
    </row>
    <row r="10" spans="1:15" x14ac:dyDescent="0.25">
      <c r="A10" s="357" t="s">
        <v>503</v>
      </c>
      <c r="B10" s="358">
        <v>17.21</v>
      </c>
      <c r="C10" s="358">
        <v>15.58</v>
      </c>
      <c r="D10" s="358">
        <v>10.75</v>
      </c>
      <c r="E10" s="358">
        <v>11.99</v>
      </c>
      <c r="F10" s="358">
        <v>16.059999999999999</v>
      </c>
      <c r="G10" s="358">
        <v>28.36</v>
      </c>
      <c r="H10" s="358">
        <v>24.79</v>
      </c>
      <c r="I10" s="358">
        <v>12.49</v>
      </c>
      <c r="J10" s="358">
        <v>28.34</v>
      </c>
    </row>
    <row r="11" spans="1:15" x14ac:dyDescent="0.25">
      <c r="A11" s="357" t="s">
        <v>504</v>
      </c>
      <c r="B11" s="358">
        <v>196.77</v>
      </c>
      <c r="C11" s="358">
        <v>150.37</v>
      </c>
      <c r="D11" s="358">
        <v>48.75</v>
      </c>
      <c r="E11" s="358">
        <v>35.72</v>
      </c>
      <c r="F11" s="358">
        <v>54.47</v>
      </c>
      <c r="G11" s="358">
        <v>102.65</v>
      </c>
      <c r="H11" s="358">
        <v>86.6</v>
      </c>
      <c r="I11" s="358">
        <v>36.200000000000003</v>
      </c>
      <c r="J11" s="358">
        <v>80.709999999999994</v>
      </c>
    </row>
    <row r="12" spans="1:15" x14ac:dyDescent="0.25">
      <c r="A12" s="357" t="s">
        <v>505</v>
      </c>
      <c r="B12" s="358">
        <v>62.93</v>
      </c>
      <c r="C12" s="358">
        <v>74.45</v>
      </c>
      <c r="D12" s="358">
        <v>26.82</v>
      </c>
      <c r="E12" s="358">
        <v>20.23</v>
      </c>
      <c r="F12" s="358">
        <v>18.82</v>
      </c>
      <c r="G12" s="358">
        <v>18.47</v>
      </c>
      <c r="H12" s="358">
        <v>18.170000000000002</v>
      </c>
      <c r="I12" s="358">
        <v>8.5299999999999994</v>
      </c>
      <c r="J12" s="358">
        <v>10.69</v>
      </c>
    </row>
    <row r="13" spans="1:15" x14ac:dyDescent="0.25">
      <c r="A13" s="357" t="s">
        <v>506</v>
      </c>
      <c r="B13" s="358" t="s">
        <v>502</v>
      </c>
      <c r="C13" s="358" t="s">
        <v>502</v>
      </c>
      <c r="D13" s="358" t="s">
        <v>507</v>
      </c>
      <c r="E13" s="358" t="s">
        <v>507</v>
      </c>
      <c r="F13" s="358" t="s">
        <v>507</v>
      </c>
      <c r="G13" s="358" t="s">
        <v>508</v>
      </c>
      <c r="H13" s="358" t="s">
        <v>507</v>
      </c>
      <c r="I13" s="358" t="s">
        <v>507</v>
      </c>
      <c r="J13" s="358" t="s">
        <v>509</v>
      </c>
    </row>
    <row r="14" spans="1:15" x14ac:dyDescent="0.25">
      <c r="A14" s="357" t="s">
        <v>510</v>
      </c>
      <c r="B14" s="358">
        <v>1.35</v>
      </c>
      <c r="C14" s="358">
        <v>0.97</v>
      </c>
      <c r="D14" s="358">
        <v>0.45</v>
      </c>
      <c r="E14" s="358">
        <v>0.3</v>
      </c>
      <c r="F14" s="358">
        <v>0.31</v>
      </c>
      <c r="G14" s="358">
        <v>0.36</v>
      </c>
      <c r="H14" s="358">
        <v>0.33</v>
      </c>
      <c r="I14" s="358">
        <v>0.2</v>
      </c>
      <c r="J14" s="358">
        <v>0.28999999999999998</v>
      </c>
    </row>
    <row r="15" spans="1:15" x14ac:dyDescent="0.25">
      <c r="A15" s="357" t="s">
        <v>511</v>
      </c>
      <c r="B15" s="358">
        <v>0.25</v>
      </c>
      <c r="C15" s="358">
        <v>0.18</v>
      </c>
      <c r="D15" s="358">
        <v>0.06</v>
      </c>
      <c r="E15" s="358">
        <v>0.04</v>
      </c>
      <c r="F15" s="358">
        <v>0.04</v>
      </c>
      <c r="G15" s="358">
        <v>0.11</v>
      </c>
      <c r="H15" s="358">
        <v>7.0000000000000007E-2</v>
      </c>
      <c r="I15" s="358">
        <v>0.03</v>
      </c>
      <c r="J15" s="358">
        <v>0.06</v>
      </c>
    </row>
    <row r="16" spans="1:15" x14ac:dyDescent="0.25">
      <c r="A16" s="357">
        <v>131</v>
      </c>
      <c r="B16" s="358">
        <v>7.0000000000000007E-2</v>
      </c>
      <c r="C16" s="358">
        <v>4.5599999999999996</v>
      </c>
      <c r="D16" s="358">
        <v>11.88</v>
      </c>
      <c r="E16" s="358">
        <v>8.1</v>
      </c>
      <c r="F16" s="358">
        <v>12.65</v>
      </c>
      <c r="G16" s="358">
        <v>15.39</v>
      </c>
      <c r="H16" s="358">
        <v>13.73</v>
      </c>
      <c r="I16" s="358">
        <v>5.31</v>
      </c>
      <c r="J16" s="358">
        <v>7.44</v>
      </c>
    </row>
    <row r="17" spans="1:10" x14ac:dyDescent="0.25">
      <c r="A17" s="357" t="s">
        <v>512</v>
      </c>
      <c r="B17" s="358">
        <v>4.79</v>
      </c>
      <c r="C17" s="358">
        <v>4.38</v>
      </c>
      <c r="D17" s="358">
        <v>1.93</v>
      </c>
      <c r="E17" s="358">
        <v>0.47</v>
      </c>
      <c r="F17" s="358">
        <v>0.51</v>
      </c>
      <c r="G17" s="358">
        <v>0.18</v>
      </c>
      <c r="H17" s="358" t="s">
        <v>507</v>
      </c>
      <c r="I17" s="358" t="s">
        <v>507</v>
      </c>
      <c r="J17" s="358" t="s">
        <v>509</v>
      </c>
    </row>
    <row r="18" spans="1:10" x14ac:dyDescent="0.25">
      <c r="A18" s="357" t="s">
        <v>513</v>
      </c>
      <c r="B18" s="358">
        <v>49.77</v>
      </c>
      <c r="C18" s="358">
        <v>44.02</v>
      </c>
      <c r="D18" s="358">
        <v>25.76</v>
      </c>
      <c r="E18" s="358">
        <v>16.16</v>
      </c>
      <c r="F18" s="358">
        <v>9.06</v>
      </c>
      <c r="G18" s="358">
        <v>15.76</v>
      </c>
      <c r="H18" s="358">
        <v>11.68</v>
      </c>
      <c r="I18" s="358">
        <v>3.4</v>
      </c>
      <c r="J18" s="358">
        <v>5.55</v>
      </c>
    </row>
    <row r="19" spans="1:10" x14ac:dyDescent="0.25">
      <c r="A19" s="357" t="s">
        <v>514</v>
      </c>
      <c r="B19" s="358">
        <v>0.57999999999999996</v>
      </c>
      <c r="C19" s="358">
        <v>0.42</v>
      </c>
      <c r="D19" s="358">
        <v>0.18</v>
      </c>
      <c r="E19" s="358">
        <v>0.08</v>
      </c>
      <c r="F19" s="358">
        <v>7.0000000000000007E-2</v>
      </c>
      <c r="G19" s="358">
        <v>0.02</v>
      </c>
      <c r="H19" s="358" t="s">
        <v>507</v>
      </c>
      <c r="I19" s="358" t="s">
        <v>507</v>
      </c>
      <c r="J19" s="358" t="s">
        <v>509</v>
      </c>
    </row>
    <row r="20" spans="1:10" x14ac:dyDescent="0.25">
      <c r="A20" s="357">
        <v>102</v>
      </c>
      <c r="B20" s="358">
        <v>0.24</v>
      </c>
      <c r="C20" s="358" t="s">
        <v>502</v>
      </c>
      <c r="D20" s="358" t="s">
        <v>507</v>
      </c>
      <c r="E20" s="358" t="s">
        <v>507</v>
      </c>
      <c r="F20" s="358" t="s">
        <v>507</v>
      </c>
      <c r="G20" s="358" t="s">
        <v>508</v>
      </c>
      <c r="H20" s="358" t="s">
        <v>507</v>
      </c>
      <c r="I20" s="358" t="s">
        <v>507</v>
      </c>
      <c r="J20" s="358" t="s">
        <v>509</v>
      </c>
    </row>
    <row r="21" spans="1:10" x14ac:dyDescent="0.25">
      <c r="A21" s="357" t="s">
        <v>515</v>
      </c>
      <c r="B21" s="358">
        <v>146.53</v>
      </c>
      <c r="C21" s="358">
        <v>116.51</v>
      </c>
      <c r="D21" s="358">
        <v>30.4</v>
      </c>
      <c r="E21" s="358" t="s">
        <v>507</v>
      </c>
      <c r="F21" s="358" t="s">
        <v>507</v>
      </c>
      <c r="G21" s="358" t="s">
        <v>508</v>
      </c>
      <c r="H21" s="358" t="s">
        <v>507</v>
      </c>
      <c r="I21" s="358" t="s">
        <v>507</v>
      </c>
      <c r="J21" s="358" t="s">
        <v>509</v>
      </c>
    </row>
    <row r="22" spans="1:10" x14ac:dyDescent="0.25">
      <c r="A22" s="357">
        <v>67</v>
      </c>
      <c r="B22" s="358">
        <v>0.15</v>
      </c>
      <c r="C22" s="358">
        <v>15.26</v>
      </c>
      <c r="D22" s="358">
        <v>0.32</v>
      </c>
      <c r="E22" s="358">
        <v>0</v>
      </c>
      <c r="F22" s="358" t="s">
        <v>507</v>
      </c>
      <c r="G22" s="358">
        <v>0.74</v>
      </c>
      <c r="H22" s="358">
        <v>2.5499999999999998</v>
      </c>
      <c r="I22" s="358">
        <v>0.56000000000000005</v>
      </c>
      <c r="J22" s="358">
        <v>3.56</v>
      </c>
    </row>
    <row r="23" spans="1:10" x14ac:dyDescent="0.25">
      <c r="A23" s="357">
        <v>8</v>
      </c>
      <c r="B23" s="358">
        <v>81.69</v>
      </c>
      <c r="C23" s="358">
        <v>74.290000000000006</v>
      </c>
      <c r="D23" s="358">
        <v>26.3</v>
      </c>
      <c r="E23" s="358">
        <v>10</v>
      </c>
      <c r="F23" s="358">
        <v>21.58</v>
      </c>
      <c r="G23" s="358">
        <v>27.92</v>
      </c>
      <c r="H23" s="358">
        <v>20</v>
      </c>
      <c r="I23" s="358">
        <v>5.84</v>
      </c>
      <c r="J23" s="358" t="s">
        <v>509</v>
      </c>
    </row>
    <row r="24" spans="1:10" x14ac:dyDescent="0.25">
      <c r="A24" s="357">
        <v>95</v>
      </c>
      <c r="B24" s="358">
        <v>0.03</v>
      </c>
      <c r="C24" s="358" t="s">
        <v>502</v>
      </c>
      <c r="D24" s="358" t="s">
        <v>507</v>
      </c>
      <c r="E24" s="358" t="s">
        <v>507</v>
      </c>
      <c r="F24" s="358" t="s">
        <v>507</v>
      </c>
      <c r="G24" s="358">
        <v>0.48</v>
      </c>
      <c r="H24" s="358">
        <v>3.68</v>
      </c>
      <c r="I24" s="358">
        <v>3.04</v>
      </c>
      <c r="J24" s="358">
        <v>10.25</v>
      </c>
    </row>
    <row r="25" spans="1:10" x14ac:dyDescent="0.25">
      <c r="A25" s="357">
        <v>56</v>
      </c>
      <c r="B25" s="358">
        <v>626.72</v>
      </c>
      <c r="C25" s="358">
        <v>422.6</v>
      </c>
      <c r="D25" s="358">
        <v>142.61000000000001</v>
      </c>
      <c r="E25" s="358">
        <v>144.41</v>
      </c>
      <c r="F25" s="358">
        <v>222.2</v>
      </c>
      <c r="G25" s="358">
        <v>287.32</v>
      </c>
      <c r="H25" s="358">
        <v>151.80000000000001</v>
      </c>
      <c r="I25" s="358">
        <v>102.65</v>
      </c>
      <c r="J25" s="358">
        <v>450.81</v>
      </c>
    </row>
    <row r="26" spans="1:10" x14ac:dyDescent="0.25">
      <c r="A26" s="357">
        <v>57</v>
      </c>
      <c r="B26" s="358" t="s">
        <v>502</v>
      </c>
      <c r="C26" s="358">
        <v>6.38</v>
      </c>
      <c r="D26" s="358">
        <v>3.68</v>
      </c>
      <c r="E26" s="358">
        <v>8.08</v>
      </c>
      <c r="F26" s="358">
        <v>12.98</v>
      </c>
      <c r="G26" s="358">
        <v>27.09</v>
      </c>
      <c r="H26" s="358">
        <v>12.75</v>
      </c>
      <c r="I26" s="358">
        <v>11.97</v>
      </c>
      <c r="J26" s="358">
        <v>43.67</v>
      </c>
    </row>
    <row r="27" spans="1:10" x14ac:dyDescent="0.25">
      <c r="A27" s="357">
        <v>88</v>
      </c>
      <c r="B27" s="358">
        <v>683.1</v>
      </c>
      <c r="C27" s="358">
        <v>644.6</v>
      </c>
      <c r="D27" s="358">
        <v>378.3</v>
      </c>
      <c r="E27" s="358">
        <v>360.18</v>
      </c>
      <c r="F27" s="358">
        <v>402.91</v>
      </c>
      <c r="G27" s="358">
        <v>465.7</v>
      </c>
      <c r="H27" s="358">
        <v>389.19</v>
      </c>
      <c r="I27" s="358">
        <v>303.79000000000002</v>
      </c>
      <c r="J27" s="358">
        <v>564.89</v>
      </c>
    </row>
    <row r="28" spans="1:10" x14ac:dyDescent="0.25">
      <c r="A28" s="357" t="s">
        <v>516</v>
      </c>
      <c r="B28" s="358">
        <v>4.93</v>
      </c>
      <c r="C28" s="358">
        <v>9.16</v>
      </c>
      <c r="D28" s="358">
        <v>3.71</v>
      </c>
      <c r="E28" s="358">
        <v>2.21</v>
      </c>
      <c r="F28" s="358">
        <v>2.2400000000000002</v>
      </c>
      <c r="G28" s="358">
        <v>1.97</v>
      </c>
      <c r="H28" s="358">
        <v>1.53</v>
      </c>
      <c r="I28" s="358">
        <v>0.09</v>
      </c>
      <c r="J28" s="358" t="s">
        <v>509</v>
      </c>
    </row>
    <row r="29" spans="1:10" x14ac:dyDescent="0.25">
      <c r="A29" s="357" t="s">
        <v>517</v>
      </c>
      <c r="B29" s="358" t="s">
        <v>502</v>
      </c>
      <c r="C29" s="358" t="s">
        <v>502</v>
      </c>
      <c r="D29" s="358" t="s">
        <v>507</v>
      </c>
      <c r="E29" s="358" t="s">
        <v>507</v>
      </c>
      <c r="F29" s="358" t="s">
        <v>507</v>
      </c>
      <c r="G29" s="358" t="s">
        <v>508</v>
      </c>
      <c r="H29" s="358">
        <v>0.05</v>
      </c>
      <c r="I29" s="358" t="s">
        <v>507</v>
      </c>
      <c r="J29" s="358" t="s">
        <v>509</v>
      </c>
    </row>
    <row r="30" spans="1:10" x14ac:dyDescent="0.25">
      <c r="A30" s="341" t="s">
        <v>518</v>
      </c>
      <c r="B30" s="341">
        <v>1936.71</v>
      </c>
      <c r="C30" s="341">
        <v>1630.11</v>
      </c>
      <c r="D30" s="341">
        <v>729.29</v>
      </c>
      <c r="E30" s="341">
        <v>628.76</v>
      </c>
      <c r="F30" s="341">
        <v>793.06</v>
      </c>
      <c r="G30" s="341">
        <v>1030.21</v>
      </c>
      <c r="H30" s="341">
        <v>773.39</v>
      </c>
      <c r="I30" s="341">
        <v>510.92</v>
      </c>
      <c r="J30" s="341">
        <v>1239.45</v>
      </c>
    </row>
  </sheetData>
  <mergeCells count="2">
    <mergeCell ref="A2:J2"/>
    <mergeCell ref="A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499984740745262"/>
    <pageSetUpPr fitToPage="1"/>
  </sheetPr>
  <dimension ref="A2:P18"/>
  <sheetViews>
    <sheetView showGridLines="0" zoomScaleNormal="100" workbookViewId="0">
      <selection activeCell="H38" sqref="H38"/>
    </sheetView>
  </sheetViews>
  <sheetFormatPr baseColWidth="10" defaultColWidth="11.42578125" defaultRowHeight="11.25" x14ac:dyDescent="0.25"/>
  <cols>
    <col min="1" max="1" width="11.42578125" style="1"/>
    <col min="2" max="2" width="9" style="2" customWidth="1"/>
    <col min="3" max="3" width="9" style="3" hidden="1" customWidth="1"/>
    <col min="4" max="8" width="9" style="3" customWidth="1"/>
    <col min="9" max="11" width="9.28515625" style="3" customWidth="1"/>
    <col min="12" max="16384" width="11.42578125" style="3"/>
  </cols>
  <sheetData>
    <row r="2" spans="1:16" ht="12" x14ac:dyDescent="0.2">
      <c r="A2" s="301" t="s">
        <v>792</v>
      </c>
      <c r="B2" s="301"/>
      <c r="C2" s="301"/>
      <c r="D2" s="301"/>
      <c r="E2" s="301"/>
      <c r="F2" s="301"/>
      <c r="G2" s="301"/>
      <c r="H2" s="301"/>
      <c r="I2" s="301"/>
      <c r="J2" s="301"/>
      <c r="K2" s="15"/>
      <c r="L2" s="13"/>
      <c r="M2" s="13"/>
      <c r="N2" s="13"/>
      <c r="O2" s="13"/>
      <c r="P2" s="13"/>
    </row>
    <row r="4" spans="1:16" s="2" customFormat="1" ht="11.25" customHeight="1" x14ac:dyDescent="0.25">
      <c r="A4" s="361" t="s">
        <v>793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</row>
    <row r="5" spans="1:16" s="2" customFormat="1" x14ac:dyDescent="0.25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</row>
    <row r="6" spans="1:16" s="2" customFormat="1" x14ac:dyDescent="0.25">
      <c r="A6" s="362" t="s">
        <v>0</v>
      </c>
      <c r="B6" s="363" t="s">
        <v>1</v>
      </c>
      <c r="C6" s="363">
        <v>2013</v>
      </c>
      <c r="D6" s="363">
        <v>2014</v>
      </c>
      <c r="E6" s="363">
        <v>2015</v>
      </c>
      <c r="F6" s="363">
        <v>2016</v>
      </c>
      <c r="G6" s="363">
        <v>2017</v>
      </c>
      <c r="H6" s="363">
        <v>2018</v>
      </c>
      <c r="I6" s="363">
        <v>2019</v>
      </c>
      <c r="J6" s="363">
        <v>2020</v>
      </c>
      <c r="K6" s="363">
        <v>2021</v>
      </c>
    </row>
    <row r="7" spans="1:16" x14ac:dyDescent="0.25">
      <c r="A7" s="364" t="s">
        <v>348</v>
      </c>
      <c r="B7" s="365" t="s">
        <v>113</v>
      </c>
      <c r="C7" s="366">
        <f>6.122317+46.140054</f>
        <v>52.262371000000002</v>
      </c>
      <c r="D7" s="366">
        <f>9.196803+46.495055</f>
        <v>55.691857999999996</v>
      </c>
      <c r="E7" s="366">
        <f>9.378788+21.145378</f>
        <v>30.524166000000001</v>
      </c>
      <c r="F7" s="366">
        <f>7.995627+12.957691</f>
        <v>20.953317999999999</v>
      </c>
      <c r="G7" s="366">
        <f>7.262084+13.317518</f>
        <v>20.579602000000001</v>
      </c>
      <c r="H7" s="366">
        <f>6.541876+14.853936</f>
        <v>21.395811999999999</v>
      </c>
      <c r="I7" s="366">
        <f>4.875978+12.142321</f>
        <v>17.018298999999999</v>
      </c>
      <c r="J7" s="366">
        <v>11.066266519999999</v>
      </c>
      <c r="K7" s="366">
        <v>14.883604999999999</v>
      </c>
    </row>
    <row r="8" spans="1:16" x14ac:dyDescent="0.25">
      <c r="A8" s="364"/>
      <c r="B8" s="365" t="s">
        <v>116</v>
      </c>
      <c r="C8" s="366">
        <v>3.2388590000000002</v>
      </c>
      <c r="D8" s="366">
        <v>3.0607799999999998</v>
      </c>
      <c r="E8" s="366">
        <v>2.376169</v>
      </c>
      <c r="F8" s="366">
        <v>1.5414239999999999</v>
      </c>
      <c r="G8" s="366">
        <v>1.4436800000000001</v>
      </c>
      <c r="H8" s="366">
        <v>2.079742</v>
      </c>
      <c r="I8" s="366">
        <v>1.8321419999999999</v>
      </c>
      <c r="J8" s="366">
        <v>1.11278232</v>
      </c>
      <c r="K8" s="366">
        <v>1.773253</v>
      </c>
    </row>
    <row r="9" spans="1:16" x14ac:dyDescent="0.25">
      <c r="A9" s="364"/>
      <c r="B9" s="365" t="s">
        <v>56</v>
      </c>
      <c r="C9" s="366">
        <v>2.4873409999999998</v>
      </c>
      <c r="D9" s="366">
        <v>2.5571069999999998</v>
      </c>
      <c r="E9" s="366">
        <v>0.81720199999999998</v>
      </c>
      <c r="F9" s="366">
        <v>0</v>
      </c>
      <c r="G9" s="366">
        <v>0</v>
      </c>
      <c r="H9" s="366">
        <v>0</v>
      </c>
      <c r="I9" s="366">
        <v>0</v>
      </c>
      <c r="J9" s="366">
        <v>0</v>
      </c>
      <c r="K9" s="366">
        <v>0</v>
      </c>
    </row>
    <row r="10" spans="1:16" x14ac:dyDescent="0.25">
      <c r="A10" s="367" t="s">
        <v>341</v>
      </c>
      <c r="B10" s="367"/>
      <c r="C10" s="368">
        <f>+SUM(C7:C9)</f>
        <v>57.988571</v>
      </c>
      <c r="D10" s="368">
        <f t="shared" ref="D10:J10" si="0">+SUM(D7:D9)</f>
        <v>61.309744999999999</v>
      </c>
      <c r="E10" s="368">
        <f t="shared" si="0"/>
        <v>33.717537</v>
      </c>
      <c r="F10" s="368">
        <f t="shared" si="0"/>
        <v>22.494741999999999</v>
      </c>
      <c r="G10" s="368">
        <f t="shared" si="0"/>
        <v>22.023282000000002</v>
      </c>
      <c r="H10" s="368">
        <f t="shared" si="0"/>
        <v>23.475553999999999</v>
      </c>
      <c r="I10" s="368">
        <f t="shared" si="0"/>
        <v>18.850441</v>
      </c>
      <c r="J10" s="368">
        <f t="shared" si="0"/>
        <v>12.17904884</v>
      </c>
      <c r="K10" s="368">
        <f>+SUM(K7:K9)</f>
        <v>16.656858</v>
      </c>
    </row>
    <row r="11" spans="1:16" x14ac:dyDescent="0.25">
      <c r="A11" s="365" t="s">
        <v>109</v>
      </c>
      <c r="B11" s="365">
        <v>192</v>
      </c>
      <c r="C11" s="366">
        <v>0</v>
      </c>
      <c r="D11" s="366">
        <v>0</v>
      </c>
      <c r="E11" s="366">
        <v>18.897117999999999</v>
      </c>
      <c r="F11" s="366">
        <v>5.497865</v>
      </c>
      <c r="G11" s="366">
        <v>41.553438999999997</v>
      </c>
      <c r="H11" s="366">
        <v>124.380662</v>
      </c>
      <c r="I11" s="366">
        <v>101.484639</v>
      </c>
      <c r="J11" s="366">
        <v>18.022139670000001</v>
      </c>
      <c r="K11" s="366">
        <v>0</v>
      </c>
    </row>
    <row r="12" spans="1:16" x14ac:dyDescent="0.25">
      <c r="A12" s="367" t="s">
        <v>258</v>
      </c>
      <c r="B12" s="367"/>
      <c r="C12" s="368">
        <f>+C11</f>
        <v>0</v>
      </c>
      <c r="D12" s="368">
        <f t="shared" ref="D12:K12" si="1">+D11</f>
        <v>0</v>
      </c>
      <c r="E12" s="368">
        <f t="shared" si="1"/>
        <v>18.897117999999999</v>
      </c>
      <c r="F12" s="368">
        <f t="shared" si="1"/>
        <v>5.497865</v>
      </c>
      <c r="G12" s="368">
        <f t="shared" si="1"/>
        <v>41.553438999999997</v>
      </c>
      <c r="H12" s="368">
        <f t="shared" si="1"/>
        <v>124.380662</v>
      </c>
      <c r="I12" s="368">
        <f t="shared" si="1"/>
        <v>101.484639</v>
      </c>
      <c r="J12" s="368">
        <f t="shared" si="1"/>
        <v>18.022139670000001</v>
      </c>
      <c r="K12" s="368">
        <f t="shared" si="1"/>
        <v>0</v>
      </c>
    </row>
    <row r="13" spans="1:16" x14ac:dyDescent="0.25">
      <c r="A13" s="365" t="s">
        <v>349</v>
      </c>
      <c r="B13" s="365" t="s">
        <v>58</v>
      </c>
      <c r="C13" s="366">
        <f>13.014749+26.327136+330.455923</f>
        <v>369.79780799999997</v>
      </c>
      <c r="D13" s="366">
        <f>18.764151+24.982028+317.005887</f>
        <v>360.75206599999996</v>
      </c>
      <c r="E13" s="366">
        <f>9.83065+15.724013+144.536863</f>
        <v>170.09152600000002</v>
      </c>
      <c r="F13" s="366">
        <f>10.10401+14.065544+102.111665</f>
        <v>126.28121899999999</v>
      </c>
      <c r="G13" s="366">
        <f>12.939253+15.4548+124.596238</f>
        <v>152.99029100000001</v>
      </c>
      <c r="H13" s="366">
        <f>17.67365+18.210681+166.248316</f>
        <v>202.13264699999999</v>
      </c>
      <c r="I13" s="366">
        <f>18.560817+14.46423+140.883127</f>
        <v>173.908174</v>
      </c>
      <c r="J13" s="366">
        <v>104.03513664</v>
      </c>
      <c r="K13" s="366">
        <v>166.62</v>
      </c>
    </row>
    <row r="14" spans="1:16" x14ac:dyDescent="0.25">
      <c r="A14" s="369" t="s">
        <v>261</v>
      </c>
      <c r="B14" s="369"/>
      <c r="C14" s="370">
        <f>+C13</f>
        <v>369.79780799999997</v>
      </c>
      <c r="D14" s="370">
        <f t="shared" ref="D14:J14" si="2">+D13</f>
        <v>360.75206599999996</v>
      </c>
      <c r="E14" s="370">
        <f t="shared" si="2"/>
        <v>170.09152600000002</v>
      </c>
      <c r="F14" s="370">
        <f t="shared" si="2"/>
        <v>126.28121899999999</v>
      </c>
      <c r="G14" s="370">
        <f t="shared" si="2"/>
        <v>152.99029100000001</v>
      </c>
      <c r="H14" s="370">
        <f t="shared" si="2"/>
        <v>202.13264699999999</v>
      </c>
      <c r="I14" s="370">
        <f t="shared" si="2"/>
        <v>173.908174</v>
      </c>
      <c r="J14" s="370">
        <f t="shared" si="2"/>
        <v>104.03513664</v>
      </c>
      <c r="K14" s="370">
        <f t="shared" ref="K14" si="3">+K13</f>
        <v>166.62</v>
      </c>
    </row>
    <row r="15" spans="1:16" x14ac:dyDescent="0.25">
      <c r="A15" s="371" t="s">
        <v>350</v>
      </c>
      <c r="B15" s="371"/>
      <c r="C15" s="372">
        <f>+C10+C12+C14</f>
        <v>427.78637899999995</v>
      </c>
      <c r="D15" s="372">
        <f t="shared" ref="D15:J15" si="4">+D10+D12+D14</f>
        <v>422.06181099999998</v>
      </c>
      <c r="E15" s="372">
        <f t="shared" si="4"/>
        <v>222.70618100000002</v>
      </c>
      <c r="F15" s="372">
        <f t="shared" si="4"/>
        <v>154.27382599999999</v>
      </c>
      <c r="G15" s="372">
        <f t="shared" si="4"/>
        <v>216.56701200000001</v>
      </c>
      <c r="H15" s="372">
        <f t="shared" si="4"/>
        <v>349.98886299999998</v>
      </c>
      <c r="I15" s="372">
        <f t="shared" si="4"/>
        <v>294.24325399999998</v>
      </c>
      <c r="J15" s="372">
        <f t="shared" si="4"/>
        <v>134.23632515</v>
      </c>
      <c r="K15" s="372">
        <f>+K10+K12+K14</f>
        <v>183.276858</v>
      </c>
    </row>
    <row r="16" spans="1:16" ht="13.15" customHeight="1" x14ac:dyDescent="0.25">
      <c r="A16" s="1" t="s">
        <v>391</v>
      </c>
    </row>
    <row r="18" spans="10:11" ht="12" x14ac:dyDescent="0.25">
      <c r="J18" s="104"/>
      <c r="K18" s="104"/>
    </row>
  </sheetData>
  <mergeCells count="7">
    <mergeCell ref="A2:J2"/>
    <mergeCell ref="A15:B15"/>
    <mergeCell ref="A7:A9"/>
    <mergeCell ref="A10:B10"/>
    <mergeCell ref="A12:B12"/>
    <mergeCell ref="A14:B14"/>
    <mergeCell ref="A4:K5"/>
  </mergeCells>
  <pageMargins left="0.7" right="0.7" top="0.75" bottom="0.75" header="0.3" footer="0.3"/>
  <pageSetup scale="65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499984740745262"/>
    <pageSetUpPr fitToPage="1"/>
  </sheetPr>
  <dimension ref="A2:L39"/>
  <sheetViews>
    <sheetView showGridLines="0" workbookViewId="0">
      <selection activeCell="L26" sqref="L26"/>
    </sheetView>
  </sheetViews>
  <sheetFormatPr baseColWidth="10" defaultColWidth="11.42578125" defaultRowHeight="11.25" x14ac:dyDescent="0.25"/>
  <cols>
    <col min="1" max="1" width="11.42578125" style="1"/>
    <col min="2" max="2" width="10.42578125" style="3" hidden="1" customWidth="1"/>
    <col min="3" max="8" width="10.42578125" style="3" customWidth="1"/>
    <col min="9" max="10" width="10.28515625" style="3" customWidth="1"/>
    <col min="11" max="11" width="10.42578125" style="3" customWidth="1"/>
    <col min="12" max="16384" width="11.42578125" style="3"/>
  </cols>
  <sheetData>
    <row r="2" spans="1:11" ht="12" x14ac:dyDescent="0.2">
      <c r="A2" s="301" t="s">
        <v>797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</row>
    <row r="4" spans="1:11" s="2" customFormat="1" ht="11.25" customHeight="1" x14ac:dyDescent="0.25">
      <c r="A4" s="336" t="s">
        <v>794</v>
      </c>
      <c r="B4" s="336"/>
      <c r="C4" s="336"/>
      <c r="D4" s="336"/>
      <c r="E4" s="336"/>
      <c r="F4" s="336"/>
      <c r="G4" s="336"/>
      <c r="H4" s="336"/>
      <c r="I4" s="336"/>
      <c r="J4" s="336"/>
      <c r="K4" s="3"/>
    </row>
    <row r="5" spans="1:11" s="2" customFormat="1" x14ac:dyDescent="0.25">
      <c r="A5" s="336"/>
      <c r="B5" s="336"/>
      <c r="C5" s="336"/>
      <c r="D5" s="336"/>
      <c r="E5" s="336"/>
      <c r="F5" s="336"/>
      <c r="G5" s="336"/>
      <c r="H5" s="336"/>
      <c r="I5" s="336"/>
      <c r="J5" s="336"/>
      <c r="K5" s="3"/>
    </row>
    <row r="6" spans="1:11" s="2" customFormat="1" x14ac:dyDescent="0.25">
      <c r="A6" s="228"/>
      <c r="B6" s="208">
        <v>2013</v>
      </c>
      <c r="C6" s="208">
        <v>2014</v>
      </c>
      <c r="D6" s="208">
        <v>2015</v>
      </c>
      <c r="E6" s="208">
        <v>2016</v>
      </c>
      <c r="F6" s="208">
        <v>2017</v>
      </c>
      <c r="G6" s="208">
        <v>2018</v>
      </c>
      <c r="H6" s="208">
        <v>2019</v>
      </c>
      <c r="I6" s="208">
        <v>2020</v>
      </c>
      <c r="J6" s="208">
        <v>2021</v>
      </c>
      <c r="K6" s="3"/>
    </row>
    <row r="7" spans="1:11" x14ac:dyDescent="0.25">
      <c r="A7" s="210" t="s">
        <v>285</v>
      </c>
      <c r="B7" s="240">
        <v>654.72</v>
      </c>
      <c r="C7" s="240">
        <v>584.16</v>
      </c>
      <c r="D7" s="240">
        <v>207.23</v>
      </c>
      <c r="E7" s="240">
        <v>120.19</v>
      </c>
      <c r="F7" s="240">
        <v>171.31</v>
      </c>
      <c r="G7" s="240">
        <v>284.69</v>
      </c>
      <c r="H7" s="240">
        <f>199.86+58.74</f>
        <v>258.60000000000002</v>
      </c>
      <c r="I7" s="373">
        <v>105.57092299999999</v>
      </c>
      <c r="J7" s="373">
        <v>202.06200000000001</v>
      </c>
    </row>
    <row r="8" spans="1:11" ht="22.5" x14ac:dyDescent="0.25">
      <c r="A8" s="210" t="s">
        <v>286</v>
      </c>
      <c r="B8" s="240">
        <v>910.23</v>
      </c>
      <c r="C8" s="240">
        <v>806.05</v>
      </c>
      <c r="D8" s="240">
        <v>306.13</v>
      </c>
      <c r="E8" s="240">
        <v>283.14</v>
      </c>
      <c r="F8" s="240">
        <v>393.41</v>
      </c>
      <c r="G8" s="240">
        <v>441.52</v>
      </c>
      <c r="H8" s="240">
        <f>302.39+2.75</f>
        <v>305.14</v>
      </c>
      <c r="I8" s="373">
        <v>200.08723900000001</v>
      </c>
      <c r="J8" s="373">
        <v>502.89651500000002</v>
      </c>
    </row>
    <row r="9" spans="1:11" x14ac:dyDescent="0.25">
      <c r="A9" s="210" t="s">
        <v>351</v>
      </c>
      <c r="B9" s="240">
        <v>455.99</v>
      </c>
      <c r="C9" s="240">
        <v>300.42</v>
      </c>
      <c r="D9" s="240">
        <v>255.6</v>
      </c>
      <c r="E9" s="240">
        <v>256.89999999999998</v>
      </c>
      <c r="F9" s="240">
        <v>264.11</v>
      </c>
      <c r="G9" s="240">
        <v>366.73</v>
      </c>
      <c r="H9" s="240">
        <f>271.1+2.35</f>
        <v>273.45000000000005</v>
      </c>
      <c r="I9" s="373">
        <v>232.627836</v>
      </c>
      <c r="J9" s="373">
        <v>574.13452299999994</v>
      </c>
    </row>
    <row r="10" spans="1:11" x14ac:dyDescent="0.25">
      <c r="A10" s="210" t="s">
        <v>352</v>
      </c>
      <c r="B10" s="240">
        <v>0</v>
      </c>
      <c r="C10" s="240">
        <v>0</v>
      </c>
      <c r="D10" s="240">
        <v>1.4E-3</v>
      </c>
      <c r="E10" s="240">
        <v>2.46E-2</v>
      </c>
      <c r="F10" s="240">
        <v>0</v>
      </c>
      <c r="G10" s="240">
        <v>0</v>
      </c>
      <c r="H10" s="240">
        <v>0</v>
      </c>
      <c r="I10" s="240">
        <v>0</v>
      </c>
      <c r="J10" s="240">
        <v>0</v>
      </c>
    </row>
    <row r="11" spans="1:11" ht="22.5" x14ac:dyDescent="0.25">
      <c r="A11" s="374" t="s">
        <v>353</v>
      </c>
      <c r="B11" s="375">
        <v>2020.94</v>
      </c>
      <c r="C11" s="375">
        <v>1690.63</v>
      </c>
      <c r="D11" s="375">
        <v>768.96140000000003</v>
      </c>
      <c r="E11" s="375">
        <v>660.25459999999998</v>
      </c>
      <c r="F11" s="375">
        <v>828.83</v>
      </c>
      <c r="G11" s="375">
        <v>1092.93</v>
      </c>
      <c r="H11" s="375">
        <f>+SUM(H7:H10)</f>
        <v>837.19</v>
      </c>
      <c r="I11" s="375">
        <f>+SUM(I7:I10)</f>
        <v>538.28599800000006</v>
      </c>
      <c r="J11" s="375">
        <f>+SUM(J7:J10)</f>
        <v>1279.093038</v>
      </c>
      <c r="K11" s="87">
        <f>+J11/I11-1</f>
        <v>1.376233159979019</v>
      </c>
    </row>
    <row r="12" spans="1:11" ht="13.9" customHeight="1" x14ac:dyDescent="0.25">
      <c r="A12" s="1" t="s">
        <v>391</v>
      </c>
      <c r="I12" s="95"/>
      <c r="J12" s="95"/>
    </row>
    <row r="13" spans="1:11" x14ac:dyDescent="0.25">
      <c r="J13" s="3" t="s">
        <v>488</v>
      </c>
      <c r="K13" s="3">
        <v>1239.6199999999999</v>
      </c>
    </row>
    <row r="14" spans="1:11" x14ac:dyDescent="0.25">
      <c r="J14" s="3" t="s">
        <v>489</v>
      </c>
      <c r="K14" s="109">
        <f>+J11-K13</f>
        <v>39.473038000000088</v>
      </c>
    </row>
    <row r="15" spans="1:11" ht="15.6" customHeight="1" x14ac:dyDescent="0.2">
      <c r="B15" s="110"/>
      <c r="C15" s="314" t="s">
        <v>354</v>
      </c>
      <c r="D15" s="314"/>
      <c r="E15" s="314"/>
      <c r="F15" s="314"/>
      <c r="G15" s="314"/>
      <c r="H15" s="314"/>
      <c r="I15" s="314"/>
    </row>
    <row r="16" spans="1:11" ht="11.45" customHeight="1" x14ac:dyDescent="0.2">
      <c r="B16" s="110"/>
      <c r="C16" s="314"/>
      <c r="D16" s="314"/>
      <c r="E16" s="314"/>
      <c r="F16" s="314"/>
      <c r="G16" s="314"/>
      <c r="H16" s="314"/>
      <c r="I16" s="314"/>
    </row>
    <row r="21" spans="12:12" x14ac:dyDescent="0.25">
      <c r="L21" s="3">
        <f>510.92+27.37</f>
        <v>538.29</v>
      </c>
    </row>
    <row r="22" spans="12:12" x14ac:dyDescent="0.25">
      <c r="L22" s="3">
        <f>773.29+68.19</f>
        <v>841.48</v>
      </c>
    </row>
    <row r="39" spans="2:3" x14ac:dyDescent="0.25">
      <c r="B39" s="1"/>
      <c r="C39" s="1" t="s">
        <v>391</v>
      </c>
    </row>
  </sheetData>
  <mergeCells count="3">
    <mergeCell ref="A2:K2"/>
    <mergeCell ref="C15:I16"/>
    <mergeCell ref="A4:J5"/>
  </mergeCells>
  <pageMargins left="0.7" right="0.7" top="0.75" bottom="0.75" header="0.3" footer="0.3"/>
  <pageSetup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499984740745262"/>
    <pageSetUpPr fitToPage="1"/>
  </sheetPr>
  <dimension ref="A2:J36"/>
  <sheetViews>
    <sheetView showGridLines="0" zoomScaleNormal="100" workbookViewId="0">
      <selection activeCell="F30" sqref="F30"/>
    </sheetView>
  </sheetViews>
  <sheetFormatPr baseColWidth="10" defaultColWidth="11.42578125" defaultRowHeight="15" x14ac:dyDescent="0.2"/>
  <cols>
    <col min="1" max="1" width="12.28515625" style="6" customWidth="1"/>
    <col min="2" max="2" width="36.28515625" style="1" customWidth="1"/>
    <col min="3" max="3" width="11.5703125" style="3" bestFit="1" customWidth="1"/>
    <col min="4" max="4" width="15.7109375" style="3" customWidth="1"/>
    <col min="5" max="16384" width="11.42578125" style="89"/>
  </cols>
  <sheetData>
    <row r="2" spans="1:10" x14ac:dyDescent="0.2">
      <c r="A2" s="301" t="s">
        <v>795</v>
      </c>
      <c r="B2" s="301"/>
      <c r="C2" s="301"/>
      <c r="D2" s="301"/>
      <c r="E2" s="13"/>
      <c r="F2" s="13"/>
      <c r="G2" s="13"/>
      <c r="H2" s="13"/>
      <c r="I2" s="13"/>
      <c r="J2" s="13"/>
    </row>
    <row r="4" spans="1:10" s="88" customFormat="1" ht="14.45" customHeight="1" x14ac:dyDescent="0.25">
      <c r="A4" s="336" t="s">
        <v>480</v>
      </c>
      <c r="B4" s="336"/>
      <c r="C4" s="336"/>
      <c r="D4" s="336"/>
    </row>
    <row r="5" spans="1:10" s="88" customFormat="1" ht="33.75" x14ac:dyDescent="0.25">
      <c r="A5" s="208" t="s">
        <v>393</v>
      </c>
      <c r="B5" s="208" t="s">
        <v>355</v>
      </c>
      <c r="C5" s="208" t="s">
        <v>356</v>
      </c>
      <c r="D5" s="208" t="s">
        <v>394</v>
      </c>
    </row>
    <row r="6" spans="1:10" ht="14.45" customHeight="1" x14ac:dyDescent="0.2">
      <c r="A6" s="376" t="s">
        <v>357</v>
      </c>
      <c r="B6" s="210" t="s">
        <v>358</v>
      </c>
      <c r="C6" s="218"/>
      <c r="D6" s="264">
        <v>27900000</v>
      </c>
    </row>
    <row r="7" spans="1:10" ht="14.45" customHeight="1" x14ac:dyDescent="0.25">
      <c r="A7" s="377" t="s">
        <v>359</v>
      </c>
      <c r="B7" s="210" t="s">
        <v>360</v>
      </c>
      <c r="C7" s="218">
        <v>52</v>
      </c>
      <c r="D7" s="264">
        <v>49798476.220000014</v>
      </c>
    </row>
    <row r="8" spans="1:10" x14ac:dyDescent="0.25">
      <c r="A8" s="377"/>
      <c r="B8" s="210" t="s">
        <v>361</v>
      </c>
      <c r="C8" s="218">
        <v>5</v>
      </c>
      <c r="D8" s="264">
        <v>4788315.0199999986</v>
      </c>
    </row>
    <row r="9" spans="1:10" ht="14.45" customHeight="1" x14ac:dyDescent="0.25">
      <c r="A9" s="377"/>
      <c r="B9" s="210" t="s">
        <v>362</v>
      </c>
      <c r="C9" s="218">
        <v>3</v>
      </c>
      <c r="D9" s="264">
        <v>2872989.02</v>
      </c>
    </row>
    <row r="10" spans="1:10" ht="14.45" customHeight="1" x14ac:dyDescent="0.25">
      <c r="A10" s="377"/>
      <c r="B10" s="210" t="s">
        <v>363</v>
      </c>
      <c r="C10" s="218">
        <v>40</v>
      </c>
      <c r="D10" s="264">
        <v>38306520.170000002</v>
      </c>
    </row>
    <row r="11" spans="1:10" ht="14.45" customHeight="1" x14ac:dyDescent="0.25">
      <c r="A11" s="377"/>
      <c r="B11" s="386" t="s">
        <v>364</v>
      </c>
      <c r="C11" s="387">
        <v>100</v>
      </c>
      <c r="D11" s="388">
        <f>+SUM(D6:D10)</f>
        <v>123666300.43000001</v>
      </c>
    </row>
    <row r="12" spans="1:10" ht="14.45" customHeight="1" x14ac:dyDescent="0.2">
      <c r="A12" s="376" t="s">
        <v>365</v>
      </c>
      <c r="B12" s="210" t="s">
        <v>366</v>
      </c>
      <c r="C12" s="218" t="s">
        <v>367</v>
      </c>
      <c r="D12" s="373">
        <v>17287458.990000002</v>
      </c>
    </row>
    <row r="13" spans="1:10" x14ac:dyDescent="0.25">
      <c r="A13" s="377" t="s">
        <v>368</v>
      </c>
      <c r="B13" s="210" t="s">
        <v>369</v>
      </c>
      <c r="C13" s="218" t="s">
        <v>370</v>
      </c>
      <c r="D13" s="373">
        <v>216866.87</v>
      </c>
    </row>
    <row r="14" spans="1:10" x14ac:dyDescent="0.25">
      <c r="A14" s="377"/>
      <c r="B14" s="210" t="s">
        <v>371</v>
      </c>
      <c r="C14" s="218">
        <v>2.5</v>
      </c>
      <c r="D14" s="373">
        <v>942341.62000000023</v>
      </c>
    </row>
    <row r="15" spans="1:10" x14ac:dyDescent="0.25">
      <c r="A15" s="377"/>
      <c r="B15" s="210" t="s">
        <v>372</v>
      </c>
      <c r="C15" s="218">
        <v>2.5</v>
      </c>
      <c r="D15" s="373">
        <v>942341.62000000023</v>
      </c>
    </row>
    <row r="16" spans="1:10" ht="14.45" customHeight="1" x14ac:dyDescent="0.25">
      <c r="A16" s="377"/>
      <c r="B16" s="210" t="s">
        <v>362</v>
      </c>
      <c r="C16" s="378" t="s">
        <v>373</v>
      </c>
      <c r="D16" s="373">
        <v>1058520.97</v>
      </c>
    </row>
    <row r="17" spans="1:4" ht="14.45" customHeight="1" x14ac:dyDescent="0.25">
      <c r="A17" s="377"/>
      <c r="B17" s="210" t="s">
        <v>363</v>
      </c>
      <c r="C17" s="218" t="s">
        <v>374</v>
      </c>
      <c r="D17" s="373">
        <v>17246134.330000006</v>
      </c>
    </row>
    <row r="18" spans="1:4" ht="14.45" customHeight="1" x14ac:dyDescent="0.25">
      <c r="A18" s="377"/>
      <c r="B18" s="386" t="s">
        <v>375</v>
      </c>
      <c r="C18" s="387"/>
      <c r="D18" s="388">
        <f>+SUM(D12:D17)</f>
        <v>37693664.400000006</v>
      </c>
    </row>
    <row r="19" spans="1:4" ht="14.45" customHeight="1" x14ac:dyDescent="0.2">
      <c r="A19" s="376" t="s">
        <v>376</v>
      </c>
      <c r="B19" s="210" t="s">
        <v>360</v>
      </c>
      <c r="C19" s="218">
        <v>20</v>
      </c>
      <c r="D19" s="264">
        <v>88206946.650000006</v>
      </c>
    </row>
    <row r="20" spans="1:4" x14ac:dyDescent="0.25">
      <c r="A20" s="377" t="s">
        <v>377</v>
      </c>
      <c r="B20" s="210" t="s">
        <v>378</v>
      </c>
      <c r="C20" s="218">
        <v>2.5</v>
      </c>
      <c r="D20" s="264">
        <v>22051736.690000001</v>
      </c>
    </row>
    <row r="21" spans="1:4" x14ac:dyDescent="0.25">
      <c r="A21" s="377"/>
      <c r="B21" s="210" t="s">
        <v>379</v>
      </c>
      <c r="C21" s="218">
        <v>2.5</v>
      </c>
      <c r="D21" s="264">
        <v>11025868.33</v>
      </c>
    </row>
    <row r="22" spans="1:4" ht="14.45" customHeight="1" x14ac:dyDescent="0.25">
      <c r="A22" s="377"/>
      <c r="B22" s="210" t="s">
        <v>380</v>
      </c>
      <c r="C22" s="218">
        <v>5</v>
      </c>
      <c r="D22" s="264">
        <v>11025868.33</v>
      </c>
    </row>
    <row r="23" spans="1:4" ht="14.45" customHeight="1" x14ac:dyDescent="0.25">
      <c r="A23" s="377"/>
      <c r="B23" s="210" t="s">
        <v>363</v>
      </c>
      <c r="C23" s="218">
        <v>70</v>
      </c>
      <c r="D23" s="264">
        <v>308724313.28000003</v>
      </c>
    </row>
    <row r="24" spans="1:4" ht="14.45" customHeight="1" x14ac:dyDescent="0.25">
      <c r="A24" s="377"/>
      <c r="B24" s="386" t="s">
        <v>381</v>
      </c>
      <c r="C24" s="387">
        <v>100</v>
      </c>
      <c r="D24" s="388">
        <f>+SUM(D19:D23)</f>
        <v>441034733.28000003</v>
      </c>
    </row>
    <row r="25" spans="1:4" ht="14.45" customHeight="1" x14ac:dyDescent="0.2">
      <c r="A25" s="376" t="s">
        <v>382</v>
      </c>
      <c r="B25" s="210" t="s">
        <v>360</v>
      </c>
      <c r="C25" s="218">
        <v>20</v>
      </c>
      <c r="D25" s="264">
        <v>22117420.699999996</v>
      </c>
    </row>
    <row r="26" spans="1:4" ht="14.45" customHeight="1" x14ac:dyDescent="0.25">
      <c r="A26" s="377" t="s">
        <v>383</v>
      </c>
      <c r="B26" s="210" t="s">
        <v>384</v>
      </c>
      <c r="C26" s="218">
        <v>5</v>
      </c>
      <c r="D26" s="264">
        <v>5520879.8599999994</v>
      </c>
    </row>
    <row r="27" spans="1:4" ht="14.45" customHeight="1" x14ac:dyDescent="0.25">
      <c r="A27" s="377"/>
      <c r="B27" s="210" t="s">
        <v>380</v>
      </c>
      <c r="C27" s="218">
        <v>5</v>
      </c>
      <c r="D27" s="264">
        <v>5520879.8599999994</v>
      </c>
    </row>
    <row r="28" spans="1:4" ht="14.45" customHeight="1" x14ac:dyDescent="0.25">
      <c r="A28" s="377"/>
      <c r="B28" s="210" t="s">
        <v>363</v>
      </c>
      <c r="C28" s="218">
        <v>70</v>
      </c>
      <c r="D28" s="264">
        <v>77258416.360000014</v>
      </c>
    </row>
    <row r="29" spans="1:4" ht="14.45" customHeight="1" x14ac:dyDescent="0.25">
      <c r="A29" s="377"/>
      <c r="B29" s="379" t="s">
        <v>385</v>
      </c>
      <c r="C29" s="382"/>
      <c r="D29" s="381">
        <f>+SUM(D25:D28)</f>
        <v>110417596.78</v>
      </c>
    </row>
    <row r="30" spans="1:4" ht="16.899999999999999" customHeight="1" x14ac:dyDescent="0.25">
      <c r="A30" s="383" t="s">
        <v>386</v>
      </c>
      <c r="B30" s="210" t="s">
        <v>363</v>
      </c>
      <c r="C30" s="218">
        <v>100</v>
      </c>
      <c r="D30" s="264">
        <v>18497107.93</v>
      </c>
    </row>
    <row r="31" spans="1:4" ht="16.899999999999999" customHeight="1" x14ac:dyDescent="0.25">
      <c r="A31" s="383"/>
      <c r="B31" s="386" t="s">
        <v>387</v>
      </c>
      <c r="C31" s="387">
        <v>100</v>
      </c>
      <c r="D31" s="388">
        <f>+D30</f>
        <v>18497107.93</v>
      </c>
    </row>
    <row r="32" spans="1:4" ht="14.45" customHeight="1" x14ac:dyDescent="0.2">
      <c r="A32" s="376" t="s">
        <v>388</v>
      </c>
      <c r="B32" s="210" t="s">
        <v>360</v>
      </c>
      <c r="C32" s="218">
        <v>25</v>
      </c>
      <c r="D32" s="264">
        <v>519157991.86000001</v>
      </c>
    </row>
    <row r="33" spans="1:4" ht="14.45" customHeight="1" x14ac:dyDescent="0.25">
      <c r="A33" s="377" t="s">
        <v>389</v>
      </c>
      <c r="B33" s="210" t="s">
        <v>363</v>
      </c>
      <c r="C33" s="218">
        <v>75</v>
      </c>
      <c r="D33" s="264">
        <v>1557473975.46</v>
      </c>
    </row>
    <row r="34" spans="1:4" ht="14.45" customHeight="1" x14ac:dyDescent="0.25">
      <c r="A34" s="377"/>
      <c r="B34" s="379" t="s">
        <v>390</v>
      </c>
      <c r="C34" s="380">
        <v>100</v>
      </c>
      <c r="D34" s="381">
        <f>+SUM(D32:D33)</f>
        <v>2076631967.3200002</v>
      </c>
    </row>
    <row r="35" spans="1:4" ht="14.45" customHeight="1" x14ac:dyDescent="0.25">
      <c r="A35" s="384" t="s">
        <v>125</v>
      </c>
      <c r="B35" s="384"/>
      <c r="C35" s="384"/>
      <c r="D35" s="385">
        <f>SUM(D11+D18+D24+D29+D31+D34)</f>
        <v>2807941370.1400003</v>
      </c>
    </row>
    <row r="36" spans="1:4" x14ac:dyDescent="0.25">
      <c r="A36" s="1" t="s">
        <v>391</v>
      </c>
    </row>
  </sheetData>
  <mergeCells count="9">
    <mergeCell ref="A2:D2"/>
    <mergeCell ref="A33:A34"/>
    <mergeCell ref="A35:C35"/>
    <mergeCell ref="A4:D4"/>
    <mergeCell ref="A7:A11"/>
    <mergeCell ref="A13:A18"/>
    <mergeCell ref="A20:A24"/>
    <mergeCell ref="A26:A29"/>
    <mergeCell ref="A30:A3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499984740745262"/>
  </sheetPr>
  <dimension ref="A2:L16"/>
  <sheetViews>
    <sheetView zoomScale="80" zoomScaleNormal="80" workbookViewId="0">
      <selection activeCell="J25" sqref="J25"/>
    </sheetView>
  </sheetViews>
  <sheetFormatPr baseColWidth="10" defaultRowHeight="15" x14ac:dyDescent="0.25"/>
  <cols>
    <col min="1" max="1" width="20.5703125" customWidth="1"/>
  </cols>
  <sheetData>
    <row r="2" spans="1:12" x14ac:dyDescent="0.25">
      <c r="A2" s="301" t="s">
        <v>796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5" customHeight="1" x14ac:dyDescent="0.25">
      <c r="A4" s="336" t="s">
        <v>527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</row>
    <row r="5" spans="1:12" x14ac:dyDescent="0.25">
      <c r="A5" s="208" t="s">
        <v>520</v>
      </c>
      <c r="B5" s="208">
        <v>2011</v>
      </c>
      <c r="C5" s="208">
        <v>2012</v>
      </c>
      <c r="D5" s="208">
        <v>2013</v>
      </c>
      <c r="E5" s="208">
        <v>2014</v>
      </c>
      <c r="F5" s="208">
        <v>2015</v>
      </c>
      <c r="G5" s="208">
        <v>2016</v>
      </c>
      <c r="H5" s="208">
        <v>2017</v>
      </c>
      <c r="I5" s="208">
        <v>2018</v>
      </c>
      <c r="J5" s="208">
        <v>2019</v>
      </c>
      <c r="K5" s="208">
        <v>2020</v>
      </c>
      <c r="L5" s="208">
        <v>2021</v>
      </c>
    </row>
    <row r="6" spans="1:12" x14ac:dyDescent="0.25">
      <c r="A6" s="394" t="s">
        <v>521</v>
      </c>
      <c r="B6" s="395">
        <v>454.11</v>
      </c>
      <c r="C6" s="395">
        <v>658.13</v>
      </c>
      <c r="D6" s="395">
        <v>604.54999999999995</v>
      </c>
      <c r="E6" s="395">
        <v>592.92999999999995</v>
      </c>
      <c r="F6" s="395">
        <v>321.58</v>
      </c>
      <c r="G6" s="395">
        <v>263.45999999999998</v>
      </c>
      <c r="H6" s="395">
        <v>302.22000000000003</v>
      </c>
      <c r="I6" s="395">
        <v>431.71</v>
      </c>
      <c r="J6" s="395">
        <v>412.19</v>
      </c>
      <c r="K6" s="395">
        <v>259.45999999999998</v>
      </c>
      <c r="L6" s="395">
        <v>441.03</v>
      </c>
    </row>
    <row r="7" spans="1:12" x14ac:dyDescent="0.25">
      <c r="A7" s="394" t="s">
        <v>522</v>
      </c>
      <c r="B7" s="395">
        <v>152.19</v>
      </c>
      <c r="C7" s="395">
        <v>214.75</v>
      </c>
      <c r="D7" s="395">
        <v>191.84</v>
      </c>
      <c r="E7" s="395">
        <v>218.71</v>
      </c>
      <c r="F7" s="395">
        <v>112.11</v>
      </c>
      <c r="G7" s="395">
        <v>86.17</v>
      </c>
      <c r="H7" s="395">
        <v>96.06</v>
      </c>
      <c r="I7" s="395">
        <v>126.45</v>
      </c>
      <c r="J7" s="395">
        <v>117.47</v>
      </c>
      <c r="K7" s="395">
        <v>65.84</v>
      </c>
      <c r="L7" s="395">
        <v>110.42</v>
      </c>
    </row>
    <row r="8" spans="1:12" x14ac:dyDescent="0.25">
      <c r="A8" s="394" t="s">
        <v>529</v>
      </c>
      <c r="B8" s="395">
        <v>1.53</v>
      </c>
      <c r="C8" s="395">
        <v>1.94</v>
      </c>
      <c r="D8" s="395">
        <v>2.04</v>
      </c>
      <c r="E8" s="395">
        <v>10.130000000000001</v>
      </c>
      <c r="F8" s="395">
        <v>25.95</v>
      </c>
      <c r="G8" s="395">
        <v>15.1</v>
      </c>
      <c r="H8" s="395">
        <v>28.65</v>
      </c>
      <c r="I8" s="395">
        <v>33</v>
      </c>
      <c r="J8" s="395">
        <v>28.36</v>
      </c>
      <c r="K8" s="395">
        <v>11.95</v>
      </c>
      <c r="L8" s="395">
        <v>18.5</v>
      </c>
    </row>
    <row r="9" spans="1:12" x14ac:dyDescent="0.25">
      <c r="A9" s="394" t="s">
        <v>523</v>
      </c>
      <c r="B9" s="395">
        <v>281.07</v>
      </c>
      <c r="C9" s="395">
        <v>377.87</v>
      </c>
      <c r="D9" s="395">
        <v>344.01</v>
      </c>
      <c r="E9" s="395">
        <v>335.85</v>
      </c>
      <c r="F9" s="395">
        <v>119.89</v>
      </c>
      <c r="G9" s="395">
        <v>29.59</v>
      </c>
      <c r="H9" s="395">
        <v>66.84</v>
      </c>
      <c r="I9" s="395">
        <v>135.63</v>
      </c>
      <c r="J9" s="395">
        <v>146.27000000000001</v>
      </c>
      <c r="K9" s="395">
        <v>57.83</v>
      </c>
      <c r="L9" s="395">
        <v>123.67</v>
      </c>
    </row>
    <row r="10" spans="1:12" x14ac:dyDescent="0.25">
      <c r="A10" s="394" t="s">
        <v>524</v>
      </c>
      <c r="B10" s="395">
        <v>98.42</v>
      </c>
      <c r="C10" s="395">
        <v>144.09</v>
      </c>
      <c r="D10" s="395">
        <v>122.46</v>
      </c>
      <c r="E10" s="395">
        <v>119.04</v>
      </c>
      <c r="F10" s="395">
        <v>60.34</v>
      </c>
      <c r="G10" s="395">
        <v>28.36</v>
      </c>
      <c r="H10" s="395">
        <v>28.3</v>
      </c>
      <c r="I10" s="395">
        <v>51.69</v>
      </c>
      <c r="J10" s="395">
        <v>50.04</v>
      </c>
      <c r="K10" s="395">
        <v>19.36</v>
      </c>
      <c r="L10" s="395">
        <v>37.69</v>
      </c>
    </row>
    <row r="11" spans="1:12" x14ac:dyDescent="0.25">
      <c r="A11" s="394" t="s">
        <v>525</v>
      </c>
      <c r="B11" s="396">
        <v>1710.39</v>
      </c>
      <c r="C11" s="396">
        <v>1527.38</v>
      </c>
      <c r="D11" s="396">
        <v>1768.59</v>
      </c>
      <c r="E11" s="396">
        <v>1496.45</v>
      </c>
      <c r="F11" s="395">
        <v>942.73</v>
      </c>
      <c r="G11" s="395">
        <v>905.09</v>
      </c>
      <c r="H11" s="396">
        <v>1036.1500000000001</v>
      </c>
      <c r="I11" s="396">
        <v>1289.3</v>
      </c>
      <c r="J11" s="395">
        <v>921.1</v>
      </c>
      <c r="K11" s="395">
        <v>737.39</v>
      </c>
      <c r="L11" s="396">
        <v>2076.63</v>
      </c>
    </row>
    <row r="12" spans="1:12" x14ac:dyDescent="0.25">
      <c r="A12" s="341" t="s">
        <v>526</v>
      </c>
      <c r="B12" s="341">
        <v>2697.71</v>
      </c>
      <c r="C12" s="341">
        <v>2924.17</v>
      </c>
      <c r="D12" s="341">
        <v>3033.48</v>
      </c>
      <c r="E12" s="341">
        <v>2773.12</v>
      </c>
      <c r="F12" s="341">
        <v>1582.6</v>
      </c>
      <c r="G12" s="341">
        <v>1327.76</v>
      </c>
      <c r="H12" s="341">
        <v>1558.22</v>
      </c>
      <c r="I12" s="341">
        <v>2067.77</v>
      </c>
      <c r="J12" s="341">
        <v>1675.43</v>
      </c>
      <c r="K12" s="341">
        <v>1151.8399999999999</v>
      </c>
      <c r="L12" s="341">
        <v>2807.94</v>
      </c>
    </row>
    <row r="15" spans="1:12" x14ac:dyDescent="0.25">
      <c r="A15" s="301" t="s">
        <v>528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</row>
    <row r="16" spans="1:12" x14ac:dyDescent="0.25">
      <c r="D16" s="116"/>
    </row>
  </sheetData>
  <mergeCells count="3">
    <mergeCell ref="A2:L2"/>
    <mergeCell ref="A4:L4"/>
    <mergeCell ref="A15:L15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6F00-77CE-41DF-90E1-E732525D2268}">
  <sheetPr>
    <tabColor theme="8" tint="-0.249977111117893"/>
    <pageSetUpPr fitToPage="1"/>
  </sheetPr>
  <dimension ref="A1:I45"/>
  <sheetViews>
    <sheetView topLeftCell="A13" zoomScaleNormal="100" workbookViewId="0">
      <selection activeCell="J25" sqref="J25"/>
    </sheetView>
  </sheetViews>
  <sheetFormatPr baseColWidth="10" defaultRowHeight="15" x14ac:dyDescent="0.25"/>
  <cols>
    <col min="1" max="9" width="11.42578125" style="119"/>
  </cols>
  <sheetData>
    <row r="1" spans="1:9" x14ac:dyDescent="0.25">
      <c r="A1" s="397" t="s">
        <v>798</v>
      </c>
      <c r="B1" s="397"/>
      <c r="C1" s="397"/>
      <c r="D1" s="397"/>
      <c r="E1" s="397"/>
      <c r="F1" s="397"/>
      <c r="G1" s="397"/>
      <c r="H1" s="397"/>
      <c r="I1" s="397"/>
    </row>
    <row r="2" spans="1:9" x14ac:dyDescent="0.25">
      <c r="A2" s="399" t="s">
        <v>799</v>
      </c>
      <c r="B2" s="399"/>
      <c r="C2" s="399"/>
      <c r="D2" s="399"/>
      <c r="E2" s="399"/>
      <c r="F2" s="399"/>
      <c r="G2" s="399"/>
      <c r="H2" s="399"/>
      <c r="I2" s="399"/>
    </row>
    <row r="3" spans="1:9" ht="14.45" customHeight="1" x14ac:dyDescent="0.25">
      <c r="A3" s="400" t="s">
        <v>800</v>
      </c>
      <c r="B3" s="400"/>
      <c r="C3" s="400"/>
      <c r="D3" s="398" t="s">
        <v>531</v>
      </c>
      <c r="E3" s="398" t="s">
        <v>532</v>
      </c>
      <c r="F3" s="398" t="s">
        <v>533</v>
      </c>
      <c r="G3" s="398" t="s">
        <v>534</v>
      </c>
      <c r="H3" s="398" t="s">
        <v>535</v>
      </c>
      <c r="I3" s="398" t="s">
        <v>536</v>
      </c>
    </row>
    <row r="4" spans="1:9" ht="14.45" customHeight="1" x14ac:dyDescent="0.25">
      <c r="A4" s="405" t="s">
        <v>530</v>
      </c>
      <c r="B4" s="405"/>
      <c r="C4" s="405"/>
      <c r="D4" s="401"/>
      <c r="E4" s="401"/>
      <c r="F4" s="401"/>
      <c r="G4" s="401"/>
      <c r="H4" s="401"/>
      <c r="I4" s="401"/>
    </row>
    <row r="5" spans="1:9" ht="14.45" customHeight="1" x14ac:dyDescent="0.25">
      <c r="A5" s="406" t="s">
        <v>537</v>
      </c>
      <c r="B5" s="406"/>
      <c r="C5" s="406"/>
      <c r="D5" s="117">
        <f>+SUM(E5:I5)</f>
        <v>14023.317000000001</v>
      </c>
      <c r="E5" s="117">
        <v>0</v>
      </c>
      <c r="F5" s="117">
        <v>1085.9839999999999</v>
      </c>
      <c r="G5" s="117">
        <v>849.27300000000002</v>
      </c>
      <c r="H5" s="117">
        <v>12088.060000000001</v>
      </c>
      <c r="I5">
        <v>0</v>
      </c>
    </row>
    <row r="6" spans="1:9" ht="14.45" customHeight="1" x14ac:dyDescent="0.25">
      <c r="A6" s="406" t="s">
        <v>538</v>
      </c>
      <c r="B6" s="406"/>
      <c r="C6" s="406"/>
      <c r="D6" s="117">
        <f>+SUM(E6:I6)</f>
        <v>20400.886000000002</v>
      </c>
      <c r="E6" s="117">
        <v>0</v>
      </c>
      <c r="F6" s="117"/>
      <c r="G6" s="117">
        <v>1732.9959999999999</v>
      </c>
      <c r="H6" s="117">
        <v>18667.890000000003</v>
      </c>
      <c r="I6">
        <v>0</v>
      </c>
    </row>
    <row r="7" spans="1:9" ht="14.45" customHeight="1" x14ac:dyDescent="0.25">
      <c r="A7" s="407" t="s">
        <v>539</v>
      </c>
      <c r="B7" s="407"/>
      <c r="C7" s="407"/>
      <c r="D7" s="402">
        <f>+D5+D6</f>
        <v>34424.203000000001</v>
      </c>
      <c r="E7" s="402">
        <f t="shared" ref="E7:I7" si="0">+E5+E6</f>
        <v>0</v>
      </c>
      <c r="F7" s="402">
        <f t="shared" si="0"/>
        <v>1085.9839999999999</v>
      </c>
      <c r="G7" s="402">
        <f t="shared" si="0"/>
        <v>2582.2689999999998</v>
      </c>
      <c r="H7" s="402">
        <f t="shared" si="0"/>
        <v>30755.950000000004</v>
      </c>
      <c r="I7" s="402">
        <f t="shared" si="0"/>
        <v>0</v>
      </c>
    </row>
    <row r="8" spans="1:9" ht="9" customHeight="1" x14ac:dyDescent="0.25">
      <c r="A8" s="409"/>
      <c r="B8" s="409"/>
      <c r="C8" s="409"/>
      <c r="D8" s="141"/>
      <c r="E8" s="141"/>
      <c r="F8" s="141"/>
      <c r="G8" s="141"/>
      <c r="H8" s="141"/>
      <c r="I8" s="141"/>
    </row>
    <row r="9" spans="1:9" ht="14.45" customHeight="1" x14ac:dyDescent="0.25">
      <c r="A9" s="411" t="s">
        <v>540</v>
      </c>
      <c r="B9" s="411"/>
      <c r="C9" s="411"/>
      <c r="D9" s="412"/>
      <c r="E9" s="412"/>
      <c r="F9" s="412"/>
      <c r="G9" s="412"/>
      <c r="H9" s="412"/>
      <c r="I9" s="412"/>
    </row>
    <row r="10" spans="1:9" ht="14.45" customHeight="1" x14ac:dyDescent="0.25">
      <c r="A10" s="408" t="s">
        <v>801</v>
      </c>
      <c r="B10" s="408"/>
      <c r="C10" s="408"/>
      <c r="D10" s="404"/>
      <c r="E10" s="404"/>
      <c r="F10" s="404"/>
      <c r="G10" s="404"/>
      <c r="H10" s="404"/>
      <c r="I10" s="404"/>
    </row>
    <row r="11" spans="1:9" ht="14.45" customHeight="1" x14ac:dyDescent="0.25">
      <c r="A11" s="329" t="s">
        <v>541</v>
      </c>
      <c r="B11" s="329"/>
      <c r="C11" s="329"/>
      <c r="D11" s="117">
        <f>+SUM(E11:I11)</f>
        <v>680.37700000000007</v>
      </c>
      <c r="E11" s="117"/>
      <c r="F11" s="117"/>
      <c r="G11" s="117">
        <v>5.447000000000001</v>
      </c>
      <c r="H11" s="117">
        <v>674.93000000000006</v>
      </c>
      <c r="I11" s="117">
        <v>0</v>
      </c>
    </row>
    <row r="12" spans="1:9" ht="14.45" customHeight="1" x14ac:dyDescent="0.25">
      <c r="A12" s="329" t="s">
        <v>542</v>
      </c>
      <c r="B12" s="329"/>
      <c r="C12" s="329"/>
      <c r="D12" s="117">
        <f>+SUM(E12:I12)</f>
        <v>7569.4790000000003</v>
      </c>
      <c r="E12" s="117">
        <v>2363.076</v>
      </c>
      <c r="F12" s="117">
        <v>368.98099999999988</v>
      </c>
      <c r="G12" s="117">
        <v>4531.4920000000002</v>
      </c>
      <c r="H12" s="117">
        <v>305.93</v>
      </c>
      <c r="I12" s="117">
        <v>0</v>
      </c>
    </row>
    <row r="13" spans="1:9" ht="14.45" customHeight="1" x14ac:dyDescent="0.25">
      <c r="A13" s="329" t="s">
        <v>543</v>
      </c>
      <c r="B13" s="329"/>
      <c r="C13" s="329"/>
      <c r="D13" s="117">
        <f t="shared" ref="D13:D41" si="1">+SUM(E13:I13)</f>
        <v>253.01</v>
      </c>
      <c r="E13" s="117"/>
      <c r="F13" s="117"/>
      <c r="G13" s="117"/>
      <c r="H13" s="117">
        <v>253.01</v>
      </c>
      <c r="I13" s="117"/>
    </row>
    <row r="14" spans="1:9" ht="14.45" customHeight="1" x14ac:dyDescent="0.25">
      <c r="A14" s="329" t="s">
        <v>544</v>
      </c>
      <c r="B14" s="329"/>
      <c r="C14" s="329"/>
      <c r="D14" s="117">
        <f t="shared" si="1"/>
        <v>1323.444</v>
      </c>
      <c r="E14" s="117">
        <v>83.346999999999994</v>
      </c>
      <c r="F14" s="117"/>
      <c r="G14" s="117">
        <v>1240.097</v>
      </c>
      <c r="H14" s="117"/>
      <c r="I14" s="117">
        <v>0</v>
      </c>
    </row>
    <row r="15" spans="1:9" x14ac:dyDescent="0.25">
      <c r="A15" s="329" t="s">
        <v>545</v>
      </c>
      <c r="B15" s="329"/>
      <c r="C15" s="329"/>
      <c r="D15" s="117">
        <f t="shared" si="1"/>
        <v>6616.4530000000013</v>
      </c>
      <c r="E15" s="117">
        <v>2166.3119999999999</v>
      </c>
      <c r="F15" s="117">
        <v>453.33899999999994</v>
      </c>
      <c r="G15" s="117">
        <v>3996.802000000001</v>
      </c>
      <c r="H15" s="117"/>
      <c r="I15" s="117">
        <v>0</v>
      </c>
    </row>
    <row r="16" spans="1:9" ht="15" customHeight="1" x14ac:dyDescent="0.25">
      <c r="A16" s="329" t="s">
        <v>546</v>
      </c>
      <c r="B16" s="329"/>
      <c r="C16" s="329"/>
      <c r="D16" s="117">
        <f t="shared" si="1"/>
        <v>1421.3739999999998</v>
      </c>
      <c r="E16" s="117">
        <v>758.78399999999988</v>
      </c>
      <c r="F16" s="117">
        <v>356.49400000000003</v>
      </c>
      <c r="G16" s="117">
        <v>306.096</v>
      </c>
      <c r="H16" s="117"/>
      <c r="I16" s="117">
        <v>0</v>
      </c>
    </row>
    <row r="17" spans="1:9" ht="15" customHeight="1" x14ac:dyDescent="0.25">
      <c r="A17" s="329" t="s">
        <v>547</v>
      </c>
      <c r="B17" s="329"/>
      <c r="C17" s="329"/>
      <c r="D17" s="117">
        <f t="shared" si="1"/>
        <v>189.13</v>
      </c>
      <c r="E17" s="117"/>
      <c r="F17" s="117">
        <v>66.11</v>
      </c>
      <c r="G17" s="117">
        <v>123.02000000000001</v>
      </c>
      <c r="H17" s="117"/>
      <c r="I17" s="117">
        <v>0</v>
      </c>
    </row>
    <row r="18" spans="1:9" ht="14.45" customHeight="1" x14ac:dyDescent="0.25">
      <c r="A18" s="329" t="s">
        <v>548</v>
      </c>
      <c r="B18" s="329"/>
      <c r="C18" s="329"/>
      <c r="D18" s="117">
        <f t="shared" si="1"/>
        <v>6.0540000000000003</v>
      </c>
      <c r="E18" s="118"/>
      <c r="F18" s="117"/>
      <c r="G18" s="118">
        <v>6.0540000000000003</v>
      </c>
      <c r="H18" s="118"/>
      <c r="I18" s="117">
        <v>0</v>
      </c>
    </row>
    <row r="19" spans="1:9" ht="14.45" customHeight="1" x14ac:dyDescent="0.25">
      <c r="A19" s="329" t="s">
        <v>549</v>
      </c>
      <c r="B19" s="329"/>
      <c r="C19" s="329"/>
      <c r="D19" s="117">
        <f t="shared" si="1"/>
        <v>440.55499999999995</v>
      </c>
      <c r="E19" s="117">
        <v>38.22</v>
      </c>
      <c r="F19" s="117">
        <v>9.109</v>
      </c>
      <c r="G19" s="117">
        <v>307.23599999999999</v>
      </c>
      <c r="H19" s="117">
        <v>85.989999999999981</v>
      </c>
      <c r="I19" s="117">
        <v>0</v>
      </c>
    </row>
    <row r="20" spans="1:9" ht="14.45" customHeight="1" x14ac:dyDescent="0.25">
      <c r="A20" s="329" t="s">
        <v>550</v>
      </c>
      <c r="B20" s="329"/>
      <c r="C20" s="329"/>
      <c r="D20" s="117">
        <f t="shared" si="1"/>
        <v>104.27</v>
      </c>
      <c r="E20" s="117"/>
      <c r="F20" s="117">
        <v>96.777000000000001</v>
      </c>
      <c r="G20" s="117">
        <v>7.4929999999999994</v>
      </c>
      <c r="H20" s="117"/>
      <c r="I20" s="117">
        <v>0</v>
      </c>
    </row>
    <row r="21" spans="1:9" ht="14.45" customHeight="1" x14ac:dyDescent="0.25">
      <c r="A21" s="329" t="s">
        <v>551</v>
      </c>
      <c r="B21" s="329"/>
      <c r="C21" s="329"/>
      <c r="D21" s="117">
        <f t="shared" si="1"/>
        <v>16.706</v>
      </c>
      <c r="E21" s="117"/>
      <c r="F21" s="117"/>
      <c r="G21" s="117">
        <v>16.706</v>
      </c>
      <c r="H21" s="117"/>
      <c r="I21" s="117"/>
    </row>
    <row r="22" spans="1:9" ht="14.45" customHeight="1" x14ac:dyDescent="0.25">
      <c r="A22" s="329" t="s">
        <v>552</v>
      </c>
      <c r="B22" s="329"/>
      <c r="C22" s="329"/>
      <c r="D22" s="117">
        <f t="shared" si="1"/>
        <v>63.459000000000003</v>
      </c>
      <c r="E22" s="117"/>
      <c r="F22" s="117"/>
      <c r="G22" s="117">
        <v>63.459000000000003</v>
      </c>
      <c r="H22" s="117"/>
      <c r="I22" s="117"/>
    </row>
    <row r="23" spans="1:9" ht="14.45" customHeight="1" x14ac:dyDescent="0.25">
      <c r="A23" s="329" t="s">
        <v>553</v>
      </c>
      <c r="B23" s="329"/>
      <c r="C23" s="329"/>
      <c r="D23" s="117">
        <f t="shared" si="1"/>
        <v>42.534999999999997</v>
      </c>
      <c r="E23" s="117"/>
      <c r="F23" s="117"/>
      <c r="G23" s="117">
        <v>42.534999999999997</v>
      </c>
      <c r="H23" s="117"/>
      <c r="I23" s="117"/>
    </row>
    <row r="24" spans="1:9" ht="14.45" customHeight="1" x14ac:dyDescent="0.25">
      <c r="A24" s="329" t="s">
        <v>554</v>
      </c>
      <c r="B24" s="329"/>
      <c r="C24" s="329"/>
      <c r="D24" s="117">
        <f t="shared" si="1"/>
        <v>75.44</v>
      </c>
      <c r="E24" s="117"/>
      <c r="F24" s="117"/>
      <c r="G24" s="117"/>
      <c r="H24" s="117">
        <v>75.44</v>
      </c>
      <c r="I24" s="117"/>
    </row>
    <row r="25" spans="1:9" x14ac:dyDescent="0.25">
      <c r="A25" s="329" t="s">
        <v>555</v>
      </c>
      <c r="B25" s="329"/>
      <c r="C25" s="329"/>
      <c r="D25" s="117">
        <f t="shared" si="1"/>
        <v>1008.5169999999998</v>
      </c>
      <c r="E25" s="117">
        <v>132.892</v>
      </c>
      <c r="F25" s="117">
        <v>37.339999999999996</v>
      </c>
      <c r="G25" s="117">
        <v>188.13500000000002</v>
      </c>
      <c r="H25" s="117">
        <v>650.14999999999986</v>
      </c>
      <c r="I25" s="117">
        <v>0</v>
      </c>
    </row>
    <row r="26" spans="1:9" ht="15" customHeight="1" x14ac:dyDescent="0.25">
      <c r="A26" s="329" t="s">
        <v>556</v>
      </c>
      <c r="B26" s="329"/>
      <c r="C26" s="329"/>
      <c r="D26" s="117">
        <f t="shared" si="1"/>
        <v>0.27400000000000002</v>
      </c>
      <c r="E26" s="117"/>
      <c r="F26" s="117"/>
      <c r="G26" s="117">
        <v>0.27400000000000002</v>
      </c>
      <c r="H26" s="117"/>
      <c r="I26" s="117">
        <v>0</v>
      </c>
    </row>
    <row r="27" spans="1:9" ht="15" customHeight="1" x14ac:dyDescent="0.25">
      <c r="A27" s="329" t="s">
        <v>557</v>
      </c>
      <c r="B27" s="329"/>
      <c r="C27" s="329"/>
      <c r="D27" s="117">
        <f t="shared" si="1"/>
        <v>54.354999999999997</v>
      </c>
      <c r="F27" s="117"/>
      <c r="G27" s="117">
        <v>54.354999999999997</v>
      </c>
      <c r="H27" s="117"/>
      <c r="I27" s="117"/>
    </row>
    <row r="28" spans="1:9" ht="15" customHeight="1" x14ac:dyDescent="0.25">
      <c r="A28" s="329" t="s">
        <v>558</v>
      </c>
      <c r="B28" s="329"/>
      <c r="C28" s="329"/>
      <c r="D28" s="117">
        <f t="shared" si="1"/>
        <v>0.18</v>
      </c>
      <c r="F28" s="117"/>
      <c r="G28" s="117"/>
      <c r="H28" s="117">
        <v>0.18</v>
      </c>
      <c r="I28" s="117"/>
    </row>
    <row r="29" spans="1:9" x14ac:dyDescent="0.25">
      <c r="A29" s="413" t="s">
        <v>559</v>
      </c>
      <c r="B29" s="413"/>
      <c r="C29" s="414"/>
      <c r="D29" s="415">
        <f>+SUM(D11:D28)</f>
        <v>19865.611999999997</v>
      </c>
      <c r="E29" s="415">
        <f t="shared" ref="E29:I29" si="2">+SUM(E11:E28)</f>
        <v>5542.6310000000003</v>
      </c>
      <c r="F29" s="415">
        <f t="shared" si="2"/>
        <v>1388.1499999999996</v>
      </c>
      <c r="G29" s="415">
        <f t="shared" si="2"/>
        <v>10889.201000000003</v>
      </c>
      <c r="H29" s="415">
        <f t="shared" si="2"/>
        <v>2045.63</v>
      </c>
      <c r="I29" s="415">
        <f t="shared" si="2"/>
        <v>0</v>
      </c>
    </row>
    <row r="30" spans="1:9" x14ac:dyDescent="0.25">
      <c r="A30" s="410"/>
      <c r="B30" s="410"/>
      <c r="C30" s="410"/>
      <c r="D30" s="141"/>
      <c r="E30" s="141"/>
      <c r="F30" s="141"/>
      <c r="G30" s="141"/>
      <c r="H30" s="141"/>
      <c r="I30" s="141"/>
    </row>
    <row r="31" spans="1:9" ht="14.45" customHeight="1" x14ac:dyDescent="0.25">
      <c r="A31" s="403" t="s">
        <v>802</v>
      </c>
      <c r="B31" s="403"/>
      <c r="C31" s="403"/>
      <c r="D31" s="404"/>
      <c r="E31" s="404"/>
      <c r="F31" s="404"/>
      <c r="G31" s="404"/>
      <c r="H31" s="404">
        <v>0.18</v>
      </c>
      <c r="I31" s="404"/>
    </row>
    <row r="32" spans="1:9" ht="15" customHeight="1" x14ac:dyDescent="0.25">
      <c r="A32" s="329" t="s">
        <v>560</v>
      </c>
      <c r="B32" s="329"/>
      <c r="C32" s="329"/>
      <c r="D32" s="117">
        <f>+SUM(E32:I32)</f>
        <v>106.91299999999998</v>
      </c>
      <c r="E32" s="117">
        <v>106.91299999999998</v>
      </c>
      <c r="F32" s="117"/>
      <c r="G32" s="117"/>
      <c r="H32" s="117"/>
      <c r="I32" s="117">
        <v>0</v>
      </c>
    </row>
    <row r="33" spans="1:9" ht="14.45" customHeight="1" x14ac:dyDescent="0.25">
      <c r="A33" s="329" t="s">
        <v>561</v>
      </c>
      <c r="B33" s="329"/>
      <c r="C33" s="329"/>
      <c r="D33" s="117">
        <f t="shared" si="1"/>
        <v>135.738</v>
      </c>
      <c r="E33" s="117">
        <v>87.980999999999995</v>
      </c>
      <c r="F33" s="117"/>
      <c r="G33" s="117">
        <v>47.757000000000005</v>
      </c>
      <c r="H33" s="117"/>
      <c r="I33" s="117">
        <v>0</v>
      </c>
    </row>
    <row r="34" spans="1:9" ht="14.45" customHeight="1" x14ac:dyDescent="0.25">
      <c r="A34" s="329" t="s">
        <v>562</v>
      </c>
      <c r="B34" s="329"/>
      <c r="C34" s="329"/>
      <c r="D34" s="117">
        <f t="shared" si="1"/>
        <v>44.24</v>
      </c>
      <c r="E34" s="117">
        <v>44.24</v>
      </c>
      <c r="F34" s="117"/>
      <c r="G34" s="117"/>
      <c r="H34" s="117"/>
      <c r="I34" s="117"/>
    </row>
    <row r="35" spans="1:9" ht="14.45" customHeight="1" x14ac:dyDescent="0.25">
      <c r="A35" s="329" t="s">
        <v>563</v>
      </c>
      <c r="B35" s="329"/>
      <c r="C35" s="329"/>
      <c r="D35" s="117">
        <f t="shared" si="1"/>
        <v>16.756999999999998</v>
      </c>
      <c r="E35" s="117"/>
      <c r="F35" s="117"/>
      <c r="G35" s="117">
        <v>16.756999999999998</v>
      </c>
      <c r="H35" s="117"/>
      <c r="I35" s="117">
        <v>0</v>
      </c>
    </row>
    <row r="36" spans="1:9" x14ac:dyDescent="0.25">
      <c r="A36" s="329" t="s">
        <v>564</v>
      </c>
      <c r="B36" s="329"/>
      <c r="C36" s="329"/>
      <c r="D36" s="117">
        <f t="shared" si="1"/>
        <v>3.5040000000000004</v>
      </c>
      <c r="E36" s="117">
        <v>2.5380000000000003</v>
      </c>
      <c r="F36" s="117"/>
      <c r="G36" s="117">
        <v>0.96599999999999997</v>
      </c>
      <c r="H36" s="117"/>
      <c r="I36" s="117">
        <v>0</v>
      </c>
    </row>
    <row r="37" spans="1:9" ht="15" customHeight="1" x14ac:dyDescent="0.25">
      <c r="A37" s="329" t="s">
        <v>565</v>
      </c>
      <c r="B37" s="329"/>
      <c r="C37" s="329"/>
      <c r="D37" s="117">
        <f t="shared" si="1"/>
        <v>0.66700000000000004</v>
      </c>
      <c r="E37" s="117"/>
      <c r="F37" s="117"/>
      <c r="G37" s="117">
        <v>0.66700000000000004</v>
      </c>
      <c r="H37" s="117"/>
      <c r="I37" s="117">
        <v>0</v>
      </c>
    </row>
    <row r="38" spans="1:9" ht="14.45" customHeight="1" x14ac:dyDescent="0.25">
      <c r="A38" s="329" t="s">
        <v>566</v>
      </c>
      <c r="B38" s="329"/>
      <c r="C38" s="329"/>
      <c r="D38" s="117">
        <f t="shared" si="1"/>
        <v>9.838000000000001</v>
      </c>
      <c r="E38" s="117"/>
      <c r="F38" s="117"/>
      <c r="G38" s="117">
        <v>9.838000000000001</v>
      </c>
      <c r="H38" s="117"/>
      <c r="I38" s="117">
        <v>0</v>
      </c>
    </row>
    <row r="39" spans="1:9" ht="14.45" customHeight="1" x14ac:dyDescent="0.25">
      <c r="A39" s="329" t="s">
        <v>567</v>
      </c>
      <c r="B39" s="329"/>
      <c r="C39" s="329"/>
      <c r="D39" s="117">
        <f t="shared" si="1"/>
        <v>1.0799999999999998</v>
      </c>
      <c r="E39" s="117"/>
      <c r="F39" s="117"/>
      <c r="G39" s="117">
        <v>1.0799999999999998</v>
      </c>
      <c r="H39" s="117"/>
      <c r="I39" s="117">
        <v>0</v>
      </c>
    </row>
    <row r="40" spans="1:9" ht="14.45" customHeight="1" x14ac:dyDescent="0.25">
      <c r="A40" s="329" t="s">
        <v>568</v>
      </c>
      <c r="B40" s="329"/>
      <c r="C40" s="329"/>
      <c r="D40" s="117">
        <f t="shared" si="1"/>
        <v>347.75900000000001</v>
      </c>
      <c r="E40" s="117">
        <v>185.72200000000001</v>
      </c>
      <c r="F40" s="117">
        <v>3.7629999999999999</v>
      </c>
      <c r="G40" s="117">
        <v>158.274</v>
      </c>
      <c r="H40" s="117"/>
      <c r="I40" s="117">
        <v>0</v>
      </c>
    </row>
    <row r="41" spans="1:9" ht="14.45" customHeight="1" x14ac:dyDescent="0.25">
      <c r="A41" s="329" t="s">
        <v>569</v>
      </c>
      <c r="B41" s="329"/>
      <c r="C41" s="329"/>
      <c r="D41" s="117">
        <f t="shared" si="1"/>
        <v>0.20300000000000001</v>
      </c>
      <c r="E41" s="117">
        <v>0.20300000000000001</v>
      </c>
      <c r="F41" s="117"/>
      <c r="G41" s="117"/>
      <c r="H41" s="117"/>
      <c r="I41" s="117">
        <v>0</v>
      </c>
    </row>
    <row r="42" spans="1:9" ht="14.45" customHeight="1" x14ac:dyDescent="0.25">
      <c r="A42" s="413" t="s">
        <v>559</v>
      </c>
      <c r="B42" s="413"/>
      <c r="C42" s="413"/>
      <c r="D42" s="415">
        <f t="shared" ref="D42:I42" si="3">+SUM(D32:D41)</f>
        <v>666.69899999999996</v>
      </c>
      <c r="E42" s="415">
        <f t="shared" si="3"/>
        <v>427.59699999999998</v>
      </c>
      <c r="F42" s="415">
        <f t="shared" si="3"/>
        <v>3.7629999999999999</v>
      </c>
      <c r="G42" s="415">
        <f t="shared" si="3"/>
        <v>235.339</v>
      </c>
      <c r="H42" s="415">
        <f t="shared" si="3"/>
        <v>0</v>
      </c>
      <c r="I42" s="415">
        <f t="shared" si="3"/>
        <v>0</v>
      </c>
    </row>
    <row r="43" spans="1:9" ht="14.45" customHeight="1" x14ac:dyDescent="0.25">
      <c r="A43" s="416" t="s">
        <v>570</v>
      </c>
      <c r="B43" s="416"/>
      <c r="C43" s="416"/>
      <c r="D43" s="417">
        <f>D42+D29</f>
        <v>20532.310999999998</v>
      </c>
      <c r="E43" s="417">
        <f t="shared" ref="E43:I43" si="4">E42+E29</f>
        <v>5970.2280000000001</v>
      </c>
      <c r="F43" s="417">
        <f t="shared" si="4"/>
        <v>1391.9129999999996</v>
      </c>
      <c r="G43" s="417">
        <f t="shared" si="4"/>
        <v>11124.540000000003</v>
      </c>
      <c r="H43" s="417">
        <f t="shared" si="4"/>
        <v>2045.63</v>
      </c>
      <c r="I43" s="417">
        <f t="shared" si="4"/>
        <v>0</v>
      </c>
    </row>
    <row r="44" spans="1:9" x14ac:dyDescent="0.25">
      <c r="A44" s="120"/>
      <c r="B44" s="120"/>
      <c r="C44" s="120"/>
      <c r="D44" s="121"/>
      <c r="E44" s="121"/>
      <c r="F44" s="121"/>
      <c r="G44" s="121"/>
      <c r="H44" s="121"/>
      <c r="I44" s="121"/>
    </row>
    <row r="45" spans="1:9" x14ac:dyDescent="0.25">
      <c r="A45" s="418" t="s">
        <v>571</v>
      </c>
      <c r="B45" s="418"/>
      <c r="C45" s="418"/>
      <c r="D45" s="419">
        <f t="shared" ref="D45:I45" si="5">+D43+D7</f>
        <v>54956.513999999996</v>
      </c>
      <c r="E45" s="419">
        <f t="shared" si="5"/>
        <v>5970.2280000000001</v>
      </c>
      <c r="F45" s="419">
        <f t="shared" si="5"/>
        <v>2477.8969999999995</v>
      </c>
      <c r="G45" s="419">
        <f t="shared" si="5"/>
        <v>13706.809000000003</v>
      </c>
      <c r="H45" s="419">
        <f t="shared" si="5"/>
        <v>32801.58</v>
      </c>
      <c r="I45" s="419">
        <f t="shared" si="5"/>
        <v>0</v>
      </c>
    </row>
  </sheetData>
  <mergeCells count="42">
    <mergeCell ref="A10:C10"/>
    <mergeCell ref="A1:I1"/>
    <mergeCell ref="A2:I2"/>
    <mergeCell ref="A3:C3"/>
    <mergeCell ref="A4:C4"/>
    <mergeCell ref="A5:C5"/>
    <mergeCell ref="A6:C6"/>
    <mergeCell ref="A7:C7"/>
    <mergeCell ref="A9:C9"/>
    <mergeCell ref="A22:C2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35:C35"/>
    <mergeCell ref="A23:C23"/>
    <mergeCell ref="A24:C24"/>
    <mergeCell ref="A25:C25"/>
    <mergeCell ref="A26:C26"/>
    <mergeCell ref="A27:C27"/>
    <mergeCell ref="A28:C28"/>
    <mergeCell ref="A29:B29"/>
    <mergeCell ref="A31:C31"/>
    <mergeCell ref="A32:C32"/>
    <mergeCell ref="A33:C33"/>
    <mergeCell ref="A34:C34"/>
    <mergeCell ref="A42:C42"/>
    <mergeCell ref="A43:C43"/>
    <mergeCell ref="A45:C45"/>
    <mergeCell ref="A36:C36"/>
    <mergeCell ref="A37:C37"/>
    <mergeCell ref="A38:C38"/>
    <mergeCell ref="A39:C39"/>
    <mergeCell ref="A40:C40"/>
    <mergeCell ref="A41:C41"/>
  </mergeCells>
  <pageMargins left="0.7" right="0.7" top="0.75" bottom="0.75" header="0.3" footer="0.3"/>
  <pageSetup paperSize="9" scale="84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697D-9DEB-47A0-ADF4-8D60E41B544C}">
  <sheetPr>
    <tabColor theme="4"/>
    <pageSetUpPr fitToPage="1"/>
  </sheetPr>
  <dimension ref="A1:L59"/>
  <sheetViews>
    <sheetView view="pageBreakPreview" topLeftCell="A13" zoomScaleNormal="100" zoomScaleSheetLayoutView="100" workbookViewId="0">
      <selection activeCell="E71" sqref="E71"/>
    </sheetView>
  </sheetViews>
  <sheetFormatPr baseColWidth="10" defaultColWidth="11.42578125" defaultRowHeight="11.25" x14ac:dyDescent="0.2"/>
  <cols>
    <col min="1" max="1" width="35.5703125" style="86" customWidth="1"/>
    <col min="2" max="7" width="11.42578125" style="79"/>
    <col min="8" max="8" width="11.42578125" style="55"/>
    <col min="9" max="9" width="23.140625" style="55" customWidth="1"/>
    <col min="10" max="10" width="19.140625" style="55" customWidth="1"/>
    <col min="11" max="16384" width="11.42578125" style="55"/>
  </cols>
  <sheetData>
    <row r="1" spans="1:12" x14ac:dyDescent="0.2">
      <c r="A1" s="420" t="s">
        <v>803</v>
      </c>
      <c r="B1" s="420"/>
      <c r="C1" s="420"/>
      <c r="D1" s="420"/>
      <c r="E1" s="420"/>
      <c r="F1" s="420"/>
      <c r="G1" s="420"/>
    </row>
    <row r="2" spans="1:12" ht="12.75" x14ac:dyDescent="0.2">
      <c r="A2" s="421" t="s">
        <v>804</v>
      </c>
      <c r="B2" s="421"/>
      <c r="C2" s="421"/>
      <c r="D2" s="421"/>
      <c r="E2" s="421"/>
      <c r="F2" s="421"/>
      <c r="G2" s="421"/>
    </row>
    <row r="3" spans="1:12" ht="24" x14ac:dyDescent="0.2">
      <c r="A3" s="422" t="s">
        <v>572</v>
      </c>
      <c r="B3" s="422" t="s">
        <v>41</v>
      </c>
      <c r="C3" s="422" t="s">
        <v>573</v>
      </c>
      <c r="D3" s="422" t="s">
        <v>574</v>
      </c>
      <c r="E3" s="422" t="s">
        <v>575</v>
      </c>
      <c r="F3" s="422" t="s">
        <v>576</v>
      </c>
      <c r="G3" s="422" t="s">
        <v>577</v>
      </c>
      <c r="I3" s="122" t="s">
        <v>578</v>
      </c>
      <c r="J3" s="122" t="s">
        <v>579</v>
      </c>
      <c r="K3" s="122" t="s">
        <v>580</v>
      </c>
      <c r="L3" s="122" t="s">
        <v>581</v>
      </c>
    </row>
    <row r="4" spans="1:12" ht="15" x14ac:dyDescent="0.25">
      <c r="A4" s="423" t="s">
        <v>582</v>
      </c>
      <c r="B4" s="424"/>
      <c r="C4" s="424"/>
      <c r="D4" s="424"/>
      <c r="E4" s="424"/>
      <c r="F4" s="424"/>
      <c r="G4" s="424"/>
      <c r="I4" s="123" t="s">
        <v>583</v>
      </c>
      <c r="J4" s="124">
        <f>+B5</f>
        <v>853.63200000000006</v>
      </c>
      <c r="K4" s="125">
        <f>+J4/365</f>
        <v>2.3387178082191782</v>
      </c>
      <c r="L4" s="126">
        <f>+K4/$K$11</f>
        <v>1.9916160828288312E-2</v>
      </c>
    </row>
    <row r="5" spans="1:12" ht="12" customHeight="1" x14ac:dyDescent="0.25">
      <c r="A5" s="425" t="s">
        <v>584</v>
      </c>
      <c r="B5" s="426">
        <f>+SUM(C5:G5)</f>
        <v>853.63200000000006</v>
      </c>
      <c r="C5" s="426"/>
      <c r="D5" s="426"/>
      <c r="E5" s="426"/>
      <c r="F5" s="426">
        <v>853.63200000000006</v>
      </c>
      <c r="G5" s="426">
        <v>0</v>
      </c>
      <c r="I5" s="128" t="s">
        <v>585</v>
      </c>
      <c r="J5" s="124">
        <f>+SUM(B6:B15)</f>
        <v>15794.08368</v>
      </c>
      <c r="K5" s="125">
        <f t="shared" ref="K5:K11" si="0">+J5/365</f>
        <v>43.271462136986301</v>
      </c>
      <c r="L5" s="126">
        <f t="shared" ref="L5:L10" si="1">+K5/$K$11</f>
        <v>0.36849311027037845</v>
      </c>
    </row>
    <row r="6" spans="1:12" ht="12" customHeight="1" x14ac:dyDescent="0.25">
      <c r="A6" s="425" t="s">
        <v>586</v>
      </c>
      <c r="B6" s="426">
        <f t="shared" ref="B6:B32" si="2">+SUM(C6:G6)</f>
        <v>267.81</v>
      </c>
      <c r="C6" s="427"/>
      <c r="D6" s="426"/>
      <c r="E6" s="426"/>
      <c r="F6" s="427">
        <v>267.81</v>
      </c>
      <c r="G6" s="427">
        <v>0</v>
      </c>
      <c r="I6" s="128" t="s">
        <v>587</v>
      </c>
      <c r="J6" s="124">
        <f>+B16</f>
        <v>3038.1049999999996</v>
      </c>
      <c r="K6" s="125">
        <f t="shared" si="0"/>
        <v>8.3235753424657517</v>
      </c>
      <c r="L6" s="126">
        <f t="shared" si="1"/>
        <v>7.0882286269993211E-2</v>
      </c>
    </row>
    <row r="7" spans="1:12" ht="12" customHeight="1" x14ac:dyDescent="0.25">
      <c r="A7" s="425" t="s">
        <v>588</v>
      </c>
      <c r="B7" s="426">
        <f t="shared" si="2"/>
        <v>3039.25</v>
      </c>
      <c r="C7" s="428"/>
      <c r="D7" s="426"/>
      <c r="E7" s="428"/>
      <c r="F7" s="427">
        <v>3039.25</v>
      </c>
      <c r="G7" s="427">
        <v>0</v>
      </c>
      <c r="I7" s="128" t="s">
        <v>589</v>
      </c>
      <c r="J7" s="124">
        <f>+B17+B18</f>
        <v>19764.37</v>
      </c>
      <c r="K7" s="125">
        <f t="shared" si="0"/>
        <v>54.148958904109584</v>
      </c>
      <c r="L7" s="126">
        <f t="shared" si="1"/>
        <v>0.4611241982374098</v>
      </c>
    </row>
    <row r="8" spans="1:12" ht="12" customHeight="1" x14ac:dyDescent="0.25">
      <c r="A8" s="425" t="s">
        <v>590</v>
      </c>
      <c r="B8" s="426">
        <f t="shared" si="2"/>
        <v>1879.29</v>
      </c>
      <c r="C8" s="428"/>
      <c r="D8" s="426"/>
      <c r="E8" s="428"/>
      <c r="F8" s="427">
        <v>1879.29</v>
      </c>
      <c r="G8" s="428">
        <v>0</v>
      </c>
      <c r="I8" s="128" t="s">
        <v>591</v>
      </c>
      <c r="J8" s="124">
        <f>+B20+B21</f>
        <v>1837.3160000000003</v>
      </c>
      <c r="K8" s="125">
        <f t="shared" si="0"/>
        <v>5.0337424657534253</v>
      </c>
      <c r="L8" s="126">
        <f t="shared" si="1"/>
        <v>4.2866575934814265E-2</v>
      </c>
    </row>
    <row r="9" spans="1:12" ht="12" customHeight="1" x14ac:dyDescent="0.25">
      <c r="A9" s="425" t="s">
        <v>592</v>
      </c>
      <c r="B9" s="426">
        <f t="shared" si="2"/>
        <v>264.26</v>
      </c>
      <c r="C9" s="428"/>
      <c r="D9" s="426"/>
      <c r="E9" s="428"/>
      <c r="F9" s="427">
        <v>264.26</v>
      </c>
      <c r="G9" s="427">
        <v>0</v>
      </c>
      <c r="I9" s="128" t="s">
        <v>593</v>
      </c>
      <c r="J9" s="124">
        <f>+B19+B22</f>
        <v>186.06099999999998</v>
      </c>
      <c r="K9" s="125">
        <f t="shared" si="0"/>
        <v>0.50975616438356164</v>
      </c>
      <c r="L9" s="126">
        <f t="shared" si="1"/>
        <v>4.3410050230920953E-3</v>
      </c>
    </row>
    <row r="10" spans="1:12" ht="12" customHeight="1" x14ac:dyDescent="0.25">
      <c r="A10" s="425" t="s">
        <v>594</v>
      </c>
      <c r="B10" s="426">
        <f t="shared" si="2"/>
        <v>290.93</v>
      </c>
      <c r="C10" s="427"/>
      <c r="D10" s="427"/>
      <c r="E10" s="427"/>
      <c r="F10" s="428">
        <v>290.93</v>
      </c>
      <c r="G10" s="427">
        <v>0</v>
      </c>
      <c r="I10" s="128" t="s">
        <v>595</v>
      </c>
      <c r="J10" s="124">
        <f>+SUM(B23:B32)</f>
        <v>1387.7050000000002</v>
      </c>
      <c r="K10" s="125">
        <f t="shared" si="0"/>
        <v>3.8019315068493156</v>
      </c>
      <c r="L10" s="126">
        <f t="shared" si="1"/>
        <v>3.2376663436023759E-2</v>
      </c>
    </row>
    <row r="11" spans="1:12" ht="12" customHeight="1" x14ac:dyDescent="0.2">
      <c r="A11" s="425" t="s">
        <v>596</v>
      </c>
      <c r="B11" s="426">
        <f t="shared" si="2"/>
        <v>2148.373</v>
      </c>
      <c r="C11" s="427">
        <v>1131.1000000000001</v>
      </c>
      <c r="D11" s="427">
        <v>612.61199999999997</v>
      </c>
      <c r="E11" s="427">
        <v>404.661</v>
      </c>
      <c r="F11" s="428"/>
      <c r="G11" s="427">
        <v>0</v>
      </c>
      <c r="I11" s="129" t="s">
        <v>287</v>
      </c>
      <c r="J11" s="130">
        <f>+SUM(J4:J10)</f>
        <v>42861.272680000002</v>
      </c>
      <c r="K11" s="131">
        <f t="shared" si="0"/>
        <v>117.42814432876713</v>
      </c>
      <c r="L11" s="132">
        <f>+SUM(L4:L10)</f>
        <v>0.99999999999999978</v>
      </c>
    </row>
    <row r="12" spans="1:12" ht="12" customHeight="1" x14ac:dyDescent="0.2">
      <c r="A12" s="425" t="s">
        <v>597</v>
      </c>
      <c r="B12" s="426">
        <f t="shared" si="2"/>
        <v>5681.9209099999998</v>
      </c>
      <c r="C12" s="427">
        <v>1788.721</v>
      </c>
      <c r="D12" s="427">
        <v>177.428</v>
      </c>
      <c r="E12" s="427">
        <v>3550.7170000000001</v>
      </c>
      <c r="F12" s="428">
        <v>165.05491000000001</v>
      </c>
      <c r="G12" s="427">
        <v>0</v>
      </c>
      <c r="J12" s="58"/>
    </row>
    <row r="13" spans="1:12" ht="12" customHeight="1" x14ac:dyDescent="0.2">
      <c r="A13" s="425" t="s">
        <v>598</v>
      </c>
      <c r="B13" s="426">
        <f t="shared" si="2"/>
        <v>1714.9259999999999</v>
      </c>
      <c r="C13" s="427">
        <v>128.45300000000003</v>
      </c>
      <c r="D13" s="427"/>
      <c r="E13" s="427">
        <v>1586.473</v>
      </c>
      <c r="F13" s="426"/>
      <c r="G13" s="427">
        <v>0</v>
      </c>
    </row>
    <row r="14" spans="1:12" ht="12" customHeight="1" x14ac:dyDescent="0.2">
      <c r="A14" s="425" t="s">
        <v>599</v>
      </c>
      <c r="B14" s="426">
        <f t="shared" si="2"/>
        <v>453.00377000000003</v>
      </c>
      <c r="C14" s="427"/>
      <c r="D14" s="427"/>
      <c r="E14" s="427">
        <v>343.21100000000001</v>
      </c>
      <c r="F14" s="426">
        <v>109.79277</v>
      </c>
      <c r="G14" s="427">
        <v>0</v>
      </c>
    </row>
    <row r="15" spans="1:12" ht="12" customHeight="1" x14ac:dyDescent="0.2">
      <c r="A15" s="425" t="s">
        <v>600</v>
      </c>
      <c r="B15" s="426">
        <f t="shared" si="2"/>
        <v>54.32</v>
      </c>
      <c r="C15" s="427"/>
      <c r="D15" s="427"/>
      <c r="E15" s="427"/>
      <c r="F15" s="426">
        <v>54.32</v>
      </c>
      <c r="G15" s="427"/>
    </row>
    <row r="16" spans="1:12" ht="12" customHeight="1" x14ac:dyDescent="0.2">
      <c r="A16" s="425" t="s">
        <v>562</v>
      </c>
      <c r="B16" s="426">
        <f t="shared" si="2"/>
        <v>3038.1049999999996</v>
      </c>
      <c r="C16" s="427"/>
      <c r="D16" s="427">
        <v>57.244999999999997</v>
      </c>
      <c r="E16" s="427"/>
      <c r="F16" s="426">
        <v>2980.8599999999997</v>
      </c>
      <c r="G16" s="427"/>
    </row>
    <row r="17" spans="1:7" ht="12" customHeight="1" x14ac:dyDescent="0.2">
      <c r="A17" s="425" t="s">
        <v>601</v>
      </c>
      <c r="B17" s="426">
        <f t="shared" si="2"/>
        <v>19024.983</v>
      </c>
      <c r="C17" s="427">
        <v>2559.3490000000002</v>
      </c>
      <c r="D17" s="427"/>
      <c r="E17" s="427">
        <v>3299.2640000000001</v>
      </c>
      <c r="F17" s="426">
        <v>13166.37</v>
      </c>
      <c r="G17" s="427"/>
    </row>
    <row r="18" spans="1:7" ht="12" customHeight="1" x14ac:dyDescent="0.2">
      <c r="A18" s="425" t="s">
        <v>602</v>
      </c>
      <c r="B18" s="426">
        <f t="shared" si="2"/>
        <v>739.38699999999994</v>
      </c>
      <c r="C18" s="427">
        <v>25.908999999999999</v>
      </c>
      <c r="D18" s="427">
        <v>713.47799999999995</v>
      </c>
      <c r="E18" s="427"/>
      <c r="F18" s="426"/>
      <c r="G18" s="427"/>
    </row>
    <row r="19" spans="1:7" ht="12" customHeight="1" x14ac:dyDescent="0.2">
      <c r="A19" s="425" t="s">
        <v>603</v>
      </c>
      <c r="B19" s="426">
        <f t="shared" si="2"/>
        <v>54.073999999999998</v>
      </c>
      <c r="C19" s="427">
        <v>52.323999999999998</v>
      </c>
      <c r="D19" s="427"/>
      <c r="E19" s="427">
        <v>1.75</v>
      </c>
      <c r="F19" s="426"/>
      <c r="G19" s="427"/>
    </row>
    <row r="20" spans="1:7" ht="12" customHeight="1" x14ac:dyDescent="0.2">
      <c r="A20" s="425" t="s">
        <v>563</v>
      </c>
      <c r="B20" s="426">
        <f t="shared" si="2"/>
        <v>444.39800000000002</v>
      </c>
      <c r="C20" s="427"/>
      <c r="D20" s="427"/>
      <c r="E20" s="427">
        <v>274.14800000000002</v>
      </c>
      <c r="F20" s="426">
        <v>170.25000000000003</v>
      </c>
      <c r="G20" s="427"/>
    </row>
    <row r="21" spans="1:7" ht="12" customHeight="1" x14ac:dyDescent="0.2">
      <c r="A21" s="425" t="s">
        <v>561</v>
      </c>
      <c r="B21" s="426">
        <f t="shared" si="2"/>
        <v>1392.9180000000001</v>
      </c>
      <c r="C21" s="427">
        <v>0.23300000000000001</v>
      </c>
      <c r="D21" s="427">
        <v>503.363</v>
      </c>
      <c r="E21" s="427">
        <v>529.85200000000009</v>
      </c>
      <c r="F21" s="426">
        <v>359.47</v>
      </c>
      <c r="G21" s="427"/>
    </row>
    <row r="22" spans="1:7" ht="12" customHeight="1" x14ac:dyDescent="0.2">
      <c r="A22" s="425" t="s">
        <v>566</v>
      </c>
      <c r="B22" s="426">
        <f t="shared" si="2"/>
        <v>131.98699999999999</v>
      </c>
      <c r="C22" s="427"/>
      <c r="D22" s="427"/>
      <c r="E22" s="427">
        <v>76.227000000000004</v>
      </c>
      <c r="F22" s="426">
        <v>55.76</v>
      </c>
      <c r="G22" s="427"/>
    </row>
    <row r="23" spans="1:7" ht="12" customHeight="1" x14ac:dyDescent="0.2">
      <c r="A23" s="425" t="s">
        <v>604</v>
      </c>
      <c r="B23" s="426">
        <f t="shared" si="2"/>
        <v>49.053000000000004</v>
      </c>
      <c r="C23" s="427"/>
      <c r="D23" s="427"/>
      <c r="E23" s="427">
        <v>49.053000000000004</v>
      </c>
      <c r="F23" s="426"/>
      <c r="G23" s="427"/>
    </row>
    <row r="24" spans="1:7" ht="12" customHeight="1" x14ac:dyDescent="0.2">
      <c r="A24" s="425" t="s">
        <v>565</v>
      </c>
      <c r="B24" s="426">
        <f t="shared" si="2"/>
        <v>68.541999999999987</v>
      </c>
      <c r="C24" s="426"/>
      <c r="D24" s="426"/>
      <c r="E24" s="427">
        <v>68.541999999999987</v>
      </c>
      <c r="F24" s="426"/>
      <c r="G24" s="426">
        <v>0</v>
      </c>
    </row>
    <row r="25" spans="1:7" ht="12" customHeight="1" x14ac:dyDescent="0.2">
      <c r="A25" s="425" t="s">
        <v>605</v>
      </c>
      <c r="B25" s="426">
        <f t="shared" si="2"/>
        <v>30.457999999999998</v>
      </c>
      <c r="C25" s="427"/>
      <c r="D25" s="427"/>
      <c r="E25" s="427"/>
      <c r="F25" s="427">
        <v>30.457999999999998</v>
      </c>
      <c r="G25" s="427">
        <v>0</v>
      </c>
    </row>
    <row r="26" spans="1:7" ht="12" customHeight="1" x14ac:dyDescent="0.2">
      <c r="A26" s="425" t="s">
        <v>606</v>
      </c>
      <c r="B26" s="426">
        <f t="shared" si="2"/>
        <v>32.191000000000003</v>
      </c>
      <c r="C26" s="426"/>
      <c r="D26" s="427"/>
      <c r="E26" s="427">
        <v>32.191000000000003</v>
      </c>
      <c r="F26" s="427"/>
      <c r="G26" s="427">
        <v>0</v>
      </c>
    </row>
    <row r="27" spans="1:7" ht="12" customHeight="1" x14ac:dyDescent="0.2">
      <c r="A27" s="425" t="s">
        <v>607</v>
      </c>
      <c r="B27" s="426">
        <f t="shared" si="2"/>
        <v>79.053000000000011</v>
      </c>
      <c r="C27" s="426"/>
      <c r="D27" s="426"/>
      <c r="E27" s="427">
        <v>79.053000000000011</v>
      </c>
      <c r="F27" s="427"/>
      <c r="G27" s="427">
        <v>0</v>
      </c>
    </row>
    <row r="28" spans="1:7" ht="12" customHeight="1" x14ac:dyDescent="0.2">
      <c r="A28" s="425" t="s">
        <v>608</v>
      </c>
      <c r="B28" s="426">
        <f t="shared" si="2"/>
        <v>489.62</v>
      </c>
      <c r="C28" s="426"/>
      <c r="D28" s="427"/>
      <c r="E28" s="428"/>
      <c r="F28" s="426">
        <v>489.62</v>
      </c>
      <c r="G28" s="427">
        <v>0</v>
      </c>
    </row>
    <row r="29" spans="1:7" ht="12" customHeight="1" x14ac:dyDescent="0.2">
      <c r="A29" s="425" t="s">
        <v>609</v>
      </c>
      <c r="B29" s="426">
        <f t="shared" si="2"/>
        <v>75.867999999999995</v>
      </c>
      <c r="C29" s="426"/>
      <c r="D29" s="428"/>
      <c r="E29" s="426">
        <v>75.867999999999995</v>
      </c>
      <c r="F29" s="426"/>
      <c r="G29" s="427">
        <v>0</v>
      </c>
    </row>
    <row r="30" spans="1:7" ht="12" customHeight="1" x14ac:dyDescent="0.2">
      <c r="A30" s="425" t="s">
        <v>610</v>
      </c>
      <c r="B30" s="426">
        <f t="shared" si="2"/>
        <v>410.84</v>
      </c>
      <c r="C30" s="426"/>
      <c r="D30" s="428"/>
      <c r="E30" s="426">
        <v>410.84</v>
      </c>
      <c r="F30" s="428"/>
      <c r="G30" s="428">
        <v>0</v>
      </c>
    </row>
    <row r="31" spans="1:7" x14ac:dyDescent="0.2">
      <c r="A31" s="425" t="s">
        <v>611</v>
      </c>
      <c r="B31" s="426">
        <f t="shared" si="2"/>
        <v>148.66800000000001</v>
      </c>
      <c r="C31" s="426"/>
      <c r="D31" s="427"/>
      <c r="E31" s="426">
        <v>148.66800000000001</v>
      </c>
      <c r="F31" s="426"/>
      <c r="G31" s="427">
        <v>0</v>
      </c>
    </row>
    <row r="32" spans="1:7" x14ac:dyDescent="0.2">
      <c r="A32" s="425" t="s">
        <v>567</v>
      </c>
      <c r="B32" s="426">
        <f t="shared" si="2"/>
        <v>3.4119999999999999</v>
      </c>
      <c r="C32" s="426"/>
      <c r="D32" s="427"/>
      <c r="E32" s="426">
        <v>3.4119999999999999</v>
      </c>
      <c r="F32" s="426"/>
      <c r="G32" s="427">
        <v>0</v>
      </c>
    </row>
    <row r="33" spans="1:7" x14ac:dyDescent="0.2">
      <c r="A33" s="429" t="s">
        <v>559</v>
      </c>
      <c r="B33" s="430">
        <f t="shared" ref="B33:G33" si="3">+SUM(B5:B32)</f>
        <v>42861.272679999995</v>
      </c>
      <c r="C33" s="430">
        <f t="shared" si="3"/>
        <v>5686.088999999999</v>
      </c>
      <c r="D33" s="430">
        <f t="shared" si="3"/>
        <v>2064.1259999999997</v>
      </c>
      <c r="E33" s="430">
        <f t="shared" si="3"/>
        <v>10933.930000000002</v>
      </c>
      <c r="F33" s="430">
        <f t="shared" si="3"/>
        <v>24177.127679999998</v>
      </c>
      <c r="G33" s="430">
        <f t="shared" si="3"/>
        <v>0</v>
      </c>
    </row>
    <row r="34" spans="1:7" x14ac:dyDescent="0.2">
      <c r="A34" s="431" t="s">
        <v>612</v>
      </c>
      <c r="B34" s="432"/>
      <c r="C34" s="432"/>
      <c r="D34" s="432"/>
      <c r="E34" s="432"/>
      <c r="F34" s="432"/>
      <c r="G34" s="432"/>
    </row>
    <row r="35" spans="1:7" ht="14.25" customHeight="1" x14ac:dyDescent="0.2">
      <c r="A35" s="433" t="s">
        <v>613</v>
      </c>
      <c r="B35" s="426">
        <f>+SUM(C35:G35)</f>
        <v>110.49999999999999</v>
      </c>
      <c r="C35" s="426"/>
      <c r="D35" s="426"/>
      <c r="E35" s="426"/>
      <c r="F35" s="426">
        <v>110.49999999999999</v>
      </c>
      <c r="G35" s="428">
        <v>0</v>
      </c>
    </row>
    <row r="36" spans="1:7" x14ac:dyDescent="0.2">
      <c r="A36" s="433" t="s">
        <v>546</v>
      </c>
      <c r="B36" s="426">
        <f t="shared" ref="B36:B54" si="4">+SUM(C36:G36)</f>
        <v>236.06399999999996</v>
      </c>
      <c r="C36" s="426"/>
      <c r="D36" s="427">
        <v>160.19299999999998</v>
      </c>
      <c r="E36" s="427">
        <v>75.870999999999995</v>
      </c>
      <c r="F36" s="427"/>
      <c r="G36" s="427">
        <v>0</v>
      </c>
    </row>
    <row r="37" spans="1:7" x14ac:dyDescent="0.2">
      <c r="A37" s="433" t="s">
        <v>551</v>
      </c>
      <c r="B37" s="426">
        <f t="shared" si="4"/>
        <v>579.755</v>
      </c>
      <c r="C37" s="426"/>
      <c r="D37" s="426"/>
      <c r="E37" s="427">
        <v>17.734999999999999</v>
      </c>
      <c r="F37" s="427">
        <v>562.02</v>
      </c>
      <c r="G37" s="427">
        <v>0</v>
      </c>
    </row>
    <row r="38" spans="1:7" x14ac:dyDescent="0.2">
      <c r="A38" s="433" t="s">
        <v>547</v>
      </c>
      <c r="B38" s="426">
        <f t="shared" si="4"/>
        <v>61.476000000000006</v>
      </c>
      <c r="C38" s="426"/>
      <c r="D38" s="427">
        <v>61.080000000000005</v>
      </c>
      <c r="E38" s="426">
        <v>0.39600000000000002</v>
      </c>
      <c r="F38" s="427"/>
      <c r="G38" s="427">
        <v>0</v>
      </c>
    </row>
    <row r="39" spans="1:7" x14ac:dyDescent="0.2">
      <c r="A39" s="433" t="s">
        <v>614</v>
      </c>
      <c r="B39" s="426">
        <f t="shared" si="4"/>
        <v>5.4479999999999995</v>
      </c>
      <c r="C39" s="426"/>
      <c r="D39" s="427"/>
      <c r="E39" s="427">
        <v>5.4479999999999995</v>
      </c>
      <c r="F39" s="427"/>
      <c r="G39" s="427">
        <v>0</v>
      </c>
    </row>
    <row r="40" spans="1:7" x14ac:dyDescent="0.2">
      <c r="A40" s="433" t="s">
        <v>550</v>
      </c>
      <c r="B40" s="426">
        <f t="shared" si="4"/>
        <v>1923.7170000000001</v>
      </c>
      <c r="C40" s="426"/>
      <c r="D40" s="427">
        <v>150.21899999999999</v>
      </c>
      <c r="E40" s="427">
        <v>1773.498</v>
      </c>
      <c r="F40" s="427"/>
      <c r="G40" s="427">
        <v>0</v>
      </c>
    </row>
    <row r="41" spans="1:7" ht="13.5" customHeight="1" x14ac:dyDescent="0.2">
      <c r="A41" s="433" t="s">
        <v>552</v>
      </c>
      <c r="B41" s="426">
        <f t="shared" si="4"/>
        <v>621.7109999999999</v>
      </c>
      <c r="C41" s="427"/>
      <c r="D41" s="427"/>
      <c r="E41" s="427">
        <v>608.87099999999987</v>
      </c>
      <c r="F41" s="426">
        <v>12.84</v>
      </c>
      <c r="G41" s="428">
        <v>0</v>
      </c>
    </row>
    <row r="42" spans="1:7" x14ac:dyDescent="0.2">
      <c r="A42" s="433" t="s">
        <v>615</v>
      </c>
      <c r="B42" s="426">
        <f t="shared" si="4"/>
        <v>103.73</v>
      </c>
      <c r="C42" s="426">
        <v>72.153000000000006</v>
      </c>
      <c r="D42" s="426">
        <v>31.577000000000002</v>
      </c>
      <c r="E42" s="426"/>
      <c r="F42" s="427"/>
      <c r="G42" s="428">
        <v>0</v>
      </c>
    </row>
    <row r="43" spans="1:7" x14ac:dyDescent="0.2">
      <c r="A43" s="433" t="s">
        <v>554</v>
      </c>
      <c r="B43" s="426">
        <f t="shared" si="4"/>
        <v>6880.1799999999985</v>
      </c>
      <c r="C43" s="427"/>
      <c r="D43" s="427"/>
      <c r="E43" s="426"/>
      <c r="F43" s="427">
        <v>6880.1799999999985</v>
      </c>
      <c r="G43" s="427">
        <v>0</v>
      </c>
    </row>
    <row r="44" spans="1:7" x14ac:dyDescent="0.2">
      <c r="A44" s="433" t="s">
        <v>616</v>
      </c>
      <c r="B44" s="426">
        <f t="shared" si="4"/>
        <v>7.5009999999999994</v>
      </c>
      <c r="C44" s="426"/>
      <c r="D44" s="427">
        <v>2.3069999999999999</v>
      </c>
      <c r="E44" s="426">
        <v>5.194</v>
      </c>
      <c r="F44" s="426"/>
      <c r="G44" s="427">
        <v>0</v>
      </c>
    </row>
    <row r="45" spans="1:7" x14ac:dyDescent="0.2">
      <c r="A45" s="433" t="s">
        <v>553</v>
      </c>
      <c r="B45" s="426">
        <f t="shared" si="4"/>
        <v>37.468000000000011</v>
      </c>
      <c r="C45" s="426"/>
      <c r="D45" s="427"/>
      <c r="E45" s="427">
        <v>37.478000000000009</v>
      </c>
      <c r="F45" s="427">
        <v>-0.01</v>
      </c>
      <c r="G45" s="427">
        <v>0</v>
      </c>
    </row>
    <row r="46" spans="1:7" x14ac:dyDescent="0.2">
      <c r="A46" s="433" t="s">
        <v>548</v>
      </c>
      <c r="B46" s="426">
        <f t="shared" si="4"/>
        <v>6.0540000000000003</v>
      </c>
      <c r="C46" s="426"/>
      <c r="D46" s="426"/>
      <c r="E46" s="427">
        <v>6.0540000000000003</v>
      </c>
      <c r="F46" s="427"/>
      <c r="G46" s="427">
        <v>0</v>
      </c>
    </row>
    <row r="47" spans="1:7" x14ac:dyDescent="0.2">
      <c r="A47" s="433" t="s">
        <v>549</v>
      </c>
      <c r="B47" s="426">
        <f t="shared" si="4"/>
        <v>259.858</v>
      </c>
      <c r="C47" s="426">
        <v>0.30199999999999999</v>
      </c>
      <c r="D47" s="427">
        <v>0.91200000000000003</v>
      </c>
      <c r="E47" s="426">
        <v>258.64400000000001</v>
      </c>
      <c r="F47" s="427"/>
      <c r="G47" s="428">
        <v>0</v>
      </c>
    </row>
    <row r="48" spans="1:7" x14ac:dyDescent="0.2">
      <c r="A48" s="433" t="s">
        <v>617</v>
      </c>
      <c r="B48" s="426">
        <f t="shared" si="4"/>
        <v>234.42</v>
      </c>
      <c r="C48" s="426"/>
      <c r="D48" s="427"/>
      <c r="E48" s="426"/>
      <c r="F48" s="427">
        <v>234.42</v>
      </c>
      <c r="G48" s="428"/>
    </row>
    <row r="49" spans="1:7" x14ac:dyDescent="0.2">
      <c r="A49" s="433" t="s">
        <v>618</v>
      </c>
      <c r="B49" s="426">
        <f t="shared" si="4"/>
        <v>507.45999999999992</v>
      </c>
      <c r="C49" s="426"/>
      <c r="D49" s="427"/>
      <c r="E49" s="426"/>
      <c r="F49" s="427">
        <v>507.45999999999992</v>
      </c>
      <c r="G49" s="428"/>
    </row>
    <row r="50" spans="1:7" x14ac:dyDescent="0.2">
      <c r="A50" s="433" t="s">
        <v>619</v>
      </c>
      <c r="B50" s="426">
        <f t="shared" si="4"/>
        <v>-29.94</v>
      </c>
      <c r="C50" s="426"/>
      <c r="D50" s="427"/>
      <c r="E50" s="426"/>
      <c r="F50" s="427">
        <v>-29.94</v>
      </c>
      <c r="G50" s="428"/>
    </row>
    <row r="51" spans="1:7" x14ac:dyDescent="0.2">
      <c r="A51" s="433" t="s">
        <v>620</v>
      </c>
      <c r="B51" s="426">
        <f t="shared" si="4"/>
        <v>130.4</v>
      </c>
      <c r="C51" s="426"/>
      <c r="D51" s="427"/>
      <c r="E51" s="426"/>
      <c r="F51" s="427">
        <v>130.4</v>
      </c>
      <c r="G51" s="428"/>
    </row>
    <row r="52" spans="1:7" x14ac:dyDescent="0.2">
      <c r="A52" s="433" t="s">
        <v>621</v>
      </c>
      <c r="B52" s="426">
        <f t="shared" si="4"/>
        <v>1.69</v>
      </c>
      <c r="C52" s="426"/>
      <c r="D52" s="427"/>
      <c r="E52" s="426"/>
      <c r="F52" s="427">
        <v>1.69</v>
      </c>
      <c r="G52" s="428"/>
    </row>
    <row r="53" spans="1:7" x14ac:dyDescent="0.2">
      <c r="A53" s="433" t="s">
        <v>622</v>
      </c>
      <c r="B53" s="426">
        <f t="shared" si="4"/>
        <v>159.68</v>
      </c>
      <c r="C53" s="426"/>
      <c r="D53" s="427"/>
      <c r="E53" s="426"/>
      <c r="F53" s="427">
        <v>159.68</v>
      </c>
      <c r="G53" s="428"/>
    </row>
    <row r="54" spans="1:7" x14ac:dyDescent="0.2">
      <c r="A54" s="433" t="s">
        <v>556</v>
      </c>
      <c r="B54" s="426">
        <f t="shared" si="4"/>
        <v>0.27400000000000002</v>
      </c>
      <c r="C54" s="427"/>
      <c r="D54" s="427"/>
      <c r="E54" s="426">
        <v>0.27400000000000002</v>
      </c>
      <c r="F54" s="427"/>
      <c r="G54" s="427"/>
    </row>
    <row r="55" spans="1:7" x14ac:dyDescent="0.2">
      <c r="A55" s="434" t="s">
        <v>559</v>
      </c>
      <c r="B55" s="435">
        <f t="shared" ref="B55:G55" si="5">+SUM(B35:B54)</f>
        <v>11837.445999999998</v>
      </c>
      <c r="C55" s="435">
        <f t="shared" si="5"/>
        <v>72.455000000000013</v>
      </c>
      <c r="D55" s="435">
        <f t="shared" si="5"/>
        <v>406.28799999999995</v>
      </c>
      <c r="E55" s="435">
        <f t="shared" si="5"/>
        <v>2789.4630000000002</v>
      </c>
      <c r="F55" s="435">
        <f t="shared" si="5"/>
        <v>8569.239999999998</v>
      </c>
      <c r="G55" s="435">
        <f t="shared" si="5"/>
        <v>0</v>
      </c>
    </row>
    <row r="56" spans="1:7" x14ac:dyDescent="0.2">
      <c r="A56" s="433" t="s">
        <v>623</v>
      </c>
      <c r="B56" s="426">
        <f>+SUM(C56:G56)</f>
        <v>-259.012</v>
      </c>
      <c r="C56" s="426">
        <v>-116.43199999999997</v>
      </c>
      <c r="D56" s="428">
        <v>-6.9389999999999992</v>
      </c>
      <c r="E56" s="426">
        <v>42.678999999999995</v>
      </c>
      <c r="F56" s="428">
        <v>-178.32000000000002</v>
      </c>
      <c r="G56" s="427">
        <v>0</v>
      </c>
    </row>
    <row r="57" spans="1:7" x14ac:dyDescent="0.2">
      <c r="A57" s="433" t="s">
        <v>624</v>
      </c>
      <c r="B57" s="426">
        <f t="shared" ref="B57:B58" si="6">+SUM(C57:G57)</f>
        <v>-150.297</v>
      </c>
      <c r="C57" s="426">
        <v>-118.44499999999999</v>
      </c>
      <c r="D57" s="428">
        <v>-5.5889999999999995</v>
      </c>
      <c r="E57" s="426">
        <v>-26.262999999999998</v>
      </c>
      <c r="F57" s="427"/>
      <c r="G57" s="427">
        <v>0</v>
      </c>
    </row>
    <row r="58" spans="1:7" x14ac:dyDescent="0.2">
      <c r="A58" s="433" t="s">
        <v>625</v>
      </c>
      <c r="B58" s="426">
        <f t="shared" si="6"/>
        <v>-87.524999999999991</v>
      </c>
      <c r="C58" s="426">
        <v>26.297000000000001</v>
      </c>
      <c r="D58" s="426">
        <v>5.794999999999999</v>
      </c>
      <c r="E58" s="426">
        <v>-2.5270000000000001</v>
      </c>
      <c r="F58" s="428">
        <v>-117.08999999999999</v>
      </c>
      <c r="G58" s="427">
        <v>0</v>
      </c>
    </row>
    <row r="59" spans="1:7" x14ac:dyDescent="0.2">
      <c r="A59" s="436" t="s">
        <v>626</v>
      </c>
      <c r="B59" s="437">
        <f t="shared" ref="B59:G59" si="7">+B55+B33+B56+B57+B58</f>
        <v>54201.884679999988</v>
      </c>
      <c r="C59" s="437">
        <f t="shared" si="7"/>
        <v>5549.963999999999</v>
      </c>
      <c r="D59" s="437">
        <f t="shared" si="7"/>
        <v>2463.681</v>
      </c>
      <c r="E59" s="437">
        <f t="shared" si="7"/>
        <v>13737.282000000001</v>
      </c>
      <c r="F59" s="437">
        <f t="shared" si="7"/>
        <v>32450.957679999996</v>
      </c>
      <c r="G59" s="437">
        <f t="shared" si="7"/>
        <v>0</v>
      </c>
    </row>
  </sheetData>
  <mergeCells count="2">
    <mergeCell ref="A2:G2"/>
    <mergeCell ref="A1:G1"/>
  </mergeCells>
  <pageMargins left="0.7" right="0.7" top="0.75" bottom="0.75" header="0.3" footer="0.3"/>
  <pageSetup paperSize="9"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8F75-3F9B-4C7A-8B4B-1537AFCEF142}">
  <sheetPr>
    <tabColor theme="4"/>
  </sheetPr>
  <dimension ref="A1:J12"/>
  <sheetViews>
    <sheetView workbookViewId="0">
      <selection activeCell="G13" sqref="G13"/>
    </sheetView>
  </sheetViews>
  <sheetFormatPr baseColWidth="10" defaultRowHeight="15" x14ac:dyDescent="0.25"/>
  <cols>
    <col min="1" max="1" width="19" customWidth="1"/>
  </cols>
  <sheetData>
    <row r="1" spans="1:10" x14ac:dyDescent="0.25">
      <c r="A1" s="442" t="s">
        <v>806</v>
      </c>
      <c r="B1" s="442"/>
      <c r="C1" s="442"/>
      <c r="D1" s="442"/>
      <c r="E1" s="442"/>
      <c r="F1" s="442"/>
      <c r="G1" s="442"/>
      <c r="H1" s="442"/>
      <c r="I1" s="442"/>
      <c r="J1" s="442"/>
    </row>
    <row r="2" spans="1:10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</row>
    <row r="3" spans="1:10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</row>
    <row r="4" spans="1:10" ht="15" customHeight="1" x14ac:dyDescent="0.25">
      <c r="A4" s="438" t="s">
        <v>805</v>
      </c>
      <c r="B4" s="438"/>
      <c r="C4" s="438"/>
      <c r="D4" s="438"/>
      <c r="E4" s="438"/>
      <c r="F4" s="438"/>
      <c r="G4" s="438"/>
      <c r="H4" s="438"/>
      <c r="I4" s="438"/>
      <c r="J4" s="438"/>
    </row>
    <row r="5" spans="1:10" x14ac:dyDescent="0.25">
      <c r="A5" s="439" t="s">
        <v>627</v>
      </c>
      <c r="B5" s="439">
        <v>2013</v>
      </c>
      <c r="C5" s="439">
        <v>2014</v>
      </c>
      <c r="D5" s="439">
        <v>2015</v>
      </c>
      <c r="E5" s="439">
        <v>2016</v>
      </c>
      <c r="F5" s="439">
        <v>2017</v>
      </c>
      <c r="G5" s="439">
        <v>2018</v>
      </c>
      <c r="H5" s="439">
        <v>2019</v>
      </c>
      <c r="I5" s="439">
        <v>2020</v>
      </c>
      <c r="J5" s="439">
        <v>2021</v>
      </c>
    </row>
    <row r="6" spans="1:10" ht="18.75" customHeight="1" x14ac:dyDescent="0.25">
      <c r="A6" s="440" t="s">
        <v>583</v>
      </c>
      <c r="B6" s="441">
        <v>5.4327665244040757</v>
      </c>
      <c r="C6" s="441">
        <v>5.8921287671232871</v>
      </c>
      <c r="D6" s="441">
        <v>6.0029561643835612</v>
      </c>
      <c r="E6" s="441">
        <v>6.3132704918032791</v>
      </c>
      <c r="F6" s="441">
        <v>6.1505972602739725</v>
      </c>
      <c r="G6" s="441">
        <v>6.5504849315068485</v>
      </c>
      <c r="H6" s="441">
        <v>6.9837123287671243</v>
      </c>
      <c r="I6" s="441">
        <v>1.4835819500390319</v>
      </c>
      <c r="J6" s="441">
        <v>2.3387178082191782</v>
      </c>
    </row>
    <row r="7" spans="1:10" x14ac:dyDescent="0.25">
      <c r="A7" s="440" t="s">
        <v>628</v>
      </c>
      <c r="B7" s="441">
        <v>33.748394933934328</v>
      </c>
      <c r="C7" s="441">
        <v>34.997191780821922</v>
      </c>
      <c r="D7" s="441">
        <v>39.227865753424659</v>
      </c>
      <c r="E7" s="441">
        <v>42.775928961748633</v>
      </c>
      <c r="F7" s="441">
        <v>44.706739726027401</v>
      </c>
      <c r="G7" s="441">
        <v>46.152693150684932</v>
      </c>
      <c r="H7" s="441">
        <v>47.688304109589041</v>
      </c>
      <c r="I7" s="441">
        <v>39.21837771239916</v>
      </c>
      <c r="J7" s="441">
        <v>43.271462136986301</v>
      </c>
    </row>
    <row r="8" spans="1:10" x14ac:dyDescent="0.25">
      <c r="A8" s="440" t="s">
        <v>587</v>
      </c>
      <c r="B8" s="441">
        <v>14.821652528375736</v>
      </c>
      <c r="C8" s="441">
        <v>16.011353424657536</v>
      </c>
      <c r="D8" s="441">
        <v>13.280947945205478</v>
      </c>
      <c r="E8" s="441">
        <v>13.655002732240439</v>
      </c>
      <c r="F8" s="441">
        <v>13.280621917808219</v>
      </c>
      <c r="G8" s="441">
        <v>13.563457534246574</v>
      </c>
      <c r="H8" s="441">
        <v>14.889008219178082</v>
      </c>
      <c r="I8" s="441">
        <v>4.4661257012750459</v>
      </c>
      <c r="J8" s="441">
        <v>8.3235753424657517</v>
      </c>
    </row>
    <row r="9" spans="1:10" x14ac:dyDescent="0.25">
      <c r="A9" s="440" t="s">
        <v>589</v>
      </c>
      <c r="B9" s="441">
        <v>70.913935435626726</v>
      </c>
      <c r="C9" s="441">
        <v>61.05053698630136</v>
      </c>
      <c r="D9" s="441">
        <v>58.007427397260273</v>
      </c>
      <c r="E9" s="441">
        <v>61.292275956284151</v>
      </c>
      <c r="F9" s="441">
        <v>59.250671232876719</v>
      </c>
      <c r="G9" s="441">
        <v>55.485238356164388</v>
      </c>
      <c r="H9" s="441">
        <v>52.088534246575335</v>
      </c>
      <c r="I9" s="441">
        <v>47.539418075722097</v>
      </c>
      <c r="J9" s="441">
        <v>54.148958904109584</v>
      </c>
    </row>
    <row r="10" spans="1:10" ht="15" customHeight="1" x14ac:dyDescent="0.25">
      <c r="A10" s="440" t="s">
        <v>629</v>
      </c>
      <c r="B10" s="441">
        <v>21.469468480104368</v>
      </c>
      <c r="C10" s="441">
        <v>23.946547945205484</v>
      </c>
      <c r="D10" s="441">
        <v>29.274632876712325</v>
      </c>
      <c r="E10" s="441">
        <v>35.505560109289618</v>
      </c>
      <c r="F10" s="441">
        <v>50.156369863013708</v>
      </c>
      <c r="G10" s="441">
        <v>44.121169863013698</v>
      </c>
      <c r="H10" s="441">
        <v>32.1823506849315</v>
      </c>
      <c r="I10" s="441">
        <v>5.4217605659640897</v>
      </c>
      <c r="J10" s="441">
        <v>5.0337424657534253</v>
      </c>
    </row>
    <row r="11" spans="1:10" x14ac:dyDescent="0.25">
      <c r="A11" s="440" t="s">
        <v>593</v>
      </c>
      <c r="B11" s="441">
        <v>8.6702104300501528</v>
      </c>
      <c r="C11" s="441">
        <v>6.0546575342465738</v>
      </c>
      <c r="D11" s="441">
        <v>6.6155972602739732</v>
      </c>
      <c r="E11" s="441">
        <v>7.4765409836065579</v>
      </c>
      <c r="F11" s="441">
        <v>7.3178739726027411</v>
      </c>
      <c r="G11" s="441">
        <v>9.2899561643835629</v>
      </c>
      <c r="H11" s="441">
        <v>12.531419178082194</v>
      </c>
      <c r="I11" s="441">
        <v>5.8239284972677599</v>
      </c>
      <c r="J11" s="441">
        <v>0.50975616438356164</v>
      </c>
    </row>
    <row r="12" spans="1:10" x14ac:dyDescent="0.25">
      <c r="A12" s="440" t="s">
        <v>595</v>
      </c>
      <c r="B12" s="441">
        <v>4.5948668219178082</v>
      </c>
      <c r="C12" s="441">
        <v>5.3056410958904117</v>
      </c>
      <c r="D12" s="441">
        <v>4.768504109589041</v>
      </c>
      <c r="E12" s="441">
        <v>4.3756994535519125</v>
      </c>
      <c r="F12" s="441">
        <v>5.4515287671232882</v>
      </c>
      <c r="G12" s="441">
        <v>5.2502054794520552</v>
      </c>
      <c r="H12" s="441">
        <v>4.7093397260273973</v>
      </c>
      <c r="I12" s="441">
        <v>2.2543194249284411</v>
      </c>
      <c r="J12" s="441">
        <v>3.8019315068493156</v>
      </c>
    </row>
  </sheetData>
  <mergeCells count="2">
    <mergeCell ref="A4:J4"/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C564-E305-49E6-95CE-B1C814C2761E}">
  <sheetPr>
    <tabColor theme="4"/>
  </sheetPr>
  <dimension ref="A1:I10"/>
  <sheetViews>
    <sheetView topLeftCell="A4" zoomScale="110" zoomScaleNormal="110" workbookViewId="0">
      <selection activeCell="E29" sqref="E29"/>
    </sheetView>
  </sheetViews>
  <sheetFormatPr baseColWidth="10" defaultRowHeight="15" x14ac:dyDescent="0.25"/>
  <cols>
    <col min="1" max="1" width="14.85546875" customWidth="1"/>
    <col min="2" max="2" width="17.42578125" customWidth="1"/>
    <col min="3" max="3" width="13.28515625" customWidth="1"/>
    <col min="4" max="4" width="13" customWidth="1"/>
    <col min="5" max="5" width="13.140625" customWidth="1"/>
  </cols>
  <sheetData>
    <row r="1" spans="1:9" x14ac:dyDescent="0.25">
      <c r="A1" s="332" t="s">
        <v>807</v>
      </c>
      <c r="B1" s="332"/>
      <c r="C1" s="332"/>
      <c r="D1" s="332"/>
      <c r="E1" s="332"/>
      <c r="F1" s="332"/>
      <c r="G1" s="332"/>
      <c r="H1" s="332"/>
      <c r="I1" s="332"/>
    </row>
    <row r="3" spans="1:9" ht="15" customHeight="1" x14ac:dyDescent="0.25">
      <c r="A3" s="343" t="s">
        <v>808</v>
      </c>
      <c r="B3" s="343"/>
      <c r="C3" s="343"/>
      <c r="D3" s="343"/>
      <c r="E3" s="343"/>
      <c r="F3" s="343"/>
      <c r="G3" s="343"/>
      <c r="H3" s="343"/>
      <c r="I3" s="343"/>
    </row>
    <row r="4" spans="1:9" ht="22.5" x14ac:dyDescent="0.25">
      <c r="A4" s="422" t="s">
        <v>630</v>
      </c>
      <c r="B4" s="422" t="s">
        <v>631</v>
      </c>
      <c r="C4" s="422" t="s">
        <v>632</v>
      </c>
      <c r="D4" s="422" t="s">
        <v>583</v>
      </c>
      <c r="E4" s="422" t="s">
        <v>633</v>
      </c>
      <c r="F4" s="422" t="s">
        <v>634</v>
      </c>
      <c r="G4" s="422" t="s">
        <v>635</v>
      </c>
      <c r="H4" s="422" t="s">
        <v>550</v>
      </c>
      <c r="I4" s="422" t="s">
        <v>41</v>
      </c>
    </row>
    <row r="5" spans="1:9" x14ac:dyDescent="0.25">
      <c r="A5" s="445" t="s">
        <v>636</v>
      </c>
      <c r="B5" s="446">
        <v>98.14</v>
      </c>
      <c r="C5" s="446"/>
      <c r="D5" s="446">
        <v>305.08</v>
      </c>
      <c r="E5" s="446"/>
      <c r="F5" s="446"/>
      <c r="G5" s="446"/>
      <c r="H5" s="447"/>
      <c r="I5" s="446">
        <f>+SUM(B5:H5)</f>
        <v>403.21999999999997</v>
      </c>
    </row>
    <row r="6" spans="1:9" x14ac:dyDescent="0.25">
      <c r="A6" s="445" t="s">
        <v>637</v>
      </c>
      <c r="B6" s="446"/>
      <c r="C6" s="446">
        <v>70.855000000000004</v>
      </c>
      <c r="D6" s="446">
        <v>27.744999999999997</v>
      </c>
      <c r="E6" s="446"/>
      <c r="F6" s="446"/>
      <c r="G6" s="446"/>
      <c r="H6" s="446"/>
      <c r="I6" s="446">
        <f t="shared" ref="I6:I9" si="0">+SUM(B6:H6)</f>
        <v>98.6</v>
      </c>
    </row>
    <row r="7" spans="1:9" x14ac:dyDescent="0.25">
      <c r="A7" s="445" t="s">
        <v>638</v>
      </c>
      <c r="B7" s="446"/>
      <c r="C7" s="446">
        <v>10744.599999999999</v>
      </c>
      <c r="D7" s="446"/>
      <c r="E7" s="446">
        <v>14678.3</v>
      </c>
      <c r="F7" s="446">
        <v>1446.5</v>
      </c>
      <c r="G7" s="446">
        <v>2298.1999999999998</v>
      </c>
      <c r="H7" s="446"/>
      <c r="I7" s="446">
        <f>+SUM(B7:H7)</f>
        <v>29167.599999999999</v>
      </c>
    </row>
    <row r="8" spans="1:9" x14ac:dyDescent="0.25">
      <c r="A8" s="445" t="s">
        <v>639</v>
      </c>
      <c r="B8" s="446">
        <v>92.852999999999994</v>
      </c>
      <c r="C8" s="446"/>
      <c r="D8" s="446"/>
      <c r="E8" s="446">
        <v>187.17</v>
      </c>
      <c r="F8" s="446"/>
      <c r="G8" s="446"/>
      <c r="H8" s="446"/>
      <c r="I8" s="446">
        <f t="shared" si="0"/>
        <v>280.02299999999997</v>
      </c>
    </row>
    <row r="9" spans="1:9" x14ac:dyDescent="0.25">
      <c r="A9" s="448" t="s">
        <v>41</v>
      </c>
      <c r="B9" s="449">
        <f>+SUM(B5:B8)</f>
        <v>190.99299999999999</v>
      </c>
      <c r="C9" s="449">
        <f t="shared" ref="C9:H9" si="1">+SUM(C5:C8)</f>
        <v>10815.454999999998</v>
      </c>
      <c r="D9" s="449">
        <f t="shared" si="1"/>
        <v>332.82499999999999</v>
      </c>
      <c r="E9" s="449">
        <f t="shared" si="1"/>
        <v>14865.47</v>
      </c>
      <c r="F9" s="449">
        <f t="shared" si="1"/>
        <v>1446.5</v>
      </c>
      <c r="G9" s="449">
        <f t="shared" si="1"/>
        <v>2298.1999999999998</v>
      </c>
      <c r="H9" s="449">
        <f t="shared" si="1"/>
        <v>0</v>
      </c>
      <c r="I9" s="449">
        <f t="shared" si="0"/>
        <v>29949.442999999999</v>
      </c>
    </row>
    <row r="10" spans="1:9" x14ac:dyDescent="0.25">
      <c r="E10" s="133"/>
    </row>
  </sheetData>
  <mergeCells count="2">
    <mergeCell ref="A3:I3"/>
    <mergeCell ref="A1:I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E0A9-60A3-4ACA-B10C-7E242B57FCC4}">
  <sheetPr>
    <tabColor theme="4"/>
  </sheetPr>
  <dimension ref="A1:J25"/>
  <sheetViews>
    <sheetView workbookViewId="0">
      <selection sqref="A1:J1"/>
    </sheetView>
  </sheetViews>
  <sheetFormatPr baseColWidth="10" defaultColWidth="11.42578125" defaultRowHeight="11.25" x14ac:dyDescent="0.2"/>
  <cols>
    <col min="1" max="1" width="24.140625" style="55" customWidth="1"/>
    <col min="2" max="16384" width="11.42578125" style="55"/>
  </cols>
  <sheetData>
    <row r="1" spans="1:10" ht="15" x14ac:dyDescent="0.25">
      <c r="A1" s="451" t="s">
        <v>810</v>
      </c>
      <c r="B1" s="451"/>
      <c r="C1" s="451"/>
      <c r="D1" s="451"/>
      <c r="E1" s="451"/>
      <c r="F1" s="451"/>
      <c r="G1" s="451"/>
      <c r="H1" s="451"/>
      <c r="I1" s="451"/>
      <c r="J1" s="451"/>
    </row>
    <row r="3" spans="1:10" ht="11.25" customHeight="1" x14ac:dyDescent="0.2">
      <c r="A3" s="343" t="s">
        <v>809</v>
      </c>
      <c r="B3" s="343"/>
      <c r="C3" s="343"/>
      <c r="D3" s="343"/>
      <c r="E3" s="343"/>
      <c r="F3" s="343"/>
      <c r="G3" s="343"/>
      <c r="H3" s="343"/>
      <c r="I3" s="343"/>
      <c r="J3" s="343"/>
    </row>
    <row r="4" spans="1:10" x14ac:dyDescent="0.2">
      <c r="A4" s="422" t="s">
        <v>578</v>
      </c>
      <c r="B4" s="422">
        <v>2013</v>
      </c>
      <c r="C4" s="422">
        <v>2014</v>
      </c>
      <c r="D4" s="422">
        <v>2015</v>
      </c>
      <c r="E4" s="422">
        <v>2016</v>
      </c>
      <c r="F4" s="422">
        <v>2017</v>
      </c>
      <c r="G4" s="422">
        <v>2018</v>
      </c>
      <c r="H4" s="422">
        <v>2019</v>
      </c>
      <c r="I4" s="422">
        <v>2020</v>
      </c>
      <c r="J4" s="422">
        <v>2021</v>
      </c>
    </row>
    <row r="5" spans="1:10" x14ac:dyDescent="0.2">
      <c r="A5" s="452" t="s">
        <v>636</v>
      </c>
      <c r="B5" s="453">
        <f t="shared" ref="B5:J5" si="0">+SUM(B6:B9)</f>
        <v>257.65334000000001</v>
      </c>
      <c r="C5" s="453">
        <f t="shared" si="0"/>
        <v>384.13027</v>
      </c>
      <c r="D5" s="453">
        <f t="shared" si="0"/>
        <v>446.79883000000001</v>
      </c>
      <c r="E5" s="453">
        <f t="shared" si="0"/>
        <v>456.03</v>
      </c>
      <c r="F5" s="453">
        <f t="shared" si="0"/>
        <v>386.05617000000007</v>
      </c>
      <c r="G5" s="453">
        <f t="shared" si="0"/>
        <v>378.40957000000003</v>
      </c>
      <c r="H5" s="453">
        <f t="shared" si="0"/>
        <v>414.4994200000001</v>
      </c>
      <c r="I5" s="453">
        <f t="shared" si="0"/>
        <v>400.81986999999998</v>
      </c>
      <c r="J5" s="453">
        <f t="shared" si="0"/>
        <v>403.21999999999997</v>
      </c>
    </row>
    <row r="6" spans="1:10" x14ac:dyDescent="0.2">
      <c r="A6" s="454" t="s">
        <v>632</v>
      </c>
      <c r="B6" s="428">
        <v>0</v>
      </c>
      <c r="C6" s="428">
        <v>0</v>
      </c>
      <c r="D6" s="428">
        <v>0</v>
      </c>
      <c r="E6" s="428">
        <v>0</v>
      </c>
      <c r="F6" s="428">
        <v>0</v>
      </c>
      <c r="G6" s="427">
        <v>0</v>
      </c>
      <c r="H6" s="427">
        <v>0</v>
      </c>
      <c r="I6" s="427">
        <v>0</v>
      </c>
      <c r="J6" s="427"/>
    </row>
    <row r="7" spans="1:10" x14ac:dyDescent="0.2">
      <c r="A7" s="454" t="s">
        <v>583</v>
      </c>
      <c r="B7" s="428">
        <v>199.88463000000002</v>
      </c>
      <c r="C7" s="428">
        <v>296.19310000000002</v>
      </c>
      <c r="D7" s="428">
        <v>342.14357000000001</v>
      </c>
      <c r="E7" s="428">
        <v>350.46</v>
      </c>
      <c r="F7" s="428">
        <v>315.73319000000004</v>
      </c>
      <c r="G7" s="428">
        <v>305.20049</v>
      </c>
      <c r="H7" s="428">
        <v>315.05369000000007</v>
      </c>
      <c r="I7" s="428">
        <v>302.61270999999999</v>
      </c>
      <c r="J7" s="428">
        <v>305.08</v>
      </c>
    </row>
    <row r="8" spans="1:10" x14ac:dyDescent="0.2">
      <c r="A8" s="454" t="s">
        <v>640</v>
      </c>
      <c r="B8" s="428">
        <v>0</v>
      </c>
      <c r="C8" s="428">
        <v>0</v>
      </c>
      <c r="D8" s="428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/>
    </row>
    <row r="9" spans="1:10" ht="12" customHeight="1" x14ac:dyDescent="0.2">
      <c r="A9" s="454" t="s">
        <v>631</v>
      </c>
      <c r="B9" s="428">
        <v>57.768710000000013</v>
      </c>
      <c r="C9" s="428">
        <v>87.937169999999981</v>
      </c>
      <c r="D9" s="428">
        <v>104.65525999999998</v>
      </c>
      <c r="E9" s="428">
        <v>105.57</v>
      </c>
      <c r="F9" s="428">
        <v>70.322980000000001</v>
      </c>
      <c r="G9" s="428">
        <v>73.20908</v>
      </c>
      <c r="H9" s="428">
        <v>99.445730000000026</v>
      </c>
      <c r="I9" s="428">
        <v>98.207159999999988</v>
      </c>
      <c r="J9" s="428">
        <v>98.14</v>
      </c>
    </row>
    <row r="10" spans="1:10" x14ac:dyDescent="0.2">
      <c r="A10" s="452" t="s">
        <v>641</v>
      </c>
      <c r="B10" s="455">
        <f t="shared" ref="B10:J10" si="1">+SUM(B11:B12)</f>
        <v>836.702</v>
      </c>
      <c r="C10" s="455">
        <f t="shared" si="1"/>
        <v>784.39999999999986</v>
      </c>
      <c r="D10" s="455">
        <f t="shared" si="1"/>
        <v>719.66699999999992</v>
      </c>
      <c r="E10" s="455">
        <f t="shared" si="1"/>
        <v>470</v>
      </c>
      <c r="F10" s="455">
        <f t="shared" si="1"/>
        <v>413.01900000000001</v>
      </c>
      <c r="G10" s="455">
        <f t="shared" si="1"/>
        <v>393.36899999999997</v>
      </c>
      <c r="H10" s="455">
        <f t="shared" si="1"/>
        <v>274.911</v>
      </c>
      <c r="I10" s="455">
        <f t="shared" si="1"/>
        <v>163.35700000000003</v>
      </c>
      <c r="J10" s="455">
        <f t="shared" si="1"/>
        <v>98.6</v>
      </c>
    </row>
    <row r="11" spans="1:10" x14ac:dyDescent="0.2">
      <c r="A11" s="454" t="s">
        <v>632</v>
      </c>
      <c r="B11" s="428">
        <v>493.34800000000001</v>
      </c>
      <c r="C11" s="428">
        <v>464.80299999999994</v>
      </c>
      <c r="D11" s="428">
        <v>438.44399999999996</v>
      </c>
      <c r="E11" s="428">
        <v>291.61</v>
      </c>
      <c r="F11" s="428">
        <v>255.99600000000001</v>
      </c>
      <c r="G11" s="428">
        <v>244.66799999999998</v>
      </c>
      <c r="H11" s="428">
        <v>172.488</v>
      </c>
      <c r="I11" s="428">
        <v>99.013000000000005</v>
      </c>
      <c r="J11" s="428">
        <v>70.855000000000004</v>
      </c>
    </row>
    <row r="12" spans="1:10" x14ac:dyDescent="0.2">
      <c r="A12" s="454" t="s">
        <v>583</v>
      </c>
      <c r="B12" s="428">
        <v>343.35400000000004</v>
      </c>
      <c r="C12" s="428">
        <v>319.59699999999998</v>
      </c>
      <c r="D12" s="428">
        <v>281.22300000000001</v>
      </c>
      <c r="E12" s="428">
        <v>178.39</v>
      </c>
      <c r="F12" s="428">
        <v>157.023</v>
      </c>
      <c r="G12" s="428">
        <v>148.70099999999999</v>
      </c>
      <c r="H12" s="428">
        <v>102.42300000000002</v>
      </c>
      <c r="I12" s="428">
        <v>64.344000000000008</v>
      </c>
      <c r="J12" s="428">
        <v>27.744999999999997</v>
      </c>
    </row>
    <row r="13" spans="1:10" ht="18" customHeight="1" x14ac:dyDescent="0.2">
      <c r="A13" s="452" t="s">
        <v>642</v>
      </c>
      <c r="B13" s="455">
        <f t="shared" ref="B13:G13" si="2">+SUM(B14:B17)</f>
        <v>36408.699999999997</v>
      </c>
      <c r="C13" s="455">
        <f t="shared" si="2"/>
        <v>34731.300000000003</v>
      </c>
      <c r="D13" s="455">
        <f t="shared" si="2"/>
        <v>30001.599999999999</v>
      </c>
      <c r="E13" s="455">
        <f t="shared" si="2"/>
        <v>30605.8</v>
      </c>
      <c r="F13" s="455">
        <f t="shared" si="2"/>
        <v>27968.845999999998</v>
      </c>
      <c r="G13" s="455">
        <f t="shared" si="2"/>
        <v>26271.7</v>
      </c>
      <c r="H13" s="455">
        <f>+SUM(H14:H17)</f>
        <v>27136.306</v>
      </c>
      <c r="I13" s="455">
        <f>+SUM(I14:I19)</f>
        <v>28328.3</v>
      </c>
      <c r="J13" s="455">
        <f>+SUM(J14:J19)</f>
        <v>29167.599999999999</v>
      </c>
    </row>
    <row r="14" spans="1:10" x14ac:dyDescent="0.2">
      <c r="A14" s="454" t="s">
        <v>632</v>
      </c>
      <c r="B14" s="428">
        <v>14712.4</v>
      </c>
      <c r="C14" s="428">
        <v>13761.8</v>
      </c>
      <c r="D14" s="428">
        <v>11639.300000000001</v>
      </c>
      <c r="E14" s="428">
        <v>12547.5</v>
      </c>
      <c r="F14" s="428">
        <v>11256.745999999999</v>
      </c>
      <c r="G14" s="428">
        <v>10823.4</v>
      </c>
      <c r="H14" s="428">
        <v>10935.899999999998</v>
      </c>
      <c r="I14" s="428">
        <v>10676</v>
      </c>
      <c r="J14" s="428">
        <v>10744.599999999999</v>
      </c>
    </row>
    <row r="15" spans="1:10" x14ac:dyDescent="0.2">
      <c r="A15" s="454" t="s">
        <v>640</v>
      </c>
      <c r="B15" s="428">
        <v>18035.3</v>
      </c>
      <c r="C15" s="428">
        <v>17216.400000000001</v>
      </c>
      <c r="D15" s="428">
        <v>15438.799999999997</v>
      </c>
      <c r="E15" s="428">
        <v>15283.7</v>
      </c>
      <c r="F15" s="428">
        <v>14565.5</v>
      </c>
      <c r="G15" s="428">
        <v>13677.1</v>
      </c>
      <c r="H15" s="428">
        <v>14357.900000000001</v>
      </c>
      <c r="I15" s="428">
        <v>14536.8</v>
      </c>
      <c r="J15" s="428">
        <v>14678.3</v>
      </c>
    </row>
    <row r="16" spans="1:10" x14ac:dyDescent="0.2">
      <c r="A16" s="454" t="s">
        <v>643</v>
      </c>
      <c r="B16" s="428">
        <v>3661</v>
      </c>
      <c r="C16" s="428">
        <v>3753.1000000000004</v>
      </c>
      <c r="D16" s="428">
        <v>2923.5</v>
      </c>
      <c r="E16" s="428">
        <v>2774.6</v>
      </c>
      <c r="F16" s="428">
        <v>2146.6000000000004</v>
      </c>
      <c r="G16" s="428">
        <v>1771.2</v>
      </c>
      <c r="H16" s="428">
        <v>1679.7000000000003</v>
      </c>
      <c r="I16" s="428">
        <v>1662.3</v>
      </c>
      <c r="J16" s="428">
        <v>1446.5</v>
      </c>
    </row>
    <row r="17" spans="1:10" x14ac:dyDescent="0.2">
      <c r="A17" s="454" t="s">
        <v>549</v>
      </c>
      <c r="B17" s="428">
        <v>0</v>
      </c>
      <c r="C17" s="428">
        <v>0</v>
      </c>
      <c r="D17" s="428">
        <v>0</v>
      </c>
      <c r="E17" s="428">
        <v>0</v>
      </c>
      <c r="F17" s="428">
        <v>0</v>
      </c>
      <c r="G17" s="428">
        <v>0</v>
      </c>
      <c r="H17" s="428">
        <v>162.80600000000001</v>
      </c>
      <c r="I17" s="428">
        <v>0</v>
      </c>
      <c r="J17" s="428"/>
    </row>
    <row r="18" spans="1:10" x14ac:dyDescent="0.2">
      <c r="A18" s="454" t="s">
        <v>635</v>
      </c>
      <c r="B18" s="428"/>
      <c r="C18" s="428"/>
      <c r="D18" s="428"/>
      <c r="E18" s="428"/>
      <c r="F18" s="428"/>
      <c r="G18" s="428"/>
      <c r="H18" s="428"/>
      <c r="I18" s="428">
        <v>1224.3</v>
      </c>
      <c r="J18" s="428">
        <v>2298.1999999999998</v>
      </c>
    </row>
    <row r="19" spans="1:10" x14ac:dyDescent="0.2">
      <c r="A19" s="454" t="s">
        <v>550</v>
      </c>
      <c r="B19" s="428"/>
      <c r="C19" s="428"/>
      <c r="D19" s="428"/>
      <c r="E19" s="428"/>
      <c r="F19" s="428"/>
      <c r="G19" s="428"/>
      <c r="H19" s="428"/>
      <c r="I19" s="456">
        <v>228.9</v>
      </c>
      <c r="J19" s="456"/>
    </row>
    <row r="20" spans="1:10" ht="13.5" customHeight="1" x14ac:dyDescent="0.2">
      <c r="A20" s="452" t="s">
        <v>644</v>
      </c>
      <c r="B20" s="455">
        <f t="shared" ref="B20:J20" si="3">+SUM(B21:B24)</f>
        <v>479.16900000000004</v>
      </c>
      <c r="C20" s="455">
        <f t="shared" si="3"/>
        <v>466.37700000000001</v>
      </c>
      <c r="D20" s="455">
        <f t="shared" si="3"/>
        <v>469.61040476190476</v>
      </c>
      <c r="E20" s="455">
        <f t="shared" si="3"/>
        <v>429.71999999999997</v>
      </c>
      <c r="F20" s="455">
        <f t="shared" si="3"/>
        <v>374.67964285714288</v>
      </c>
      <c r="G20" s="455">
        <f t="shared" si="3"/>
        <v>364.76500000000004</v>
      </c>
      <c r="H20" s="455">
        <f t="shared" si="3"/>
        <v>349.29100000000005</v>
      </c>
      <c r="I20" s="455">
        <f t="shared" si="3"/>
        <v>351.13783333333333</v>
      </c>
      <c r="J20" s="455">
        <f t="shared" si="3"/>
        <v>280.02299999999997</v>
      </c>
    </row>
    <row r="21" spans="1:10" x14ac:dyDescent="0.2">
      <c r="A21" s="454" t="s">
        <v>632</v>
      </c>
      <c r="B21" s="428">
        <v>0</v>
      </c>
      <c r="C21" s="428">
        <v>0</v>
      </c>
      <c r="D21" s="428">
        <v>0</v>
      </c>
      <c r="E21" s="428">
        <v>0</v>
      </c>
      <c r="F21" s="428">
        <v>0</v>
      </c>
      <c r="G21" s="428">
        <v>0</v>
      </c>
      <c r="H21" s="428">
        <v>0</v>
      </c>
      <c r="I21" s="428">
        <v>0</v>
      </c>
      <c r="J21" s="428"/>
    </row>
    <row r="22" spans="1:10" x14ac:dyDescent="0.2">
      <c r="A22" s="454" t="s">
        <v>583</v>
      </c>
      <c r="B22" s="428"/>
      <c r="C22" s="428"/>
      <c r="D22" s="428"/>
      <c r="E22" s="428"/>
      <c r="F22" s="428"/>
      <c r="G22" s="428"/>
      <c r="H22" s="428"/>
      <c r="I22" s="428"/>
      <c r="J22" s="428"/>
    </row>
    <row r="23" spans="1:10" x14ac:dyDescent="0.2">
      <c r="A23" s="454" t="s">
        <v>640</v>
      </c>
      <c r="B23" s="428">
        <v>339.43</v>
      </c>
      <c r="C23" s="428">
        <v>328.6</v>
      </c>
      <c r="D23" s="428">
        <v>333.68899999999996</v>
      </c>
      <c r="E23" s="428">
        <v>303.14</v>
      </c>
      <c r="F23" s="428">
        <v>260.16164285714285</v>
      </c>
      <c r="G23" s="428">
        <v>262.67700000000002</v>
      </c>
      <c r="H23" s="428">
        <v>242.81600000000003</v>
      </c>
      <c r="I23" s="428">
        <v>239.77916666666667</v>
      </c>
      <c r="J23" s="428">
        <v>187.17</v>
      </c>
    </row>
    <row r="24" spans="1:10" ht="16.5" customHeight="1" x14ac:dyDescent="0.2">
      <c r="A24" s="454" t="s">
        <v>631</v>
      </c>
      <c r="B24" s="428">
        <v>139.73900000000003</v>
      </c>
      <c r="C24" s="428">
        <v>137.77699999999999</v>
      </c>
      <c r="D24" s="428">
        <v>135.92140476190477</v>
      </c>
      <c r="E24" s="428">
        <v>126.58</v>
      </c>
      <c r="F24" s="428">
        <v>114.518</v>
      </c>
      <c r="G24" s="428">
        <v>102.08800000000001</v>
      </c>
      <c r="H24" s="428">
        <v>106.47499999999999</v>
      </c>
      <c r="I24" s="428">
        <v>111.35866666666668</v>
      </c>
      <c r="J24" s="428">
        <v>92.852999999999994</v>
      </c>
    </row>
    <row r="25" spans="1:10" x14ac:dyDescent="0.2">
      <c r="A25" s="448" t="s">
        <v>41</v>
      </c>
      <c r="B25" s="457">
        <f t="shared" ref="B25:G25" si="4">+B5+B10+B13+B20</f>
        <v>37982.224340000001</v>
      </c>
      <c r="C25" s="457">
        <f t="shared" si="4"/>
        <v>36366.207270000006</v>
      </c>
      <c r="D25" s="457">
        <f t="shared" si="4"/>
        <v>31637.676234761904</v>
      </c>
      <c r="E25" s="457">
        <f t="shared" si="4"/>
        <v>31961.55</v>
      </c>
      <c r="F25" s="457">
        <f t="shared" si="4"/>
        <v>29142.600812857141</v>
      </c>
      <c r="G25" s="457">
        <f t="shared" si="4"/>
        <v>27408.243569999999</v>
      </c>
      <c r="H25" s="457">
        <f>+H5+H10+H13+H20</f>
        <v>28175.007420000002</v>
      </c>
      <c r="I25" s="457">
        <f>+I5+I10+I13+I20</f>
        <v>29243.614703333333</v>
      </c>
      <c r="J25" s="457">
        <f>+J5+J10+J13+J20</f>
        <v>29949.442999999999</v>
      </c>
    </row>
  </sheetData>
  <mergeCells count="2">
    <mergeCell ref="A3:J3"/>
    <mergeCell ref="A1:J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8B1D-E9A2-4EDF-AE0C-DE46F8B7EF15}">
  <sheetPr>
    <tabColor theme="4"/>
  </sheetPr>
  <dimension ref="A1:G61"/>
  <sheetViews>
    <sheetView zoomScale="92" zoomScaleNormal="70" workbookViewId="0">
      <selection activeCell="J39" sqref="J39"/>
    </sheetView>
  </sheetViews>
  <sheetFormatPr baseColWidth="10" defaultColWidth="11.42578125" defaultRowHeight="11.25" x14ac:dyDescent="0.2"/>
  <cols>
    <col min="1" max="1" width="28.42578125" style="55" customWidth="1"/>
    <col min="2" max="4" width="11.42578125" style="55"/>
    <col min="5" max="5" width="14.7109375" style="55" customWidth="1"/>
    <col min="6" max="6" width="14.5703125" style="55" customWidth="1"/>
    <col min="7" max="7" width="16.5703125" style="55" customWidth="1"/>
    <col min="8" max="16384" width="11.42578125" style="55"/>
  </cols>
  <sheetData>
    <row r="1" spans="1:7" ht="15" x14ac:dyDescent="0.25">
      <c r="A1" s="451" t="s">
        <v>811</v>
      </c>
      <c r="B1" s="451"/>
      <c r="C1" s="451"/>
      <c r="D1" s="451"/>
      <c r="E1" s="451"/>
      <c r="F1" s="451"/>
      <c r="G1" s="451"/>
    </row>
    <row r="3" spans="1:7" ht="22.5" customHeight="1" x14ac:dyDescent="0.2">
      <c r="A3" s="343" t="s">
        <v>645</v>
      </c>
      <c r="B3" s="343"/>
      <c r="C3" s="343"/>
      <c r="D3" s="343"/>
      <c r="E3" s="343"/>
      <c r="F3" s="343"/>
      <c r="G3" s="343"/>
    </row>
    <row r="4" spans="1:7" ht="13.5" customHeight="1" x14ac:dyDescent="0.2">
      <c r="A4" s="422" t="s">
        <v>578</v>
      </c>
      <c r="B4" s="422" t="s">
        <v>573</v>
      </c>
      <c r="C4" s="422" t="s">
        <v>574</v>
      </c>
      <c r="D4" s="422" t="s">
        <v>575</v>
      </c>
      <c r="E4" s="422" t="s">
        <v>646</v>
      </c>
      <c r="F4" s="422" t="s">
        <v>647</v>
      </c>
      <c r="G4" s="422" t="s">
        <v>648</v>
      </c>
    </row>
    <row r="5" spans="1:7" x14ac:dyDescent="0.2">
      <c r="A5" s="458" t="s">
        <v>649</v>
      </c>
      <c r="B5" s="459">
        <v>814.96500000000003</v>
      </c>
      <c r="C5" s="459">
        <v>44.204000000000001</v>
      </c>
      <c r="D5" s="459">
        <v>326.07299999999998</v>
      </c>
      <c r="E5" s="459">
        <v>5.2119999999999997</v>
      </c>
      <c r="F5" s="459">
        <v>1682.82</v>
      </c>
      <c r="G5" s="460">
        <f>+SUM(B5:F5)</f>
        <v>2873.2739999999999</v>
      </c>
    </row>
    <row r="6" spans="1:7" x14ac:dyDescent="0.2">
      <c r="A6" s="461" t="s">
        <v>650</v>
      </c>
      <c r="B6" s="462"/>
      <c r="C6" s="462"/>
      <c r="D6" s="462"/>
      <c r="E6" s="462"/>
      <c r="F6" s="462"/>
      <c r="G6" s="462"/>
    </row>
    <row r="7" spans="1:7" x14ac:dyDescent="0.2">
      <c r="A7" s="463" t="s">
        <v>614</v>
      </c>
      <c r="B7" s="464">
        <v>4.032</v>
      </c>
      <c r="C7" s="464"/>
      <c r="D7" s="464"/>
      <c r="E7" s="465"/>
      <c r="F7" s="464"/>
      <c r="G7" s="460">
        <f>+SUM(B7:F7)</f>
        <v>4.032</v>
      </c>
    </row>
    <row r="8" spans="1:7" x14ac:dyDescent="0.2">
      <c r="A8" s="463" t="s">
        <v>550</v>
      </c>
      <c r="B8" s="464"/>
      <c r="C8" s="466">
        <v>42.542000000000002</v>
      </c>
      <c r="D8" s="466">
        <v>58.939</v>
      </c>
      <c r="E8" s="466">
        <v>1.7000000000000001E-2</v>
      </c>
      <c r="F8" s="466"/>
      <c r="G8" s="460">
        <f t="shared" ref="G8:G33" si="0">+SUM(B8:F8)</f>
        <v>101.49799999999999</v>
      </c>
    </row>
    <row r="9" spans="1:7" x14ac:dyDescent="0.2">
      <c r="A9" s="463" t="s">
        <v>552</v>
      </c>
      <c r="B9" s="464"/>
      <c r="C9" s="466"/>
      <c r="D9" s="466">
        <v>25.956</v>
      </c>
      <c r="E9" s="466"/>
      <c r="F9" s="466"/>
      <c r="G9" s="460">
        <f t="shared" si="0"/>
        <v>25.956</v>
      </c>
    </row>
    <row r="10" spans="1:7" ht="12" customHeight="1" x14ac:dyDescent="0.2">
      <c r="A10" s="463" t="s">
        <v>542</v>
      </c>
      <c r="B10" s="464">
        <v>17.899999999999999</v>
      </c>
      <c r="C10" s="466"/>
      <c r="D10" s="464"/>
      <c r="E10" s="465"/>
      <c r="F10" s="466"/>
      <c r="G10" s="460">
        <f t="shared" si="0"/>
        <v>17.899999999999999</v>
      </c>
    </row>
    <row r="11" spans="1:7" ht="12" customHeight="1" x14ac:dyDescent="0.2">
      <c r="A11" s="463" t="s">
        <v>554</v>
      </c>
      <c r="B11" s="464"/>
      <c r="C11" s="464"/>
      <c r="D11" s="466"/>
      <c r="E11" s="466"/>
      <c r="F11" s="464">
        <v>83.89</v>
      </c>
      <c r="G11" s="460">
        <f t="shared" si="0"/>
        <v>83.89</v>
      </c>
    </row>
    <row r="12" spans="1:7" x14ac:dyDescent="0.2">
      <c r="A12" s="463" t="s">
        <v>619</v>
      </c>
      <c r="B12" s="464"/>
      <c r="C12" s="464"/>
      <c r="D12" s="464"/>
      <c r="E12" s="464"/>
      <c r="F12" s="464">
        <v>5.12</v>
      </c>
      <c r="G12" s="460">
        <f t="shared" si="0"/>
        <v>5.12</v>
      </c>
    </row>
    <row r="13" spans="1:7" x14ac:dyDescent="0.2">
      <c r="A13" s="463" t="s">
        <v>651</v>
      </c>
      <c r="B13" s="464">
        <v>6.4000000000000001E-2</v>
      </c>
      <c r="C13" s="466"/>
      <c r="D13" s="466"/>
      <c r="E13" s="466"/>
      <c r="F13" s="466"/>
      <c r="G13" s="460">
        <f t="shared" si="0"/>
        <v>6.4000000000000001E-2</v>
      </c>
    </row>
    <row r="14" spans="1:7" x14ac:dyDescent="0.2">
      <c r="A14" s="463" t="s">
        <v>553</v>
      </c>
      <c r="B14" s="464">
        <v>1.071</v>
      </c>
      <c r="C14" s="464"/>
      <c r="D14" s="464">
        <v>3.4000000000000002E-2</v>
      </c>
      <c r="E14" s="466"/>
      <c r="F14" s="466"/>
      <c r="G14" s="460">
        <f t="shared" si="0"/>
        <v>1.105</v>
      </c>
    </row>
    <row r="15" spans="1:7" ht="22.5" x14ac:dyDescent="0.2">
      <c r="A15" s="463" t="s">
        <v>544</v>
      </c>
      <c r="B15" s="464"/>
      <c r="C15" s="466"/>
      <c r="D15" s="466">
        <v>43.395000000000003</v>
      </c>
      <c r="E15" s="466"/>
      <c r="F15" s="464"/>
      <c r="G15" s="460">
        <f t="shared" si="0"/>
        <v>43.395000000000003</v>
      </c>
    </row>
    <row r="16" spans="1:7" x14ac:dyDescent="0.2">
      <c r="A16" s="463" t="s">
        <v>652</v>
      </c>
      <c r="B16" s="466">
        <v>0.61299999999999999</v>
      </c>
      <c r="C16" s="466"/>
      <c r="D16" s="466"/>
      <c r="E16" s="466"/>
      <c r="F16" s="464">
        <v>107.71</v>
      </c>
      <c r="G16" s="460">
        <f t="shared" si="0"/>
        <v>108.32299999999999</v>
      </c>
    </row>
    <row r="17" spans="1:7" x14ac:dyDescent="0.2">
      <c r="A17" s="463" t="s">
        <v>545</v>
      </c>
      <c r="B17" s="464">
        <v>41.277000000000001</v>
      </c>
      <c r="C17" s="466">
        <v>29.638999999999999</v>
      </c>
      <c r="D17" s="466">
        <v>61.335000000000001</v>
      </c>
      <c r="E17" s="466"/>
      <c r="F17" s="466"/>
      <c r="G17" s="460">
        <f t="shared" si="0"/>
        <v>132.251</v>
      </c>
    </row>
    <row r="18" spans="1:7" x14ac:dyDescent="0.2">
      <c r="A18" s="463" t="s">
        <v>551</v>
      </c>
      <c r="B18" s="464"/>
      <c r="C18" s="466"/>
      <c r="D18" s="466">
        <v>2.8730000000000002</v>
      </c>
      <c r="E18" s="466"/>
      <c r="F18" s="466">
        <v>85.18</v>
      </c>
      <c r="G18" s="460">
        <f t="shared" si="0"/>
        <v>88.053000000000011</v>
      </c>
    </row>
    <row r="19" spans="1:7" x14ac:dyDescent="0.2">
      <c r="A19" s="463" t="s">
        <v>546</v>
      </c>
      <c r="B19" s="464">
        <v>20.916</v>
      </c>
      <c r="C19" s="466">
        <v>23.207000000000001</v>
      </c>
      <c r="D19" s="466">
        <v>25.861000000000001</v>
      </c>
      <c r="E19" s="466">
        <v>3.0000000000000001E-3</v>
      </c>
      <c r="F19" s="466"/>
      <c r="G19" s="460">
        <f t="shared" si="0"/>
        <v>69.987000000000009</v>
      </c>
    </row>
    <row r="20" spans="1:7" x14ac:dyDescent="0.2">
      <c r="A20" s="463" t="s">
        <v>653</v>
      </c>
      <c r="B20" s="464">
        <v>1.3280000000000001</v>
      </c>
      <c r="C20" s="466"/>
      <c r="D20" s="466"/>
      <c r="E20" s="466"/>
      <c r="F20" s="466"/>
      <c r="G20" s="460">
        <f t="shared" si="0"/>
        <v>1.3280000000000001</v>
      </c>
    </row>
    <row r="21" spans="1:7" x14ac:dyDescent="0.2">
      <c r="A21" s="463" t="s">
        <v>547</v>
      </c>
      <c r="B21" s="464">
        <v>0.64</v>
      </c>
      <c r="C21" s="466">
        <v>51.82</v>
      </c>
      <c r="D21" s="466">
        <v>18.106999999999999</v>
      </c>
      <c r="E21" s="466">
        <v>3.0000000000000001E-3</v>
      </c>
      <c r="F21" s="466"/>
      <c r="G21" s="460">
        <f t="shared" si="0"/>
        <v>70.570000000000007</v>
      </c>
    </row>
    <row r="22" spans="1:7" x14ac:dyDescent="0.2">
      <c r="A22" s="463" t="s">
        <v>548</v>
      </c>
      <c r="B22" s="464">
        <v>0.29699999999999999</v>
      </c>
      <c r="C22" s="466"/>
      <c r="D22" s="466"/>
      <c r="E22" s="466"/>
      <c r="F22" s="466"/>
      <c r="G22" s="460"/>
    </row>
    <row r="23" spans="1:7" x14ac:dyDescent="0.2">
      <c r="A23" s="463" t="s">
        <v>549</v>
      </c>
      <c r="B23" s="464">
        <v>29.053999999999998</v>
      </c>
      <c r="C23" s="466">
        <v>0.126</v>
      </c>
      <c r="D23" s="466">
        <v>77.209000000000003</v>
      </c>
      <c r="E23" s="466">
        <v>0.19</v>
      </c>
      <c r="F23" s="466">
        <v>49.01</v>
      </c>
      <c r="G23" s="460"/>
    </row>
    <row r="24" spans="1:7" x14ac:dyDescent="0.2">
      <c r="A24" s="463" t="s">
        <v>654</v>
      </c>
      <c r="B24" s="464">
        <v>1.4E-2</v>
      </c>
      <c r="C24" s="466"/>
      <c r="D24" s="466"/>
      <c r="E24" s="466"/>
      <c r="F24" s="466"/>
      <c r="G24" s="460"/>
    </row>
    <row r="25" spans="1:7" x14ac:dyDescent="0.2">
      <c r="A25" s="463" t="s">
        <v>621</v>
      </c>
      <c r="B25" s="464"/>
      <c r="C25" s="466"/>
      <c r="D25" s="466"/>
      <c r="E25" s="466"/>
      <c r="F25" s="466">
        <v>0.65</v>
      </c>
      <c r="G25" s="460">
        <f t="shared" si="0"/>
        <v>0.65</v>
      </c>
    </row>
    <row r="26" spans="1:7" x14ac:dyDescent="0.2">
      <c r="A26" s="463" t="s">
        <v>655</v>
      </c>
      <c r="B26" s="464">
        <v>25.597999999999999</v>
      </c>
      <c r="C26" s="466"/>
      <c r="D26" s="466">
        <v>61.814</v>
      </c>
      <c r="E26" s="466">
        <v>5.0000000000000001E-3</v>
      </c>
      <c r="F26" s="466"/>
      <c r="G26" s="460">
        <f t="shared" si="0"/>
        <v>87.417000000000002</v>
      </c>
    </row>
    <row r="27" spans="1:7" x14ac:dyDescent="0.2">
      <c r="A27" s="463" t="s">
        <v>555</v>
      </c>
      <c r="B27" s="464">
        <v>46.051000000000002</v>
      </c>
      <c r="C27" s="466">
        <v>4.4790000000000001</v>
      </c>
      <c r="D27" s="466">
        <v>58.307000000000002</v>
      </c>
      <c r="E27" s="466">
        <v>2.1999999999999999E-2</v>
      </c>
      <c r="F27" s="466">
        <v>46.76</v>
      </c>
      <c r="G27" s="460">
        <f t="shared" si="0"/>
        <v>155.619</v>
      </c>
    </row>
    <row r="28" spans="1:7" x14ac:dyDescent="0.2">
      <c r="A28" s="463" t="s">
        <v>656</v>
      </c>
      <c r="B28" s="464">
        <v>0.11600000000000001</v>
      </c>
      <c r="C28" s="466"/>
      <c r="D28" s="466"/>
      <c r="E28" s="466"/>
      <c r="F28" s="466"/>
      <c r="G28" s="460">
        <f t="shared" si="0"/>
        <v>0.11600000000000001</v>
      </c>
    </row>
    <row r="29" spans="1:7" ht="12.75" customHeight="1" x14ac:dyDescent="0.2">
      <c r="A29" s="463" t="s">
        <v>657</v>
      </c>
      <c r="B29" s="464">
        <v>0.14499999999999999</v>
      </c>
      <c r="C29" s="466"/>
      <c r="D29" s="466"/>
      <c r="E29" s="466"/>
      <c r="F29" s="466"/>
      <c r="G29" s="460">
        <f t="shared" si="0"/>
        <v>0.14499999999999999</v>
      </c>
    </row>
    <row r="30" spans="1:7" x14ac:dyDescent="0.2">
      <c r="A30" s="463" t="s">
        <v>658</v>
      </c>
      <c r="B30" s="466">
        <v>0.26200000000000001</v>
      </c>
      <c r="C30" s="466"/>
      <c r="D30" s="466"/>
      <c r="E30" s="466"/>
      <c r="F30" s="464"/>
      <c r="G30" s="460">
        <f t="shared" si="0"/>
        <v>0.26200000000000001</v>
      </c>
    </row>
    <row r="31" spans="1:7" x14ac:dyDescent="0.2">
      <c r="A31" s="463" t="s">
        <v>543</v>
      </c>
      <c r="B31" s="466"/>
      <c r="C31" s="466"/>
      <c r="D31" s="466"/>
      <c r="E31" s="466"/>
      <c r="F31" s="464">
        <v>2.4900000000000002</v>
      </c>
      <c r="G31" s="460">
        <f t="shared" si="0"/>
        <v>2.4900000000000002</v>
      </c>
    </row>
    <row r="32" spans="1:7" x14ac:dyDescent="0.2">
      <c r="A32" s="463" t="s">
        <v>558</v>
      </c>
      <c r="B32" s="466"/>
      <c r="C32" s="466"/>
      <c r="D32" s="466"/>
      <c r="E32" s="466"/>
      <c r="F32" s="464">
        <v>80.06</v>
      </c>
      <c r="G32" s="460">
        <f t="shared" si="0"/>
        <v>80.06</v>
      </c>
    </row>
    <row r="33" spans="1:7" x14ac:dyDescent="0.2">
      <c r="A33" s="463" t="s">
        <v>591</v>
      </c>
      <c r="B33" s="464"/>
      <c r="C33" s="464"/>
      <c r="D33" s="464"/>
      <c r="E33" s="464"/>
      <c r="F33" s="464">
        <v>5.83</v>
      </c>
      <c r="G33" s="460">
        <f t="shared" si="0"/>
        <v>5.83</v>
      </c>
    </row>
    <row r="34" spans="1:7" x14ac:dyDescent="0.2">
      <c r="A34" s="461" t="s">
        <v>659</v>
      </c>
      <c r="B34" s="462"/>
      <c r="C34" s="462"/>
      <c r="D34" s="462"/>
      <c r="E34" s="462"/>
      <c r="F34" s="462"/>
      <c r="G34" s="462"/>
    </row>
    <row r="35" spans="1:7" x14ac:dyDescent="0.2">
      <c r="A35" s="463" t="s">
        <v>584</v>
      </c>
      <c r="B35" s="464">
        <v>19.798999999999999</v>
      </c>
      <c r="C35" s="466"/>
      <c r="D35" s="466"/>
      <c r="E35" s="466"/>
      <c r="F35" s="464">
        <v>3.31</v>
      </c>
      <c r="G35" s="460">
        <v>16.186</v>
      </c>
    </row>
    <row r="36" spans="1:7" x14ac:dyDescent="0.2">
      <c r="A36" s="463" t="s">
        <v>596</v>
      </c>
      <c r="B36" s="466">
        <v>94.962999999999994</v>
      </c>
      <c r="C36" s="466">
        <v>25.506</v>
      </c>
      <c r="D36" s="466">
        <v>4.7939999999999996</v>
      </c>
      <c r="E36" s="466">
        <v>1.796</v>
      </c>
      <c r="F36" s="464">
        <v>65.510000000000005</v>
      </c>
      <c r="G36" s="460">
        <v>32.700000000000003</v>
      </c>
    </row>
    <row r="37" spans="1:7" ht="13.5" customHeight="1" x14ac:dyDescent="0.2">
      <c r="A37" s="463" t="s">
        <v>568</v>
      </c>
      <c r="B37" s="466">
        <v>93.343999999999994</v>
      </c>
      <c r="C37" s="464">
        <v>27.994999999999997</v>
      </c>
      <c r="D37" s="466">
        <v>59.66</v>
      </c>
      <c r="E37" s="466">
        <v>1.946</v>
      </c>
      <c r="F37" s="464">
        <v>136.51</v>
      </c>
      <c r="G37" s="460">
        <v>39.185000000000002</v>
      </c>
    </row>
    <row r="38" spans="1:7" ht="13.5" customHeight="1" x14ac:dyDescent="0.2">
      <c r="A38" s="463" t="s">
        <v>564</v>
      </c>
      <c r="B38" s="464">
        <v>10.050000000000001</v>
      </c>
      <c r="C38" s="464"/>
      <c r="D38" s="466">
        <v>34.634</v>
      </c>
      <c r="E38" s="466"/>
      <c r="F38" s="464">
        <v>144.43</v>
      </c>
      <c r="G38" s="460">
        <v>115.05799999999999</v>
      </c>
    </row>
    <row r="39" spans="1:7" ht="13.5" customHeight="1" x14ac:dyDescent="0.2">
      <c r="A39" s="463" t="s">
        <v>660</v>
      </c>
      <c r="B39" s="464"/>
      <c r="C39" s="464"/>
      <c r="D39" s="464">
        <v>4.29</v>
      </c>
      <c r="E39" s="464"/>
      <c r="F39" s="464">
        <v>16.34</v>
      </c>
      <c r="G39" s="460">
        <v>502.44499999999999</v>
      </c>
    </row>
    <row r="40" spans="1:7" ht="13.5" customHeight="1" x14ac:dyDescent="0.2">
      <c r="A40" s="463" t="s">
        <v>661</v>
      </c>
      <c r="B40" s="464"/>
      <c r="C40" s="464"/>
      <c r="D40" s="464"/>
      <c r="E40" s="464"/>
      <c r="F40" s="464">
        <v>19.45</v>
      </c>
      <c r="G40" s="460">
        <v>118.72</v>
      </c>
    </row>
    <row r="41" spans="1:7" ht="13.5" customHeight="1" x14ac:dyDescent="0.2">
      <c r="A41" s="463" t="s">
        <v>602</v>
      </c>
      <c r="B41" s="464">
        <v>3.048</v>
      </c>
      <c r="C41" s="466">
        <v>46.283000000000001</v>
      </c>
      <c r="D41" s="464">
        <v>2.8820000000000001</v>
      </c>
      <c r="E41" s="464">
        <v>2.1999999999999999E-2</v>
      </c>
      <c r="F41" s="464"/>
      <c r="G41" s="460">
        <v>214.78399999999999</v>
      </c>
    </row>
    <row r="42" spans="1:7" ht="13.5" customHeight="1" x14ac:dyDescent="0.2">
      <c r="A42" s="463" t="s">
        <v>662</v>
      </c>
      <c r="B42" s="464"/>
      <c r="C42" s="464">
        <v>0.13500000000000001</v>
      </c>
      <c r="D42" s="464"/>
      <c r="E42" s="464"/>
      <c r="F42" s="466"/>
      <c r="G42" s="460">
        <v>74.716000000000008</v>
      </c>
    </row>
    <row r="43" spans="1:7" ht="13.5" customHeight="1" x14ac:dyDescent="0.2">
      <c r="A43" s="463" t="s">
        <v>601</v>
      </c>
      <c r="B43" s="464">
        <v>141.92499999999998</v>
      </c>
      <c r="C43" s="464">
        <v>5.0350000000000001</v>
      </c>
      <c r="D43" s="464">
        <v>20.736999999999998</v>
      </c>
      <c r="E43" s="464">
        <v>2.75</v>
      </c>
      <c r="F43" s="466">
        <v>562.36</v>
      </c>
      <c r="G43" s="460"/>
    </row>
    <row r="44" spans="1:7" ht="13.5" customHeight="1" x14ac:dyDescent="0.2">
      <c r="A44" s="463" t="s">
        <v>663</v>
      </c>
      <c r="B44" s="464">
        <v>50.005000000000003</v>
      </c>
      <c r="C44" s="464"/>
      <c r="D44" s="464">
        <v>110.078</v>
      </c>
      <c r="E44" s="464"/>
      <c r="F44" s="466"/>
      <c r="G44" s="460"/>
    </row>
    <row r="45" spans="1:7" ht="13.5" customHeight="1" x14ac:dyDescent="0.2">
      <c r="A45" s="463" t="s">
        <v>603</v>
      </c>
      <c r="B45" s="464">
        <v>0.79900000000000004</v>
      </c>
      <c r="C45" s="464"/>
      <c r="D45" s="464"/>
      <c r="E45" s="464"/>
      <c r="F45" s="466"/>
      <c r="G45" s="460"/>
    </row>
    <row r="46" spans="1:7" ht="13.5" customHeight="1" x14ac:dyDescent="0.2">
      <c r="A46" s="463" t="s">
        <v>664</v>
      </c>
      <c r="B46" s="464"/>
      <c r="C46" s="464"/>
      <c r="D46" s="464">
        <v>0.182</v>
      </c>
      <c r="E46" s="464"/>
      <c r="F46" s="466"/>
      <c r="G46" s="460"/>
    </row>
    <row r="47" spans="1:7" ht="13.5" customHeight="1" x14ac:dyDescent="0.2">
      <c r="A47" s="463" t="s">
        <v>563</v>
      </c>
      <c r="B47" s="464"/>
      <c r="C47" s="466"/>
      <c r="D47" s="466">
        <v>97.244</v>
      </c>
      <c r="E47" s="464"/>
      <c r="F47" s="464">
        <v>8.94</v>
      </c>
      <c r="G47" s="460">
        <v>748.32400000000007</v>
      </c>
    </row>
    <row r="48" spans="1:7" ht="13.5" customHeight="1" x14ac:dyDescent="0.2">
      <c r="A48" s="463" t="s">
        <v>561</v>
      </c>
      <c r="B48" s="464">
        <v>119.72799999999999</v>
      </c>
      <c r="C48" s="466">
        <v>8.1739999999999995</v>
      </c>
      <c r="D48" s="466">
        <v>12.81</v>
      </c>
      <c r="E48" s="464">
        <v>2.274</v>
      </c>
      <c r="F48" s="464">
        <v>80.86</v>
      </c>
      <c r="G48" s="460"/>
    </row>
    <row r="49" spans="1:7" ht="24.75" customHeight="1" x14ac:dyDescent="0.2">
      <c r="A49" s="463" t="s">
        <v>566</v>
      </c>
      <c r="B49" s="464">
        <v>0.64900000000000002</v>
      </c>
      <c r="C49" s="466"/>
      <c r="D49" s="466">
        <v>11.369</v>
      </c>
      <c r="E49" s="464"/>
      <c r="F49" s="464"/>
      <c r="G49" s="460"/>
    </row>
    <row r="50" spans="1:7" ht="13.5" customHeight="1" x14ac:dyDescent="0.2">
      <c r="A50" s="463" t="s">
        <v>665</v>
      </c>
      <c r="B50" s="464">
        <v>1.0999999999999999E-2</v>
      </c>
      <c r="C50" s="466"/>
      <c r="D50" s="466">
        <v>0.313</v>
      </c>
      <c r="E50" s="464"/>
      <c r="F50" s="464"/>
      <c r="G50" s="460"/>
    </row>
    <row r="51" spans="1:7" ht="13.5" customHeight="1" x14ac:dyDescent="0.2">
      <c r="A51" s="463" t="s">
        <v>604</v>
      </c>
      <c r="B51" s="464">
        <v>0.34699999999999998</v>
      </c>
      <c r="C51" s="466"/>
      <c r="D51" s="466">
        <v>1.806</v>
      </c>
      <c r="E51" s="464"/>
      <c r="F51" s="464"/>
      <c r="G51" s="460"/>
    </row>
    <row r="52" spans="1:7" ht="13.5" customHeight="1" x14ac:dyDescent="0.2">
      <c r="A52" s="463" t="s">
        <v>565</v>
      </c>
      <c r="B52" s="464">
        <v>2.919</v>
      </c>
      <c r="C52" s="466"/>
      <c r="D52" s="466">
        <v>2.726</v>
      </c>
      <c r="E52" s="464"/>
      <c r="F52" s="464"/>
      <c r="G52" s="460"/>
    </row>
    <row r="53" spans="1:7" ht="13.5" customHeight="1" x14ac:dyDescent="0.2">
      <c r="A53" s="463" t="s">
        <v>562</v>
      </c>
      <c r="B53" s="464">
        <v>46.612000000000002</v>
      </c>
      <c r="C53" s="466">
        <v>10.132999999999999</v>
      </c>
      <c r="D53" s="466"/>
      <c r="E53" s="464">
        <v>1.365</v>
      </c>
      <c r="F53" s="464">
        <v>59.17</v>
      </c>
      <c r="G53" s="460"/>
    </row>
    <row r="54" spans="1:7" ht="13.5" customHeight="1" x14ac:dyDescent="0.2">
      <c r="A54" s="463" t="s">
        <v>605</v>
      </c>
      <c r="B54" s="464"/>
      <c r="C54" s="466"/>
      <c r="D54" s="466"/>
      <c r="E54" s="466"/>
      <c r="F54" s="466">
        <v>8.26</v>
      </c>
      <c r="G54" s="460">
        <v>60.173999999999999</v>
      </c>
    </row>
    <row r="55" spans="1:7" ht="13.5" customHeight="1" x14ac:dyDescent="0.2">
      <c r="A55" s="463" t="s">
        <v>606</v>
      </c>
      <c r="B55" s="464"/>
      <c r="C55" s="466"/>
      <c r="D55" s="466">
        <v>2.7999999999999581E-2</v>
      </c>
      <c r="E55" s="466"/>
      <c r="F55" s="464"/>
      <c r="G55" s="460">
        <v>0.64900000000000002</v>
      </c>
    </row>
    <row r="56" spans="1:7" ht="13.5" customHeight="1" x14ac:dyDescent="0.2">
      <c r="A56" s="463" t="s">
        <v>607</v>
      </c>
      <c r="B56" s="466">
        <v>0.109</v>
      </c>
      <c r="C56" s="464"/>
      <c r="D56" s="466">
        <v>3.7610000000000001</v>
      </c>
      <c r="E56" s="466"/>
      <c r="F56" s="466"/>
      <c r="G56" s="460">
        <v>0.182</v>
      </c>
    </row>
    <row r="57" spans="1:7" ht="13.5" customHeight="1" x14ac:dyDescent="0.2">
      <c r="A57" s="463" t="s">
        <v>608</v>
      </c>
      <c r="B57" s="464"/>
      <c r="C57" s="464"/>
      <c r="D57" s="464"/>
      <c r="E57" s="464"/>
      <c r="F57" s="464">
        <v>37.43</v>
      </c>
      <c r="G57" s="460">
        <v>125.66300000000001</v>
      </c>
    </row>
    <row r="58" spans="1:7" ht="13.5" customHeight="1" x14ac:dyDescent="0.2">
      <c r="A58" s="463" t="s">
        <v>609</v>
      </c>
      <c r="B58" s="466"/>
      <c r="C58" s="464"/>
      <c r="D58" s="466">
        <v>6.5179999999999998</v>
      </c>
      <c r="E58" s="466"/>
      <c r="F58" s="464"/>
      <c r="G58" s="460">
        <v>23.856999999999999</v>
      </c>
    </row>
    <row r="59" spans="1:7" ht="13.5" customHeight="1" x14ac:dyDescent="0.2">
      <c r="A59" s="463" t="s">
        <v>610</v>
      </c>
      <c r="B59" s="464"/>
      <c r="C59" s="464"/>
      <c r="D59" s="466">
        <v>16.623999999999999</v>
      </c>
      <c r="E59" s="466"/>
      <c r="F59" s="464"/>
      <c r="G59" s="460">
        <v>6.4290000000000003</v>
      </c>
    </row>
    <row r="60" spans="1:7" ht="13.5" customHeight="1" x14ac:dyDescent="0.2">
      <c r="A60" s="463" t="s">
        <v>611</v>
      </c>
      <c r="B60" s="464"/>
      <c r="C60" s="464"/>
      <c r="D60" s="466">
        <v>13.564</v>
      </c>
      <c r="E60" s="466"/>
      <c r="F60" s="464"/>
      <c r="G60" s="460">
        <v>23.271999999999998</v>
      </c>
    </row>
    <row r="61" spans="1:7" x14ac:dyDescent="0.2">
      <c r="A61" s="448" t="s">
        <v>41</v>
      </c>
      <c r="B61" s="467">
        <f>+SUM(B5:B60)</f>
        <v>1588.6510000000001</v>
      </c>
      <c r="C61" s="467">
        <f>+SUM(C5:C60)</f>
        <v>319.27800000000002</v>
      </c>
      <c r="D61" s="467">
        <f>+SUM(D5:D60)</f>
        <v>1163.923</v>
      </c>
      <c r="E61" s="467">
        <f>+SUM(E5:E60)</f>
        <v>15.605000000000002</v>
      </c>
      <c r="F61" s="467">
        <f>+SUM(F5:F60)</f>
        <v>3292.0900000000006</v>
      </c>
      <c r="G61" s="467">
        <f t="shared" ref="G61" si="1">+SUM(B61:F61)</f>
        <v>6379.5470000000005</v>
      </c>
    </row>
  </sheetData>
  <mergeCells count="2">
    <mergeCell ref="A3:G3"/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7D0C-C0BE-47D3-AB03-9FBBC0B1F4F4}">
  <sheetPr>
    <tabColor theme="4"/>
  </sheetPr>
  <dimension ref="A1:J26"/>
  <sheetViews>
    <sheetView workbookViewId="0">
      <selection activeCell="F43" sqref="F43"/>
    </sheetView>
  </sheetViews>
  <sheetFormatPr baseColWidth="10" defaultColWidth="11.42578125" defaultRowHeight="11.25" x14ac:dyDescent="0.2"/>
  <cols>
    <col min="1" max="1" width="21.28515625" style="55" customWidth="1"/>
    <col min="2" max="16384" width="11.42578125" style="55"/>
  </cols>
  <sheetData>
    <row r="1" spans="1:10" ht="12.75" x14ac:dyDescent="0.2">
      <c r="A1" s="450" t="s">
        <v>812</v>
      </c>
      <c r="B1" s="450"/>
      <c r="C1" s="450"/>
      <c r="D1" s="450"/>
      <c r="E1" s="450"/>
      <c r="F1" s="450"/>
      <c r="G1" s="450"/>
      <c r="H1" s="450"/>
      <c r="I1" s="450"/>
      <c r="J1" s="450"/>
    </row>
    <row r="3" spans="1:10" ht="11.25" customHeight="1" x14ac:dyDescent="0.2">
      <c r="A3" s="343" t="s">
        <v>666</v>
      </c>
      <c r="B3" s="343"/>
      <c r="C3" s="343"/>
      <c r="D3" s="343"/>
      <c r="E3" s="343"/>
      <c r="F3" s="343"/>
      <c r="G3" s="343"/>
      <c r="H3" s="343"/>
      <c r="I3" s="343"/>
      <c r="J3" s="343"/>
    </row>
    <row r="4" spans="1:10" x14ac:dyDescent="0.2">
      <c r="A4" s="468" t="s">
        <v>667</v>
      </c>
      <c r="B4" s="422">
        <v>2013</v>
      </c>
      <c r="C4" s="422">
        <v>2014</v>
      </c>
      <c r="D4" s="422">
        <v>2015</v>
      </c>
      <c r="E4" s="422">
        <v>2016</v>
      </c>
      <c r="F4" s="422">
        <v>2017</v>
      </c>
      <c r="G4" s="422">
        <v>2018</v>
      </c>
      <c r="H4" s="422">
        <v>2019</v>
      </c>
      <c r="I4" s="422">
        <v>2020</v>
      </c>
      <c r="J4" s="422">
        <v>2021</v>
      </c>
    </row>
    <row r="5" spans="1:10" ht="12.75" customHeight="1" x14ac:dyDescent="0.2">
      <c r="A5" s="463" t="s">
        <v>668</v>
      </c>
      <c r="B5" s="464">
        <v>17959.600948373656</v>
      </c>
      <c r="C5" s="464">
        <v>18242.630397279565</v>
      </c>
      <c r="D5" s="464">
        <v>18869.396918413026</v>
      </c>
      <c r="E5" s="464">
        <v>20018.4463801436</v>
      </c>
      <c r="F5" s="464">
        <v>20831.265137278857</v>
      </c>
      <c r="G5" s="464">
        <v>22266.041246740861</v>
      </c>
      <c r="H5" s="464">
        <v>23157.711440912637</v>
      </c>
      <c r="I5" s="464">
        <v>20542.908579253573</v>
      </c>
      <c r="J5" s="464">
        <v>22846.334767290402</v>
      </c>
    </row>
    <row r="6" spans="1:10" ht="12.75" customHeight="1" x14ac:dyDescent="0.2">
      <c r="A6" s="463" t="s">
        <v>661</v>
      </c>
      <c r="B6" s="464"/>
      <c r="C6" s="464"/>
      <c r="D6" s="464"/>
      <c r="E6" s="464"/>
      <c r="F6" s="464"/>
      <c r="G6" s="464"/>
      <c r="H6" s="464"/>
      <c r="I6" s="464">
        <v>9.43</v>
      </c>
      <c r="J6" s="464"/>
    </row>
    <row r="7" spans="1:10" x14ac:dyDescent="0.2">
      <c r="A7" s="463" t="s">
        <v>660</v>
      </c>
      <c r="B7" s="464">
        <v>0.12</v>
      </c>
      <c r="C7" s="464">
        <v>15.631999999999996</v>
      </c>
      <c r="D7" s="464">
        <v>4.2919999999999998</v>
      </c>
      <c r="E7" s="464">
        <v>1.5388600000000001</v>
      </c>
      <c r="F7" s="464">
        <v>0.28800000000000003</v>
      </c>
      <c r="G7" s="464">
        <v>0.26400000000000001</v>
      </c>
      <c r="H7" s="469">
        <v>4.35013698630137E-2</v>
      </c>
      <c r="I7" s="469">
        <v>18.702571428571424</v>
      </c>
      <c r="J7" s="469">
        <v>21.363142857142844</v>
      </c>
    </row>
    <row r="8" spans="1:10" x14ac:dyDescent="0.2">
      <c r="A8" s="463" t="s">
        <v>564</v>
      </c>
      <c r="B8" s="464">
        <v>3.9040000000000004</v>
      </c>
      <c r="C8" s="464">
        <v>38.293000000000006</v>
      </c>
      <c r="D8" s="464">
        <v>6.7930000000000001</v>
      </c>
      <c r="E8" s="464">
        <v>15.00614</v>
      </c>
      <c r="F8" s="464">
        <v>13.617000000000001</v>
      </c>
      <c r="G8" s="464">
        <v>15.548</v>
      </c>
      <c r="H8" s="464">
        <v>24.837000000000003</v>
      </c>
      <c r="I8" s="464">
        <v>58.464952380952383</v>
      </c>
      <c r="J8" s="464">
        <v>149.4510977857143</v>
      </c>
    </row>
    <row r="9" spans="1:10" x14ac:dyDescent="0.2">
      <c r="A9" s="463" t="s">
        <v>568</v>
      </c>
      <c r="B9" s="464">
        <v>586.47569047619049</v>
      </c>
      <c r="C9" s="464">
        <v>685.45099999999991</v>
      </c>
      <c r="D9" s="464">
        <v>788.80160000000001</v>
      </c>
      <c r="E9" s="464">
        <v>958.79824190476188</v>
      </c>
      <c r="F9" s="464">
        <v>1082.0818571428572</v>
      </c>
      <c r="G9" s="464">
        <v>1249.614</v>
      </c>
      <c r="H9" s="464">
        <v>1426.37528</v>
      </c>
      <c r="I9" s="464">
        <v>1277.7527828571431</v>
      </c>
      <c r="J9" s="464">
        <v>1845.3501666666668</v>
      </c>
    </row>
    <row r="10" spans="1:10" x14ac:dyDescent="0.2">
      <c r="A10" s="463" t="s">
        <v>669</v>
      </c>
      <c r="B10" s="464">
        <v>1344.4134761904761</v>
      </c>
      <c r="C10" s="464">
        <v>1255.2926666666663</v>
      </c>
      <c r="D10" s="464">
        <v>1263.5804285714287</v>
      </c>
      <c r="E10" s="464">
        <v>1316.6556666666665</v>
      </c>
      <c r="F10" s="464">
        <v>1355.4582380952381</v>
      </c>
      <c r="G10" s="464">
        <v>1351.9897142857144</v>
      </c>
      <c r="H10" s="464">
        <v>1357.432</v>
      </c>
      <c r="I10" s="464">
        <v>1154.4881797619048</v>
      </c>
      <c r="J10" s="464">
        <v>1261.8644348809528</v>
      </c>
    </row>
    <row r="11" spans="1:10" x14ac:dyDescent="0.2">
      <c r="A11" s="463" t="s">
        <v>670</v>
      </c>
      <c r="B11" s="464">
        <v>301.60000000000002</v>
      </c>
      <c r="C11" s="464">
        <v>291.20000000000005</v>
      </c>
      <c r="D11" s="464">
        <v>335.2</v>
      </c>
      <c r="E11" s="464">
        <v>360.2000000000001</v>
      </c>
      <c r="F11" s="464">
        <v>347.20000000000005</v>
      </c>
      <c r="G11" s="464">
        <v>333.01</v>
      </c>
      <c r="H11" s="464">
        <v>306.18</v>
      </c>
      <c r="I11" s="464">
        <v>181.04416666666665</v>
      </c>
      <c r="J11" s="464">
        <v>244.64864285714285</v>
      </c>
    </row>
    <row r="12" spans="1:10" x14ac:dyDescent="0.2">
      <c r="A12" s="463" t="s">
        <v>671</v>
      </c>
      <c r="B12" s="464">
        <v>497.95571428571424</v>
      </c>
      <c r="C12" s="464">
        <v>536.17200000000003</v>
      </c>
      <c r="D12" s="464">
        <v>668.14291000000003</v>
      </c>
      <c r="E12" s="464">
        <v>741.62773000000004</v>
      </c>
      <c r="F12" s="464">
        <v>765.57920000000001</v>
      </c>
      <c r="G12" s="464">
        <v>805.10772628571431</v>
      </c>
      <c r="H12" s="464">
        <v>788.53705000000002</v>
      </c>
      <c r="I12" s="464">
        <v>601.54926190476192</v>
      </c>
      <c r="J12" s="464">
        <v>758.47095238095233</v>
      </c>
    </row>
    <row r="13" spans="1:10" x14ac:dyDescent="0.2">
      <c r="A13" s="463" t="s">
        <v>672</v>
      </c>
      <c r="B13" s="464">
        <v>1408.7783095238096</v>
      </c>
      <c r="C13" s="464">
        <v>1716.0679999999998</v>
      </c>
      <c r="D13" s="464">
        <v>2224.02376</v>
      </c>
      <c r="E13" s="464">
        <v>2828.7838200000006</v>
      </c>
      <c r="F13" s="464">
        <v>3216.3726699999997</v>
      </c>
      <c r="G13" s="464">
        <v>3515.0192114285715</v>
      </c>
      <c r="H13" s="464">
        <v>3900.98981</v>
      </c>
      <c r="I13" s="464">
        <v>2996.6615476190473</v>
      </c>
      <c r="J13" s="464">
        <v>4581.7782747619049</v>
      </c>
    </row>
    <row r="14" spans="1:10" x14ac:dyDescent="0.2">
      <c r="A14" s="463" t="s">
        <v>673</v>
      </c>
      <c r="B14" s="464">
        <v>5519.1597619047607</v>
      </c>
      <c r="C14" s="464">
        <v>5948.1109999999999</v>
      </c>
      <c r="D14" s="464">
        <v>7074.3304099999996</v>
      </c>
      <c r="E14" s="464">
        <v>8238.3738500000018</v>
      </c>
      <c r="F14" s="464">
        <v>8732.0878799999991</v>
      </c>
      <c r="G14" s="464">
        <v>9344.4750966666688</v>
      </c>
      <c r="H14" s="464">
        <v>9638.6552599999995</v>
      </c>
      <c r="I14" s="464">
        <v>7426.3729423333334</v>
      </c>
      <c r="J14" s="464">
        <v>9442.6813235714289</v>
      </c>
    </row>
    <row r="15" spans="1:10" x14ac:dyDescent="0.2">
      <c r="A15" s="463" t="s">
        <v>586</v>
      </c>
      <c r="B15" s="464">
        <v>3304.7047857142852</v>
      </c>
      <c r="C15" s="464">
        <v>3019.5569999999998</v>
      </c>
      <c r="D15" s="464">
        <v>2605.0019999999995</v>
      </c>
      <c r="E15" s="464">
        <v>2313.8300000000004</v>
      </c>
      <c r="F15" s="464">
        <v>1925.75</v>
      </c>
      <c r="G15" s="464">
        <v>1649.7679523809522</v>
      </c>
      <c r="H15" s="464">
        <v>1334.423</v>
      </c>
      <c r="I15" s="464">
        <v>969.85142857142876</v>
      </c>
      <c r="J15" s="464">
        <v>818.46935714285723</v>
      </c>
    </row>
    <row r="16" spans="1:10" ht="22.5" x14ac:dyDescent="0.2">
      <c r="A16" s="463" t="s">
        <v>674</v>
      </c>
      <c r="B16" s="464">
        <v>6065.2282333333333</v>
      </c>
      <c r="C16" s="464">
        <v>6686.73</v>
      </c>
      <c r="D16" s="464">
        <v>7042.3222604761904</v>
      </c>
      <c r="E16" s="464">
        <v>7808.0920933333337</v>
      </c>
      <c r="F16" s="464">
        <v>7945.6238423809527</v>
      </c>
      <c r="G16" s="464">
        <v>8242.6567471428571</v>
      </c>
      <c r="H16" s="464">
        <v>8400.6262348</v>
      </c>
      <c r="I16" s="464">
        <v>2875.6173000000008</v>
      </c>
      <c r="J16" s="464">
        <v>4032.46</v>
      </c>
    </row>
    <row r="17" spans="1:10" x14ac:dyDescent="0.2">
      <c r="A17" s="463" t="s">
        <v>675</v>
      </c>
      <c r="B17" s="464">
        <v>18289.9407333333</v>
      </c>
      <c r="C17" s="464">
        <v>17773.96</v>
      </c>
      <c r="D17" s="464">
        <v>18774.010190476187</v>
      </c>
      <c r="E17" s="464">
        <v>13634.776880952382</v>
      </c>
      <c r="F17" s="464">
        <v>5798.1060476190469</v>
      </c>
      <c r="G17" s="464">
        <v>3783.0611428571433</v>
      </c>
      <c r="H17" s="464">
        <v>3877.482</v>
      </c>
      <c r="I17" s="464">
        <v>1888.8373999999999</v>
      </c>
      <c r="J17" s="464">
        <v>1570.65</v>
      </c>
    </row>
    <row r="18" spans="1:10" x14ac:dyDescent="0.2">
      <c r="A18" s="463" t="s">
        <v>676</v>
      </c>
      <c r="B18" s="464">
        <v>19092.835189523812</v>
      </c>
      <c r="C18" s="464">
        <v>18760.739460000004</v>
      </c>
      <c r="D18" s="464">
        <v>20874.328809999999</v>
      </c>
      <c r="E18" s="464">
        <v>28075.840700000001</v>
      </c>
      <c r="F18" s="464">
        <v>35855.475489999997</v>
      </c>
      <c r="G18" s="464">
        <v>37693.524192857141</v>
      </c>
      <c r="H18" s="464">
        <v>38981.429505699998</v>
      </c>
      <c r="I18" s="464">
        <v>33743.887786000007</v>
      </c>
      <c r="J18" s="464">
        <v>43716.04</v>
      </c>
    </row>
    <row r="19" spans="1:10" x14ac:dyDescent="0.2">
      <c r="A19" s="463" t="s">
        <v>677</v>
      </c>
      <c r="B19" s="464">
        <v>1156.01</v>
      </c>
      <c r="C19" s="464">
        <v>877.52</v>
      </c>
      <c r="D19" s="464">
        <v>792.02799999999991</v>
      </c>
      <c r="E19" s="464">
        <v>757.4</v>
      </c>
      <c r="F19" s="464">
        <v>843.41200000000003</v>
      </c>
      <c r="G19" s="464">
        <v>1182.5139999999999</v>
      </c>
      <c r="H19" s="464">
        <v>984.52400000000011</v>
      </c>
      <c r="I19" s="464">
        <v>1020.8772619047619</v>
      </c>
      <c r="J19" s="464">
        <v>1100.6945952380954</v>
      </c>
    </row>
    <row r="20" spans="1:10" x14ac:dyDescent="0.2">
      <c r="A20" s="463" t="s">
        <v>678</v>
      </c>
      <c r="B20" s="464">
        <v>1444.3681980952381</v>
      </c>
      <c r="C20" s="464">
        <v>721.69900000000018</v>
      </c>
      <c r="D20" s="464">
        <v>757.55700000000002</v>
      </c>
      <c r="E20" s="464">
        <v>698.5</v>
      </c>
      <c r="F20" s="464">
        <v>668.11900000000003</v>
      </c>
      <c r="G20" s="464">
        <v>771.23500000000001</v>
      </c>
      <c r="H20" s="464">
        <v>609.35500000000002</v>
      </c>
      <c r="I20" s="464">
        <v>316.85797619047617</v>
      </c>
      <c r="J20" s="464">
        <v>369.28785714285721</v>
      </c>
    </row>
    <row r="21" spans="1:10" ht="13.5" customHeight="1" x14ac:dyDescent="0.2">
      <c r="A21" s="463" t="s">
        <v>679</v>
      </c>
      <c r="B21" s="464">
        <v>1554.97</v>
      </c>
      <c r="C21" s="464">
        <v>924.17</v>
      </c>
      <c r="D21" s="464">
        <v>1069.7170000000001</v>
      </c>
      <c r="E21" s="464">
        <v>1363.47252</v>
      </c>
      <c r="F21" s="464">
        <v>1241.6948100000002</v>
      </c>
      <c r="G21" s="464">
        <v>1114.4632900000001</v>
      </c>
      <c r="H21" s="464">
        <v>1329.7549999999999</v>
      </c>
      <c r="I21" s="464">
        <v>793.04700000000014</v>
      </c>
      <c r="J21" s="464">
        <v>56.97</v>
      </c>
    </row>
    <row r="22" spans="1:10" x14ac:dyDescent="0.2">
      <c r="A22" s="463" t="s">
        <v>605</v>
      </c>
      <c r="B22" s="464">
        <v>222.50342999999998</v>
      </c>
      <c r="C22" s="464">
        <v>221.58600000000001</v>
      </c>
      <c r="D22" s="464">
        <v>163.14099999999999</v>
      </c>
      <c r="E22" s="464">
        <v>151.63999999999999</v>
      </c>
      <c r="F22" s="464">
        <v>173.65800000000002</v>
      </c>
      <c r="G22" s="464">
        <v>171.63300000000001</v>
      </c>
      <c r="H22" s="464">
        <v>160.41000000000003</v>
      </c>
      <c r="I22" s="464">
        <v>71.687380952380948</v>
      </c>
      <c r="J22" s="464">
        <v>126.5475</v>
      </c>
    </row>
    <row r="23" spans="1:10" x14ac:dyDescent="0.2">
      <c r="A23" s="463" t="s">
        <v>608</v>
      </c>
      <c r="B23" s="464">
        <v>1133.0111200000001</v>
      </c>
      <c r="C23" s="464">
        <v>1447.5119999999999</v>
      </c>
      <c r="D23" s="464">
        <v>1246.8420000000001</v>
      </c>
      <c r="E23" s="464">
        <v>1171.249</v>
      </c>
      <c r="F23" s="464">
        <v>1473.9109999999998</v>
      </c>
      <c r="G23" s="464">
        <v>1478.298</v>
      </c>
      <c r="H23" s="464">
        <v>1342.6339999999998</v>
      </c>
      <c r="I23" s="464">
        <v>686.06692857142855</v>
      </c>
      <c r="J23" s="464">
        <v>1030.5081904761905</v>
      </c>
    </row>
    <row r="24" spans="1:10" x14ac:dyDescent="0.2">
      <c r="A24" s="463" t="s">
        <v>595</v>
      </c>
      <c r="B24" s="464">
        <v>924.03945952380968</v>
      </c>
      <c r="C24" s="464">
        <v>698.05899999999997</v>
      </c>
      <c r="D24" s="464">
        <v>697.14192904761899</v>
      </c>
      <c r="E24" s="464">
        <v>460.59288761904793</v>
      </c>
      <c r="F24" s="464">
        <v>492.58883714285707</v>
      </c>
      <c r="G24" s="464">
        <v>456.56966714285699</v>
      </c>
      <c r="H24" s="464">
        <v>578.16198566190474</v>
      </c>
      <c r="I24" s="464">
        <v>295.28904333333327</v>
      </c>
      <c r="J24" s="464">
        <v>115.85</v>
      </c>
    </row>
    <row r="25" spans="1:10" x14ac:dyDescent="0.2">
      <c r="A25" s="470" t="s">
        <v>41</v>
      </c>
      <c r="B25" s="471">
        <f t="shared" ref="B25:J25" si="0">+SUM(B5:B24)</f>
        <v>80809.619050278357</v>
      </c>
      <c r="C25" s="471">
        <f t="shared" si="0"/>
        <v>79860.382523946231</v>
      </c>
      <c r="D25" s="471">
        <f t="shared" si="0"/>
        <v>85256.651216984479</v>
      </c>
      <c r="E25" s="471">
        <f t="shared" si="0"/>
        <v>90914.824770619787</v>
      </c>
      <c r="F25" s="471">
        <f t="shared" si="0"/>
        <v>92762.289009659798</v>
      </c>
      <c r="G25" s="471">
        <f t="shared" si="0"/>
        <v>95424.791987788471</v>
      </c>
      <c r="H25" s="471">
        <f t="shared" si="0"/>
        <v>98199.562068444415</v>
      </c>
      <c r="I25" s="471">
        <f t="shared" si="0"/>
        <v>76929.394489729777</v>
      </c>
      <c r="J25" s="471">
        <f t="shared" si="0"/>
        <v>94089.42030305232</v>
      </c>
    </row>
    <row r="26" spans="1:10" x14ac:dyDescent="0.2">
      <c r="A26" s="472" t="s">
        <v>680</v>
      </c>
      <c r="B26" s="473">
        <v>221.39621657610508</v>
      </c>
      <c r="C26" s="473">
        <v>218.7955685587568</v>
      </c>
      <c r="D26" s="473">
        <v>233.57986634790268</v>
      </c>
      <c r="E26" s="473">
        <v>248.4011605754639</v>
      </c>
      <c r="F26" s="473">
        <v>254.14325756071179</v>
      </c>
      <c r="G26" s="473">
        <v>261.43778626791362</v>
      </c>
      <c r="H26" s="473">
        <f>+H25/365</f>
        <v>269.03989607792988</v>
      </c>
      <c r="I26" s="473">
        <f>+I25/366</f>
        <v>210.18960243095569</v>
      </c>
      <c r="J26" s="473">
        <f>+J25/365</f>
        <v>257.77923370699267</v>
      </c>
    </row>
  </sheetData>
  <mergeCells count="2">
    <mergeCell ref="A3:J3"/>
    <mergeCell ref="A1:J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9E12-168C-4C7C-86BF-18D4FA4BD805}">
  <sheetPr>
    <tabColor theme="4"/>
  </sheetPr>
  <dimension ref="A1:I20"/>
  <sheetViews>
    <sheetView workbookViewId="0">
      <selection activeCell="H20" sqref="H20"/>
    </sheetView>
  </sheetViews>
  <sheetFormatPr baseColWidth="10" defaultColWidth="11.42578125" defaultRowHeight="11.25" x14ac:dyDescent="0.2"/>
  <cols>
    <col min="1" max="16384" width="11.42578125" style="55"/>
  </cols>
  <sheetData>
    <row r="1" spans="1:9" ht="12.75" x14ac:dyDescent="0.2">
      <c r="A1" s="450" t="s">
        <v>813</v>
      </c>
      <c r="B1" s="450"/>
      <c r="C1" s="450"/>
      <c r="D1" s="450"/>
      <c r="E1" s="450"/>
      <c r="F1" s="450"/>
      <c r="G1" s="450"/>
      <c r="H1" s="450"/>
      <c r="I1" s="450"/>
    </row>
    <row r="3" spans="1:9" ht="22.5" x14ac:dyDescent="0.2">
      <c r="A3" s="343">
        <v>2021</v>
      </c>
      <c r="B3" s="343" t="s">
        <v>681</v>
      </c>
      <c r="C3" s="343"/>
      <c r="D3" s="343"/>
      <c r="E3" s="343"/>
      <c r="F3" s="343" t="s">
        <v>682</v>
      </c>
      <c r="G3" s="448" t="s">
        <v>583</v>
      </c>
      <c r="H3" s="448" t="s">
        <v>683</v>
      </c>
      <c r="I3" s="448" t="s">
        <v>684</v>
      </c>
    </row>
    <row r="4" spans="1:9" ht="22.5" x14ac:dyDescent="0.2">
      <c r="A4" s="343"/>
      <c r="B4" s="422" t="s">
        <v>685</v>
      </c>
      <c r="C4" s="422" t="s">
        <v>686</v>
      </c>
      <c r="D4" s="422" t="s">
        <v>687</v>
      </c>
      <c r="E4" s="422" t="s">
        <v>688</v>
      </c>
      <c r="F4" s="343"/>
      <c r="G4" s="422" t="s">
        <v>689</v>
      </c>
      <c r="H4" s="422" t="s">
        <v>690</v>
      </c>
      <c r="I4" s="422" t="s">
        <v>691</v>
      </c>
    </row>
    <row r="5" spans="1:9" x14ac:dyDescent="0.2">
      <c r="A5" s="474" t="s">
        <v>236</v>
      </c>
      <c r="B5" s="469">
        <v>11.31</v>
      </c>
      <c r="C5" s="469">
        <v>11.69</v>
      </c>
      <c r="D5" s="469">
        <v>13.14</v>
      </c>
      <c r="E5" s="469">
        <v>13.92</v>
      </c>
      <c r="F5" s="469">
        <v>11.96</v>
      </c>
      <c r="G5" s="469">
        <v>42.75</v>
      </c>
      <c r="H5" s="469">
        <v>1.64</v>
      </c>
      <c r="I5" s="469">
        <v>1.49</v>
      </c>
    </row>
    <row r="6" spans="1:9" x14ac:dyDescent="0.2">
      <c r="A6" s="474" t="s">
        <v>237</v>
      </c>
      <c r="B6" s="469">
        <v>12.04</v>
      </c>
      <c r="C6" s="469">
        <v>12.49</v>
      </c>
      <c r="D6" s="469">
        <v>13.87</v>
      </c>
      <c r="E6" s="469">
        <v>14.6</v>
      </c>
      <c r="F6" s="469">
        <v>12.56</v>
      </c>
      <c r="G6" s="469">
        <v>44.16</v>
      </c>
      <c r="H6" s="469">
        <v>1.8</v>
      </c>
      <c r="I6" s="469">
        <v>1.49</v>
      </c>
    </row>
    <row r="7" spans="1:9" x14ac:dyDescent="0.2">
      <c r="A7" s="474" t="s">
        <v>238</v>
      </c>
      <c r="B7" s="469">
        <v>12.77</v>
      </c>
      <c r="C7" s="469">
        <v>13.42</v>
      </c>
      <c r="D7" s="469">
        <v>14.68</v>
      </c>
      <c r="E7" s="469">
        <v>15.47</v>
      </c>
      <c r="F7" s="469">
        <v>13.53</v>
      </c>
      <c r="G7" s="469">
        <v>44.17</v>
      </c>
      <c r="H7" s="469">
        <v>1.79</v>
      </c>
      <c r="I7" s="469">
        <v>1.49</v>
      </c>
    </row>
    <row r="8" spans="1:9" x14ac:dyDescent="0.2">
      <c r="A8" s="474" t="s">
        <v>239</v>
      </c>
      <c r="B8" s="469">
        <v>12.9</v>
      </c>
      <c r="C8" s="469">
        <v>13.48</v>
      </c>
      <c r="D8" s="469">
        <v>14.71</v>
      </c>
      <c r="E8" s="469">
        <v>15.49</v>
      </c>
      <c r="F8" s="469">
        <v>13.5</v>
      </c>
      <c r="G8" s="469">
        <v>44.93</v>
      </c>
      <c r="H8" s="469">
        <v>1.81</v>
      </c>
      <c r="I8" s="469">
        <v>1.48</v>
      </c>
    </row>
    <row r="9" spans="1:9" x14ac:dyDescent="0.2">
      <c r="A9" s="474" t="s">
        <v>240</v>
      </c>
      <c r="B9" s="469">
        <v>13.29</v>
      </c>
      <c r="C9" s="469">
        <v>13.93</v>
      </c>
      <c r="D9" s="469">
        <v>15.1</v>
      </c>
      <c r="E9" s="469">
        <v>15.93</v>
      </c>
      <c r="F9" s="469">
        <v>13.59</v>
      </c>
      <c r="G9" s="469">
        <v>44.94</v>
      </c>
      <c r="H9" s="469">
        <v>1.87</v>
      </c>
      <c r="I9" s="469">
        <v>1.48</v>
      </c>
    </row>
    <row r="10" spans="1:9" x14ac:dyDescent="0.2">
      <c r="A10" s="474" t="s">
        <v>241</v>
      </c>
      <c r="B10" s="469">
        <v>13.8</v>
      </c>
      <c r="C10" s="469">
        <v>14.36</v>
      </c>
      <c r="D10" s="469">
        <v>15.47</v>
      </c>
      <c r="E10" s="469">
        <v>16.309999999999999</v>
      </c>
      <c r="F10" s="469">
        <v>14.1</v>
      </c>
      <c r="G10" s="469">
        <v>46.52</v>
      </c>
      <c r="H10" s="469">
        <v>1.91</v>
      </c>
      <c r="I10" s="469">
        <v>1.48</v>
      </c>
    </row>
    <row r="11" spans="1:9" x14ac:dyDescent="0.2">
      <c r="A11" s="474" t="s">
        <v>242</v>
      </c>
      <c r="B11" s="469">
        <v>14.39</v>
      </c>
      <c r="C11" s="469">
        <v>14.96</v>
      </c>
      <c r="D11" s="469">
        <v>16.02</v>
      </c>
      <c r="E11" s="469">
        <v>16.86</v>
      </c>
      <c r="F11" s="469">
        <v>14.61</v>
      </c>
      <c r="G11" s="469">
        <v>51.2</v>
      </c>
      <c r="H11" s="469">
        <v>2.2400000000000002</v>
      </c>
      <c r="I11" s="469">
        <v>1.48</v>
      </c>
    </row>
    <row r="12" spans="1:9" x14ac:dyDescent="0.2">
      <c r="A12" s="474" t="s">
        <v>243</v>
      </c>
      <c r="B12" s="469">
        <v>14.67</v>
      </c>
      <c r="C12" s="469">
        <v>15.43</v>
      </c>
      <c r="D12" s="469">
        <v>16.47</v>
      </c>
      <c r="E12" s="469">
        <v>17.27</v>
      </c>
      <c r="F12" s="469">
        <v>15.33</v>
      </c>
      <c r="G12" s="469">
        <v>53.98</v>
      </c>
      <c r="H12" s="469">
        <v>2.23</v>
      </c>
      <c r="I12" s="469">
        <v>1.48</v>
      </c>
    </row>
    <row r="13" spans="1:9" x14ac:dyDescent="0.2">
      <c r="A13" s="474" t="s">
        <v>692</v>
      </c>
      <c r="B13" s="469">
        <v>14.94</v>
      </c>
      <c r="C13" s="469">
        <v>15.58</v>
      </c>
      <c r="D13" s="469">
        <v>16.59</v>
      </c>
      <c r="E13" s="469">
        <v>17.39</v>
      </c>
      <c r="F13" s="469">
        <v>15.5</v>
      </c>
      <c r="G13" s="469">
        <v>50.01</v>
      </c>
      <c r="H13" s="469">
        <v>2.2200000000000002</v>
      </c>
      <c r="I13" s="469">
        <v>1.49</v>
      </c>
    </row>
    <row r="14" spans="1:9" x14ac:dyDescent="0.2">
      <c r="A14" s="474" t="s">
        <v>245</v>
      </c>
      <c r="B14" s="469">
        <v>15.44</v>
      </c>
      <c r="C14" s="469">
        <v>16.010000000000002</v>
      </c>
      <c r="D14" s="469">
        <v>16.98</v>
      </c>
      <c r="E14" s="469">
        <v>17.72</v>
      </c>
      <c r="F14" s="469">
        <v>16.11</v>
      </c>
      <c r="G14" s="469">
        <v>49.82</v>
      </c>
      <c r="H14" s="469">
        <v>2.5099999999999998</v>
      </c>
      <c r="I14" s="469">
        <v>1.51</v>
      </c>
    </row>
    <row r="15" spans="1:9" x14ac:dyDescent="0.2">
      <c r="A15" s="474" t="s">
        <v>246</v>
      </c>
      <c r="B15" s="469">
        <v>15.99</v>
      </c>
      <c r="C15" s="469">
        <v>16.489999999999998</v>
      </c>
      <c r="D15" s="469">
        <v>17.5</v>
      </c>
      <c r="E15" s="469">
        <v>18.27</v>
      </c>
      <c r="F15" s="469">
        <v>16.350000000000001</v>
      </c>
      <c r="G15" s="469">
        <v>55.04</v>
      </c>
      <c r="H15" s="469">
        <v>2.62</v>
      </c>
      <c r="I15" s="469">
        <v>1.53</v>
      </c>
    </row>
    <row r="16" spans="1:9" x14ac:dyDescent="0.2">
      <c r="A16" s="474" t="s">
        <v>247</v>
      </c>
      <c r="B16" s="469">
        <v>15.81</v>
      </c>
      <c r="C16" s="469">
        <v>16.46</v>
      </c>
      <c r="D16" s="469">
        <v>17.53</v>
      </c>
      <c r="E16" s="469">
        <v>18.22</v>
      </c>
      <c r="F16" s="469">
        <v>16.3</v>
      </c>
      <c r="G16" s="469">
        <v>59.68</v>
      </c>
      <c r="H16" s="469">
        <v>2.57</v>
      </c>
      <c r="I16" s="469">
        <v>1.55</v>
      </c>
    </row>
    <row r="20" spans="1:1" x14ac:dyDescent="0.2">
      <c r="A20" s="134" t="s">
        <v>693</v>
      </c>
    </row>
  </sheetData>
  <mergeCells count="4">
    <mergeCell ref="A3:A4"/>
    <mergeCell ref="B3:E3"/>
    <mergeCell ref="F3:F4"/>
    <mergeCell ref="A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F5D1-06E5-419A-A835-8D12C98EBE4F}">
  <sheetPr>
    <tabColor theme="4"/>
  </sheetPr>
  <dimension ref="A1:E19"/>
  <sheetViews>
    <sheetView workbookViewId="0">
      <selection activeCell="F34" sqref="F34"/>
    </sheetView>
  </sheetViews>
  <sheetFormatPr baseColWidth="10" defaultColWidth="11.42578125" defaultRowHeight="11.25" x14ac:dyDescent="0.2"/>
  <cols>
    <col min="1" max="4" width="11.42578125" style="55"/>
    <col min="5" max="5" width="12.85546875" style="55" customWidth="1"/>
    <col min="6" max="16384" width="11.42578125" style="55"/>
  </cols>
  <sheetData>
    <row r="1" spans="1:5" ht="12.75" x14ac:dyDescent="0.2">
      <c r="A1" s="450" t="s">
        <v>814</v>
      </c>
      <c r="B1" s="450"/>
      <c r="C1" s="450"/>
      <c r="D1" s="450"/>
      <c r="E1" s="450"/>
    </row>
    <row r="3" spans="1:5" x14ac:dyDescent="0.2">
      <c r="A3" s="343">
        <v>2021</v>
      </c>
      <c r="B3" s="343" t="s">
        <v>681</v>
      </c>
      <c r="C3" s="343"/>
      <c r="D3" s="343" t="s">
        <v>602</v>
      </c>
      <c r="E3" s="448" t="s">
        <v>583</v>
      </c>
    </row>
    <row r="4" spans="1:5" ht="22.5" x14ac:dyDescent="0.2">
      <c r="A4" s="343"/>
      <c r="B4" s="422" t="s">
        <v>694</v>
      </c>
      <c r="C4" s="422" t="s">
        <v>695</v>
      </c>
      <c r="D4" s="343"/>
      <c r="E4" s="422" t="s">
        <v>696</v>
      </c>
    </row>
    <row r="5" spans="1:5" x14ac:dyDescent="0.2">
      <c r="A5" s="475" t="s">
        <v>236</v>
      </c>
      <c r="B5" s="464">
        <v>11.14</v>
      </c>
      <c r="C5" s="464">
        <v>12.85</v>
      </c>
      <c r="D5" s="464">
        <v>11.69</v>
      </c>
      <c r="E5" s="464">
        <v>40.840000000000003</v>
      </c>
    </row>
    <row r="6" spans="1:5" x14ac:dyDescent="0.2">
      <c r="A6" s="476" t="s">
        <v>237</v>
      </c>
      <c r="B6" s="469">
        <v>11.74</v>
      </c>
      <c r="C6" s="469">
        <v>13.71</v>
      </c>
      <c r="D6" s="469">
        <v>12.35</v>
      </c>
      <c r="E6" s="469">
        <v>41.56</v>
      </c>
    </row>
    <row r="7" spans="1:5" x14ac:dyDescent="0.2">
      <c r="A7" s="476" t="s">
        <v>238</v>
      </c>
      <c r="B7" s="469">
        <v>12.44</v>
      </c>
      <c r="C7" s="469">
        <v>14.64</v>
      </c>
      <c r="D7" s="469">
        <v>13.29</v>
      </c>
      <c r="E7" s="469">
        <v>41.11</v>
      </c>
    </row>
    <row r="8" spans="1:5" x14ac:dyDescent="0.2">
      <c r="A8" s="476" t="s">
        <v>239</v>
      </c>
      <c r="B8" s="469">
        <v>12.49</v>
      </c>
      <c r="C8" s="469">
        <v>14.7</v>
      </c>
      <c r="D8" s="469">
        <v>13.26</v>
      </c>
      <c r="E8" s="469">
        <v>40.86</v>
      </c>
    </row>
    <row r="9" spans="1:5" x14ac:dyDescent="0.2">
      <c r="A9" s="476" t="s">
        <v>240</v>
      </c>
      <c r="B9" s="469">
        <v>12.55</v>
      </c>
      <c r="C9" s="469">
        <v>15.01</v>
      </c>
      <c r="D9" s="469">
        <v>13.48</v>
      </c>
      <c r="E9" s="469">
        <v>41.85</v>
      </c>
    </row>
    <row r="10" spans="1:5" x14ac:dyDescent="0.2">
      <c r="A10" s="476" t="s">
        <v>241</v>
      </c>
      <c r="B10" s="469">
        <v>12.74</v>
      </c>
      <c r="C10" s="469">
        <v>15.69</v>
      </c>
      <c r="D10" s="469">
        <v>14.01</v>
      </c>
      <c r="E10" s="469">
        <v>41.85</v>
      </c>
    </row>
    <row r="11" spans="1:5" x14ac:dyDescent="0.2">
      <c r="A11" s="476" t="s">
        <v>242</v>
      </c>
      <c r="B11" s="469">
        <v>13.05</v>
      </c>
      <c r="C11" s="469">
        <v>16.21</v>
      </c>
      <c r="D11" s="469">
        <v>14.47</v>
      </c>
      <c r="E11" s="469">
        <v>45.43</v>
      </c>
    </row>
    <row r="12" spans="1:5" x14ac:dyDescent="0.2">
      <c r="A12" s="476" t="s">
        <v>243</v>
      </c>
      <c r="B12" s="469">
        <v>13.73</v>
      </c>
      <c r="C12" s="469">
        <v>16.61</v>
      </c>
      <c r="D12" s="469">
        <v>14.94</v>
      </c>
      <c r="E12" s="469">
        <v>49.75</v>
      </c>
    </row>
    <row r="13" spans="1:5" x14ac:dyDescent="0.2">
      <c r="A13" s="476" t="s">
        <v>692</v>
      </c>
      <c r="B13" s="469">
        <v>13.93</v>
      </c>
      <c r="C13" s="469">
        <v>16.63</v>
      </c>
      <c r="D13" s="469">
        <v>14.95</v>
      </c>
      <c r="E13" s="469">
        <v>47.13</v>
      </c>
    </row>
    <row r="14" spans="1:5" x14ac:dyDescent="0.2">
      <c r="A14" s="476" t="s">
        <v>245</v>
      </c>
      <c r="B14" s="469">
        <v>13.87</v>
      </c>
      <c r="C14" s="469">
        <v>17.260000000000002</v>
      </c>
      <c r="D14" s="469">
        <v>15.32</v>
      </c>
      <c r="E14" s="469">
        <v>44.99</v>
      </c>
    </row>
    <row r="15" spans="1:5" x14ac:dyDescent="0.2">
      <c r="A15" s="476" t="s">
        <v>246</v>
      </c>
      <c r="B15" s="469">
        <v>14.23</v>
      </c>
      <c r="C15" s="469">
        <v>17.239999999999998</v>
      </c>
      <c r="D15" s="469">
        <v>15.84</v>
      </c>
      <c r="E15" s="469">
        <v>51.82</v>
      </c>
    </row>
    <row r="16" spans="1:5" x14ac:dyDescent="0.2">
      <c r="A16" s="476" t="s">
        <v>247</v>
      </c>
      <c r="B16" s="469">
        <v>14.14</v>
      </c>
      <c r="C16" s="469">
        <v>17.25</v>
      </c>
      <c r="D16" s="469">
        <v>15.57</v>
      </c>
      <c r="E16" s="469">
        <v>54.55</v>
      </c>
    </row>
    <row r="19" spans="1:1" x14ac:dyDescent="0.2">
      <c r="A19" s="134" t="s">
        <v>697</v>
      </c>
    </row>
  </sheetData>
  <mergeCells count="4">
    <mergeCell ref="A3:A4"/>
    <mergeCell ref="B3:C3"/>
    <mergeCell ref="D3:D4"/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9AE2-1EEE-4A61-ADF0-6D15E6BCA08A}">
  <sheetPr>
    <tabColor theme="4"/>
  </sheetPr>
  <dimension ref="A1:E19"/>
  <sheetViews>
    <sheetView workbookViewId="0">
      <selection activeCell="H34" sqref="H34"/>
    </sheetView>
  </sheetViews>
  <sheetFormatPr baseColWidth="10" defaultColWidth="11.42578125" defaultRowHeight="11.25" x14ac:dyDescent="0.2"/>
  <cols>
    <col min="1" max="16384" width="11.42578125" style="55"/>
  </cols>
  <sheetData>
    <row r="1" spans="1:5" ht="12.75" x14ac:dyDescent="0.2">
      <c r="A1" s="450" t="s">
        <v>815</v>
      </c>
      <c r="B1" s="450"/>
      <c r="C1" s="450"/>
      <c r="D1" s="450"/>
      <c r="E1" s="450"/>
    </row>
    <row r="3" spans="1:5" x14ac:dyDescent="0.2">
      <c r="A3" s="343">
        <v>2021</v>
      </c>
      <c r="B3" s="343" t="s">
        <v>681</v>
      </c>
      <c r="C3" s="343"/>
      <c r="D3" s="343"/>
      <c r="E3" s="448" t="s">
        <v>583</v>
      </c>
    </row>
    <row r="4" spans="1:5" ht="22.5" x14ac:dyDescent="0.2">
      <c r="A4" s="343"/>
      <c r="B4" s="422" t="s">
        <v>694</v>
      </c>
      <c r="C4" s="422" t="s">
        <v>695</v>
      </c>
      <c r="D4" s="422" t="s">
        <v>687</v>
      </c>
      <c r="E4" s="422" t="s">
        <v>696</v>
      </c>
    </row>
    <row r="5" spans="1:5" x14ac:dyDescent="0.2">
      <c r="A5" s="474" t="s">
        <v>236</v>
      </c>
      <c r="B5" s="469">
        <v>11.43</v>
      </c>
      <c r="C5" s="469">
        <v>11.87</v>
      </c>
      <c r="D5" s="469">
        <v>14.13</v>
      </c>
      <c r="E5" s="469">
        <v>38.590000000000003</v>
      </c>
    </row>
    <row r="6" spans="1:5" x14ac:dyDescent="0.2">
      <c r="A6" s="474" t="s">
        <v>237</v>
      </c>
      <c r="B6" s="469">
        <v>12.4</v>
      </c>
      <c r="C6" s="469">
        <v>12.71</v>
      </c>
      <c r="D6" s="469">
        <v>14.88</v>
      </c>
      <c r="E6" s="469">
        <v>40.200000000000003</v>
      </c>
    </row>
    <row r="7" spans="1:5" x14ac:dyDescent="0.2">
      <c r="A7" s="474" t="s">
        <v>238</v>
      </c>
      <c r="B7" s="469">
        <v>13.23</v>
      </c>
      <c r="C7" s="469">
        <v>13.7</v>
      </c>
      <c r="D7" s="469">
        <v>15.76</v>
      </c>
      <c r="E7" s="469">
        <v>41.19</v>
      </c>
    </row>
    <row r="8" spans="1:5" x14ac:dyDescent="0.2">
      <c r="A8" s="474" t="s">
        <v>239</v>
      </c>
      <c r="B8" s="469">
        <v>13.47</v>
      </c>
      <c r="C8" s="469">
        <v>13.85</v>
      </c>
      <c r="D8" s="469">
        <v>15.83</v>
      </c>
      <c r="E8" s="469">
        <v>41.63</v>
      </c>
    </row>
    <row r="9" spans="1:5" x14ac:dyDescent="0.2">
      <c r="A9" s="474" t="s">
        <v>240</v>
      </c>
      <c r="B9" s="469">
        <v>13.6</v>
      </c>
      <c r="C9" s="469">
        <v>14.08</v>
      </c>
      <c r="D9" s="469">
        <v>16</v>
      </c>
      <c r="E9" s="469">
        <v>42.31</v>
      </c>
    </row>
    <row r="10" spans="1:5" x14ac:dyDescent="0.2">
      <c r="A10" s="474" t="s">
        <v>241</v>
      </c>
      <c r="B10" s="469">
        <v>14.2</v>
      </c>
      <c r="C10" s="469">
        <v>14.58</v>
      </c>
      <c r="D10" s="469">
        <v>16.29</v>
      </c>
      <c r="E10" s="469">
        <v>44.89</v>
      </c>
    </row>
    <row r="11" spans="1:5" x14ac:dyDescent="0.2">
      <c r="A11" s="474" t="s">
        <v>242</v>
      </c>
      <c r="B11" s="469">
        <v>14.64</v>
      </c>
      <c r="C11" s="469">
        <v>15.18</v>
      </c>
      <c r="D11" s="469">
        <v>16.579999999999998</v>
      </c>
      <c r="E11" s="469">
        <v>48.94</v>
      </c>
    </row>
    <row r="12" spans="1:5" x14ac:dyDescent="0.2">
      <c r="A12" s="474" t="s">
        <v>243</v>
      </c>
      <c r="B12" s="469">
        <v>15.21</v>
      </c>
      <c r="C12" s="469">
        <v>15.62</v>
      </c>
      <c r="D12" s="469">
        <v>17.170000000000002</v>
      </c>
      <c r="E12" s="469">
        <v>52.38</v>
      </c>
    </row>
    <row r="13" spans="1:5" x14ac:dyDescent="0.2">
      <c r="A13" s="474" t="s">
        <v>692</v>
      </c>
      <c r="B13" s="469">
        <v>15.38</v>
      </c>
      <c r="C13" s="469">
        <v>15.78</v>
      </c>
      <c r="D13" s="469">
        <v>17.22</v>
      </c>
      <c r="E13" s="469">
        <v>51.45</v>
      </c>
    </row>
    <row r="14" spans="1:5" x14ac:dyDescent="0.2">
      <c r="A14" s="474" t="s">
        <v>245</v>
      </c>
      <c r="B14" s="469">
        <v>15.81</v>
      </c>
      <c r="C14" s="469">
        <v>16.3</v>
      </c>
      <c r="D14" s="469">
        <v>17.920000000000002</v>
      </c>
      <c r="E14" s="469">
        <v>48.97</v>
      </c>
    </row>
    <row r="15" spans="1:5" x14ac:dyDescent="0.2">
      <c r="A15" s="474" t="s">
        <v>246</v>
      </c>
      <c r="B15" s="469">
        <v>16.350000000000001</v>
      </c>
      <c r="C15" s="469">
        <v>17.11</v>
      </c>
      <c r="D15" s="469">
        <v>18.3</v>
      </c>
      <c r="E15" s="469">
        <v>53.08</v>
      </c>
    </row>
    <row r="16" spans="1:5" x14ac:dyDescent="0.2">
      <c r="A16" s="474" t="s">
        <v>247</v>
      </c>
      <c r="B16" s="469">
        <v>16.47</v>
      </c>
      <c r="C16" s="469">
        <v>17.079999999999998</v>
      </c>
      <c r="D16" s="469">
        <v>18.28</v>
      </c>
      <c r="E16" s="469">
        <v>59.05</v>
      </c>
    </row>
    <row r="19" spans="1:1" x14ac:dyDescent="0.2">
      <c r="A19" s="134" t="s">
        <v>698</v>
      </c>
    </row>
  </sheetData>
  <mergeCells count="3">
    <mergeCell ref="A3:A4"/>
    <mergeCell ref="B3:D3"/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3996-23C1-4715-A99D-D3D93AD8B525}">
  <sheetPr>
    <tabColor theme="4"/>
  </sheetPr>
  <dimension ref="A1:F19"/>
  <sheetViews>
    <sheetView workbookViewId="0">
      <selection sqref="A1:F1"/>
    </sheetView>
  </sheetViews>
  <sheetFormatPr baseColWidth="10" defaultColWidth="11.42578125" defaultRowHeight="11.25" x14ac:dyDescent="0.2"/>
  <cols>
    <col min="1" max="16384" width="11.42578125" style="55"/>
  </cols>
  <sheetData>
    <row r="1" spans="1:6" ht="12.75" x14ac:dyDescent="0.2">
      <c r="A1" s="450" t="s">
        <v>816</v>
      </c>
      <c r="B1" s="450"/>
      <c r="C1" s="450"/>
      <c r="D1" s="450"/>
      <c r="E1" s="450"/>
      <c r="F1" s="450"/>
    </row>
    <row r="3" spans="1:6" x14ac:dyDescent="0.2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63" t="s">
        <v>236</v>
      </c>
      <c r="B5" s="459"/>
      <c r="C5" s="459">
        <v>12.09</v>
      </c>
      <c r="D5" s="459">
        <v>12.8</v>
      </c>
      <c r="E5" s="459">
        <v>11.45</v>
      </c>
      <c r="F5" s="459">
        <v>40.75</v>
      </c>
    </row>
    <row r="6" spans="1:6" x14ac:dyDescent="0.2">
      <c r="A6" s="474" t="s">
        <v>237</v>
      </c>
      <c r="B6" s="469"/>
      <c r="C6" s="469">
        <v>12.82</v>
      </c>
      <c r="D6" s="469">
        <v>13.69</v>
      </c>
      <c r="E6" s="469">
        <v>11.99</v>
      </c>
      <c r="F6" s="469">
        <v>43.39</v>
      </c>
    </row>
    <row r="7" spans="1:6" x14ac:dyDescent="0.2">
      <c r="A7" s="474" t="s">
        <v>238</v>
      </c>
      <c r="B7" s="477"/>
      <c r="C7" s="477">
        <v>13.74</v>
      </c>
      <c r="D7" s="477">
        <v>14.7</v>
      </c>
      <c r="E7" s="477">
        <v>13.16</v>
      </c>
      <c r="F7" s="477">
        <v>44.15</v>
      </c>
    </row>
    <row r="8" spans="1:6" x14ac:dyDescent="0.2">
      <c r="A8" s="474" t="s">
        <v>239</v>
      </c>
      <c r="B8" s="469"/>
      <c r="C8" s="469">
        <v>14.03</v>
      </c>
      <c r="D8" s="469">
        <v>15.04</v>
      </c>
      <c r="E8" s="469">
        <v>13.35</v>
      </c>
      <c r="F8" s="469">
        <v>43.69</v>
      </c>
    </row>
    <row r="9" spans="1:6" x14ac:dyDescent="0.2">
      <c r="A9" s="474" t="s">
        <v>240</v>
      </c>
      <c r="B9" s="477"/>
      <c r="C9" s="477">
        <v>14.25</v>
      </c>
      <c r="D9" s="477">
        <v>15.03</v>
      </c>
      <c r="E9" s="477">
        <v>13.41</v>
      </c>
      <c r="F9" s="477">
        <v>43.51</v>
      </c>
    </row>
    <row r="10" spans="1:6" x14ac:dyDescent="0.2">
      <c r="A10" s="474" t="s">
        <v>241</v>
      </c>
      <c r="B10" s="469"/>
      <c r="C10" s="469">
        <v>14.75</v>
      </c>
      <c r="D10" s="469">
        <v>15.47</v>
      </c>
      <c r="E10" s="469">
        <v>13.84</v>
      </c>
      <c r="F10" s="469">
        <v>45.25</v>
      </c>
    </row>
    <row r="11" spans="1:6" x14ac:dyDescent="0.2">
      <c r="A11" s="474" t="s">
        <v>242</v>
      </c>
      <c r="B11" s="477"/>
      <c r="C11" s="477">
        <v>15.49</v>
      </c>
      <c r="D11" s="477">
        <v>16.25</v>
      </c>
      <c r="E11" s="477">
        <v>14.31</v>
      </c>
      <c r="F11" s="477">
        <v>49.2</v>
      </c>
    </row>
    <row r="12" spans="1:6" x14ac:dyDescent="0.2">
      <c r="A12" s="474" t="s">
        <v>243</v>
      </c>
      <c r="B12" s="469"/>
      <c r="C12" s="469">
        <v>15.95</v>
      </c>
      <c r="D12" s="469">
        <v>16.79</v>
      </c>
      <c r="E12" s="469">
        <v>15.02</v>
      </c>
      <c r="F12" s="469">
        <v>52.66</v>
      </c>
    </row>
    <row r="13" spans="1:6" x14ac:dyDescent="0.2">
      <c r="A13" s="474" t="s">
        <v>692</v>
      </c>
      <c r="B13" s="477"/>
      <c r="C13" s="477">
        <v>16.28</v>
      </c>
      <c r="D13" s="477">
        <v>17.149999999999999</v>
      </c>
      <c r="E13" s="477">
        <v>15.33</v>
      </c>
      <c r="F13" s="477">
        <v>49.6</v>
      </c>
    </row>
    <row r="14" spans="1:6" x14ac:dyDescent="0.2">
      <c r="A14" s="474" t="s">
        <v>245</v>
      </c>
      <c r="B14" s="469"/>
      <c r="C14" s="469">
        <v>16.690000000000001</v>
      </c>
      <c r="D14" s="469">
        <v>17.45</v>
      </c>
      <c r="E14" s="469">
        <v>16.149999999999999</v>
      </c>
      <c r="F14" s="469">
        <v>48.82</v>
      </c>
    </row>
    <row r="15" spans="1:6" x14ac:dyDescent="0.2">
      <c r="A15" s="474" t="s">
        <v>246</v>
      </c>
      <c r="B15" s="477"/>
      <c r="C15" s="477">
        <v>16.95</v>
      </c>
      <c r="D15" s="477">
        <v>17.82</v>
      </c>
      <c r="E15" s="477">
        <v>16.34</v>
      </c>
      <c r="F15" s="477">
        <v>54.87</v>
      </c>
    </row>
    <row r="16" spans="1:6" x14ac:dyDescent="0.2">
      <c r="A16" s="474" t="s">
        <v>247</v>
      </c>
      <c r="B16" s="469"/>
      <c r="C16" s="469">
        <v>16.72</v>
      </c>
      <c r="D16" s="469">
        <v>17.72</v>
      </c>
      <c r="E16" s="469">
        <v>15.92</v>
      </c>
      <c r="F16" s="469">
        <v>59.76</v>
      </c>
    </row>
    <row r="19" spans="1:1" x14ac:dyDescent="0.2">
      <c r="A19" s="134" t="s">
        <v>700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547F-3913-48CD-A3E6-5F77B23119C2}">
  <sheetPr>
    <tabColor theme="4"/>
  </sheetPr>
  <dimension ref="A1:F18"/>
  <sheetViews>
    <sheetView workbookViewId="0">
      <selection activeCell="H15" sqref="H15"/>
    </sheetView>
  </sheetViews>
  <sheetFormatPr baseColWidth="10" defaultColWidth="11.42578125" defaultRowHeight="11.25" x14ac:dyDescent="0.2"/>
  <cols>
    <col min="1" max="16384" width="11.42578125" style="55"/>
  </cols>
  <sheetData>
    <row r="1" spans="1:6" ht="12.75" x14ac:dyDescent="0.2">
      <c r="A1" s="450" t="s">
        <v>817</v>
      </c>
      <c r="B1" s="450"/>
      <c r="C1" s="450"/>
      <c r="D1" s="450"/>
      <c r="E1" s="450"/>
      <c r="F1" s="450"/>
    </row>
    <row r="3" spans="1:6" x14ac:dyDescent="0.2">
      <c r="A3" s="343">
        <v>2021</v>
      </c>
      <c r="B3" s="343" t="s">
        <v>701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74" t="s">
        <v>236</v>
      </c>
      <c r="B5" s="477">
        <v>10.77</v>
      </c>
      <c r="C5" s="477">
        <v>11.26</v>
      </c>
      <c r="D5" s="477">
        <v>12.62</v>
      </c>
      <c r="E5" s="477">
        <v>11.52</v>
      </c>
      <c r="F5" s="477">
        <v>40.15</v>
      </c>
    </row>
    <row r="6" spans="1:6" x14ac:dyDescent="0.2">
      <c r="A6" s="474" t="s">
        <v>237</v>
      </c>
      <c r="B6" s="469">
        <v>11.61</v>
      </c>
      <c r="C6" s="469">
        <v>12.3</v>
      </c>
      <c r="D6" s="469">
        <v>13.4</v>
      </c>
      <c r="E6" s="469">
        <v>12.32</v>
      </c>
      <c r="F6" s="469">
        <v>40.840000000000003</v>
      </c>
    </row>
    <row r="7" spans="1:6" x14ac:dyDescent="0.2">
      <c r="A7" s="474" t="s">
        <v>238</v>
      </c>
      <c r="B7" s="477">
        <v>11.79</v>
      </c>
      <c r="C7" s="477">
        <v>13.13</v>
      </c>
      <c r="D7" s="477">
        <v>14.12</v>
      </c>
      <c r="E7" s="477">
        <v>13.21</v>
      </c>
      <c r="F7" s="477">
        <v>41.29</v>
      </c>
    </row>
    <row r="8" spans="1:6" x14ac:dyDescent="0.2">
      <c r="A8" s="474" t="s">
        <v>239</v>
      </c>
      <c r="B8" s="469">
        <v>11.79</v>
      </c>
      <c r="C8" s="469">
        <v>13.33</v>
      </c>
      <c r="D8" s="469">
        <v>14.15</v>
      </c>
      <c r="E8" s="469">
        <v>13.22</v>
      </c>
      <c r="F8" s="469">
        <v>41.73</v>
      </c>
    </row>
    <row r="9" spans="1:6" x14ac:dyDescent="0.2">
      <c r="A9" s="474" t="s">
        <v>240</v>
      </c>
      <c r="B9" s="477">
        <v>12.04</v>
      </c>
      <c r="C9" s="477">
        <v>13.57</v>
      </c>
      <c r="D9" s="477">
        <v>14.19</v>
      </c>
      <c r="E9" s="477">
        <v>13.21</v>
      </c>
      <c r="F9" s="477">
        <v>41.95</v>
      </c>
    </row>
    <row r="10" spans="1:6" x14ac:dyDescent="0.2">
      <c r="A10" s="474" t="s">
        <v>241</v>
      </c>
      <c r="B10" s="469">
        <v>12.04</v>
      </c>
      <c r="C10" s="469">
        <v>14.08</v>
      </c>
      <c r="D10" s="469">
        <v>14.74</v>
      </c>
      <c r="E10" s="469">
        <v>13.74</v>
      </c>
      <c r="F10" s="469">
        <v>42.64</v>
      </c>
    </row>
    <row r="11" spans="1:6" x14ac:dyDescent="0.2">
      <c r="A11" s="474" t="s">
        <v>242</v>
      </c>
      <c r="B11" s="477" t="s">
        <v>4</v>
      </c>
      <c r="C11" s="477">
        <v>14.53</v>
      </c>
      <c r="D11" s="477">
        <v>15.25</v>
      </c>
      <c r="E11" s="477">
        <v>14.08</v>
      </c>
      <c r="F11" s="477">
        <v>47.9</v>
      </c>
    </row>
    <row r="12" spans="1:6" x14ac:dyDescent="0.2">
      <c r="A12" s="474" t="s">
        <v>243</v>
      </c>
      <c r="B12" s="469" t="s">
        <v>4</v>
      </c>
      <c r="C12" s="469">
        <v>15.16</v>
      </c>
      <c r="D12" s="469">
        <v>15.77</v>
      </c>
      <c r="E12" s="469">
        <v>14.74</v>
      </c>
      <c r="F12" s="469">
        <v>52.01</v>
      </c>
    </row>
    <row r="13" spans="1:6" x14ac:dyDescent="0.2">
      <c r="A13" s="474" t="s">
        <v>692</v>
      </c>
      <c r="B13" s="477" t="s">
        <v>4</v>
      </c>
      <c r="C13" s="477">
        <v>15.29</v>
      </c>
      <c r="D13" s="477">
        <v>15.86</v>
      </c>
      <c r="E13" s="477">
        <v>15.02</v>
      </c>
      <c r="F13" s="477">
        <v>51.83</v>
      </c>
    </row>
    <row r="14" spans="1:6" x14ac:dyDescent="0.2">
      <c r="A14" s="474" t="s">
        <v>245</v>
      </c>
      <c r="B14" s="469" t="s">
        <v>4</v>
      </c>
      <c r="C14" s="469">
        <v>15.63</v>
      </c>
      <c r="D14" s="469">
        <v>16.09</v>
      </c>
      <c r="E14" s="469">
        <v>15.74</v>
      </c>
      <c r="F14" s="469">
        <v>50.22</v>
      </c>
    </row>
    <row r="15" spans="1:6" x14ac:dyDescent="0.2">
      <c r="A15" s="474" t="s">
        <v>246</v>
      </c>
      <c r="B15" s="477" t="s">
        <v>4</v>
      </c>
      <c r="C15" s="477">
        <v>16.18</v>
      </c>
      <c r="D15" s="477">
        <v>16.690000000000001</v>
      </c>
      <c r="E15" s="477">
        <v>16.2</v>
      </c>
      <c r="F15" s="477">
        <v>51.42</v>
      </c>
    </row>
    <row r="16" spans="1:6" x14ac:dyDescent="0.2">
      <c r="A16" s="474" t="s">
        <v>247</v>
      </c>
      <c r="B16" s="469" t="s">
        <v>4</v>
      </c>
      <c r="C16" s="469">
        <v>16.190000000000001</v>
      </c>
      <c r="D16" s="469">
        <v>16.63</v>
      </c>
      <c r="E16" s="469">
        <v>16.170000000000002</v>
      </c>
      <c r="F16" s="469">
        <v>58.76</v>
      </c>
    </row>
    <row r="18" spans="1:1" x14ac:dyDescent="0.2">
      <c r="A18" s="134" t="s">
        <v>525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13A6-5BF0-41A4-8CA3-3E1952DF8325}">
  <sheetPr>
    <tabColor theme="4"/>
  </sheetPr>
  <dimension ref="A1:F19"/>
  <sheetViews>
    <sheetView workbookViewId="0">
      <selection activeCell="J43" sqref="J43"/>
    </sheetView>
  </sheetViews>
  <sheetFormatPr baseColWidth="10" defaultColWidth="11.42578125" defaultRowHeight="11.25" x14ac:dyDescent="0.2"/>
  <cols>
    <col min="1" max="16384" width="11.42578125" style="55"/>
  </cols>
  <sheetData>
    <row r="1" spans="1:6" ht="12.75" x14ac:dyDescent="0.2">
      <c r="A1" s="450" t="s">
        <v>818</v>
      </c>
      <c r="B1" s="450"/>
      <c r="C1" s="450"/>
      <c r="D1" s="450"/>
      <c r="E1" s="450"/>
      <c r="F1" s="450"/>
    </row>
    <row r="3" spans="1:6" x14ac:dyDescent="0.2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74" t="s">
        <v>236</v>
      </c>
      <c r="B5" s="477">
        <v>11.18</v>
      </c>
      <c r="C5" s="477">
        <v>11.78</v>
      </c>
      <c r="D5" s="477">
        <v>12.42</v>
      </c>
      <c r="E5" s="477">
        <v>11.74</v>
      </c>
      <c r="F5" s="477">
        <v>37.159999999999997</v>
      </c>
    </row>
    <row r="6" spans="1:6" x14ac:dyDescent="0.2">
      <c r="A6" s="474" t="s">
        <v>237</v>
      </c>
      <c r="B6" s="469">
        <v>11.75</v>
      </c>
      <c r="C6" s="469">
        <v>12.3</v>
      </c>
      <c r="D6" s="469">
        <v>13.03</v>
      </c>
      <c r="E6" s="469">
        <v>12.17</v>
      </c>
      <c r="F6" s="469">
        <v>39.14</v>
      </c>
    </row>
    <row r="7" spans="1:6" x14ac:dyDescent="0.2">
      <c r="A7" s="474" t="s">
        <v>238</v>
      </c>
      <c r="B7" s="477">
        <v>12.26</v>
      </c>
      <c r="C7" s="477">
        <v>13.2</v>
      </c>
      <c r="D7" s="477">
        <v>13.89</v>
      </c>
      <c r="E7" s="477">
        <v>12.93</v>
      </c>
      <c r="F7" s="477">
        <v>39.78</v>
      </c>
    </row>
    <row r="8" spans="1:6" x14ac:dyDescent="0.2">
      <c r="A8" s="474" t="s">
        <v>239</v>
      </c>
      <c r="B8" s="469">
        <v>11.87</v>
      </c>
      <c r="C8" s="469">
        <v>13.52</v>
      </c>
      <c r="D8" s="469">
        <v>14.2</v>
      </c>
      <c r="E8" s="469">
        <v>13.29</v>
      </c>
      <c r="F8" s="469">
        <v>39.93</v>
      </c>
    </row>
    <row r="9" spans="1:6" x14ac:dyDescent="0.2">
      <c r="A9" s="474" t="s">
        <v>240</v>
      </c>
      <c r="B9" s="477">
        <v>11.9</v>
      </c>
      <c r="C9" s="477">
        <v>13.72</v>
      </c>
      <c r="D9" s="477">
        <v>14.39</v>
      </c>
      <c r="E9" s="477">
        <v>13.27</v>
      </c>
      <c r="F9" s="477">
        <v>40.5</v>
      </c>
    </row>
    <row r="10" spans="1:6" x14ac:dyDescent="0.2">
      <c r="A10" s="474" t="s">
        <v>241</v>
      </c>
      <c r="B10" s="469">
        <v>12.03</v>
      </c>
      <c r="C10" s="469">
        <v>14.01</v>
      </c>
      <c r="D10" s="469">
        <v>14.8</v>
      </c>
      <c r="E10" s="469">
        <v>13.58</v>
      </c>
      <c r="F10" s="469">
        <v>40.58</v>
      </c>
    </row>
    <row r="11" spans="1:6" x14ac:dyDescent="0.2">
      <c r="A11" s="474" t="s">
        <v>242</v>
      </c>
      <c r="B11" s="477">
        <v>12.97</v>
      </c>
      <c r="C11" s="477">
        <v>14.5</v>
      </c>
      <c r="D11" s="477">
        <v>15.54</v>
      </c>
      <c r="E11" s="477">
        <v>14.13</v>
      </c>
      <c r="F11" s="477">
        <v>43.77</v>
      </c>
    </row>
    <row r="12" spans="1:6" x14ac:dyDescent="0.2">
      <c r="A12" s="474" t="s">
        <v>243</v>
      </c>
      <c r="B12" s="469">
        <v>13.93</v>
      </c>
      <c r="C12" s="469">
        <v>15.34</v>
      </c>
      <c r="D12" s="469">
        <v>16.079999999999998</v>
      </c>
      <c r="E12" s="469">
        <v>14.87</v>
      </c>
      <c r="F12" s="469">
        <v>46.03</v>
      </c>
    </row>
    <row r="13" spans="1:6" x14ac:dyDescent="0.2">
      <c r="A13" s="474" t="s">
        <v>692</v>
      </c>
      <c r="B13" s="477">
        <v>14.36</v>
      </c>
      <c r="C13" s="477">
        <v>15.73</v>
      </c>
      <c r="D13" s="477">
        <v>16.23</v>
      </c>
      <c r="E13" s="477">
        <v>15.21</v>
      </c>
      <c r="F13" s="477">
        <v>44.1</v>
      </c>
    </row>
    <row r="14" spans="1:6" x14ac:dyDescent="0.2">
      <c r="A14" s="474" t="s">
        <v>245</v>
      </c>
      <c r="B14" s="469">
        <v>15.01</v>
      </c>
      <c r="C14" s="469">
        <v>16.13</v>
      </c>
      <c r="D14" s="469">
        <v>16.59</v>
      </c>
      <c r="E14" s="469">
        <v>15.85</v>
      </c>
      <c r="F14" s="469">
        <v>44.6</v>
      </c>
    </row>
    <row r="15" spans="1:6" x14ac:dyDescent="0.2">
      <c r="A15" s="474" t="s">
        <v>246</v>
      </c>
      <c r="B15" s="477">
        <v>15.27</v>
      </c>
      <c r="C15" s="477">
        <v>16.45</v>
      </c>
      <c r="D15" s="477">
        <v>17.100000000000001</v>
      </c>
      <c r="E15" s="477">
        <v>16.09</v>
      </c>
      <c r="F15" s="477">
        <v>50.1</v>
      </c>
    </row>
    <row r="16" spans="1:6" x14ac:dyDescent="0.2">
      <c r="A16" s="474" t="s">
        <v>247</v>
      </c>
      <c r="B16" s="469">
        <v>15.44</v>
      </c>
      <c r="C16" s="469">
        <v>16.48</v>
      </c>
      <c r="D16" s="469">
        <v>17.21</v>
      </c>
      <c r="E16" s="469">
        <v>16.010000000000002</v>
      </c>
      <c r="F16" s="469">
        <v>55.47</v>
      </c>
    </row>
    <row r="19" spans="1:1" x14ac:dyDescent="0.2">
      <c r="A19" s="134" t="s">
        <v>702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D167-2B1F-4DAE-9A91-B0C0755A89CC}">
  <sheetPr>
    <tabColor theme="4"/>
  </sheetPr>
  <dimension ref="A1:F18"/>
  <sheetViews>
    <sheetView workbookViewId="0">
      <selection activeCell="G18" sqref="G18"/>
    </sheetView>
  </sheetViews>
  <sheetFormatPr baseColWidth="10" defaultRowHeight="15" x14ac:dyDescent="0.25"/>
  <cols>
    <col min="6" max="6" width="14.28515625" customWidth="1"/>
  </cols>
  <sheetData>
    <row r="1" spans="1:6" x14ac:dyDescent="0.25">
      <c r="A1" s="451" t="s">
        <v>819</v>
      </c>
      <c r="B1" s="451"/>
      <c r="C1" s="451"/>
      <c r="D1" s="451"/>
      <c r="E1" s="451"/>
      <c r="F1" s="451"/>
    </row>
    <row r="3" spans="1:6" ht="18" customHeight="1" x14ac:dyDescent="0.25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7" customHeight="1" x14ac:dyDescent="0.25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ht="12" customHeight="1" x14ac:dyDescent="0.25">
      <c r="A5" s="474" t="s">
        <v>236</v>
      </c>
      <c r="B5" s="477">
        <v>11.4</v>
      </c>
      <c r="C5" s="477">
        <v>11.58</v>
      </c>
      <c r="D5" s="477">
        <v>12.27</v>
      </c>
      <c r="E5" s="477">
        <v>11.85</v>
      </c>
      <c r="F5" s="477">
        <v>40.82</v>
      </c>
    </row>
    <row r="6" spans="1:6" ht="12" customHeight="1" x14ac:dyDescent="0.25">
      <c r="A6" s="474" t="s">
        <v>237</v>
      </c>
      <c r="B6" s="469">
        <v>12.36</v>
      </c>
      <c r="C6" s="469">
        <v>12.49</v>
      </c>
      <c r="D6" s="469">
        <v>13.23</v>
      </c>
      <c r="E6" s="469">
        <v>12.38</v>
      </c>
      <c r="F6" s="469">
        <v>41.58</v>
      </c>
    </row>
    <row r="7" spans="1:6" ht="12" customHeight="1" x14ac:dyDescent="0.25">
      <c r="A7" s="474" t="s">
        <v>238</v>
      </c>
      <c r="B7" s="477">
        <v>13.29</v>
      </c>
      <c r="C7" s="477">
        <v>13.48</v>
      </c>
      <c r="D7" s="477">
        <v>14.05</v>
      </c>
      <c r="E7" s="477">
        <v>13.37</v>
      </c>
      <c r="F7" s="477">
        <v>41.95</v>
      </c>
    </row>
    <row r="8" spans="1:6" ht="12" customHeight="1" x14ac:dyDescent="0.25">
      <c r="A8" s="474" t="s">
        <v>239</v>
      </c>
      <c r="B8" s="469">
        <v>13.4</v>
      </c>
      <c r="C8" s="469">
        <v>13.6</v>
      </c>
      <c r="D8" s="469">
        <v>14.02</v>
      </c>
      <c r="E8" s="469">
        <v>13.47</v>
      </c>
      <c r="F8" s="469">
        <v>42.54</v>
      </c>
    </row>
    <row r="9" spans="1:6" ht="12" customHeight="1" x14ac:dyDescent="0.25">
      <c r="A9" s="474" t="s">
        <v>240</v>
      </c>
      <c r="B9" s="477">
        <v>13.68</v>
      </c>
      <c r="C9" s="477">
        <v>13.97</v>
      </c>
      <c r="D9" s="477">
        <v>14.57</v>
      </c>
      <c r="E9" s="477">
        <v>13.58</v>
      </c>
      <c r="F9" s="477">
        <v>42.54</v>
      </c>
    </row>
    <row r="10" spans="1:6" ht="12" customHeight="1" x14ac:dyDescent="0.25">
      <c r="A10" s="474" t="s">
        <v>241</v>
      </c>
      <c r="B10" s="469">
        <v>14.36</v>
      </c>
      <c r="C10" s="469">
        <v>14.69</v>
      </c>
      <c r="D10" s="469">
        <v>15.3</v>
      </c>
      <c r="E10" s="469">
        <v>14.12</v>
      </c>
      <c r="F10" s="469">
        <v>43.62</v>
      </c>
    </row>
    <row r="11" spans="1:6" ht="12" customHeight="1" x14ac:dyDescent="0.25">
      <c r="A11" s="474" t="s">
        <v>242</v>
      </c>
      <c r="B11" s="477">
        <v>14.77</v>
      </c>
      <c r="C11" s="477">
        <v>15.15</v>
      </c>
      <c r="D11" s="477">
        <v>15.85</v>
      </c>
      <c r="E11" s="477">
        <v>14.56</v>
      </c>
      <c r="F11" s="477">
        <v>47.93</v>
      </c>
    </row>
    <row r="12" spans="1:6" ht="12" customHeight="1" x14ac:dyDescent="0.25">
      <c r="A12" s="474" t="s">
        <v>243</v>
      </c>
      <c r="B12" s="469">
        <v>15.08</v>
      </c>
      <c r="C12" s="469">
        <v>15.39</v>
      </c>
      <c r="D12" s="469">
        <v>16.079999999999998</v>
      </c>
      <c r="E12" s="469">
        <v>15</v>
      </c>
      <c r="F12" s="469">
        <v>50.36</v>
      </c>
    </row>
    <row r="13" spans="1:6" ht="12" customHeight="1" x14ac:dyDescent="0.25">
      <c r="A13" s="474" t="s">
        <v>692</v>
      </c>
      <c r="B13" s="477">
        <v>15.48</v>
      </c>
      <c r="C13" s="477">
        <v>15.89</v>
      </c>
      <c r="D13" s="477">
        <v>16.559999999999999</v>
      </c>
      <c r="E13" s="477">
        <v>15.51</v>
      </c>
      <c r="F13" s="477">
        <v>49.55</v>
      </c>
    </row>
    <row r="14" spans="1:6" ht="12" customHeight="1" x14ac:dyDescent="0.25">
      <c r="A14" s="474" t="s">
        <v>245</v>
      </c>
      <c r="B14" s="469">
        <v>15.74</v>
      </c>
      <c r="C14" s="469">
        <v>16.25</v>
      </c>
      <c r="D14" s="469">
        <v>16.920000000000002</v>
      </c>
      <c r="E14" s="469">
        <v>16.28</v>
      </c>
      <c r="F14" s="469">
        <v>46.26</v>
      </c>
    </row>
    <row r="15" spans="1:6" ht="12" customHeight="1" x14ac:dyDescent="0.25">
      <c r="A15" s="474" t="s">
        <v>246</v>
      </c>
      <c r="B15" s="477">
        <v>15.95</v>
      </c>
      <c r="C15" s="477">
        <v>16.600000000000001</v>
      </c>
      <c r="D15" s="477">
        <v>17.21</v>
      </c>
      <c r="E15" s="477">
        <v>16.18</v>
      </c>
      <c r="F15" s="477">
        <v>50.88</v>
      </c>
    </row>
    <row r="16" spans="1:6" ht="12" customHeight="1" x14ac:dyDescent="0.25">
      <c r="A16" s="474" t="s">
        <v>247</v>
      </c>
      <c r="B16" s="469">
        <v>15.95</v>
      </c>
      <c r="C16" s="469">
        <v>16.53</v>
      </c>
      <c r="D16" s="469">
        <v>17.190000000000001</v>
      </c>
      <c r="E16" s="469">
        <v>16.28</v>
      </c>
      <c r="F16" s="469">
        <v>56.29</v>
      </c>
    </row>
    <row r="18" spans="1:1" x14ac:dyDescent="0.25">
      <c r="A18" s="135" t="s">
        <v>703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2772-49D3-45D2-B65C-2A81165C8EE0}">
  <sheetPr>
    <tabColor theme="4"/>
  </sheetPr>
  <dimension ref="A1:F19"/>
  <sheetViews>
    <sheetView workbookViewId="0">
      <selection activeCell="I33" sqref="I33"/>
    </sheetView>
  </sheetViews>
  <sheetFormatPr baseColWidth="10" defaultRowHeight="15" x14ac:dyDescent="0.25"/>
  <cols>
    <col min="6" max="6" width="13.28515625" customWidth="1"/>
  </cols>
  <sheetData>
    <row r="1" spans="1:6" x14ac:dyDescent="0.25">
      <c r="A1" s="451" t="s">
        <v>820</v>
      </c>
      <c r="B1" s="451"/>
      <c r="C1" s="451"/>
      <c r="D1" s="451"/>
      <c r="E1" s="451"/>
      <c r="F1" s="451"/>
    </row>
    <row r="3" spans="1:6" ht="14.25" customHeight="1" x14ac:dyDescent="0.25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14.25" customHeight="1" x14ac:dyDescent="0.25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ht="14.25" customHeight="1" x14ac:dyDescent="0.25">
      <c r="A5" s="474" t="s">
        <v>236</v>
      </c>
      <c r="B5" s="477">
        <v>11.81</v>
      </c>
      <c r="C5" s="477">
        <v>12.38</v>
      </c>
      <c r="D5" s="477">
        <v>13.42</v>
      </c>
      <c r="E5" s="477">
        <v>11.6</v>
      </c>
      <c r="F5" s="477">
        <v>41.04</v>
      </c>
    </row>
    <row r="6" spans="1:6" ht="14.25" customHeight="1" x14ac:dyDescent="0.25">
      <c r="A6" s="474" t="s">
        <v>237</v>
      </c>
      <c r="B6" s="469">
        <v>12.37</v>
      </c>
      <c r="C6" s="469">
        <v>13.04</v>
      </c>
      <c r="D6" s="469">
        <v>14.11</v>
      </c>
      <c r="E6" s="469">
        <v>12.13</v>
      </c>
      <c r="F6" s="469">
        <v>42.1</v>
      </c>
    </row>
    <row r="7" spans="1:6" ht="14.25" customHeight="1" x14ac:dyDescent="0.25">
      <c r="A7" s="474" t="s">
        <v>238</v>
      </c>
      <c r="B7" s="477">
        <v>13.4</v>
      </c>
      <c r="C7" s="477">
        <v>13.75</v>
      </c>
      <c r="D7" s="477">
        <v>15.06</v>
      </c>
      <c r="E7" s="477">
        <v>13.2</v>
      </c>
      <c r="F7" s="477">
        <v>42.26</v>
      </c>
    </row>
    <row r="8" spans="1:6" ht="14.25" customHeight="1" x14ac:dyDescent="0.25">
      <c r="A8" s="474" t="s">
        <v>239</v>
      </c>
      <c r="B8" s="469">
        <v>13.64</v>
      </c>
      <c r="C8" s="469">
        <v>13.92</v>
      </c>
      <c r="D8" s="469">
        <v>15.22</v>
      </c>
      <c r="E8" s="469">
        <v>13.51</v>
      </c>
      <c r="F8" s="469">
        <v>42.75</v>
      </c>
    </row>
    <row r="9" spans="1:6" ht="14.25" customHeight="1" x14ac:dyDescent="0.25">
      <c r="A9" s="474" t="s">
        <v>240</v>
      </c>
      <c r="B9" s="477">
        <v>13.82</v>
      </c>
      <c r="C9" s="477">
        <v>14.06</v>
      </c>
      <c r="D9" s="477">
        <v>15.16</v>
      </c>
      <c r="E9" s="477">
        <v>13.4</v>
      </c>
      <c r="F9" s="477">
        <v>42.73</v>
      </c>
    </row>
    <row r="10" spans="1:6" ht="14.25" customHeight="1" x14ac:dyDescent="0.25">
      <c r="A10" s="474" t="s">
        <v>241</v>
      </c>
      <c r="B10" s="469">
        <v>14.22</v>
      </c>
      <c r="C10" s="469">
        <v>14.61</v>
      </c>
      <c r="D10" s="469">
        <v>15.54</v>
      </c>
      <c r="E10" s="469">
        <v>13.91</v>
      </c>
      <c r="F10" s="469">
        <v>42.98</v>
      </c>
    </row>
    <row r="11" spans="1:6" ht="14.25" customHeight="1" x14ac:dyDescent="0.25">
      <c r="A11" s="474" t="s">
        <v>242</v>
      </c>
      <c r="B11" s="477">
        <v>14.67</v>
      </c>
      <c r="C11" s="477">
        <v>15.25</v>
      </c>
      <c r="D11" s="477">
        <v>16.059999999999999</v>
      </c>
      <c r="E11" s="477">
        <v>14.71</v>
      </c>
      <c r="F11" s="477">
        <v>43.97</v>
      </c>
    </row>
    <row r="12" spans="1:6" ht="14.25" customHeight="1" x14ac:dyDescent="0.25">
      <c r="A12" s="474" t="s">
        <v>243</v>
      </c>
      <c r="B12" s="469">
        <v>15.34</v>
      </c>
      <c r="C12" s="469">
        <v>15.74</v>
      </c>
      <c r="D12" s="469">
        <v>16.559999999999999</v>
      </c>
      <c r="E12" s="469">
        <v>15.11</v>
      </c>
      <c r="F12" s="469">
        <v>45.79</v>
      </c>
    </row>
    <row r="13" spans="1:6" ht="14.25" customHeight="1" x14ac:dyDescent="0.25">
      <c r="A13" s="474" t="s">
        <v>692</v>
      </c>
      <c r="B13" s="477">
        <v>15.79</v>
      </c>
      <c r="C13" s="477">
        <v>16.16</v>
      </c>
      <c r="D13" s="477">
        <v>16.760000000000002</v>
      </c>
      <c r="E13" s="477">
        <v>15.54</v>
      </c>
      <c r="F13" s="477">
        <v>44.15</v>
      </c>
    </row>
    <row r="14" spans="1:6" ht="14.25" customHeight="1" x14ac:dyDescent="0.25">
      <c r="A14" s="474" t="s">
        <v>245</v>
      </c>
      <c r="B14" s="469">
        <v>16.29</v>
      </c>
      <c r="C14" s="469">
        <v>16.53</v>
      </c>
      <c r="D14" s="469">
        <v>17.3</v>
      </c>
      <c r="E14" s="469">
        <v>16.25</v>
      </c>
      <c r="F14" s="469">
        <v>44.53</v>
      </c>
    </row>
    <row r="15" spans="1:6" ht="14.25" customHeight="1" x14ac:dyDescent="0.25">
      <c r="A15" s="474" t="s">
        <v>246</v>
      </c>
      <c r="B15" s="477">
        <v>16.75</v>
      </c>
      <c r="C15" s="477">
        <v>16.97</v>
      </c>
      <c r="D15" s="477">
        <v>17.850000000000001</v>
      </c>
      <c r="E15" s="477">
        <v>16.600000000000001</v>
      </c>
      <c r="F15" s="477">
        <v>46.56</v>
      </c>
    </row>
    <row r="16" spans="1:6" ht="14.25" customHeight="1" x14ac:dyDescent="0.25">
      <c r="A16" s="474" t="s">
        <v>247</v>
      </c>
      <c r="B16" s="469">
        <v>16.93</v>
      </c>
      <c r="C16" s="469">
        <v>17.05</v>
      </c>
      <c r="D16" s="469">
        <v>17.86</v>
      </c>
      <c r="E16" s="469">
        <v>16.649999999999999</v>
      </c>
      <c r="F16" s="469">
        <v>49.25</v>
      </c>
    </row>
    <row r="19" spans="1:1" x14ac:dyDescent="0.25">
      <c r="A19" s="135" t="s">
        <v>704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EAD6-03FD-4D78-B514-30B0F43CC362}">
  <sheetPr>
    <tabColor theme="4"/>
  </sheetPr>
  <dimension ref="A1:F19"/>
  <sheetViews>
    <sheetView workbookViewId="0">
      <selection activeCell="H31" sqref="H31"/>
    </sheetView>
  </sheetViews>
  <sheetFormatPr baseColWidth="10" defaultColWidth="11.42578125" defaultRowHeight="11.25" x14ac:dyDescent="0.2"/>
  <cols>
    <col min="1" max="16384" width="11.42578125" style="55"/>
  </cols>
  <sheetData>
    <row r="1" spans="1:6" ht="15" x14ac:dyDescent="0.25">
      <c r="A1" s="451" t="s">
        <v>821</v>
      </c>
      <c r="B1" s="451"/>
      <c r="C1" s="451"/>
      <c r="D1" s="451"/>
      <c r="E1" s="451"/>
      <c r="F1" s="451"/>
    </row>
    <row r="3" spans="1:6" x14ac:dyDescent="0.2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74" t="s">
        <v>236</v>
      </c>
      <c r="B5" s="477">
        <v>12.66</v>
      </c>
      <c r="C5" s="477">
        <v>13.3</v>
      </c>
      <c r="D5" s="477">
        <v>14.74</v>
      </c>
      <c r="E5" s="477">
        <v>12.61</v>
      </c>
      <c r="F5" s="477">
        <v>40.21</v>
      </c>
    </row>
    <row r="6" spans="1:6" x14ac:dyDescent="0.2">
      <c r="A6" s="474" t="s">
        <v>237</v>
      </c>
      <c r="B6" s="469">
        <v>13.15</v>
      </c>
      <c r="C6" s="469">
        <v>14.06</v>
      </c>
      <c r="D6" s="469">
        <v>15.59</v>
      </c>
      <c r="E6" s="469">
        <v>13.3</v>
      </c>
      <c r="F6" s="469">
        <v>41.71</v>
      </c>
    </row>
    <row r="7" spans="1:6" x14ac:dyDescent="0.2">
      <c r="A7" s="474" t="s">
        <v>238</v>
      </c>
      <c r="B7" s="477">
        <v>14.04</v>
      </c>
      <c r="C7" s="477">
        <v>14.89</v>
      </c>
      <c r="D7" s="477">
        <v>16.510000000000002</v>
      </c>
      <c r="E7" s="477">
        <v>14.32</v>
      </c>
      <c r="F7" s="477">
        <v>41.57</v>
      </c>
    </row>
    <row r="8" spans="1:6" x14ac:dyDescent="0.2">
      <c r="A8" s="474" t="s">
        <v>239</v>
      </c>
      <c r="B8" s="469">
        <v>14.11</v>
      </c>
      <c r="C8" s="469">
        <v>14.89</v>
      </c>
      <c r="D8" s="469">
        <v>16.38</v>
      </c>
      <c r="E8" s="469">
        <v>14.36</v>
      </c>
      <c r="F8" s="469">
        <v>43.33</v>
      </c>
    </row>
    <row r="9" spans="1:6" x14ac:dyDescent="0.2">
      <c r="A9" s="474" t="s">
        <v>240</v>
      </c>
      <c r="B9" s="477">
        <v>14.08</v>
      </c>
      <c r="C9" s="477">
        <v>15.09</v>
      </c>
      <c r="D9" s="477">
        <v>16.66</v>
      </c>
      <c r="E9" s="477">
        <v>14.25</v>
      </c>
      <c r="F9" s="477">
        <v>44.37</v>
      </c>
    </row>
    <row r="10" spans="1:6" x14ac:dyDescent="0.2">
      <c r="A10" s="474" t="s">
        <v>241</v>
      </c>
      <c r="B10" s="469">
        <v>14.4</v>
      </c>
      <c r="C10" s="469">
        <v>15.45</v>
      </c>
      <c r="D10" s="469">
        <v>16.690000000000001</v>
      </c>
      <c r="E10" s="469">
        <v>14.71</v>
      </c>
      <c r="F10" s="469">
        <v>45.22</v>
      </c>
    </row>
    <row r="11" spans="1:6" x14ac:dyDescent="0.2">
      <c r="A11" s="474" t="s">
        <v>242</v>
      </c>
      <c r="B11" s="477">
        <v>14.74</v>
      </c>
      <c r="C11" s="477">
        <v>15.7</v>
      </c>
      <c r="D11" s="477">
        <v>16.989999999999998</v>
      </c>
      <c r="E11" s="477">
        <v>15.02</v>
      </c>
      <c r="F11" s="477">
        <v>47.09</v>
      </c>
    </row>
    <row r="12" spans="1:6" x14ac:dyDescent="0.2">
      <c r="A12" s="474" t="s">
        <v>243</v>
      </c>
      <c r="B12" s="469">
        <v>15.28</v>
      </c>
      <c r="C12" s="469">
        <v>16.2</v>
      </c>
      <c r="D12" s="469">
        <v>17.600000000000001</v>
      </c>
      <c r="E12" s="469">
        <v>15.79</v>
      </c>
      <c r="F12" s="469">
        <v>50.95</v>
      </c>
    </row>
    <row r="13" spans="1:6" x14ac:dyDescent="0.2">
      <c r="A13" s="474" t="s">
        <v>692</v>
      </c>
      <c r="B13" s="477">
        <v>15.71</v>
      </c>
      <c r="C13" s="477">
        <v>16.329999999999998</v>
      </c>
      <c r="D13" s="477">
        <v>17.54</v>
      </c>
      <c r="E13" s="477">
        <v>16</v>
      </c>
      <c r="F13" s="477">
        <v>50.59</v>
      </c>
    </row>
    <row r="14" spans="1:6" x14ac:dyDescent="0.2">
      <c r="A14" s="474" t="s">
        <v>245</v>
      </c>
      <c r="B14" s="469">
        <v>15.92</v>
      </c>
      <c r="C14" s="469">
        <v>16.59</v>
      </c>
      <c r="D14" s="469">
        <v>17.899999999999999</v>
      </c>
      <c r="E14" s="469">
        <v>16.95</v>
      </c>
      <c r="F14" s="469">
        <v>49.77</v>
      </c>
    </row>
    <row r="15" spans="1:6" x14ac:dyDescent="0.2">
      <c r="A15" s="474" t="s">
        <v>246</v>
      </c>
      <c r="B15" s="477">
        <v>16.46</v>
      </c>
      <c r="C15" s="477">
        <v>17.239999999999998</v>
      </c>
      <c r="D15" s="477">
        <v>18.690000000000001</v>
      </c>
      <c r="E15" s="477">
        <v>16.96</v>
      </c>
      <c r="F15" s="477">
        <v>51.22</v>
      </c>
    </row>
    <row r="16" spans="1:6" x14ac:dyDescent="0.2">
      <c r="A16" s="474" t="s">
        <v>247</v>
      </c>
      <c r="B16" s="469">
        <v>16.38</v>
      </c>
      <c r="C16" s="469">
        <v>17.350000000000001</v>
      </c>
      <c r="D16" s="469">
        <v>18.690000000000001</v>
      </c>
      <c r="E16" s="469">
        <v>17.04</v>
      </c>
      <c r="F16" s="469">
        <v>54.62</v>
      </c>
    </row>
    <row r="19" spans="1:1" x14ac:dyDescent="0.2">
      <c r="A19" s="134" t="s">
        <v>521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7823-1EAA-4E65-A55F-9B8ED65CD047}">
  <sheetPr>
    <tabColor theme="4"/>
  </sheetPr>
  <dimension ref="A1:E18"/>
  <sheetViews>
    <sheetView workbookViewId="0">
      <selection activeCell="J43" sqref="J43"/>
    </sheetView>
  </sheetViews>
  <sheetFormatPr baseColWidth="10" defaultColWidth="11.42578125" defaultRowHeight="11.25" x14ac:dyDescent="0.2"/>
  <cols>
    <col min="1" max="16384" width="11.42578125" style="55"/>
  </cols>
  <sheetData>
    <row r="1" spans="1:5" ht="12.75" x14ac:dyDescent="0.2">
      <c r="A1" s="450" t="s">
        <v>822</v>
      </c>
      <c r="B1" s="450"/>
      <c r="C1" s="450"/>
      <c r="D1" s="450"/>
      <c r="E1" s="450"/>
    </row>
    <row r="3" spans="1:5" x14ac:dyDescent="0.2">
      <c r="A3" s="343">
        <v>2021</v>
      </c>
      <c r="B3" s="343" t="s">
        <v>681</v>
      </c>
      <c r="C3" s="343"/>
      <c r="D3" s="343" t="s">
        <v>602</v>
      </c>
      <c r="E3" s="448" t="s">
        <v>583</v>
      </c>
    </row>
    <row r="4" spans="1:5" ht="22.5" x14ac:dyDescent="0.2">
      <c r="A4" s="343"/>
      <c r="B4" s="422" t="s">
        <v>694</v>
      </c>
      <c r="C4" s="422" t="s">
        <v>686</v>
      </c>
      <c r="D4" s="343"/>
      <c r="E4" s="422" t="s">
        <v>699</v>
      </c>
    </row>
    <row r="5" spans="1:5" x14ac:dyDescent="0.2">
      <c r="A5" s="463" t="s">
        <v>236</v>
      </c>
      <c r="B5" s="459">
        <v>11.95</v>
      </c>
      <c r="C5" s="459">
        <v>12.83</v>
      </c>
      <c r="D5" s="459">
        <v>11.9</v>
      </c>
      <c r="E5" s="459">
        <v>40.65</v>
      </c>
    </row>
    <row r="6" spans="1:5" x14ac:dyDescent="0.2">
      <c r="A6" s="474" t="s">
        <v>237</v>
      </c>
      <c r="B6" s="469">
        <v>13.12</v>
      </c>
      <c r="C6" s="469">
        <v>14.01</v>
      </c>
      <c r="D6" s="469">
        <v>12.87</v>
      </c>
      <c r="E6" s="469">
        <v>41.49</v>
      </c>
    </row>
    <row r="7" spans="1:5" x14ac:dyDescent="0.2">
      <c r="A7" s="474" t="s">
        <v>238</v>
      </c>
      <c r="B7" s="477">
        <v>14.3</v>
      </c>
      <c r="C7" s="477">
        <v>14.93</v>
      </c>
      <c r="D7" s="477">
        <v>13.96</v>
      </c>
      <c r="E7" s="477">
        <v>42.49</v>
      </c>
    </row>
    <row r="8" spans="1:5" x14ac:dyDescent="0.2">
      <c r="A8" s="474" t="s">
        <v>239</v>
      </c>
      <c r="B8" s="469">
        <v>14.49</v>
      </c>
      <c r="C8" s="469">
        <v>15.09</v>
      </c>
      <c r="D8" s="469">
        <v>14.08</v>
      </c>
      <c r="E8" s="469">
        <v>42.8</v>
      </c>
    </row>
    <row r="9" spans="1:5" x14ac:dyDescent="0.2">
      <c r="A9" s="474" t="s">
        <v>240</v>
      </c>
      <c r="B9" s="477">
        <v>14.6</v>
      </c>
      <c r="C9" s="477">
        <v>15.21</v>
      </c>
      <c r="D9" s="477">
        <v>14.06</v>
      </c>
      <c r="E9" s="477">
        <v>42.49</v>
      </c>
    </row>
    <row r="10" spans="1:5" x14ac:dyDescent="0.2">
      <c r="A10" s="474" t="s">
        <v>241</v>
      </c>
      <c r="B10" s="469">
        <v>15.17</v>
      </c>
      <c r="C10" s="469">
        <v>15.7</v>
      </c>
      <c r="D10" s="469">
        <v>14.38</v>
      </c>
      <c r="E10" s="469">
        <v>43.47</v>
      </c>
    </row>
    <row r="11" spans="1:5" x14ac:dyDescent="0.2">
      <c r="A11" s="474" t="s">
        <v>242</v>
      </c>
      <c r="B11" s="477">
        <v>15.73</v>
      </c>
      <c r="C11" s="477">
        <v>16.25</v>
      </c>
      <c r="D11" s="477">
        <v>14.84</v>
      </c>
      <c r="E11" s="477">
        <v>48.16</v>
      </c>
    </row>
    <row r="12" spans="1:5" x14ac:dyDescent="0.2">
      <c r="A12" s="474" t="s">
        <v>243</v>
      </c>
      <c r="B12" s="469">
        <v>16.12</v>
      </c>
      <c r="C12" s="469">
        <v>16.600000000000001</v>
      </c>
      <c r="D12" s="469">
        <v>15.47</v>
      </c>
      <c r="E12" s="469">
        <v>52.48</v>
      </c>
    </row>
    <row r="13" spans="1:5" x14ac:dyDescent="0.2">
      <c r="A13" s="474" t="s">
        <v>692</v>
      </c>
      <c r="B13" s="477">
        <v>16.14</v>
      </c>
      <c r="C13" s="477">
        <v>16.7</v>
      </c>
      <c r="D13" s="477">
        <v>15.59</v>
      </c>
      <c r="E13" s="477">
        <v>47.59</v>
      </c>
    </row>
    <row r="14" spans="1:5" x14ac:dyDescent="0.2">
      <c r="A14" s="474" t="s">
        <v>245</v>
      </c>
      <c r="B14" s="469">
        <v>16.72</v>
      </c>
      <c r="C14" s="469">
        <v>17.38</v>
      </c>
      <c r="D14" s="469">
        <v>16.45</v>
      </c>
      <c r="E14" s="469">
        <v>48.33</v>
      </c>
    </row>
    <row r="15" spans="1:5" x14ac:dyDescent="0.2">
      <c r="A15" s="474" t="s">
        <v>246</v>
      </c>
      <c r="B15" s="477">
        <v>16.95</v>
      </c>
      <c r="C15" s="477">
        <v>17.66</v>
      </c>
      <c r="D15" s="477">
        <v>16.59</v>
      </c>
      <c r="E15" s="477">
        <v>54.5</v>
      </c>
    </row>
    <row r="16" spans="1:5" x14ac:dyDescent="0.2">
      <c r="A16" s="474" t="s">
        <v>247</v>
      </c>
      <c r="B16" s="469">
        <v>16.82</v>
      </c>
      <c r="C16" s="469">
        <v>17.53</v>
      </c>
      <c r="D16" s="469">
        <v>15.97</v>
      </c>
      <c r="E16" s="469">
        <v>60</v>
      </c>
    </row>
    <row r="18" spans="1:1" x14ac:dyDescent="0.2">
      <c r="A18" s="134" t="s">
        <v>705</v>
      </c>
    </row>
  </sheetData>
  <mergeCells count="4">
    <mergeCell ref="A3:A4"/>
    <mergeCell ref="B3:C3"/>
    <mergeCell ref="D3:D4"/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1CE4-78DA-427C-A595-CDC830BAC40C}">
  <sheetPr>
    <tabColor theme="4"/>
  </sheetPr>
  <dimension ref="A1:F19"/>
  <sheetViews>
    <sheetView workbookViewId="0">
      <selection activeCell="K45" sqref="K45"/>
    </sheetView>
  </sheetViews>
  <sheetFormatPr baseColWidth="10" defaultColWidth="11.42578125" defaultRowHeight="11.25" x14ac:dyDescent="0.2"/>
  <cols>
    <col min="1" max="16384" width="11.42578125" style="55"/>
  </cols>
  <sheetData>
    <row r="1" spans="1:6" ht="12.75" x14ac:dyDescent="0.2">
      <c r="A1" s="450" t="s">
        <v>823</v>
      </c>
      <c r="B1" s="450"/>
      <c r="C1" s="450"/>
      <c r="D1" s="450"/>
      <c r="E1" s="450"/>
      <c r="F1" s="450"/>
    </row>
    <row r="3" spans="1:6" x14ac:dyDescent="0.2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74" t="s">
        <v>236</v>
      </c>
      <c r="B5" s="477">
        <v>12.93</v>
      </c>
      <c r="C5" s="477">
        <v>13.15</v>
      </c>
      <c r="D5" s="478">
        <v>13.42</v>
      </c>
      <c r="E5" s="477">
        <v>11.84</v>
      </c>
      <c r="F5" s="477">
        <v>39.31</v>
      </c>
    </row>
    <row r="6" spans="1:6" x14ac:dyDescent="0.2">
      <c r="A6" s="474" t="s">
        <v>237</v>
      </c>
      <c r="B6" s="469">
        <v>13.95</v>
      </c>
      <c r="C6" s="469">
        <v>14.03</v>
      </c>
      <c r="D6" s="478">
        <v>14.48</v>
      </c>
      <c r="E6" s="469">
        <v>12.48</v>
      </c>
      <c r="F6" s="469">
        <v>41.3</v>
      </c>
    </row>
    <row r="7" spans="1:6" x14ac:dyDescent="0.2">
      <c r="A7" s="474" t="s">
        <v>238</v>
      </c>
      <c r="B7" s="477">
        <v>14.79</v>
      </c>
      <c r="C7" s="477">
        <v>15.12</v>
      </c>
      <c r="D7" s="478">
        <v>15.19</v>
      </c>
      <c r="E7" s="477">
        <v>13.48</v>
      </c>
      <c r="F7" s="477">
        <v>39.72</v>
      </c>
    </row>
    <row r="8" spans="1:6" x14ac:dyDescent="0.2">
      <c r="A8" s="474" t="s">
        <v>239</v>
      </c>
      <c r="B8" s="469">
        <v>14.67</v>
      </c>
      <c r="C8" s="469">
        <v>14.79</v>
      </c>
      <c r="D8" s="478">
        <v>14.9</v>
      </c>
      <c r="E8" s="469">
        <v>13.24</v>
      </c>
      <c r="F8" s="469">
        <v>39.72</v>
      </c>
    </row>
    <row r="9" spans="1:6" x14ac:dyDescent="0.2">
      <c r="A9" s="474" t="s">
        <v>240</v>
      </c>
      <c r="B9" s="477">
        <v>15.06</v>
      </c>
      <c r="C9" s="477">
        <v>15.35</v>
      </c>
      <c r="D9" s="478">
        <v>15.34</v>
      </c>
      <c r="E9" s="477">
        <v>13.47</v>
      </c>
      <c r="F9" s="477">
        <v>40.82</v>
      </c>
    </row>
    <row r="10" spans="1:6" x14ac:dyDescent="0.2">
      <c r="A10" s="474" t="s">
        <v>241</v>
      </c>
      <c r="B10" s="469">
        <v>15.44</v>
      </c>
      <c r="C10" s="469">
        <v>15.61</v>
      </c>
      <c r="D10" s="478">
        <v>15.7</v>
      </c>
      <c r="E10" s="469">
        <v>13.97</v>
      </c>
      <c r="F10" s="469">
        <v>42.98</v>
      </c>
    </row>
    <row r="11" spans="1:6" x14ac:dyDescent="0.2">
      <c r="A11" s="474" t="s">
        <v>242</v>
      </c>
      <c r="B11" s="477">
        <v>16</v>
      </c>
      <c r="C11" s="477">
        <v>16.260000000000002</v>
      </c>
      <c r="D11" s="478">
        <v>16.34</v>
      </c>
      <c r="E11" s="477">
        <v>14.52</v>
      </c>
      <c r="F11" s="477">
        <v>47.62</v>
      </c>
    </row>
    <row r="12" spans="1:6" x14ac:dyDescent="0.2">
      <c r="A12" s="474" t="s">
        <v>243</v>
      </c>
      <c r="B12" s="469">
        <v>16.98</v>
      </c>
      <c r="C12" s="469">
        <v>17.18</v>
      </c>
      <c r="D12" s="478">
        <v>17.350000000000001</v>
      </c>
      <c r="E12" s="469">
        <v>15.48</v>
      </c>
      <c r="F12" s="469">
        <v>49.1</v>
      </c>
    </row>
    <row r="13" spans="1:6" x14ac:dyDescent="0.2">
      <c r="A13" s="474" t="s">
        <v>692</v>
      </c>
      <c r="B13" s="477">
        <v>17.059999999999999</v>
      </c>
      <c r="C13" s="477">
        <v>17.23</v>
      </c>
      <c r="D13" s="478">
        <v>17.43</v>
      </c>
      <c r="E13" s="477">
        <v>15.51</v>
      </c>
      <c r="F13" s="477">
        <v>46.83</v>
      </c>
    </row>
    <row r="14" spans="1:6" x14ac:dyDescent="0.2">
      <c r="A14" s="474" t="s">
        <v>245</v>
      </c>
      <c r="B14" s="469">
        <v>17.16</v>
      </c>
      <c r="C14" s="469">
        <v>17.399999999999999</v>
      </c>
      <c r="D14" s="478">
        <v>17.55</v>
      </c>
      <c r="E14" s="469">
        <v>15.98</v>
      </c>
      <c r="F14" s="469">
        <v>45.89</v>
      </c>
    </row>
    <row r="15" spans="1:6" x14ac:dyDescent="0.2">
      <c r="A15" s="474" t="s">
        <v>246</v>
      </c>
      <c r="B15" s="477">
        <v>17.399999999999999</v>
      </c>
      <c r="C15" s="477">
        <v>17.77</v>
      </c>
      <c r="D15" s="478">
        <v>17.829999999999998</v>
      </c>
      <c r="E15" s="477">
        <v>16.11</v>
      </c>
      <c r="F15" s="477">
        <v>49.78</v>
      </c>
    </row>
    <row r="16" spans="1:6" x14ac:dyDescent="0.2">
      <c r="A16" s="474" t="s">
        <v>247</v>
      </c>
      <c r="B16" s="469">
        <v>17.559999999999999</v>
      </c>
      <c r="C16" s="469">
        <v>17.8</v>
      </c>
      <c r="D16" s="478">
        <v>18.11</v>
      </c>
      <c r="E16" s="469">
        <v>16.16</v>
      </c>
      <c r="F16" s="469">
        <v>53.86</v>
      </c>
    </row>
    <row r="19" spans="1:1" x14ac:dyDescent="0.2">
      <c r="A19" s="134" t="s">
        <v>706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E9DB-B444-40B2-A253-CE178FE3703F}">
  <sheetPr>
    <tabColor theme="4"/>
  </sheetPr>
  <dimension ref="A1:F19"/>
  <sheetViews>
    <sheetView workbookViewId="0">
      <selection activeCell="I35" sqref="I35"/>
    </sheetView>
  </sheetViews>
  <sheetFormatPr baseColWidth="10" defaultColWidth="11.42578125" defaultRowHeight="11.25" x14ac:dyDescent="0.2"/>
  <cols>
    <col min="1" max="16384" width="11.42578125" style="55"/>
  </cols>
  <sheetData>
    <row r="1" spans="1:6" ht="12.75" x14ac:dyDescent="0.2">
      <c r="A1" s="450" t="s">
        <v>824</v>
      </c>
      <c r="B1" s="450"/>
      <c r="C1" s="450"/>
      <c r="D1" s="450"/>
      <c r="E1" s="450"/>
      <c r="F1" s="450"/>
    </row>
    <row r="3" spans="1:6" x14ac:dyDescent="0.2">
      <c r="A3" s="343">
        <v>2021</v>
      </c>
      <c r="B3" s="343" t="s">
        <v>681</v>
      </c>
      <c r="C3" s="343"/>
      <c r="D3" s="343"/>
      <c r="E3" s="343" t="s">
        <v>602</v>
      </c>
      <c r="F3" s="448" t="s">
        <v>583</v>
      </c>
    </row>
    <row r="4" spans="1:6" ht="22.5" x14ac:dyDescent="0.2">
      <c r="A4" s="343"/>
      <c r="B4" s="422" t="s">
        <v>694</v>
      </c>
      <c r="C4" s="422" t="s">
        <v>695</v>
      </c>
      <c r="D4" s="422" t="s">
        <v>687</v>
      </c>
      <c r="E4" s="343"/>
      <c r="F4" s="422" t="s">
        <v>699</v>
      </c>
    </row>
    <row r="5" spans="1:6" x14ac:dyDescent="0.2">
      <c r="A5" s="474" t="s">
        <v>236</v>
      </c>
      <c r="B5" s="477">
        <v>11.45</v>
      </c>
      <c r="C5" s="477">
        <v>11.98</v>
      </c>
      <c r="D5" s="477">
        <v>13.69</v>
      </c>
      <c r="E5" s="477">
        <v>11.32</v>
      </c>
      <c r="F5" s="477">
        <v>41.4</v>
      </c>
    </row>
    <row r="6" spans="1:6" x14ac:dyDescent="0.2">
      <c r="A6" s="474" t="s">
        <v>237</v>
      </c>
      <c r="B6" s="469">
        <v>11.63</v>
      </c>
      <c r="C6" s="469">
        <v>12.79</v>
      </c>
      <c r="D6" s="469">
        <v>14.24</v>
      </c>
      <c r="E6" s="469">
        <v>11.97</v>
      </c>
      <c r="F6" s="469">
        <v>44.04</v>
      </c>
    </row>
    <row r="7" spans="1:6" x14ac:dyDescent="0.2">
      <c r="A7" s="474" t="s">
        <v>238</v>
      </c>
      <c r="B7" s="477">
        <v>11.85</v>
      </c>
      <c r="C7" s="477">
        <v>13.57</v>
      </c>
      <c r="D7" s="477">
        <v>14.91</v>
      </c>
      <c r="E7" s="477">
        <v>12.97</v>
      </c>
      <c r="F7" s="477">
        <v>44.7</v>
      </c>
    </row>
    <row r="8" spans="1:6" x14ac:dyDescent="0.2">
      <c r="A8" s="474" t="s">
        <v>239</v>
      </c>
      <c r="B8" s="469">
        <v>11.89</v>
      </c>
      <c r="C8" s="469">
        <v>13.76</v>
      </c>
      <c r="D8" s="469">
        <v>15.16</v>
      </c>
      <c r="E8" s="469">
        <v>13.11</v>
      </c>
      <c r="F8" s="469">
        <v>44.72</v>
      </c>
    </row>
    <row r="9" spans="1:6" x14ac:dyDescent="0.2">
      <c r="A9" s="474" t="s">
        <v>240</v>
      </c>
      <c r="B9" s="477">
        <v>11.99</v>
      </c>
      <c r="C9" s="477">
        <v>13.95</v>
      </c>
      <c r="D9" s="477">
        <v>15.32</v>
      </c>
      <c r="E9" s="477">
        <v>13.2</v>
      </c>
      <c r="F9" s="477">
        <v>44.88</v>
      </c>
    </row>
    <row r="10" spans="1:6" x14ac:dyDescent="0.2">
      <c r="A10" s="474" t="s">
        <v>241</v>
      </c>
      <c r="B10" s="469">
        <v>12.05</v>
      </c>
      <c r="C10" s="469">
        <v>14.19</v>
      </c>
      <c r="D10" s="469">
        <v>15.54</v>
      </c>
      <c r="E10" s="469">
        <v>13.54</v>
      </c>
      <c r="F10" s="469">
        <v>45.69</v>
      </c>
    </row>
    <row r="11" spans="1:6" x14ac:dyDescent="0.2">
      <c r="A11" s="474" t="s">
        <v>242</v>
      </c>
      <c r="B11" s="477">
        <v>12.25</v>
      </c>
      <c r="C11" s="477">
        <v>14.87</v>
      </c>
      <c r="D11" s="477">
        <v>16</v>
      </c>
      <c r="E11" s="477">
        <v>14.19</v>
      </c>
      <c r="F11" s="477">
        <v>48</v>
      </c>
    </row>
    <row r="12" spans="1:6" x14ac:dyDescent="0.2">
      <c r="A12" s="474" t="s">
        <v>243</v>
      </c>
      <c r="B12" s="469">
        <v>12.45</v>
      </c>
      <c r="C12" s="469">
        <v>15.25</v>
      </c>
      <c r="D12" s="469">
        <v>16.420000000000002</v>
      </c>
      <c r="E12" s="469">
        <v>14.78</v>
      </c>
      <c r="F12" s="469">
        <v>51.2</v>
      </c>
    </row>
    <row r="13" spans="1:6" x14ac:dyDescent="0.2">
      <c r="A13" s="474" t="s">
        <v>692</v>
      </c>
      <c r="B13" s="477">
        <v>12.56</v>
      </c>
      <c r="C13" s="477">
        <v>15.67</v>
      </c>
      <c r="D13" s="477">
        <v>16.77</v>
      </c>
      <c r="E13" s="477">
        <v>14.99</v>
      </c>
      <c r="F13" s="477">
        <v>47.89</v>
      </c>
    </row>
    <row r="14" spans="1:6" x14ac:dyDescent="0.2">
      <c r="A14" s="474" t="s">
        <v>245</v>
      </c>
      <c r="B14" s="469">
        <v>12.65</v>
      </c>
      <c r="C14" s="469">
        <v>16.22</v>
      </c>
      <c r="D14" s="469">
        <v>17.18</v>
      </c>
      <c r="E14" s="469">
        <v>15.92</v>
      </c>
      <c r="F14" s="469">
        <v>48.03</v>
      </c>
    </row>
    <row r="15" spans="1:6" x14ac:dyDescent="0.2">
      <c r="A15" s="474" t="s">
        <v>246</v>
      </c>
      <c r="B15" s="477">
        <v>12.72</v>
      </c>
      <c r="C15" s="477">
        <v>16.77</v>
      </c>
      <c r="D15" s="477">
        <v>17.8</v>
      </c>
      <c r="E15" s="477">
        <v>16.04</v>
      </c>
      <c r="F15" s="477">
        <v>50.6</v>
      </c>
    </row>
    <row r="16" spans="1:6" x14ac:dyDescent="0.2">
      <c r="A16" s="474" t="s">
        <v>247</v>
      </c>
      <c r="B16" s="469">
        <v>12.7</v>
      </c>
      <c r="C16" s="469">
        <v>16.82</v>
      </c>
      <c r="D16" s="469">
        <v>17.73</v>
      </c>
      <c r="E16" s="469">
        <v>16.04</v>
      </c>
      <c r="F16" s="469">
        <v>52.98</v>
      </c>
    </row>
    <row r="19" spans="1:1" x14ac:dyDescent="0.2">
      <c r="A19" s="134" t="s">
        <v>707</v>
      </c>
    </row>
  </sheetData>
  <mergeCells count="4">
    <mergeCell ref="A3:A4"/>
    <mergeCell ref="B3:D3"/>
    <mergeCell ref="E3:E4"/>
    <mergeCell ref="A1:F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085A-51B5-4F83-B92A-9419FBD530A7}">
  <sheetPr>
    <tabColor theme="4"/>
  </sheetPr>
  <dimension ref="A1:H11"/>
  <sheetViews>
    <sheetView workbookViewId="0">
      <selection activeCell="Q41" sqref="Q41"/>
    </sheetView>
  </sheetViews>
  <sheetFormatPr baseColWidth="10" defaultColWidth="12.85546875" defaultRowHeight="11.25" x14ac:dyDescent="0.2"/>
  <cols>
    <col min="1" max="1" width="16.85546875" style="55" customWidth="1"/>
    <col min="2" max="16384" width="12.85546875" style="55"/>
  </cols>
  <sheetData>
    <row r="1" spans="1:8" ht="12.75" x14ac:dyDescent="0.2">
      <c r="A1" s="450" t="s">
        <v>826</v>
      </c>
      <c r="B1" s="450"/>
      <c r="C1" s="450"/>
      <c r="D1" s="450"/>
      <c r="E1" s="450"/>
      <c r="F1" s="450"/>
      <c r="G1" s="450"/>
      <c r="H1" s="450"/>
    </row>
    <row r="3" spans="1:8" ht="15" customHeight="1" x14ac:dyDescent="0.2">
      <c r="A3" s="343" t="s">
        <v>825</v>
      </c>
      <c r="B3" s="343"/>
      <c r="C3" s="343"/>
      <c r="D3" s="343"/>
      <c r="E3" s="343"/>
      <c r="F3" s="343"/>
      <c r="G3" s="343"/>
      <c r="H3" s="343"/>
    </row>
    <row r="4" spans="1:8" x14ac:dyDescent="0.2">
      <c r="A4" s="422" t="s">
        <v>627</v>
      </c>
      <c r="B4" s="468">
        <v>2015</v>
      </c>
      <c r="C4" s="468">
        <v>2016</v>
      </c>
      <c r="D4" s="468">
        <v>2017</v>
      </c>
      <c r="E4" s="468">
        <v>2018</v>
      </c>
      <c r="F4" s="468">
        <v>2019</v>
      </c>
      <c r="G4" s="468">
        <v>2020</v>
      </c>
      <c r="H4" s="468">
        <v>2021</v>
      </c>
    </row>
    <row r="5" spans="1:8" x14ac:dyDescent="0.2">
      <c r="A5" s="479" t="s">
        <v>708</v>
      </c>
      <c r="B5" s="480">
        <v>2906.62577543</v>
      </c>
      <c r="C5" s="480">
        <v>845.25242036999998</v>
      </c>
      <c r="D5" s="480">
        <v>572.5834678199999</v>
      </c>
      <c r="E5" s="480">
        <v>2367.2338010399999</v>
      </c>
      <c r="F5" s="480">
        <v>2071.6806900000001</v>
      </c>
      <c r="G5" s="481">
        <v>4088.7639535600001</v>
      </c>
      <c r="H5" s="481">
        <v>4300.1662052500005</v>
      </c>
    </row>
    <row r="6" spans="1:8" x14ac:dyDescent="0.2">
      <c r="A6" s="482" t="s">
        <v>351</v>
      </c>
      <c r="B6" s="483">
        <v>50898.884280329992</v>
      </c>
      <c r="C6" s="483">
        <v>60314.939718669993</v>
      </c>
      <c r="D6" s="483">
        <v>51808.680523565345</v>
      </c>
      <c r="E6" s="483">
        <v>51399.357709999997</v>
      </c>
      <c r="F6" s="483">
        <v>54715.3891</v>
      </c>
      <c r="G6" s="484">
        <v>58398.67776436</v>
      </c>
      <c r="H6" s="484">
        <v>37106.540088080001</v>
      </c>
    </row>
    <row r="7" spans="1:8" ht="13.5" customHeight="1" x14ac:dyDescent="0.2">
      <c r="A7" s="479" t="s">
        <v>709</v>
      </c>
      <c r="B7" s="480">
        <v>1075.66783246</v>
      </c>
      <c r="C7" s="480">
        <v>1460.97154454</v>
      </c>
      <c r="D7" s="480">
        <v>607.96582131485241</v>
      </c>
      <c r="E7" s="480">
        <v>66.169367705094345</v>
      </c>
      <c r="F7" s="480">
        <v>0</v>
      </c>
      <c r="G7" s="481">
        <v>751.04228480999984</v>
      </c>
      <c r="H7" s="481">
        <v>0</v>
      </c>
    </row>
    <row r="8" spans="1:8" x14ac:dyDescent="0.2">
      <c r="A8" s="482" t="s">
        <v>710</v>
      </c>
      <c r="B8" s="483">
        <v>16707.74086319</v>
      </c>
      <c r="C8" s="483">
        <v>18678.917385739998</v>
      </c>
      <c r="D8" s="483">
        <v>19961.242156737339</v>
      </c>
      <c r="E8" s="483">
        <v>17803.355744929999</v>
      </c>
      <c r="F8" s="483">
        <v>15691.549630000001</v>
      </c>
      <c r="G8" s="484">
        <v>13415.925824459287</v>
      </c>
      <c r="H8" s="484">
        <v>13388.300683169999</v>
      </c>
    </row>
    <row r="9" spans="1:8" ht="12.75" customHeight="1" x14ac:dyDescent="0.2">
      <c r="A9" s="479" t="s">
        <v>634</v>
      </c>
      <c r="B9" s="480">
        <v>5843.2858983000015</v>
      </c>
      <c r="C9" s="480">
        <v>7606.3455707452658</v>
      </c>
      <c r="D9" s="480">
        <v>9054.4881776435159</v>
      </c>
      <c r="E9" s="480">
        <v>9190.9540742559111</v>
      </c>
      <c r="F9" s="480">
        <v>7790.5268762799988</v>
      </c>
      <c r="G9" s="481">
        <v>6941.0733020099979</v>
      </c>
      <c r="H9" s="481">
        <v>4210.2615306600028</v>
      </c>
    </row>
    <row r="10" spans="1:8" ht="15" customHeight="1" x14ac:dyDescent="0.2">
      <c r="A10" s="482" t="s">
        <v>711</v>
      </c>
      <c r="B10" s="483">
        <v>9814.3024356599999</v>
      </c>
      <c r="C10" s="483">
        <v>12134.309995242867</v>
      </c>
      <c r="D10" s="483">
        <v>16837.860044230871</v>
      </c>
      <c r="E10" s="483">
        <v>16696.251479999999</v>
      </c>
      <c r="F10" s="483">
        <v>13122.746239999999</v>
      </c>
      <c r="G10" s="484">
        <v>4416.2286751199999</v>
      </c>
      <c r="H10" s="484">
        <v>7391.8174129999989</v>
      </c>
    </row>
    <row r="11" spans="1:8" x14ac:dyDescent="0.2">
      <c r="A11" s="251" t="s">
        <v>595</v>
      </c>
      <c r="B11" s="485">
        <v>223.20387048000003</v>
      </c>
      <c r="C11" s="485">
        <v>111.52803432345961</v>
      </c>
      <c r="D11" s="485">
        <v>74.379248054086716</v>
      </c>
      <c r="E11" s="485">
        <v>90.291920616441146</v>
      </c>
      <c r="F11" s="485">
        <v>96.564067572607726</v>
      </c>
      <c r="G11" s="486">
        <v>265.05030929933542</v>
      </c>
      <c r="H11" s="486">
        <v>125.26971983186803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F0C3-66AB-4679-BF85-EDB3A381055D}">
  <sheetPr>
    <tabColor theme="4"/>
  </sheetPr>
  <dimension ref="A1:H11"/>
  <sheetViews>
    <sheetView workbookViewId="0">
      <selection activeCell="G44" sqref="G44"/>
    </sheetView>
  </sheetViews>
  <sheetFormatPr baseColWidth="10" defaultColWidth="11.42578125" defaultRowHeight="11.25" x14ac:dyDescent="0.2"/>
  <cols>
    <col min="1" max="1" width="17.28515625" style="55" customWidth="1"/>
    <col min="2" max="3" width="11.5703125" style="55" bestFit="1" customWidth="1"/>
    <col min="4" max="5" width="12.140625" style="55" bestFit="1" customWidth="1"/>
    <col min="6" max="6" width="12.140625" style="55" customWidth="1"/>
    <col min="7" max="16384" width="11.42578125" style="55"/>
  </cols>
  <sheetData>
    <row r="1" spans="1:8" ht="12.75" x14ac:dyDescent="0.2">
      <c r="A1" s="450" t="s">
        <v>827</v>
      </c>
      <c r="B1" s="450"/>
      <c r="C1" s="450"/>
      <c r="D1" s="450"/>
      <c r="E1" s="450"/>
      <c r="F1" s="450"/>
      <c r="G1" s="450"/>
      <c r="H1" s="450"/>
    </row>
    <row r="3" spans="1:8" ht="11.25" customHeight="1" x14ac:dyDescent="0.2">
      <c r="A3" s="343" t="s">
        <v>828</v>
      </c>
      <c r="B3" s="343"/>
      <c r="C3" s="343"/>
      <c r="D3" s="343"/>
      <c r="E3" s="343"/>
      <c r="F3" s="343"/>
      <c r="G3" s="343"/>
      <c r="H3" s="343"/>
    </row>
    <row r="4" spans="1:8" x14ac:dyDescent="0.2">
      <c r="A4" s="422" t="s">
        <v>627</v>
      </c>
      <c r="B4" s="468">
        <v>2015</v>
      </c>
      <c r="C4" s="468">
        <v>2016</v>
      </c>
      <c r="D4" s="468">
        <v>2017</v>
      </c>
      <c r="E4" s="468">
        <v>2018</v>
      </c>
      <c r="F4" s="468">
        <v>2019</v>
      </c>
      <c r="G4" s="468">
        <v>2020</v>
      </c>
      <c r="H4" s="468">
        <v>2021</v>
      </c>
    </row>
    <row r="5" spans="1:8" x14ac:dyDescent="0.2">
      <c r="A5" s="479" t="s">
        <v>708</v>
      </c>
      <c r="B5" s="441">
        <v>120071.32199999999</v>
      </c>
      <c r="C5" s="441">
        <v>24015.807209999999</v>
      </c>
      <c r="D5" s="441">
        <v>25644.312930000004</v>
      </c>
      <c r="E5" s="441">
        <v>138873.87515000001</v>
      </c>
      <c r="F5" s="441">
        <v>121952.401</v>
      </c>
      <c r="G5" s="441">
        <v>151659.41357999999</v>
      </c>
      <c r="H5" s="487">
        <v>289657.34240999998</v>
      </c>
    </row>
    <row r="6" spans="1:8" x14ac:dyDescent="0.2">
      <c r="A6" s="482" t="s">
        <v>295</v>
      </c>
      <c r="B6" s="488">
        <v>449075.22196000005</v>
      </c>
      <c r="C6" s="488">
        <v>522171.52620999998</v>
      </c>
      <c r="D6" s="488">
        <v>747859.38286999997</v>
      </c>
      <c r="E6" s="488">
        <v>998645.90225000004</v>
      </c>
      <c r="F6" s="488">
        <v>600496.80700000003</v>
      </c>
      <c r="G6" s="488">
        <v>599332.35676</v>
      </c>
      <c r="H6" s="489">
        <v>1781845.2827000001</v>
      </c>
    </row>
    <row r="7" spans="1:8" ht="13.5" customHeight="1" x14ac:dyDescent="0.2">
      <c r="A7" s="479" t="s">
        <v>709</v>
      </c>
      <c r="B7" s="441">
        <v>34427.769830000005</v>
      </c>
      <c r="C7" s="441">
        <v>32047.066659999997</v>
      </c>
      <c r="D7" s="441">
        <v>31875.486439999997</v>
      </c>
      <c r="E7" s="441">
        <v>4192.7908599999992</v>
      </c>
      <c r="F7" s="441">
        <v>0</v>
      </c>
      <c r="G7" s="441">
        <v>39050.393436000006</v>
      </c>
      <c r="H7" s="487">
        <v>0</v>
      </c>
    </row>
    <row r="8" spans="1:8" x14ac:dyDescent="0.2">
      <c r="A8" s="482" t="s">
        <v>710</v>
      </c>
      <c r="B8" s="488">
        <v>860197.63027000008</v>
      </c>
      <c r="C8" s="488">
        <v>789710.13865999994</v>
      </c>
      <c r="D8" s="488">
        <v>1091366.4119000002</v>
      </c>
      <c r="E8" s="488">
        <v>1182051.5782900001</v>
      </c>
      <c r="F8" s="488">
        <v>883049.86599999992</v>
      </c>
      <c r="G8" s="488">
        <v>533145.27550200012</v>
      </c>
      <c r="H8" s="489">
        <v>904709.82569000009</v>
      </c>
    </row>
    <row r="9" spans="1:8" x14ac:dyDescent="0.2">
      <c r="A9" s="479" t="s">
        <v>634</v>
      </c>
      <c r="B9" s="441">
        <v>436809.03603000002</v>
      </c>
      <c r="C9" s="441">
        <v>449356.63624000002</v>
      </c>
      <c r="D9" s="441">
        <v>589755.60538999981</v>
      </c>
      <c r="E9" s="441">
        <v>783496.04900000012</v>
      </c>
      <c r="F9" s="441">
        <v>677923.78700000001</v>
      </c>
      <c r="G9" s="441">
        <v>600199.89498599991</v>
      </c>
      <c r="H9" s="487">
        <v>399125.88535199972</v>
      </c>
    </row>
    <row r="10" spans="1:8" ht="14.25" customHeight="1" x14ac:dyDescent="0.2">
      <c r="A10" s="482" t="s">
        <v>711</v>
      </c>
      <c r="B10" s="488">
        <v>385145.08389999997</v>
      </c>
      <c r="C10" s="488">
        <v>406790.01468000002</v>
      </c>
      <c r="D10" s="488">
        <v>727719.01191999996</v>
      </c>
      <c r="E10" s="488">
        <v>1004710.6009999998</v>
      </c>
      <c r="F10" s="488">
        <v>730018.87000999996</v>
      </c>
      <c r="G10" s="488">
        <v>238635.30852000002</v>
      </c>
      <c r="H10" s="489">
        <v>584203.2596799999</v>
      </c>
    </row>
    <row r="11" spans="1:8" x14ac:dyDescent="0.2">
      <c r="A11" s="479" t="s">
        <v>595</v>
      </c>
      <c r="B11" s="441">
        <v>26988.060409999998</v>
      </c>
      <c r="C11" s="441">
        <v>19403.875139999996</v>
      </c>
      <c r="D11" s="441">
        <v>17002.569029999999</v>
      </c>
      <c r="E11" s="441">
        <v>25212.224340000001</v>
      </c>
      <c r="F11" s="441">
        <v>26584.375000000007</v>
      </c>
      <c r="G11" s="441">
        <v>22805.447359000002</v>
      </c>
      <c r="H11" s="487">
        <v>33306.162214999997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5B0B-66CC-4D8C-922C-472F91F5AB9A}">
  <sheetPr>
    <tabColor theme="4"/>
  </sheetPr>
  <dimension ref="A1:H10"/>
  <sheetViews>
    <sheetView workbookViewId="0">
      <selection activeCell="G25" sqref="G25"/>
    </sheetView>
  </sheetViews>
  <sheetFormatPr baseColWidth="10" defaultColWidth="11.42578125" defaultRowHeight="11.25" x14ac:dyDescent="0.2"/>
  <cols>
    <col min="1" max="1" width="18.28515625" style="55" customWidth="1"/>
    <col min="2" max="16384" width="11.42578125" style="55"/>
  </cols>
  <sheetData>
    <row r="1" spans="1:8" ht="15" x14ac:dyDescent="0.25">
      <c r="A1" s="451" t="s">
        <v>829</v>
      </c>
      <c r="B1" s="451"/>
      <c r="C1" s="451"/>
      <c r="D1" s="451"/>
      <c r="E1" s="451"/>
      <c r="F1" s="451"/>
      <c r="G1" s="451"/>
      <c r="H1" s="451"/>
    </row>
    <row r="3" spans="1:8" ht="11.25" customHeight="1" x14ac:dyDescent="0.2">
      <c r="A3" s="343" t="s">
        <v>832</v>
      </c>
      <c r="B3" s="343"/>
      <c r="C3" s="343"/>
      <c r="D3" s="343"/>
      <c r="E3" s="343"/>
      <c r="F3" s="343"/>
      <c r="G3" s="343"/>
      <c r="H3" s="343"/>
    </row>
    <row r="4" spans="1:8" x14ac:dyDescent="0.2">
      <c r="A4" s="422" t="s">
        <v>627</v>
      </c>
      <c r="B4" s="468">
        <v>2015</v>
      </c>
      <c r="C4" s="468">
        <v>2016</v>
      </c>
      <c r="D4" s="468">
        <v>2017</v>
      </c>
      <c r="E4" s="468">
        <v>2018</v>
      </c>
      <c r="F4" s="468">
        <v>2019</v>
      </c>
      <c r="G4" s="468">
        <v>2020</v>
      </c>
      <c r="H4" s="468">
        <v>2021</v>
      </c>
    </row>
    <row r="5" spans="1:8" x14ac:dyDescent="0.2">
      <c r="A5" s="479" t="s">
        <v>708</v>
      </c>
      <c r="B5" s="480">
        <v>31326.811362690001</v>
      </c>
      <c r="C5" s="480">
        <v>38489.176809190001</v>
      </c>
      <c r="D5" s="480">
        <v>45735.960270209987</v>
      </c>
      <c r="E5" s="480">
        <v>41117.126798816113</v>
      </c>
      <c r="F5" s="480">
        <v>38295.298415730002</v>
      </c>
      <c r="G5" s="480">
        <v>14891.774889910001</v>
      </c>
      <c r="H5" s="480">
        <v>24822.410529619996</v>
      </c>
    </row>
    <row r="6" spans="1:8" ht="15.75" customHeight="1" x14ac:dyDescent="0.2">
      <c r="A6" s="482" t="s">
        <v>709</v>
      </c>
      <c r="B6" s="483">
        <v>1119.1782053799998</v>
      </c>
      <c r="C6" s="483">
        <v>1816.048558934064</v>
      </c>
      <c r="D6" s="483">
        <v>2491.5317679099999</v>
      </c>
      <c r="E6" s="483">
        <v>4240.2989652346741</v>
      </c>
      <c r="F6" s="483">
        <v>4052.6607310700001</v>
      </c>
      <c r="G6" s="483">
        <v>4191.8246371961959</v>
      </c>
      <c r="H6" s="483">
        <v>6133.403204340897</v>
      </c>
    </row>
    <row r="7" spans="1:8" x14ac:dyDescent="0.2">
      <c r="A7" s="479" t="s">
        <v>710</v>
      </c>
      <c r="B7" s="480">
        <v>5063.3591975600002</v>
      </c>
      <c r="C7" s="480">
        <v>6979.0890115800003</v>
      </c>
      <c r="D7" s="480">
        <v>7776.8679274200003</v>
      </c>
      <c r="E7" s="480">
        <v>8428.9021967600002</v>
      </c>
      <c r="F7" s="480">
        <v>6682.4919587200011</v>
      </c>
      <c r="G7" s="480">
        <v>8887.7704717500019</v>
      </c>
      <c r="H7" s="480">
        <v>11900.432381570001</v>
      </c>
    </row>
    <row r="8" spans="1:8" ht="14.25" customHeight="1" x14ac:dyDescent="0.2">
      <c r="A8" s="482" t="s">
        <v>634</v>
      </c>
      <c r="B8" s="483">
        <v>22074.730053859996</v>
      </c>
      <c r="C8" s="483">
        <v>28310.88809416</v>
      </c>
      <c r="D8" s="483">
        <v>30881.23481378</v>
      </c>
      <c r="E8" s="483">
        <v>29994.934545309996</v>
      </c>
      <c r="F8" s="483">
        <v>29288.190214500002</v>
      </c>
      <c r="G8" s="483">
        <v>26958.531973990001</v>
      </c>
      <c r="H8" s="483">
        <v>32742.652062879995</v>
      </c>
    </row>
    <row r="9" spans="1:8" x14ac:dyDescent="0.2">
      <c r="A9" s="479" t="s">
        <v>595</v>
      </c>
      <c r="B9" s="480">
        <v>1117.6383694899998</v>
      </c>
      <c r="C9" s="480">
        <v>1093.1253816595736</v>
      </c>
      <c r="D9" s="480">
        <v>1322.8717466061296</v>
      </c>
      <c r="E9" s="480">
        <v>1232.4574569744</v>
      </c>
      <c r="F9" s="480">
        <v>1187.3310379446102</v>
      </c>
      <c r="G9" s="480">
        <v>1020.4262996635845</v>
      </c>
      <c r="H9" s="480">
        <v>1285.9085616132129</v>
      </c>
    </row>
    <row r="10" spans="1:8" ht="15.75" customHeight="1" x14ac:dyDescent="0.2">
      <c r="A10" s="482" t="s">
        <v>711</v>
      </c>
      <c r="B10" s="483">
        <v>0</v>
      </c>
      <c r="C10" s="483">
        <v>149.64593094</v>
      </c>
      <c r="D10" s="483">
        <v>149.86254596000001</v>
      </c>
      <c r="E10" s="483">
        <v>0</v>
      </c>
      <c r="F10" s="483">
        <v>207.37050006999999</v>
      </c>
      <c r="G10" s="483">
        <v>201.93434870000002</v>
      </c>
      <c r="H10" s="483">
        <v>368.59328293999999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749E-790E-41AB-B98A-B43673EAE901}">
  <sheetPr>
    <tabColor theme="4"/>
  </sheetPr>
  <dimension ref="A1:H10"/>
  <sheetViews>
    <sheetView workbookViewId="0">
      <selection activeCell="H38" sqref="H38"/>
    </sheetView>
  </sheetViews>
  <sheetFormatPr baseColWidth="10" defaultColWidth="11.42578125" defaultRowHeight="11.25" x14ac:dyDescent="0.2"/>
  <cols>
    <col min="1" max="1" width="17.7109375" style="55" customWidth="1"/>
    <col min="2" max="5" width="12.140625" style="55" bestFit="1" customWidth="1"/>
    <col min="6" max="6" width="12.140625" style="55" customWidth="1"/>
    <col min="7" max="16384" width="11.42578125" style="55"/>
  </cols>
  <sheetData>
    <row r="1" spans="1:8" ht="12.75" x14ac:dyDescent="0.2">
      <c r="A1" s="450" t="s">
        <v>830</v>
      </c>
      <c r="B1" s="450"/>
      <c r="C1" s="450"/>
      <c r="D1" s="450"/>
      <c r="E1" s="450"/>
      <c r="F1" s="450"/>
      <c r="G1" s="450"/>
      <c r="H1" s="450"/>
    </row>
    <row r="3" spans="1:8" ht="11.25" customHeight="1" x14ac:dyDescent="0.2">
      <c r="A3" s="343" t="s">
        <v>831</v>
      </c>
      <c r="B3" s="343"/>
      <c r="C3" s="343"/>
      <c r="D3" s="343"/>
      <c r="E3" s="343"/>
      <c r="F3" s="343"/>
      <c r="G3" s="343"/>
      <c r="H3" s="343"/>
    </row>
    <row r="4" spans="1:8" x14ac:dyDescent="0.2">
      <c r="A4" s="422" t="s">
        <v>627</v>
      </c>
      <c r="B4" s="468">
        <v>2015</v>
      </c>
      <c r="C4" s="468">
        <v>2016</v>
      </c>
      <c r="D4" s="468">
        <v>2017</v>
      </c>
      <c r="E4" s="468">
        <v>2018</v>
      </c>
      <c r="F4" s="468">
        <v>2019</v>
      </c>
      <c r="G4" s="468">
        <v>2020</v>
      </c>
      <c r="H4" s="468">
        <v>2021</v>
      </c>
    </row>
    <row r="5" spans="1:8" x14ac:dyDescent="0.2">
      <c r="A5" s="479" t="s">
        <v>708</v>
      </c>
      <c r="B5" s="441">
        <v>1642254.8758139999</v>
      </c>
      <c r="C5" s="441">
        <v>1600634.421178</v>
      </c>
      <c r="D5" s="441">
        <v>2458799.1941959998</v>
      </c>
      <c r="E5" s="441">
        <v>2853824.6534399996</v>
      </c>
      <c r="F5" s="441">
        <v>2478976.8286399995</v>
      </c>
      <c r="G5" s="441">
        <v>776421.8211099999</v>
      </c>
      <c r="H5" s="441">
        <v>1816485.308375</v>
      </c>
    </row>
    <row r="6" spans="1:8" ht="13.5" customHeight="1" x14ac:dyDescent="0.2">
      <c r="A6" s="482" t="s">
        <v>709</v>
      </c>
      <c r="B6" s="488">
        <v>40171.635823999997</v>
      </c>
      <c r="C6" s="488">
        <v>60123.608573000005</v>
      </c>
      <c r="D6" s="488">
        <v>109991.907594</v>
      </c>
      <c r="E6" s="488">
        <v>208664.12909599999</v>
      </c>
      <c r="F6" s="488">
        <v>137615.37618000002</v>
      </c>
      <c r="G6" s="488">
        <v>148553.788726</v>
      </c>
      <c r="H6" s="488">
        <v>345370.43985600007</v>
      </c>
    </row>
    <row r="7" spans="1:8" x14ac:dyDescent="0.2">
      <c r="A7" s="479" t="s">
        <v>710</v>
      </c>
      <c r="B7" s="441">
        <v>380893.66287000006</v>
      </c>
      <c r="C7" s="441">
        <v>423613.284935</v>
      </c>
      <c r="D7" s="441">
        <v>559352.13084400003</v>
      </c>
      <c r="E7" s="441">
        <v>716835.43862000003</v>
      </c>
      <c r="F7" s="441">
        <v>509834.77624000004</v>
      </c>
      <c r="G7" s="441">
        <v>491289.16489100002</v>
      </c>
      <c r="H7" s="441">
        <v>1025052.120603</v>
      </c>
    </row>
    <row r="8" spans="1:8" ht="12" customHeight="1" x14ac:dyDescent="0.2">
      <c r="A8" s="482" t="s">
        <v>634</v>
      </c>
      <c r="B8" s="488">
        <v>1526737.0540420003</v>
      </c>
      <c r="C8" s="488">
        <v>1602705.7337450001</v>
      </c>
      <c r="D8" s="488">
        <v>2047809.6580060003</v>
      </c>
      <c r="E8" s="488">
        <v>2661152.5429799999</v>
      </c>
      <c r="F8" s="488">
        <v>2414391.4043899998</v>
      </c>
      <c r="G8" s="488">
        <v>1551553.0853510001</v>
      </c>
      <c r="H8" s="488">
        <v>2744447.3821100006</v>
      </c>
    </row>
    <row r="9" spans="1:8" x14ac:dyDescent="0.2">
      <c r="A9" s="479" t="s">
        <v>595</v>
      </c>
      <c r="B9" s="441">
        <v>258931.89417499996</v>
      </c>
      <c r="C9" s="441">
        <v>276285.93764600001</v>
      </c>
      <c r="D9" s="441">
        <v>267397.12678999995</v>
      </c>
      <c r="E9" s="441">
        <v>321943.78989300004</v>
      </c>
      <c r="F9" s="441">
        <v>310819.01277999999</v>
      </c>
      <c r="G9" s="441">
        <v>237693.795992</v>
      </c>
      <c r="H9" s="441">
        <v>370456.69335600012</v>
      </c>
    </row>
    <row r="10" spans="1:8" ht="14.25" customHeight="1" x14ac:dyDescent="0.2">
      <c r="A10" s="482" t="s">
        <v>711</v>
      </c>
      <c r="B10" s="490">
        <v>0</v>
      </c>
      <c r="C10" s="488">
        <v>6255.0117699999992</v>
      </c>
      <c r="D10" s="488">
        <v>7936.4788699999999</v>
      </c>
      <c r="E10" s="490">
        <v>0</v>
      </c>
      <c r="F10" s="490">
        <v>13019.773580000001</v>
      </c>
      <c r="G10" s="490">
        <v>9306.8617150000009</v>
      </c>
      <c r="H10" s="490">
        <v>25707.647207000002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34EF-19D6-4644-A8BC-D84E29AF27E0}">
  <dimension ref="A1:H18"/>
  <sheetViews>
    <sheetView workbookViewId="0">
      <selection activeCell="H30" sqref="H30"/>
    </sheetView>
  </sheetViews>
  <sheetFormatPr baseColWidth="10" defaultRowHeight="15" x14ac:dyDescent="0.25"/>
  <sheetData>
    <row r="1" spans="1:8" x14ac:dyDescent="0.25">
      <c r="A1" s="451" t="s">
        <v>847</v>
      </c>
      <c r="B1" s="451"/>
      <c r="C1" s="451"/>
      <c r="D1" s="451"/>
      <c r="E1" s="451"/>
      <c r="F1" s="451"/>
      <c r="G1" s="451"/>
      <c r="H1" s="451"/>
    </row>
    <row r="2" spans="1:8" ht="15.75" thickBot="1" x14ac:dyDescent="0.3"/>
    <row r="3" spans="1:8" ht="15.75" thickBot="1" x14ac:dyDescent="0.3">
      <c r="A3" s="502" t="s">
        <v>833</v>
      </c>
      <c r="B3" s="503"/>
      <c r="C3" s="503"/>
      <c r="D3" s="503"/>
      <c r="E3" s="503"/>
      <c r="F3" s="503"/>
      <c r="G3" s="503"/>
      <c r="H3" s="504"/>
    </row>
    <row r="4" spans="1:8" ht="34.5" thickBot="1" x14ac:dyDescent="0.3">
      <c r="A4" s="491" t="s">
        <v>834</v>
      </c>
      <c r="B4" s="492">
        <v>2015</v>
      </c>
      <c r="C4" s="492">
        <v>2016</v>
      </c>
      <c r="D4" s="492">
        <v>2017</v>
      </c>
      <c r="E4" s="492">
        <v>2018</v>
      </c>
      <c r="F4" s="492">
        <v>2019</v>
      </c>
      <c r="G4" s="492">
        <v>2020</v>
      </c>
      <c r="H4" s="492">
        <v>2021</v>
      </c>
    </row>
    <row r="5" spans="1:8" ht="15.75" thickBot="1" x14ac:dyDescent="0.3">
      <c r="A5" s="493" t="s">
        <v>835</v>
      </c>
      <c r="B5" s="494">
        <v>1723.82</v>
      </c>
      <c r="C5" s="494">
        <v>1208.6600000000001</v>
      </c>
      <c r="D5" s="495">
        <v>332.47</v>
      </c>
      <c r="E5" s="495">
        <v>169.13</v>
      </c>
      <c r="F5" s="495" t="s">
        <v>4</v>
      </c>
      <c r="G5" s="495" t="s">
        <v>4</v>
      </c>
      <c r="H5" s="496" t="s">
        <v>4</v>
      </c>
    </row>
    <row r="6" spans="1:8" ht="15.75" thickBot="1" x14ac:dyDescent="0.3">
      <c r="A6" s="493" t="s">
        <v>836</v>
      </c>
      <c r="B6" s="495">
        <v>1E-3</v>
      </c>
      <c r="C6" s="495" t="s">
        <v>4</v>
      </c>
      <c r="D6" s="495">
        <v>12.81</v>
      </c>
      <c r="E6" s="495" t="s">
        <v>4</v>
      </c>
      <c r="F6" s="495" t="s">
        <v>4</v>
      </c>
      <c r="G6" s="495" t="s">
        <v>4</v>
      </c>
      <c r="H6" s="496" t="s">
        <v>4</v>
      </c>
    </row>
    <row r="7" spans="1:8" ht="15.75" thickBot="1" x14ac:dyDescent="0.3">
      <c r="A7" s="493" t="s">
        <v>837</v>
      </c>
      <c r="B7" s="495" t="s">
        <v>4</v>
      </c>
      <c r="C7" s="495">
        <v>115.08</v>
      </c>
      <c r="D7" s="495" t="s">
        <v>4</v>
      </c>
      <c r="E7" s="495" t="s">
        <v>4</v>
      </c>
      <c r="F7" s="495" t="s">
        <v>4</v>
      </c>
      <c r="G7" s="495" t="s">
        <v>4</v>
      </c>
      <c r="H7" s="496" t="s">
        <v>4</v>
      </c>
    </row>
    <row r="8" spans="1:8" ht="15.75" thickBot="1" x14ac:dyDescent="0.3">
      <c r="A8" s="493" t="s">
        <v>838</v>
      </c>
      <c r="B8" s="495">
        <v>250.88</v>
      </c>
      <c r="C8" s="495">
        <v>118.59</v>
      </c>
      <c r="D8" s="495">
        <v>999.43</v>
      </c>
      <c r="E8" s="495">
        <v>347.69</v>
      </c>
      <c r="F8" s="495" t="s">
        <v>4</v>
      </c>
      <c r="G8" s="495" t="s">
        <v>4</v>
      </c>
      <c r="H8" s="496">
        <v>218.77</v>
      </c>
    </row>
    <row r="9" spans="1:8" ht="15.75" thickBot="1" x14ac:dyDescent="0.3">
      <c r="A9" s="493" t="s">
        <v>839</v>
      </c>
      <c r="B9" s="495">
        <v>92.01</v>
      </c>
      <c r="C9" s="495" t="s">
        <v>4</v>
      </c>
      <c r="D9" s="495">
        <v>134.74</v>
      </c>
      <c r="E9" s="495">
        <v>365.26</v>
      </c>
      <c r="F9" s="495">
        <v>740.84</v>
      </c>
      <c r="G9" s="495">
        <v>418.72</v>
      </c>
      <c r="H9" s="496">
        <v>304.70999999999998</v>
      </c>
    </row>
    <row r="10" spans="1:8" ht="15.75" thickBot="1" x14ac:dyDescent="0.3">
      <c r="A10" s="493" t="s">
        <v>840</v>
      </c>
      <c r="B10" s="495" t="s">
        <v>4</v>
      </c>
      <c r="C10" s="495">
        <v>12.37</v>
      </c>
      <c r="D10" s="495" t="s">
        <v>4</v>
      </c>
      <c r="E10" s="495">
        <v>322.20999999999998</v>
      </c>
      <c r="F10" s="495" t="s">
        <v>4</v>
      </c>
      <c r="G10" s="495">
        <v>153.94</v>
      </c>
      <c r="H10" s="496">
        <v>153.25</v>
      </c>
    </row>
    <row r="11" spans="1:8" ht="15.75" thickBot="1" x14ac:dyDescent="0.3">
      <c r="A11" s="493" t="s">
        <v>841</v>
      </c>
      <c r="B11" s="495" t="s">
        <v>4</v>
      </c>
      <c r="C11" s="495">
        <v>612.59</v>
      </c>
      <c r="D11" s="495">
        <v>466.98</v>
      </c>
      <c r="E11" s="495">
        <v>135.63999999999999</v>
      </c>
      <c r="F11" s="495" t="s">
        <v>4</v>
      </c>
      <c r="G11" s="495" t="s">
        <v>4</v>
      </c>
      <c r="H11" s="496" t="s">
        <v>4</v>
      </c>
    </row>
    <row r="12" spans="1:8" ht="15.75" thickBot="1" x14ac:dyDescent="0.3">
      <c r="A12" s="493" t="s">
        <v>842</v>
      </c>
      <c r="B12" s="495" t="s">
        <v>4</v>
      </c>
      <c r="C12" s="495" t="s">
        <v>4</v>
      </c>
      <c r="D12" s="495">
        <v>0.01</v>
      </c>
      <c r="E12" s="495" t="s">
        <v>4</v>
      </c>
      <c r="F12" s="495" t="s">
        <v>4</v>
      </c>
      <c r="G12" s="495" t="s">
        <v>4</v>
      </c>
      <c r="H12" s="496" t="s">
        <v>4</v>
      </c>
    </row>
    <row r="13" spans="1:8" ht="15.75" thickBot="1" x14ac:dyDescent="0.3">
      <c r="A13" s="493" t="s">
        <v>843</v>
      </c>
      <c r="B13" s="495" t="s">
        <v>4</v>
      </c>
      <c r="C13" s="495" t="s">
        <v>4</v>
      </c>
      <c r="D13" s="495" t="s">
        <v>4</v>
      </c>
      <c r="E13" s="495">
        <v>48.97</v>
      </c>
      <c r="F13" s="495">
        <v>99.48</v>
      </c>
      <c r="G13" s="495" t="s">
        <v>4</v>
      </c>
      <c r="H13" s="496" t="s">
        <v>4</v>
      </c>
    </row>
    <row r="14" spans="1:8" ht="15.75" thickBot="1" x14ac:dyDescent="0.3">
      <c r="A14" s="493" t="s">
        <v>844</v>
      </c>
      <c r="B14" s="495" t="s">
        <v>4</v>
      </c>
      <c r="C14" s="495" t="s">
        <v>4</v>
      </c>
      <c r="D14" s="495" t="s">
        <v>4</v>
      </c>
      <c r="E14" s="495">
        <v>0.05</v>
      </c>
      <c r="F14" s="495" t="s">
        <v>4</v>
      </c>
      <c r="G14" s="495" t="s">
        <v>4</v>
      </c>
      <c r="H14" s="496" t="s">
        <v>4</v>
      </c>
    </row>
    <row r="15" spans="1:8" ht="15.75" thickBot="1" x14ac:dyDescent="0.3">
      <c r="A15" s="493" t="s">
        <v>845</v>
      </c>
      <c r="B15" s="495" t="s">
        <v>4</v>
      </c>
      <c r="C15" s="495" t="s">
        <v>4</v>
      </c>
      <c r="D15" s="495" t="s">
        <v>4</v>
      </c>
      <c r="E15" s="495" t="s">
        <v>4</v>
      </c>
      <c r="F15" s="495">
        <v>165.45</v>
      </c>
      <c r="G15" s="495" t="s">
        <v>4</v>
      </c>
      <c r="H15" s="496" t="s">
        <v>4</v>
      </c>
    </row>
    <row r="16" spans="1:8" ht="15.75" thickBot="1" x14ac:dyDescent="0.3">
      <c r="A16" s="493" t="s">
        <v>846</v>
      </c>
      <c r="B16" s="495" t="s">
        <v>4</v>
      </c>
      <c r="C16" s="495" t="s">
        <v>4</v>
      </c>
      <c r="D16" s="495" t="s">
        <v>4</v>
      </c>
      <c r="E16" s="495" t="s">
        <v>4</v>
      </c>
      <c r="F16" s="495" t="s">
        <v>4</v>
      </c>
      <c r="G16" s="495">
        <v>123.57</v>
      </c>
      <c r="H16" s="496">
        <v>59.58</v>
      </c>
    </row>
    <row r="17" spans="1:8" ht="15.75" thickBot="1" x14ac:dyDescent="0.3">
      <c r="A17" s="497" t="s">
        <v>41</v>
      </c>
      <c r="B17" s="498">
        <v>2066.71</v>
      </c>
      <c r="C17" s="498">
        <v>2067.29</v>
      </c>
      <c r="D17" s="498">
        <v>1946.45</v>
      </c>
      <c r="E17" s="498">
        <v>1388.94</v>
      </c>
      <c r="F17" s="498">
        <v>1005.77</v>
      </c>
      <c r="G17" s="499">
        <v>696.23</v>
      </c>
      <c r="H17" s="499">
        <v>736.31</v>
      </c>
    </row>
    <row r="18" spans="1:8" ht="23.25" thickBot="1" x14ac:dyDescent="0.3">
      <c r="A18" s="500" t="s">
        <v>580</v>
      </c>
      <c r="B18" s="501">
        <v>5.66</v>
      </c>
      <c r="C18" s="501">
        <v>5.65</v>
      </c>
      <c r="D18" s="501">
        <v>5.33</v>
      </c>
      <c r="E18" s="501">
        <v>3.81</v>
      </c>
      <c r="F18" s="501">
        <v>2.76</v>
      </c>
      <c r="G18" s="501">
        <v>1.91</v>
      </c>
      <c r="H18" s="501">
        <v>2.02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4C6-EE90-44CC-B095-48A9B103884F}">
  <dimension ref="A1:N26"/>
  <sheetViews>
    <sheetView showGridLines="0" zoomScale="80" zoomScaleNormal="80" workbookViewId="0">
      <selection activeCell="J45" sqref="J45"/>
    </sheetView>
  </sheetViews>
  <sheetFormatPr baseColWidth="10" defaultRowHeight="15" x14ac:dyDescent="0.25"/>
  <cols>
    <col min="2" max="2" width="10.85546875" customWidth="1"/>
  </cols>
  <sheetData>
    <row r="1" spans="1:14" x14ac:dyDescent="0.25">
      <c r="B1" t="s">
        <v>712</v>
      </c>
    </row>
    <row r="2" spans="1:14" ht="18.75" x14ac:dyDescent="0.3">
      <c r="B2" s="506" t="s">
        <v>848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</row>
    <row r="4" spans="1:14" x14ac:dyDescent="0.25">
      <c r="B4" s="136"/>
      <c r="C4" s="330">
        <v>2021</v>
      </c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</row>
    <row r="5" spans="1:14" x14ac:dyDescent="0.25">
      <c r="B5" s="137"/>
      <c r="C5" s="138" t="s">
        <v>713</v>
      </c>
      <c r="D5" s="138" t="s">
        <v>714</v>
      </c>
      <c r="E5" s="138" t="s">
        <v>715</v>
      </c>
      <c r="F5" s="138" t="s">
        <v>716</v>
      </c>
      <c r="G5" s="138" t="s">
        <v>717</v>
      </c>
      <c r="H5" s="138" t="s">
        <v>718</v>
      </c>
      <c r="I5" s="138" t="s">
        <v>719</v>
      </c>
      <c r="J5" s="138" t="s">
        <v>720</v>
      </c>
      <c r="K5" s="138" t="s">
        <v>721</v>
      </c>
      <c r="L5" s="138" t="s">
        <v>722</v>
      </c>
      <c r="M5" s="138" t="s">
        <v>723</v>
      </c>
      <c r="N5" s="138" t="s">
        <v>724</v>
      </c>
    </row>
    <row r="6" spans="1:14" x14ac:dyDescent="0.25">
      <c r="B6" s="139" t="s">
        <v>725</v>
      </c>
      <c r="C6" s="117">
        <v>14099.1</v>
      </c>
      <c r="D6" s="140">
        <v>11629.2</v>
      </c>
      <c r="E6" s="117">
        <v>10664.1</v>
      </c>
      <c r="F6" s="140">
        <v>9269.7999999999993</v>
      </c>
      <c r="G6" s="117">
        <v>14871.3</v>
      </c>
      <c r="H6" s="140">
        <v>12353.7</v>
      </c>
      <c r="I6" s="117">
        <v>15258.8</v>
      </c>
      <c r="J6" s="140">
        <v>15355</v>
      </c>
      <c r="K6" s="141">
        <v>14093.6</v>
      </c>
      <c r="L6" s="140">
        <v>12662.7</v>
      </c>
      <c r="M6" s="141">
        <v>12929.1</v>
      </c>
      <c r="N6" s="140">
        <v>13829.8</v>
      </c>
    </row>
    <row r="7" spans="1:14" x14ac:dyDescent="0.25">
      <c r="B7" s="139" t="s">
        <v>726</v>
      </c>
      <c r="C7" s="117">
        <v>33134.9</v>
      </c>
      <c r="D7" s="140">
        <v>31094.6</v>
      </c>
      <c r="E7" s="117">
        <v>27356.2</v>
      </c>
      <c r="F7" s="140">
        <v>29166.2</v>
      </c>
      <c r="G7" s="117">
        <v>34787.5</v>
      </c>
      <c r="H7" s="140">
        <v>36108.699999999997</v>
      </c>
      <c r="I7" s="117">
        <v>35880.5</v>
      </c>
      <c r="J7" s="140">
        <v>40690.5</v>
      </c>
      <c r="K7" s="141">
        <v>37542.199999999997</v>
      </c>
      <c r="L7" s="140">
        <v>37154.5</v>
      </c>
      <c r="M7" s="141">
        <v>35174.5</v>
      </c>
      <c r="N7" s="140">
        <v>35763.5</v>
      </c>
    </row>
    <row r="8" spans="1:14" x14ac:dyDescent="0.25">
      <c r="B8" s="137" t="s">
        <v>41</v>
      </c>
      <c r="C8" s="142">
        <f t="shared" ref="C8:N8" si="0">+C6+C7</f>
        <v>47234</v>
      </c>
      <c r="D8" s="142">
        <f t="shared" si="0"/>
        <v>42723.8</v>
      </c>
      <c r="E8" s="142">
        <f t="shared" si="0"/>
        <v>38020.300000000003</v>
      </c>
      <c r="F8" s="142">
        <f t="shared" si="0"/>
        <v>38436</v>
      </c>
      <c r="G8" s="142">
        <f t="shared" si="0"/>
        <v>49658.8</v>
      </c>
      <c r="H8" s="142">
        <f t="shared" si="0"/>
        <v>48462.399999999994</v>
      </c>
      <c r="I8" s="142">
        <f t="shared" si="0"/>
        <v>51139.3</v>
      </c>
      <c r="J8" s="142">
        <f t="shared" si="0"/>
        <v>56045.5</v>
      </c>
      <c r="K8" s="142">
        <f t="shared" si="0"/>
        <v>51635.799999999996</v>
      </c>
      <c r="L8" s="142">
        <f t="shared" si="0"/>
        <v>49817.2</v>
      </c>
      <c r="M8" s="142">
        <f t="shared" si="0"/>
        <v>48103.6</v>
      </c>
      <c r="N8" s="142">
        <f t="shared" si="0"/>
        <v>49593.3</v>
      </c>
    </row>
    <row r="9" spans="1:14" x14ac:dyDescent="0.25">
      <c r="B9" s="331" t="s">
        <v>727</v>
      </c>
      <c r="C9" s="331"/>
      <c r="D9" s="331"/>
      <c r="E9" s="331"/>
      <c r="F9" s="331"/>
    </row>
    <row r="10" spans="1:14" x14ac:dyDescent="0.25">
      <c r="B10" s="143"/>
      <c r="C10" s="143"/>
      <c r="D10" s="143"/>
      <c r="E10" s="143"/>
      <c r="F10" s="143"/>
    </row>
    <row r="11" spans="1:14" ht="15" customHeight="1" x14ac:dyDescent="0.3">
      <c r="B11" s="507" t="s">
        <v>848</v>
      </c>
      <c r="C11" s="507"/>
      <c r="D11" s="507"/>
      <c r="E11" s="507"/>
      <c r="F11" s="143"/>
    </row>
    <row r="13" spans="1:14" x14ac:dyDescent="0.25">
      <c r="B13" s="346">
        <v>2021</v>
      </c>
      <c r="C13" s="346" t="s">
        <v>725</v>
      </c>
      <c r="D13" s="346" t="s">
        <v>726</v>
      </c>
      <c r="E13" s="346" t="s">
        <v>41</v>
      </c>
    </row>
    <row r="14" spans="1:14" x14ac:dyDescent="0.25">
      <c r="A14" s="332"/>
      <c r="B14" s="508" t="s">
        <v>728</v>
      </c>
      <c r="C14" s="490">
        <v>14099.1</v>
      </c>
      <c r="D14" s="490">
        <v>33134.9</v>
      </c>
      <c r="E14" s="509">
        <f t="shared" ref="E14:E25" si="1">+C14+D14</f>
        <v>47234</v>
      </c>
    </row>
    <row r="15" spans="1:14" x14ac:dyDescent="0.25">
      <c r="A15" s="332"/>
      <c r="B15" s="510" t="s">
        <v>729</v>
      </c>
      <c r="C15" s="490">
        <v>11629.2</v>
      </c>
      <c r="D15" s="490">
        <v>31094.6</v>
      </c>
      <c r="E15" s="509">
        <f t="shared" si="1"/>
        <v>42723.8</v>
      </c>
    </row>
    <row r="16" spans="1:14" x14ac:dyDescent="0.25">
      <c r="A16" s="332"/>
      <c r="B16" s="511" t="s">
        <v>715</v>
      </c>
      <c r="C16" s="490">
        <v>10664.1</v>
      </c>
      <c r="D16" s="490">
        <v>27356.2</v>
      </c>
      <c r="E16" s="509">
        <f t="shared" si="1"/>
        <v>38020.300000000003</v>
      </c>
    </row>
    <row r="17" spans="1:5" x14ac:dyDescent="0.25">
      <c r="A17" s="332"/>
      <c r="B17" s="511" t="s">
        <v>716</v>
      </c>
      <c r="C17" s="490">
        <v>9269.7999999999993</v>
      </c>
      <c r="D17" s="490">
        <v>29166.2</v>
      </c>
      <c r="E17" s="509">
        <f t="shared" si="1"/>
        <v>38436</v>
      </c>
    </row>
    <row r="18" spans="1:5" x14ac:dyDescent="0.25">
      <c r="A18" s="332"/>
      <c r="B18" s="511" t="s">
        <v>717</v>
      </c>
      <c r="C18" s="490">
        <v>14871.3</v>
      </c>
      <c r="D18" s="490">
        <v>34787.5</v>
      </c>
      <c r="E18" s="509">
        <f t="shared" si="1"/>
        <v>49658.8</v>
      </c>
    </row>
    <row r="19" spans="1:5" x14ac:dyDescent="0.25">
      <c r="A19" s="332"/>
      <c r="B19" s="511" t="s">
        <v>718</v>
      </c>
      <c r="C19" s="490">
        <v>12353.7</v>
      </c>
      <c r="D19" s="490">
        <v>36108.699999999997</v>
      </c>
      <c r="E19" s="509">
        <f t="shared" si="1"/>
        <v>48462.399999999994</v>
      </c>
    </row>
    <row r="20" spans="1:5" x14ac:dyDescent="0.25">
      <c r="A20" s="332"/>
      <c r="B20" s="511" t="s">
        <v>719</v>
      </c>
      <c r="C20" s="490">
        <v>15258.8</v>
      </c>
      <c r="D20" s="490">
        <v>35880.5</v>
      </c>
      <c r="E20" s="509">
        <f t="shared" si="1"/>
        <v>51139.3</v>
      </c>
    </row>
    <row r="21" spans="1:5" x14ac:dyDescent="0.25">
      <c r="A21" s="332"/>
      <c r="B21" s="511" t="s">
        <v>720</v>
      </c>
      <c r="C21" s="490">
        <v>15355</v>
      </c>
      <c r="D21" s="490">
        <v>40690.5</v>
      </c>
      <c r="E21" s="509">
        <f t="shared" si="1"/>
        <v>56045.5</v>
      </c>
    </row>
    <row r="22" spans="1:5" x14ac:dyDescent="0.25">
      <c r="A22" s="332"/>
      <c r="B22" s="511" t="s">
        <v>730</v>
      </c>
      <c r="C22" s="490">
        <v>14093.6</v>
      </c>
      <c r="D22" s="490">
        <v>37542.199999999997</v>
      </c>
      <c r="E22" s="509">
        <f t="shared" si="1"/>
        <v>51635.799999999996</v>
      </c>
    </row>
    <row r="23" spans="1:5" x14ac:dyDescent="0.25">
      <c r="A23" s="332"/>
      <c r="B23" s="511" t="s">
        <v>722</v>
      </c>
      <c r="C23" s="490">
        <v>12662.7</v>
      </c>
      <c r="D23" s="490">
        <v>37154.5</v>
      </c>
      <c r="E23" s="509">
        <f t="shared" si="1"/>
        <v>49817.2</v>
      </c>
    </row>
    <row r="24" spans="1:5" x14ac:dyDescent="0.25">
      <c r="A24" s="332"/>
      <c r="B24" s="511" t="s">
        <v>723</v>
      </c>
      <c r="C24" s="490">
        <v>12929.1</v>
      </c>
      <c r="D24" s="490">
        <v>35174.5</v>
      </c>
      <c r="E24" s="509">
        <f t="shared" si="1"/>
        <v>48103.6</v>
      </c>
    </row>
    <row r="25" spans="1:5" x14ac:dyDescent="0.25">
      <c r="A25" s="332"/>
      <c r="B25" s="511" t="s">
        <v>724</v>
      </c>
      <c r="C25" s="490">
        <v>13829.8</v>
      </c>
      <c r="D25" s="490">
        <v>35763.5</v>
      </c>
      <c r="E25" s="509">
        <f t="shared" si="1"/>
        <v>49593.3</v>
      </c>
    </row>
    <row r="26" spans="1:5" x14ac:dyDescent="0.25">
      <c r="B26" s="444"/>
      <c r="C26" s="444"/>
      <c r="D26" s="444"/>
      <c r="E26" s="444"/>
    </row>
  </sheetData>
  <mergeCells count="4">
    <mergeCell ref="C4:N4"/>
    <mergeCell ref="B9:F9"/>
    <mergeCell ref="A14:A25"/>
    <mergeCell ref="B2:N2"/>
  </mergeCells>
  <pageMargins left="0.7" right="0.7" top="0.75" bottom="0.75" header="0.3" footer="0.3"/>
  <pageSetup orientation="portrait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E43E-67F9-4DA9-9F4C-D01B2EE7C341}">
  <dimension ref="A2:Q24"/>
  <sheetViews>
    <sheetView showGridLines="0" workbookViewId="0">
      <selection activeCell="H33" sqref="H33"/>
    </sheetView>
  </sheetViews>
  <sheetFormatPr baseColWidth="10" defaultRowHeight="15" x14ac:dyDescent="0.25"/>
  <sheetData>
    <row r="2" spans="1:13" ht="15.75" x14ac:dyDescent="0.25">
      <c r="A2" s="505" t="s">
        <v>849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</row>
    <row r="3" spans="1:13" x14ac:dyDescent="0.25">
      <c r="A3" t="s">
        <v>731</v>
      </c>
    </row>
    <row r="4" spans="1:13" x14ac:dyDescent="0.25">
      <c r="A4" s="136"/>
      <c r="B4" s="330">
        <v>2021</v>
      </c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</row>
    <row r="5" spans="1:13" x14ac:dyDescent="0.25">
      <c r="A5" s="137"/>
      <c r="B5" s="138" t="s">
        <v>713</v>
      </c>
      <c r="C5" s="138" t="s">
        <v>714</v>
      </c>
      <c r="D5" s="138" t="s">
        <v>715</v>
      </c>
      <c r="E5" s="138" t="s">
        <v>716</v>
      </c>
      <c r="F5" s="138" t="s">
        <v>717</v>
      </c>
      <c r="G5" s="138" t="s">
        <v>718</v>
      </c>
      <c r="H5" s="138" t="s">
        <v>719</v>
      </c>
      <c r="I5" s="138" t="s">
        <v>720</v>
      </c>
      <c r="J5" s="138" t="s">
        <v>721</v>
      </c>
      <c r="K5" s="138" t="s">
        <v>722</v>
      </c>
      <c r="L5" s="138" t="s">
        <v>723</v>
      </c>
      <c r="M5" s="138" t="s">
        <v>724</v>
      </c>
    </row>
    <row r="6" spans="1:13" x14ac:dyDescent="0.25">
      <c r="A6" s="139" t="s">
        <v>725</v>
      </c>
      <c r="B6" s="144">
        <v>775861</v>
      </c>
      <c r="C6" s="145">
        <v>646133</v>
      </c>
      <c r="D6" s="144">
        <v>584355</v>
      </c>
      <c r="E6" s="145">
        <v>509764</v>
      </c>
      <c r="F6" s="144">
        <v>858814</v>
      </c>
      <c r="G6" s="145">
        <v>683305</v>
      </c>
      <c r="H6" s="144">
        <v>872403</v>
      </c>
      <c r="I6" s="145">
        <v>875658</v>
      </c>
      <c r="J6" s="144">
        <v>714596</v>
      </c>
      <c r="K6" s="145">
        <v>627504</v>
      </c>
      <c r="L6" s="144">
        <v>585763</v>
      </c>
      <c r="M6" s="145">
        <v>562695</v>
      </c>
    </row>
    <row r="7" spans="1:13" x14ac:dyDescent="0.25">
      <c r="A7" s="139" t="s">
        <v>726</v>
      </c>
      <c r="B7" s="144">
        <v>1505527</v>
      </c>
      <c r="C7" s="145">
        <v>1392116</v>
      </c>
      <c r="D7" s="144">
        <v>1149629</v>
      </c>
      <c r="E7" s="145">
        <v>1274522</v>
      </c>
      <c r="F7" s="144">
        <v>1541616</v>
      </c>
      <c r="G7" s="145">
        <v>1567068</v>
      </c>
      <c r="H7" s="144">
        <v>1539369</v>
      </c>
      <c r="I7" s="145">
        <v>1698585</v>
      </c>
      <c r="J7" s="144">
        <v>1658667</v>
      </c>
      <c r="K7" s="145">
        <v>1619269</v>
      </c>
      <c r="L7" s="144">
        <v>1543833</v>
      </c>
      <c r="M7" s="145">
        <v>1601742</v>
      </c>
    </row>
    <row r="8" spans="1:13" x14ac:dyDescent="0.25">
      <c r="A8" s="146" t="s">
        <v>41</v>
      </c>
      <c r="B8" s="142">
        <f t="shared" ref="B8:M8" si="0">+B6+B7</f>
        <v>2281388</v>
      </c>
      <c r="C8" s="142">
        <f t="shared" si="0"/>
        <v>2038249</v>
      </c>
      <c r="D8" s="142">
        <f t="shared" si="0"/>
        <v>1733984</v>
      </c>
      <c r="E8" s="142">
        <f t="shared" si="0"/>
        <v>1784286</v>
      </c>
      <c r="F8" s="142">
        <f t="shared" si="0"/>
        <v>2400430</v>
      </c>
      <c r="G8" s="142">
        <f t="shared" si="0"/>
        <v>2250373</v>
      </c>
      <c r="H8" s="142">
        <f t="shared" si="0"/>
        <v>2411772</v>
      </c>
      <c r="I8" s="142">
        <f t="shared" si="0"/>
        <v>2574243</v>
      </c>
      <c r="J8" s="142">
        <f t="shared" si="0"/>
        <v>2373263</v>
      </c>
      <c r="K8" s="142">
        <f t="shared" si="0"/>
        <v>2246773</v>
      </c>
      <c r="L8" s="142">
        <f t="shared" si="0"/>
        <v>2129596</v>
      </c>
      <c r="M8" s="142">
        <f t="shared" si="0"/>
        <v>2164437</v>
      </c>
    </row>
    <row r="9" spans="1:13" x14ac:dyDescent="0.25">
      <c r="A9" s="331" t="s">
        <v>727</v>
      </c>
      <c r="B9" s="331"/>
      <c r="C9" s="331"/>
      <c r="D9" s="331"/>
      <c r="E9" s="331"/>
    </row>
    <row r="11" spans="1:13" x14ac:dyDescent="0.25">
      <c r="A11" s="451" t="s">
        <v>849</v>
      </c>
      <c r="B11" s="451"/>
      <c r="C11" s="451"/>
      <c r="D11" s="451"/>
      <c r="E11" s="451"/>
      <c r="F11" s="451"/>
    </row>
    <row r="12" spans="1:13" x14ac:dyDescent="0.25">
      <c r="A12" s="137">
        <v>2021</v>
      </c>
      <c r="B12" s="137" t="s">
        <v>725</v>
      </c>
      <c r="C12" s="137" t="s">
        <v>726</v>
      </c>
      <c r="D12" s="515" t="s">
        <v>41</v>
      </c>
    </row>
    <row r="13" spans="1:13" x14ac:dyDescent="0.25">
      <c r="A13" s="512" t="s">
        <v>728</v>
      </c>
      <c r="B13" s="147">
        <v>775861</v>
      </c>
      <c r="C13" s="147">
        <v>1505527</v>
      </c>
      <c r="D13" s="147">
        <f>+B13+C13</f>
        <v>2281388</v>
      </c>
    </row>
    <row r="14" spans="1:13" x14ac:dyDescent="0.25">
      <c r="A14" s="513" t="s">
        <v>729</v>
      </c>
      <c r="B14" s="148">
        <v>646133</v>
      </c>
      <c r="C14" s="148">
        <v>1392116</v>
      </c>
      <c r="D14" s="148">
        <f t="shared" ref="D14:D24" si="1">+B14+C14</f>
        <v>2038249</v>
      </c>
    </row>
    <row r="15" spans="1:13" x14ac:dyDescent="0.25">
      <c r="A15" s="514" t="s">
        <v>715</v>
      </c>
      <c r="B15" s="147">
        <v>584355</v>
      </c>
      <c r="C15" s="147">
        <v>1149629</v>
      </c>
      <c r="D15" s="147">
        <f t="shared" si="1"/>
        <v>1733984</v>
      </c>
    </row>
    <row r="16" spans="1:13" x14ac:dyDescent="0.25">
      <c r="A16" s="514" t="s">
        <v>716</v>
      </c>
      <c r="B16" s="148">
        <v>509764</v>
      </c>
      <c r="C16" s="148">
        <v>1274522</v>
      </c>
      <c r="D16" s="148">
        <f t="shared" si="1"/>
        <v>1784286</v>
      </c>
    </row>
    <row r="17" spans="1:17" x14ac:dyDescent="0.25">
      <c r="A17" s="514" t="s">
        <v>717</v>
      </c>
      <c r="B17" s="147">
        <v>858814</v>
      </c>
      <c r="C17" s="147">
        <v>1541616</v>
      </c>
      <c r="D17" s="147">
        <f t="shared" si="1"/>
        <v>2400430</v>
      </c>
    </row>
    <row r="18" spans="1:17" x14ac:dyDescent="0.25">
      <c r="A18" s="514" t="s">
        <v>718</v>
      </c>
      <c r="B18" s="148">
        <v>683305</v>
      </c>
      <c r="C18" s="148">
        <v>1567068</v>
      </c>
      <c r="D18" s="148">
        <f t="shared" si="1"/>
        <v>2250373</v>
      </c>
    </row>
    <row r="19" spans="1:17" x14ac:dyDescent="0.25">
      <c r="A19" s="514" t="s">
        <v>719</v>
      </c>
      <c r="B19" s="147">
        <v>872403</v>
      </c>
      <c r="C19" s="147">
        <v>1539369</v>
      </c>
      <c r="D19" s="147">
        <f t="shared" si="1"/>
        <v>2411772</v>
      </c>
    </row>
    <row r="20" spans="1:17" x14ac:dyDescent="0.25">
      <c r="A20" s="514" t="s">
        <v>720</v>
      </c>
      <c r="B20" s="148">
        <v>875658</v>
      </c>
      <c r="C20" s="148">
        <v>1698585</v>
      </c>
      <c r="D20" s="148">
        <f t="shared" si="1"/>
        <v>2574243</v>
      </c>
    </row>
    <row r="21" spans="1:17" x14ac:dyDescent="0.25">
      <c r="A21" s="514" t="s">
        <v>730</v>
      </c>
      <c r="B21" s="147">
        <v>714596</v>
      </c>
      <c r="C21" s="147">
        <v>1658667</v>
      </c>
      <c r="D21" s="147">
        <f t="shared" si="1"/>
        <v>2373263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1:17" x14ac:dyDescent="0.25">
      <c r="A22" s="514" t="s">
        <v>722</v>
      </c>
      <c r="B22" s="148">
        <v>627504</v>
      </c>
      <c r="C22" s="148">
        <v>1619269</v>
      </c>
      <c r="D22" s="148">
        <f t="shared" si="1"/>
        <v>2246773</v>
      </c>
    </row>
    <row r="23" spans="1:17" x14ac:dyDescent="0.25">
      <c r="A23" s="514" t="s">
        <v>723</v>
      </c>
      <c r="B23" s="147">
        <v>585763</v>
      </c>
      <c r="C23" s="147">
        <v>1543833</v>
      </c>
      <c r="D23" s="147">
        <f t="shared" si="1"/>
        <v>2129596</v>
      </c>
    </row>
    <row r="24" spans="1:17" x14ac:dyDescent="0.25">
      <c r="A24" s="514" t="s">
        <v>724</v>
      </c>
      <c r="B24" s="148">
        <v>562695</v>
      </c>
      <c r="C24" s="148">
        <v>1601742</v>
      </c>
      <c r="D24" s="148">
        <f t="shared" si="1"/>
        <v>2164437</v>
      </c>
    </row>
  </sheetData>
  <mergeCells count="4">
    <mergeCell ref="B4:M4"/>
    <mergeCell ref="A9:E9"/>
    <mergeCell ref="A2:M2"/>
    <mergeCell ref="A11:F1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8195-F091-49BB-AD8B-C7BDC16C7A3E}">
  <dimension ref="A2:M25"/>
  <sheetViews>
    <sheetView showGridLines="0" zoomScale="110" zoomScaleNormal="110" workbookViewId="0">
      <selection activeCell="H31" sqref="H31"/>
    </sheetView>
  </sheetViews>
  <sheetFormatPr baseColWidth="10" defaultRowHeight="15" x14ac:dyDescent="0.25"/>
  <sheetData>
    <row r="2" spans="1:13" x14ac:dyDescent="0.25">
      <c r="A2" s="451" t="s">
        <v>850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</row>
    <row r="3" spans="1:13" x14ac:dyDescent="0.25">
      <c r="A3" t="s">
        <v>712</v>
      </c>
    </row>
    <row r="4" spans="1:13" x14ac:dyDescent="0.25">
      <c r="A4" s="518"/>
      <c r="B4" s="519" t="s">
        <v>713</v>
      </c>
      <c r="C4" s="522" t="s">
        <v>714</v>
      </c>
      <c r="D4" s="522" t="s">
        <v>715</v>
      </c>
      <c r="E4" s="522" t="s">
        <v>716</v>
      </c>
      <c r="F4" s="522" t="s">
        <v>717</v>
      </c>
      <c r="G4" s="522" t="s">
        <v>718</v>
      </c>
      <c r="H4" s="522" t="s">
        <v>719</v>
      </c>
      <c r="I4" s="522" t="s">
        <v>720</v>
      </c>
      <c r="J4" s="522" t="s">
        <v>721</v>
      </c>
      <c r="K4" s="522" t="s">
        <v>722</v>
      </c>
      <c r="L4" s="522" t="s">
        <v>723</v>
      </c>
      <c r="M4" s="522" t="s">
        <v>724</v>
      </c>
    </row>
    <row r="5" spans="1:13" x14ac:dyDescent="0.25">
      <c r="A5" s="520"/>
      <c r="B5" s="521">
        <v>21</v>
      </c>
      <c r="C5" s="523">
        <v>21</v>
      </c>
      <c r="D5" s="523">
        <v>21</v>
      </c>
      <c r="E5" s="523">
        <v>21</v>
      </c>
      <c r="F5" s="523">
        <v>21</v>
      </c>
      <c r="G5" s="523">
        <v>21</v>
      </c>
      <c r="H5" s="523">
        <v>21</v>
      </c>
      <c r="I5" s="523">
        <v>21</v>
      </c>
      <c r="J5" s="523">
        <v>21</v>
      </c>
      <c r="K5" s="523">
        <v>21</v>
      </c>
      <c r="L5" s="523">
        <v>21</v>
      </c>
      <c r="M5" s="523">
        <v>21</v>
      </c>
    </row>
    <row r="6" spans="1:13" ht="22.5" x14ac:dyDescent="0.25">
      <c r="A6" s="448" t="s">
        <v>732</v>
      </c>
      <c r="B6" s="516">
        <v>14531.005716439402</v>
      </c>
      <c r="C6" s="516">
        <v>13852.720239957729</v>
      </c>
      <c r="D6" s="516">
        <v>15820.476695179897</v>
      </c>
      <c r="E6" s="516">
        <v>13339.531428418095</v>
      </c>
      <c r="F6" s="516">
        <v>19108.72824684238</v>
      </c>
      <c r="G6" s="516">
        <v>21030.442791401889</v>
      </c>
      <c r="H6" s="516">
        <v>21566.645731947141</v>
      </c>
      <c r="I6" s="516">
        <v>23494.98813730371</v>
      </c>
      <c r="J6" s="516">
        <v>23153.74890836365</v>
      </c>
      <c r="K6" s="516">
        <v>27541.636808643445</v>
      </c>
      <c r="L6" s="516">
        <v>20189.033062584323</v>
      </c>
      <c r="M6" s="516">
        <v>18558.709568197617</v>
      </c>
    </row>
    <row r="7" spans="1:13" x14ac:dyDescent="0.25">
      <c r="A7" s="448" t="s">
        <v>733</v>
      </c>
      <c r="B7" s="516">
        <v>18941.386455286549</v>
      </c>
      <c r="C7" s="516">
        <v>16616.278089195712</v>
      </c>
      <c r="D7" s="516">
        <v>14695.359431354</v>
      </c>
      <c r="E7" s="516">
        <v>10880.0751383513</v>
      </c>
      <c r="F7" s="516">
        <v>3076.3318685293652</v>
      </c>
      <c r="G7" s="516">
        <v>8646.3308311706696</v>
      </c>
      <c r="H7" s="516">
        <v>1790.0868495787001</v>
      </c>
      <c r="I7" s="516">
        <v>379.34368724071999</v>
      </c>
      <c r="J7" s="516">
        <v>11946.291417230899</v>
      </c>
      <c r="K7" s="516">
        <v>18517.343270402402</v>
      </c>
      <c r="L7" s="516">
        <v>20083.39508951455</v>
      </c>
      <c r="M7" s="516">
        <v>21046.196347856861</v>
      </c>
    </row>
    <row r="8" spans="1:13" x14ac:dyDescent="0.25">
      <c r="A8" s="448" t="s">
        <v>41</v>
      </c>
      <c r="B8" s="517">
        <f>+B6+B7</f>
        <v>33472.392171725951</v>
      </c>
      <c r="C8" s="517">
        <f t="shared" ref="C8:M8" si="0">+C6+C7</f>
        <v>30468.998329153441</v>
      </c>
      <c r="D8" s="517">
        <f t="shared" si="0"/>
        <v>30515.836126533897</v>
      </c>
      <c r="E8" s="517">
        <f t="shared" si="0"/>
        <v>24219.606566769395</v>
      </c>
      <c r="F8" s="517">
        <f t="shared" si="0"/>
        <v>22185.060115371743</v>
      </c>
      <c r="G8" s="517">
        <f t="shared" si="0"/>
        <v>29676.77362257256</v>
      </c>
      <c r="H8" s="517">
        <f t="shared" si="0"/>
        <v>23356.732581525841</v>
      </c>
      <c r="I8" s="517">
        <f t="shared" si="0"/>
        <v>23874.331824544428</v>
      </c>
      <c r="J8" s="517">
        <f t="shared" si="0"/>
        <v>35100.040325594549</v>
      </c>
      <c r="K8" s="517">
        <f t="shared" si="0"/>
        <v>46058.980079045847</v>
      </c>
      <c r="L8" s="517">
        <f t="shared" si="0"/>
        <v>40272.428152098873</v>
      </c>
      <c r="M8" s="517">
        <f t="shared" si="0"/>
        <v>39604.905916054478</v>
      </c>
    </row>
    <row r="13" spans="1:13" ht="22.5" x14ac:dyDescent="0.25">
      <c r="B13" s="524">
        <v>2021</v>
      </c>
      <c r="C13" s="525" t="s">
        <v>732</v>
      </c>
      <c r="D13" s="525" t="s">
        <v>733</v>
      </c>
      <c r="E13" s="526" t="s">
        <v>41</v>
      </c>
    </row>
    <row r="14" spans="1:13" x14ac:dyDescent="0.25">
      <c r="B14" s="527" t="s">
        <v>728</v>
      </c>
      <c r="C14" s="509">
        <v>14531.005716439402</v>
      </c>
      <c r="D14" s="509">
        <v>18941.386455286549</v>
      </c>
      <c r="E14" s="528">
        <f>+C14+D14</f>
        <v>33472.392171725951</v>
      </c>
    </row>
    <row r="15" spans="1:13" x14ac:dyDescent="0.25">
      <c r="B15" s="529" t="s">
        <v>729</v>
      </c>
      <c r="C15" s="509">
        <v>13852.720239957729</v>
      </c>
      <c r="D15" s="509">
        <v>16616.278089195712</v>
      </c>
      <c r="E15" s="528">
        <f t="shared" ref="E15:E25" si="1">+C15+D15</f>
        <v>30468.998329153441</v>
      </c>
    </row>
    <row r="16" spans="1:13" x14ac:dyDescent="0.25">
      <c r="B16" s="530" t="s">
        <v>715</v>
      </c>
      <c r="C16" s="509">
        <v>15820.476695179897</v>
      </c>
      <c r="D16" s="509">
        <v>14695.359431354</v>
      </c>
      <c r="E16" s="528">
        <f t="shared" si="1"/>
        <v>30515.836126533897</v>
      </c>
    </row>
    <row r="17" spans="2:5" x14ac:dyDescent="0.25">
      <c r="B17" s="530" t="s">
        <v>716</v>
      </c>
      <c r="C17" s="509">
        <v>13339.531428418095</v>
      </c>
      <c r="D17" s="509">
        <v>10880.0751383513</v>
      </c>
      <c r="E17" s="528">
        <f t="shared" si="1"/>
        <v>24219.606566769395</v>
      </c>
    </row>
    <row r="18" spans="2:5" x14ac:dyDescent="0.25">
      <c r="B18" s="530" t="s">
        <v>717</v>
      </c>
      <c r="C18" s="509">
        <v>19108.72824684238</v>
      </c>
      <c r="D18" s="509">
        <v>3076.3318685293652</v>
      </c>
      <c r="E18" s="528">
        <f t="shared" si="1"/>
        <v>22185.060115371743</v>
      </c>
    </row>
    <row r="19" spans="2:5" x14ac:dyDescent="0.25">
      <c r="B19" s="530" t="s">
        <v>718</v>
      </c>
      <c r="C19" s="509">
        <v>21030.442791401889</v>
      </c>
      <c r="D19" s="509">
        <v>8646.3308311706696</v>
      </c>
      <c r="E19" s="528">
        <f t="shared" si="1"/>
        <v>29676.77362257256</v>
      </c>
    </row>
    <row r="20" spans="2:5" x14ac:dyDescent="0.25">
      <c r="B20" s="530" t="s">
        <v>719</v>
      </c>
      <c r="C20" s="509">
        <v>21566.645731947141</v>
      </c>
      <c r="D20" s="509">
        <v>1790.0868495787001</v>
      </c>
      <c r="E20" s="528">
        <f t="shared" si="1"/>
        <v>23356.732581525841</v>
      </c>
    </row>
    <row r="21" spans="2:5" x14ac:dyDescent="0.25">
      <c r="B21" s="530" t="s">
        <v>720</v>
      </c>
      <c r="C21" s="509">
        <v>23494.98813730371</v>
      </c>
      <c r="D21" s="509">
        <v>379.34368724071999</v>
      </c>
      <c r="E21" s="528">
        <f t="shared" si="1"/>
        <v>23874.331824544428</v>
      </c>
    </row>
    <row r="22" spans="2:5" x14ac:dyDescent="0.25">
      <c r="B22" s="530" t="s">
        <v>730</v>
      </c>
      <c r="C22" s="509">
        <v>23153.74890836365</v>
      </c>
      <c r="D22" s="509">
        <v>11946.291417230899</v>
      </c>
      <c r="E22" s="528">
        <f t="shared" si="1"/>
        <v>35100.040325594549</v>
      </c>
    </row>
    <row r="23" spans="2:5" x14ac:dyDescent="0.25">
      <c r="B23" s="530" t="s">
        <v>722</v>
      </c>
      <c r="C23" s="509">
        <v>27541.636808643445</v>
      </c>
      <c r="D23" s="509">
        <v>18517.343270402402</v>
      </c>
      <c r="E23" s="528">
        <f t="shared" si="1"/>
        <v>46058.980079045847</v>
      </c>
    </row>
    <row r="24" spans="2:5" x14ac:dyDescent="0.25">
      <c r="B24" s="530" t="s">
        <v>723</v>
      </c>
      <c r="C24" s="509">
        <v>20189.033062584323</v>
      </c>
      <c r="D24" s="509">
        <v>20083.39508951455</v>
      </c>
      <c r="E24" s="528">
        <f t="shared" si="1"/>
        <v>40272.428152098873</v>
      </c>
    </row>
    <row r="25" spans="2:5" x14ac:dyDescent="0.25">
      <c r="B25" s="530" t="s">
        <v>724</v>
      </c>
      <c r="C25" s="509">
        <v>18558.709568197617</v>
      </c>
      <c r="D25" s="509">
        <v>21046.196347856861</v>
      </c>
      <c r="E25" s="528">
        <f t="shared" si="1"/>
        <v>39604.905916054478</v>
      </c>
    </row>
  </sheetData>
  <mergeCells count="2">
    <mergeCell ref="A4:A5"/>
    <mergeCell ref="A2:M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4B44-05A6-4000-B5B1-9ABF72C2316F}">
  <dimension ref="A1:S75"/>
  <sheetViews>
    <sheetView showGridLines="0" zoomScale="70" zoomScaleNormal="70" workbookViewId="0">
      <selection activeCell="H33" sqref="H33"/>
    </sheetView>
  </sheetViews>
  <sheetFormatPr baseColWidth="10" defaultRowHeight="15" x14ac:dyDescent="0.25"/>
  <cols>
    <col min="2" max="13" width="17.7109375" bestFit="1" customWidth="1"/>
    <col min="19" max="19" width="14.28515625" customWidth="1"/>
  </cols>
  <sheetData>
    <row r="1" spans="1:14" x14ac:dyDescent="0.25">
      <c r="A1" t="s">
        <v>734</v>
      </c>
    </row>
    <row r="2" spans="1:14" x14ac:dyDescent="0.25">
      <c r="A2" s="451" t="s">
        <v>853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</row>
    <row r="4" spans="1:14" x14ac:dyDescent="0.25">
      <c r="A4" s="150"/>
      <c r="B4" s="151">
        <v>44197</v>
      </c>
      <c r="C4" s="151">
        <v>44228</v>
      </c>
      <c r="D4" s="151">
        <v>44256</v>
      </c>
      <c r="E4" s="151">
        <v>44287</v>
      </c>
      <c r="F4" s="151">
        <v>44317</v>
      </c>
      <c r="G4" s="151">
        <v>44348</v>
      </c>
      <c r="H4" s="151">
        <v>44378</v>
      </c>
      <c r="I4" s="151">
        <v>44409</v>
      </c>
      <c r="J4" s="151">
        <v>44440</v>
      </c>
      <c r="K4" s="151">
        <v>44470</v>
      </c>
      <c r="L4" s="151">
        <v>44501</v>
      </c>
      <c r="M4" s="151">
        <v>44531</v>
      </c>
    </row>
    <row r="5" spans="1:14" x14ac:dyDescent="0.25">
      <c r="A5" s="152" t="s">
        <v>735</v>
      </c>
      <c r="B5" s="153">
        <v>1054411</v>
      </c>
      <c r="C5" s="153">
        <v>1070886</v>
      </c>
      <c r="D5" s="153">
        <v>1090501</v>
      </c>
      <c r="E5" s="153">
        <v>1112221</v>
      </c>
      <c r="F5" s="153">
        <v>1132619</v>
      </c>
      <c r="G5" s="153">
        <v>1154628</v>
      </c>
      <c r="H5" s="153">
        <v>1173237</v>
      </c>
      <c r="I5" s="153">
        <v>1192909</v>
      </c>
      <c r="J5" s="153">
        <v>1216802</v>
      </c>
      <c r="K5" s="153">
        <v>1241748</v>
      </c>
      <c r="L5" s="153">
        <v>1268419</v>
      </c>
      <c r="M5" s="153">
        <v>1291935</v>
      </c>
      <c r="N5" s="154"/>
    </row>
    <row r="6" spans="1:14" x14ac:dyDescent="0.25">
      <c r="A6" s="152" t="s">
        <v>736</v>
      </c>
      <c r="B6" s="155">
        <v>2691</v>
      </c>
      <c r="C6" s="155">
        <v>2723</v>
      </c>
      <c r="D6" s="155">
        <v>2765</v>
      </c>
      <c r="E6" s="155">
        <v>2796</v>
      </c>
      <c r="F6" s="155">
        <v>2821</v>
      </c>
      <c r="G6" s="155">
        <v>2853</v>
      </c>
      <c r="H6" s="155">
        <v>2953</v>
      </c>
      <c r="I6" s="155">
        <v>3089</v>
      </c>
      <c r="J6" s="155">
        <v>3197</v>
      </c>
      <c r="K6" s="155">
        <v>3301</v>
      </c>
      <c r="L6" s="155">
        <v>3393</v>
      </c>
      <c r="M6" s="155">
        <v>3465</v>
      </c>
      <c r="N6" s="154"/>
    </row>
    <row r="7" spans="1:14" x14ac:dyDescent="0.25">
      <c r="A7" s="152" t="s">
        <v>684</v>
      </c>
      <c r="B7" s="81">
        <v>281</v>
      </c>
      <c r="C7" s="81">
        <v>281</v>
      </c>
      <c r="D7" s="81">
        <v>281</v>
      </c>
      <c r="E7" s="81">
        <v>282</v>
      </c>
      <c r="F7" s="81">
        <v>281</v>
      </c>
      <c r="G7" s="81">
        <v>280</v>
      </c>
      <c r="H7" s="81">
        <v>282</v>
      </c>
      <c r="I7" s="81">
        <v>282</v>
      </c>
      <c r="J7" s="81">
        <v>281</v>
      </c>
      <c r="K7" s="81">
        <v>281</v>
      </c>
      <c r="L7" s="81">
        <v>280</v>
      </c>
      <c r="M7" s="81">
        <v>280</v>
      </c>
      <c r="N7" s="154"/>
    </row>
    <row r="8" spans="1:14" x14ac:dyDescent="0.25">
      <c r="A8" s="152" t="s">
        <v>737</v>
      </c>
      <c r="B8" s="156">
        <v>609</v>
      </c>
      <c r="C8" s="156">
        <v>615</v>
      </c>
      <c r="D8" s="156">
        <v>629</v>
      </c>
      <c r="E8" s="156">
        <v>623</v>
      </c>
      <c r="F8" s="156">
        <v>620</v>
      </c>
      <c r="G8" s="156">
        <v>622</v>
      </c>
      <c r="H8" s="156">
        <v>628</v>
      </c>
      <c r="I8" s="156">
        <v>638</v>
      </c>
      <c r="J8" s="156">
        <v>642</v>
      </c>
      <c r="K8" s="156">
        <v>644</v>
      </c>
      <c r="L8" s="156">
        <v>646</v>
      </c>
      <c r="M8" s="156">
        <v>654</v>
      </c>
      <c r="N8" s="154"/>
    </row>
    <row r="9" spans="1:14" ht="23.25" x14ac:dyDescent="0.25">
      <c r="A9" s="152" t="s">
        <v>738</v>
      </c>
      <c r="B9" s="81">
        <v>26</v>
      </c>
      <c r="C9" s="81">
        <v>27</v>
      </c>
      <c r="D9" s="81">
        <v>27</v>
      </c>
      <c r="E9" s="81">
        <v>27</v>
      </c>
      <c r="F9" s="81">
        <v>27</v>
      </c>
      <c r="G9" s="81">
        <v>27</v>
      </c>
      <c r="H9" s="81">
        <v>27</v>
      </c>
      <c r="I9" s="81">
        <v>27</v>
      </c>
      <c r="J9" s="81">
        <v>28</v>
      </c>
      <c r="K9" s="81">
        <v>28</v>
      </c>
      <c r="L9" s="81">
        <v>28</v>
      </c>
      <c r="M9" s="81">
        <v>28</v>
      </c>
      <c r="N9" s="154"/>
    </row>
    <row r="10" spans="1:14" x14ac:dyDescent="0.25">
      <c r="A10" s="157" t="s">
        <v>41</v>
      </c>
      <c r="B10" s="158">
        <f>+SUM(B5:B9)</f>
        <v>1058018</v>
      </c>
      <c r="C10" s="158">
        <f t="shared" ref="C10:M10" si="0">+SUM(C5:C9)</f>
        <v>1074532</v>
      </c>
      <c r="D10" s="158">
        <f t="shared" si="0"/>
        <v>1094203</v>
      </c>
      <c r="E10" s="158">
        <f t="shared" si="0"/>
        <v>1115949</v>
      </c>
      <c r="F10" s="158">
        <f t="shared" si="0"/>
        <v>1136368</v>
      </c>
      <c r="G10" s="158">
        <f t="shared" si="0"/>
        <v>1158410</v>
      </c>
      <c r="H10" s="158">
        <f t="shared" si="0"/>
        <v>1177127</v>
      </c>
      <c r="I10" s="158">
        <f t="shared" si="0"/>
        <v>1196945</v>
      </c>
      <c r="J10" s="158">
        <f t="shared" si="0"/>
        <v>1220950</v>
      </c>
      <c r="K10" s="158">
        <f t="shared" si="0"/>
        <v>1246002</v>
      </c>
      <c r="L10" s="158">
        <f t="shared" si="0"/>
        <v>1272766</v>
      </c>
      <c r="M10" s="158">
        <f t="shared" si="0"/>
        <v>1296362</v>
      </c>
    </row>
    <row r="11" spans="1:14" x14ac:dyDescent="0.25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</row>
    <row r="12" spans="1:14" ht="20.25" customHeight="1" x14ac:dyDescent="0.25">
      <c r="A12" s="451" t="s">
        <v>852</v>
      </c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</row>
    <row r="13" spans="1:14" ht="21.75" customHeight="1" x14ac:dyDescent="0.25">
      <c r="A13" s="333" t="s">
        <v>739</v>
      </c>
      <c r="B13" s="333"/>
      <c r="C13" s="127" t="s">
        <v>712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14" x14ac:dyDescent="0.25">
      <c r="A14" s="150"/>
      <c r="B14" s="151">
        <v>44197</v>
      </c>
      <c r="C14" s="151">
        <v>44228</v>
      </c>
      <c r="D14" s="151">
        <v>44256</v>
      </c>
      <c r="E14" s="151">
        <v>44287</v>
      </c>
      <c r="F14" s="151">
        <v>44317</v>
      </c>
      <c r="G14" s="151">
        <v>44348</v>
      </c>
      <c r="H14" s="151">
        <v>44378</v>
      </c>
      <c r="I14" s="151">
        <v>44409</v>
      </c>
      <c r="J14" s="151">
        <v>44440</v>
      </c>
      <c r="K14" s="151">
        <v>44470</v>
      </c>
      <c r="L14" s="151">
        <v>44501</v>
      </c>
      <c r="M14" s="151">
        <v>44531</v>
      </c>
    </row>
    <row r="15" spans="1:14" x14ac:dyDescent="0.25">
      <c r="A15" s="152" t="s">
        <v>735</v>
      </c>
      <c r="B15" s="159">
        <v>486.91420525730746</v>
      </c>
      <c r="C15" s="159">
        <v>429.86243018874433</v>
      </c>
      <c r="D15" s="159">
        <v>529.15435462370681</v>
      </c>
      <c r="E15" s="159">
        <v>552.97562893889994</v>
      </c>
      <c r="F15" s="159">
        <v>546.88374775829993</v>
      </c>
      <c r="G15" s="159">
        <v>578.3091468552999</v>
      </c>
      <c r="H15" s="159">
        <v>582.21954961049926</v>
      </c>
      <c r="I15" s="159">
        <v>587.35601073929934</v>
      </c>
      <c r="J15" s="159">
        <v>606.50742846289916</v>
      </c>
      <c r="K15" s="159">
        <v>571.60135080969917</v>
      </c>
      <c r="L15" s="159">
        <v>584.14666079309916</v>
      </c>
      <c r="M15" s="159">
        <v>630.86831195059938</v>
      </c>
      <c r="N15" s="160"/>
    </row>
    <row r="16" spans="1:14" x14ac:dyDescent="0.25">
      <c r="A16" s="152" t="s">
        <v>736</v>
      </c>
      <c r="B16" s="161">
        <v>74.350556712075402</v>
      </c>
      <c r="C16" s="161">
        <v>64.959797090820388</v>
      </c>
      <c r="D16" s="161">
        <v>82.504878928209081</v>
      </c>
      <c r="E16" s="161">
        <v>87.929365109800003</v>
      </c>
      <c r="F16" s="161">
        <v>88.451169363900007</v>
      </c>
      <c r="G16" s="161">
        <v>102.77848208900001</v>
      </c>
      <c r="H16" s="161">
        <v>108.85613318350009</v>
      </c>
      <c r="I16" s="161">
        <v>110.84687900489995</v>
      </c>
      <c r="J16" s="161">
        <v>113.28627436679983</v>
      </c>
      <c r="K16" s="161">
        <v>122.66076565789999</v>
      </c>
      <c r="L16" s="161">
        <v>111.59838835429979</v>
      </c>
      <c r="M16" s="161">
        <v>117.82228841279995</v>
      </c>
      <c r="N16" s="160"/>
    </row>
    <row r="17" spans="1:19" x14ac:dyDescent="0.25">
      <c r="A17" s="152" t="s">
        <v>684</v>
      </c>
      <c r="B17" s="159">
        <v>1524.1249111671343</v>
      </c>
      <c r="C17" s="159">
        <v>1022.1589326176311</v>
      </c>
      <c r="D17" s="159">
        <v>1244.8435572236153</v>
      </c>
      <c r="E17" s="159">
        <v>1412.9672841122001</v>
      </c>
      <c r="F17" s="159">
        <v>1542.0969136041999</v>
      </c>
      <c r="G17" s="159">
        <v>1515.7757167192999</v>
      </c>
      <c r="H17" s="159">
        <v>1635.5808079604997</v>
      </c>
      <c r="I17" s="159">
        <v>1681.8397025772001</v>
      </c>
      <c r="J17" s="159">
        <v>1678.0945295520999</v>
      </c>
      <c r="K17" s="159">
        <v>1777.6864318481007</v>
      </c>
      <c r="L17" s="159">
        <v>1743.9190184113984</v>
      </c>
      <c r="M17" s="159">
        <v>1889.3688496543991</v>
      </c>
      <c r="N17" s="160"/>
    </row>
    <row r="18" spans="1:19" x14ac:dyDescent="0.25">
      <c r="A18" s="152" t="s">
        <v>737</v>
      </c>
      <c r="B18" s="161">
        <v>4567.7123700443017</v>
      </c>
      <c r="C18" s="161">
        <v>3575.3226667837757</v>
      </c>
      <c r="D18" s="161">
        <v>4031.5323155636129</v>
      </c>
      <c r="E18" s="161">
        <v>3481.8042658160002</v>
      </c>
      <c r="F18" s="161">
        <v>4687.4375543072001</v>
      </c>
      <c r="G18" s="161">
        <v>4346.5498260532004</v>
      </c>
      <c r="H18" s="161">
        <v>4245.6513643911994</v>
      </c>
      <c r="I18" s="161">
        <v>4374.7351105921007</v>
      </c>
      <c r="J18" s="161">
        <v>4376.4397978162997</v>
      </c>
      <c r="K18" s="161">
        <v>4366.2474136208002</v>
      </c>
      <c r="L18" s="161">
        <v>4542.7445607330992</v>
      </c>
      <c r="M18" s="161">
        <v>4589.7704310418003</v>
      </c>
      <c r="N18" s="160"/>
    </row>
    <row r="19" spans="1:19" ht="23.25" x14ac:dyDescent="0.25">
      <c r="A19" s="152" t="s">
        <v>738</v>
      </c>
      <c r="B19" s="159">
        <v>7064.2989178093349</v>
      </c>
      <c r="C19" s="159">
        <v>6810.0538232547306</v>
      </c>
      <c r="D19" s="159">
        <v>9041.1663965077842</v>
      </c>
      <c r="E19" s="159">
        <v>7159.1963798982997</v>
      </c>
      <c r="F19" s="159">
        <v>11297.6100763674</v>
      </c>
      <c r="G19" s="159">
        <v>13796.7987013327</v>
      </c>
      <c r="H19" s="159">
        <v>14250.277178488699</v>
      </c>
      <c r="I19" s="159">
        <v>15976.870254958998</v>
      </c>
      <c r="J19" s="159">
        <v>15692.924468344101</v>
      </c>
      <c r="K19" s="159">
        <v>13405.782214122999</v>
      </c>
      <c r="L19" s="159">
        <v>12271.267188269801</v>
      </c>
      <c r="M19" s="159">
        <v>10209.0352385651</v>
      </c>
      <c r="N19" s="160"/>
    </row>
    <row r="20" spans="1:19" x14ac:dyDescent="0.25">
      <c r="A20" s="157" t="s">
        <v>41</v>
      </c>
      <c r="B20" s="162">
        <f>+SUM(B15:B19)</f>
        <v>13717.400960990155</v>
      </c>
      <c r="C20" s="162">
        <f t="shared" ref="C20:M20" si="1">+SUM(C15:C19)</f>
        <v>11902.357649935702</v>
      </c>
      <c r="D20" s="162">
        <f t="shared" si="1"/>
        <v>14929.201502846929</v>
      </c>
      <c r="E20" s="162">
        <f t="shared" si="1"/>
        <v>12694.8729238752</v>
      </c>
      <c r="F20" s="162">
        <f t="shared" si="1"/>
        <v>18162.479461401002</v>
      </c>
      <c r="G20" s="162">
        <f t="shared" si="1"/>
        <v>20340.211873049499</v>
      </c>
      <c r="H20" s="162">
        <f t="shared" si="1"/>
        <v>20822.585033634397</v>
      </c>
      <c r="I20" s="162">
        <f t="shared" si="1"/>
        <v>22731.647957872497</v>
      </c>
      <c r="J20" s="162">
        <f t="shared" si="1"/>
        <v>22467.252498542199</v>
      </c>
      <c r="K20" s="162">
        <f t="shared" si="1"/>
        <v>20243.9781760595</v>
      </c>
      <c r="L20" s="162">
        <f t="shared" si="1"/>
        <v>19253.675816561699</v>
      </c>
      <c r="M20" s="162">
        <f t="shared" si="1"/>
        <v>17436.865119624701</v>
      </c>
    </row>
    <row r="21" spans="1:19" x14ac:dyDescent="0.2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</row>
    <row r="22" spans="1:19" x14ac:dyDescent="0.2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</row>
    <row r="23" spans="1:19" ht="15" customHeight="1" x14ac:dyDescent="0.25">
      <c r="A23" s="451" t="s">
        <v>854</v>
      </c>
      <c r="B23" s="451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</row>
    <row r="24" spans="1:19" ht="20.25" customHeight="1" x14ac:dyDescent="0.25">
      <c r="A24" s="333" t="s">
        <v>740</v>
      </c>
      <c r="B24" s="333"/>
      <c r="C24" s="333"/>
      <c r="D24" s="127"/>
      <c r="E24" s="127"/>
      <c r="F24" s="127"/>
      <c r="G24" s="127"/>
      <c r="H24" s="127"/>
      <c r="I24" s="333"/>
      <c r="J24" s="333"/>
      <c r="K24" s="127"/>
      <c r="L24" s="127"/>
      <c r="M24" s="127"/>
      <c r="N24" s="127"/>
    </row>
    <row r="25" spans="1:19" x14ac:dyDescent="0.25">
      <c r="A25" s="150"/>
      <c r="B25" s="150">
        <v>2004</v>
      </c>
      <c r="C25" s="150">
        <v>2005</v>
      </c>
      <c r="D25" s="150">
        <v>2006</v>
      </c>
      <c r="E25" s="150">
        <v>2007</v>
      </c>
      <c r="F25" s="150">
        <v>2008</v>
      </c>
      <c r="G25" s="150">
        <v>2009</v>
      </c>
      <c r="H25" s="150">
        <v>2010</v>
      </c>
      <c r="I25" s="150">
        <v>2011</v>
      </c>
      <c r="J25" s="150">
        <v>2012</v>
      </c>
      <c r="K25" s="150">
        <v>2013</v>
      </c>
      <c r="L25" s="150">
        <v>2014</v>
      </c>
      <c r="M25" s="150">
        <v>2015</v>
      </c>
      <c r="N25" s="150">
        <v>2016</v>
      </c>
      <c r="O25" s="150">
        <v>2017</v>
      </c>
      <c r="P25" s="150">
        <v>2018</v>
      </c>
      <c r="Q25" s="150">
        <v>2019</v>
      </c>
      <c r="R25" s="150">
        <v>2020</v>
      </c>
      <c r="S25" s="150">
        <v>2021</v>
      </c>
    </row>
    <row r="26" spans="1:19" x14ac:dyDescent="0.25">
      <c r="A26" s="152" t="s">
        <v>735</v>
      </c>
      <c r="B26" s="163">
        <v>0</v>
      </c>
      <c r="C26" s="163">
        <v>1712</v>
      </c>
      <c r="D26" s="163">
        <v>5198</v>
      </c>
      <c r="E26" s="163">
        <v>7359</v>
      </c>
      <c r="F26" s="163">
        <v>11449</v>
      </c>
      <c r="G26" s="163">
        <v>18399</v>
      </c>
      <c r="H26" s="163">
        <v>35013</v>
      </c>
      <c r="I26" s="163">
        <v>56757</v>
      </c>
      <c r="J26" s="163">
        <v>101913</v>
      </c>
      <c r="K26" s="163">
        <v>157221</v>
      </c>
      <c r="L26" s="163">
        <v>223904</v>
      </c>
      <c r="M26" s="163">
        <v>303367</v>
      </c>
      <c r="N26" s="163">
        <v>391510</v>
      </c>
      <c r="O26" s="163">
        <v>520845</v>
      </c>
      <c r="P26" s="163">
        <v>745642</v>
      </c>
      <c r="Q26" s="163">
        <v>945986</v>
      </c>
      <c r="R26" s="163">
        <v>1037421</v>
      </c>
      <c r="S26" s="163">
        <v>1291935</v>
      </c>
    </row>
    <row r="27" spans="1:19" x14ac:dyDescent="0.25">
      <c r="A27" s="152" t="s">
        <v>741</v>
      </c>
      <c r="B27" s="164">
        <v>1</v>
      </c>
      <c r="C27" s="164">
        <v>3</v>
      </c>
      <c r="D27" s="164">
        <v>49</v>
      </c>
      <c r="E27" s="164">
        <v>119</v>
      </c>
      <c r="F27" s="164">
        <v>252</v>
      </c>
      <c r="G27" s="164">
        <v>371</v>
      </c>
      <c r="H27" s="164">
        <v>421</v>
      </c>
      <c r="I27" s="164">
        <v>669</v>
      </c>
      <c r="J27" s="164">
        <v>836</v>
      </c>
      <c r="K27" s="164">
        <v>1100</v>
      </c>
      <c r="L27" s="164">
        <v>1451</v>
      </c>
      <c r="M27" s="164">
        <v>1756</v>
      </c>
      <c r="N27" s="164">
        <v>2053</v>
      </c>
      <c r="O27" s="164">
        <v>2363</v>
      </c>
      <c r="P27" s="164">
        <v>2611</v>
      </c>
      <c r="Q27" s="164">
        <v>3225</v>
      </c>
      <c r="R27" s="164">
        <v>2585</v>
      </c>
      <c r="S27" s="164">
        <v>3465</v>
      </c>
    </row>
    <row r="28" spans="1:19" x14ac:dyDescent="0.25">
      <c r="A28" s="152" t="s">
        <v>684</v>
      </c>
      <c r="B28" s="163">
        <v>0</v>
      </c>
      <c r="C28" s="163">
        <v>3</v>
      </c>
      <c r="D28" s="163">
        <v>5</v>
      </c>
      <c r="E28" s="163">
        <v>22</v>
      </c>
      <c r="F28" s="163">
        <v>60</v>
      </c>
      <c r="G28" s="163">
        <v>103</v>
      </c>
      <c r="H28" s="163">
        <v>141</v>
      </c>
      <c r="I28" s="163">
        <v>174</v>
      </c>
      <c r="J28" s="163">
        <v>197</v>
      </c>
      <c r="K28" s="163">
        <v>212</v>
      </c>
      <c r="L28" s="163">
        <v>222</v>
      </c>
      <c r="M28" s="163">
        <v>234</v>
      </c>
      <c r="N28" s="163">
        <v>240</v>
      </c>
      <c r="O28" s="163">
        <v>257</v>
      </c>
      <c r="P28" s="163">
        <v>272</v>
      </c>
      <c r="Q28" s="163">
        <v>276</v>
      </c>
      <c r="R28" s="163">
        <v>281</v>
      </c>
      <c r="S28" s="163">
        <v>280</v>
      </c>
    </row>
    <row r="29" spans="1:19" x14ac:dyDescent="0.25">
      <c r="A29" s="152" t="s">
        <v>742</v>
      </c>
      <c r="B29" s="164">
        <v>10</v>
      </c>
      <c r="C29" s="164">
        <v>73</v>
      </c>
      <c r="D29" s="164">
        <v>137</v>
      </c>
      <c r="E29" s="164">
        <v>221</v>
      </c>
      <c r="F29" s="164">
        <v>278</v>
      </c>
      <c r="G29" s="164">
        <v>326</v>
      </c>
      <c r="H29" s="164">
        <v>378</v>
      </c>
      <c r="I29" s="164">
        <v>388</v>
      </c>
      <c r="J29" s="164">
        <v>419</v>
      </c>
      <c r="K29" s="164">
        <v>456</v>
      </c>
      <c r="L29" s="164">
        <v>469</v>
      </c>
      <c r="M29" s="164">
        <v>480</v>
      </c>
      <c r="N29" s="164">
        <v>516</v>
      </c>
      <c r="O29" s="164">
        <v>541</v>
      </c>
      <c r="P29" s="164">
        <v>556</v>
      </c>
      <c r="Q29" s="164">
        <v>599</v>
      </c>
      <c r="R29" s="164">
        <v>612</v>
      </c>
      <c r="S29" s="164">
        <v>654</v>
      </c>
    </row>
    <row r="30" spans="1:19" ht="23.25" x14ac:dyDescent="0.25">
      <c r="A30" s="152" t="s">
        <v>738</v>
      </c>
      <c r="B30" s="163">
        <v>0</v>
      </c>
      <c r="C30" s="163">
        <v>0</v>
      </c>
      <c r="D30" s="163">
        <v>0</v>
      </c>
      <c r="E30" s="163">
        <v>0</v>
      </c>
      <c r="F30" s="163">
        <v>0</v>
      </c>
      <c r="G30" s="163">
        <v>0</v>
      </c>
      <c r="H30" s="163">
        <v>10</v>
      </c>
      <c r="I30" s="163">
        <v>10</v>
      </c>
      <c r="J30" s="163">
        <v>10</v>
      </c>
      <c r="K30" s="163">
        <v>16</v>
      </c>
      <c r="L30" s="163">
        <v>19</v>
      </c>
      <c r="M30" s="163">
        <v>18</v>
      </c>
      <c r="N30" s="163">
        <v>19</v>
      </c>
      <c r="O30" s="163">
        <v>22</v>
      </c>
      <c r="P30" s="163">
        <v>22</v>
      </c>
      <c r="Q30" s="163">
        <v>24</v>
      </c>
      <c r="R30" s="163">
        <v>26</v>
      </c>
      <c r="S30" s="163">
        <v>28</v>
      </c>
    </row>
    <row r="31" spans="1:19" x14ac:dyDescent="0.25">
      <c r="A31" s="157" t="s">
        <v>41</v>
      </c>
      <c r="B31" s="165">
        <f>+SUM(B26:B30)</f>
        <v>11</v>
      </c>
      <c r="C31" s="165">
        <f t="shared" ref="C31:S31" si="2">+SUM(C26:C30)</f>
        <v>1791</v>
      </c>
      <c r="D31" s="165">
        <f t="shared" si="2"/>
        <v>5389</v>
      </c>
      <c r="E31" s="165">
        <f t="shared" si="2"/>
        <v>7721</v>
      </c>
      <c r="F31" s="165">
        <f t="shared" si="2"/>
        <v>12039</v>
      </c>
      <c r="G31" s="165">
        <f t="shared" si="2"/>
        <v>19199</v>
      </c>
      <c r="H31" s="165">
        <f t="shared" si="2"/>
        <v>35963</v>
      </c>
      <c r="I31" s="165">
        <f t="shared" si="2"/>
        <v>57998</v>
      </c>
      <c r="J31" s="165">
        <f t="shared" si="2"/>
        <v>103375</v>
      </c>
      <c r="K31" s="165">
        <f t="shared" si="2"/>
        <v>159005</v>
      </c>
      <c r="L31" s="165">
        <f t="shared" si="2"/>
        <v>226065</v>
      </c>
      <c r="M31" s="165">
        <f t="shared" si="2"/>
        <v>305855</v>
      </c>
      <c r="N31" s="165">
        <f t="shared" si="2"/>
        <v>394338</v>
      </c>
      <c r="O31" s="165">
        <f t="shared" si="2"/>
        <v>524028</v>
      </c>
      <c r="P31" s="165">
        <f t="shared" si="2"/>
        <v>749103</v>
      </c>
      <c r="Q31" s="165">
        <f t="shared" si="2"/>
        <v>950110</v>
      </c>
      <c r="R31" s="165">
        <f t="shared" si="2"/>
        <v>1040925</v>
      </c>
      <c r="S31" s="165">
        <f t="shared" si="2"/>
        <v>1296362</v>
      </c>
    </row>
    <row r="32" spans="1:19" x14ac:dyDescent="0.25">
      <c r="A32" s="166" t="s">
        <v>743</v>
      </c>
      <c r="B32" s="5"/>
      <c r="C32" s="5"/>
      <c r="D32" s="5"/>
      <c r="E32" s="5"/>
      <c r="F32" s="5"/>
      <c r="G32" s="5"/>
      <c r="H32" s="44"/>
      <c r="I32" s="44"/>
      <c r="J32" s="44"/>
      <c r="K32" s="44"/>
      <c r="L32" s="44"/>
      <c r="M32" s="44"/>
      <c r="N32" s="44"/>
    </row>
    <row r="33" spans="1:19" x14ac:dyDescent="0.25">
      <c r="A33" s="166" t="s">
        <v>744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9" x14ac:dyDescent="0.25">
      <c r="A34" s="16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1:19" x14ac:dyDescent="0.25">
      <c r="A35" s="451" t="s">
        <v>851</v>
      </c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</row>
    <row r="36" spans="1:19" ht="15" customHeight="1" x14ac:dyDescent="0.25">
      <c r="A36" s="333" t="s">
        <v>745</v>
      </c>
      <c r="B36" s="333"/>
      <c r="C36" s="127" t="s">
        <v>712</v>
      </c>
      <c r="D36" s="127"/>
      <c r="E36" s="127"/>
      <c r="F36" s="127"/>
    </row>
    <row r="37" spans="1:19" x14ac:dyDescent="0.25">
      <c r="A37" s="150"/>
      <c r="B37" s="150">
        <v>2004</v>
      </c>
      <c r="C37" s="150">
        <v>2005</v>
      </c>
      <c r="D37" s="150">
        <v>2006</v>
      </c>
      <c r="E37" s="150">
        <v>2007</v>
      </c>
      <c r="F37" s="150">
        <v>2008</v>
      </c>
      <c r="G37" s="150">
        <v>2009</v>
      </c>
      <c r="H37" s="150">
        <v>2010</v>
      </c>
      <c r="I37" s="150">
        <v>2011</v>
      </c>
      <c r="J37" s="150">
        <v>2012</v>
      </c>
      <c r="K37" s="150">
        <v>2013</v>
      </c>
      <c r="L37" s="150">
        <v>2014</v>
      </c>
      <c r="M37" s="150">
        <v>2015</v>
      </c>
      <c r="N37" s="150">
        <v>2016</v>
      </c>
      <c r="O37" s="150">
        <v>2017</v>
      </c>
      <c r="P37" s="150">
        <v>2018</v>
      </c>
      <c r="Q37" s="150">
        <v>2019</v>
      </c>
      <c r="R37" s="150">
        <v>2020</v>
      </c>
      <c r="S37" s="150">
        <v>2021</v>
      </c>
    </row>
    <row r="38" spans="1:19" x14ac:dyDescent="0.25">
      <c r="A38" s="152" t="s">
        <v>735</v>
      </c>
      <c r="B38" s="167">
        <v>0</v>
      </c>
      <c r="C38" s="168">
        <v>2.8945669265500005</v>
      </c>
      <c r="D38" s="168">
        <v>25.96881915785</v>
      </c>
      <c r="E38" s="168">
        <v>55.67551800094158</v>
      </c>
      <c r="F38" s="168">
        <v>87.255675661302632</v>
      </c>
      <c r="G38" s="168">
        <v>128.16309642981446</v>
      </c>
      <c r="H38" s="168">
        <v>219.95950825792397</v>
      </c>
      <c r="I38" s="168">
        <v>370.03002586506511</v>
      </c>
      <c r="J38" s="168">
        <v>626.74277334323904</v>
      </c>
      <c r="K38" s="168">
        <v>906.77308860131234</v>
      </c>
      <c r="L38" s="168">
        <v>1450.5679917775776</v>
      </c>
      <c r="M38" s="168">
        <v>1990.6782955970243</v>
      </c>
      <c r="N38" s="168">
        <v>2584.7061810461701</v>
      </c>
      <c r="O38" s="168">
        <v>3283.6326120396025</v>
      </c>
      <c r="P38" s="168">
        <v>4048.1164839329313</v>
      </c>
      <c r="Q38" s="168">
        <v>5078.9022051763322</v>
      </c>
      <c r="R38" s="168">
        <v>6261.0831266461046</v>
      </c>
      <c r="S38" s="168">
        <v>6686.7988259883532</v>
      </c>
    </row>
    <row r="39" spans="1:19" x14ac:dyDescent="0.25">
      <c r="A39" s="152" t="s">
        <v>741</v>
      </c>
      <c r="B39" s="169">
        <v>0.51894907565000004</v>
      </c>
      <c r="C39" s="170">
        <v>4.2594789220500004</v>
      </c>
      <c r="D39" s="170">
        <v>60.077563806690002</v>
      </c>
      <c r="E39" s="170">
        <v>148.00990211884942</v>
      </c>
      <c r="F39" s="170">
        <v>107.62193353419886</v>
      </c>
      <c r="G39" s="170">
        <v>172.77341470914823</v>
      </c>
      <c r="H39" s="170">
        <v>233.37101061794209</v>
      </c>
      <c r="I39" s="170">
        <v>299.34825389199875</v>
      </c>
      <c r="J39" s="170">
        <v>377.91920603951348</v>
      </c>
      <c r="K39" s="170">
        <v>448.4903549589809</v>
      </c>
      <c r="L39" s="170">
        <v>543.5214724347054</v>
      </c>
      <c r="M39" s="170">
        <v>668.26322218646033</v>
      </c>
      <c r="N39" s="170">
        <v>762.77175968699248</v>
      </c>
      <c r="O39" s="170">
        <v>886.74431268022386</v>
      </c>
      <c r="P39" s="170">
        <v>1074.7623354785032</v>
      </c>
      <c r="Q39" s="170">
        <v>1239.8572292824053</v>
      </c>
      <c r="R39" s="170">
        <v>993.44096344679178</v>
      </c>
      <c r="S39" s="170">
        <v>1186.0449782740045</v>
      </c>
    </row>
    <row r="40" spans="1:19" x14ac:dyDescent="0.25">
      <c r="A40" s="152" t="s">
        <v>684</v>
      </c>
      <c r="B40" s="167">
        <v>0</v>
      </c>
      <c r="C40" s="168">
        <v>1.12321839402</v>
      </c>
      <c r="D40" s="168">
        <v>282.88088921297998</v>
      </c>
      <c r="E40" s="168">
        <v>1888.2809192857203</v>
      </c>
      <c r="F40" s="168">
        <v>5466.5127053516899</v>
      </c>
      <c r="G40" s="168">
        <v>9228.7118083353616</v>
      </c>
      <c r="H40" s="168">
        <v>12307.765910826365</v>
      </c>
      <c r="I40" s="168">
        <v>14878.816316127637</v>
      </c>
      <c r="J40" s="168">
        <v>18286.94800006468</v>
      </c>
      <c r="K40" s="168">
        <v>21363.158349048837</v>
      </c>
      <c r="L40" s="168">
        <v>23047.495216959487</v>
      </c>
      <c r="M40" s="168">
        <v>23007.02961051471</v>
      </c>
      <c r="N40" s="168">
        <v>23106.744380533073</v>
      </c>
      <c r="O40" s="168">
        <v>23777.79060963248</v>
      </c>
      <c r="P40" s="168">
        <v>23468.626704354498</v>
      </c>
      <c r="Q40" s="168">
        <v>23296.238828282534</v>
      </c>
      <c r="R40" s="168">
        <v>15858.961686198896</v>
      </c>
      <c r="S40" s="168">
        <v>18668.456655447775</v>
      </c>
    </row>
    <row r="41" spans="1:19" x14ac:dyDescent="0.25">
      <c r="A41" s="152" t="s">
        <v>742</v>
      </c>
      <c r="B41" s="169">
        <v>0</v>
      </c>
      <c r="C41" s="170">
        <v>1598.1110415728701</v>
      </c>
      <c r="D41" s="170">
        <v>6213.3029453771005</v>
      </c>
      <c r="E41" s="170">
        <v>9763.4308020134977</v>
      </c>
      <c r="F41" s="170">
        <v>11606.511027146573</v>
      </c>
      <c r="G41" s="170">
        <v>13015.833504698001</v>
      </c>
      <c r="H41" s="170">
        <v>26398.747036968329</v>
      </c>
      <c r="I41" s="170">
        <v>31696.559252360137</v>
      </c>
      <c r="J41" s="170">
        <v>32904.155767497832</v>
      </c>
      <c r="K41" s="170">
        <v>34673.613643054079</v>
      </c>
      <c r="L41" s="170">
        <v>39114.550892407337</v>
      </c>
      <c r="M41" s="170">
        <v>39119.748529447519</v>
      </c>
      <c r="N41" s="170">
        <v>39413.798534025373</v>
      </c>
      <c r="O41" s="170">
        <v>44876.747083837174</v>
      </c>
      <c r="P41" s="170">
        <v>48629.322260936053</v>
      </c>
      <c r="Q41" s="170">
        <v>46933.617078993731</v>
      </c>
      <c r="R41" s="170">
        <v>36988.211356945081</v>
      </c>
      <c r="S41" s="170">
        <v>51185.947676763397</v>
      </c>
    </row>
    <row r="42" spans="1:19" ht="23.25" x14ac:dyDescent="0.25">
      <c r="A42" s="152" t="s">
        <v>738</v>
      </c>
      <c r="B42" s="167">
        <v>0</v>
      </c>
      <c r="C42" s="168">
        <v>0</v>
      </c>
      <c r="D42" s="168">
        <v>0</v>
      </c>
      <c r="E42" s="168">
        <v>0</v>
      </c>
      <c r="F42" s="168">
        <v>0</v>
      </c>
      <c r="G42" s="168">
        <v>0</v>
      </c>
      <c r="H42" s="168">
        <v>48542.589139855758</v>
      </c>
      <c r="I42" s="168">
        <v>107749.0789893216</v>
      </c>
      <c r="J42" s="168">
        <v>115158.8799689108</v>
      </c>
      <c r="K42" s="168">
        <v>114120.98779365286</v>
      </c>
      <c r="L42" s="168">
        <v>129794.30578243843</v>
      </c>
      <c r="M42" s="168">
        <v>131377.75310797061</v>
      </c>
      <c r="N42" s="168">
        <v>147042.75520221185</v>
      </c>
      <c r="O42" s="168">
        <v>121715.51925361897</v>
      </c>
      <c r="P42" s="168">
        <v>125465.99486186777</v>
      </c>
      <c r="Q42" s="168">
        <v>139304.85309498219</v>
      </c>
      <c r="R42" s="168">
        <v>112804.81107097879</v>
      </c>
      <c r="S42" s="168">
        <v>136975.28083791994</v>
      </c>
    </row>
    <row r="43" spans="1:19" x14ac:dyDescent="0.25">
      <c r="A43" s="157" t="s">
        <v>41</v>
      </c>
      <c r="B43" s="171">
        <f t="shared" ref="B43:Q43" si="3">+SUM(B38:B42)</f>
        <v>0.51894907565000004</v>
      </c>
      <c r="C43" s="171">
        <f t="shared" si="3"/>
        <v>1606.3883058154902</v>
      </c>
      <c r="D43" s="171">
        <f t="shared" si="3"/>
        <v>6582.2302175546201</v>
      </c>
      <c r="E43" s="171">
        <f t="shared" si="3"/>
        <v>11855.397141419009</v>
      </c>
      <c r="F43" s="171">
        <f t="shared" si="3"/>
        <v>17267.901341693763</v>
      </c>
      <c r="G43" s="171">
        <f t="shared" si="3"/>
        <v>22545.481824172326</v>
      </c>
      <c r="H43" s="171">
        <f t="shared" si="3"/>
        <v>87702.432606526316</v>
      </c>
      <c r="I43" s="171">
        <f t="shared" si="3"/>
        <v>154993.83283756644</v>
      </c>
      <c r="J43" s="171">
        <f t="shared" si="3"/>
        <v>167354.64571585605</v>
      </c>
      <c r="K43" s="171">
        <f t="shared" si="3"/>
        <v>171513.02322931608</v>
      </c>
      <c r="L43" s="171">
        <f t="shared" si="3"/>
        <v>193950.44135601755</v>
      </c>
      <c r="M43" s="171">
        <f t="shared" si="3"/>
        <v>196163.47276571632</v>
      </c>
      <c r="N43" s="171">
        <f t="shared" si="3"/>
        <v>212910.77605750345</v>
      </c>
      <c r="O43" s="171">
        <f t="shared" si="3"/>
        <v>194540.43387180846</v>
      </c>
      <c r="P43" s="171">
        <f t="shared" si="3"/>
        <v>202686.82264656975</v>
      </c>
      <c r="Q43" s="171">
        <f t="shared" si="3"/>
        <v>215853.46843671717</v>
      </c>
      <c r="R43" s="171">
        <f>+SUM(R38:R42)</f>
        <v>172906.50820421567</v>
      </c>
      <c r="S43" s="171">
        <f>+SUM(S38:S42)</f>
        <v>214702.52897439347</v>
      </c>
    </row>
    <row r="44" spans="1:19" x14ac:dyDescent="0.25">
      <c r="A44" s="166" t="s">
        <v>743</v>
      </c>
    </row>
    <row r="45" spans="1:19" x14ac:dyDescent="0.25">
      <c r="A45" s="166" t="s">
        <v>744</v>
      </c>
    </row>
    <row r="46" spans="1:19" x14ac:dyDescent="0.25">
      <c r="A46" s="172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</row>
    <row r="47" spans="1:19" x14ac:dyDescent="0.25">
      <c r="A47" s="172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</row>
    <row r="48" spans="1:19" x14ac:dyDescent="0.25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</row>
    <row r="49" spans="1:12" x14ac:dyDescent="0.25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</row>
    <row r="50" spans="1:12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</row>
    <row r="51" spans="1:12" x14ac:dyDescent="0.2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</row>
    <row r="52" spans="1:12" x14ac:dyDescent="0.2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</row>
    <row r="53" spans="1:12" x14ac:dyDescent="0.2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</row>
    <row r="54" spans="1:12" x14ac:dyDescent="0.2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</row>
    <row r="55" spans="1:12" x14ac:dyDescent="0.25">
      <c r="A55" s="172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</row>
    <row r="56" spans="1:12" x14ac:dyDescent="0.2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</row>
    <row r="57" spans="1:12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</row>
    <row r="58" spans="1:12" x14ac:dyDescent="0.25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</row>
    <row r="59" spans="1:12" x14ac:dyDescent="0.2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</row>
    <row r="60" spans="1:12" x14ac:dyDescent="0.2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</row>
    <row r="61" spans="1:12" x14ac:dyDescent="0.2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</row>
    <row r="62" spans="1:12" x14ac:dyDescent="0.2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</row>
    <row r="63" spans="1:12" x14ac:dyDescent="0.25">
      <c r="A63" s="172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</row>
    <row r="64" spans="1:12" x14ac:dyDescent="0.25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</row>
    <row r="65" spans="1:12" x14ac:dyDescent="0.25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</row>
    <row r="66" spans="1:12" x14ac:dyDescent="0.25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</row>
    <row r="67" spans="1:12" x14ac:dyDescent="0.25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</row>
    <row r="68" spans="1:12" x14ac:dyDescent="0.25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</row>
    <row r="69" spans="1:12" x14ac:dyDescent="0.2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</row>
    <row r="70" spans="1:12" x14ac:dyDescent="0.25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</row>
    <row r="71" spans="1:12" x14ac:dyDescent="0.25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</row>
    <row r="72" spans="1:12" x14ac:dyDescent="0.25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</row>
    <row r="73" spans="1:12" x14ac:dyDescent="0.25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</row>
    <row r="74" spans="1:12" x14ac:dyDescent="0.25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</row>
    <row r="75" spans="1:12" x14ac:dyDescent="0.2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</row>
  </sheetData>
  <mergeCells count="11">
    <mergeCell ref="A2:M2"/>
    <mergeCell ref="A12:M12"/>
    <mergeCell ref="A23:M23"/>
    <mergeCell ref="N23:Q23"/>
    <mergeCell ref="A35:M35"/>
    <mergeCell ref="N35:Q35"/>
    <mergeCell ref="A13:B13"/>
    <mergeCell ref="A24:C24"/>
    <mergeCell ref="I24:J24"/>
    <mergeCell ref="A36:B36"/>
    <mergeCell ref="R35:S3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3352-08D7-4356-9EBF-5D5A48743642}">
  <dimension ref="A1:N41"/>
  <sheetViews>
    <sheetView showGridLines="0" zoomScale="80" zoomScaleNormal="80" workbookViewId="0">
      <selection activeCell="I44" sqref="I44"/>
    </sheetView>
  </sheetViews>
  <sheetFormatPr baseColWidth="10" defaultRowHeight="15" x14ac:dyDescent="0.25"/>
  <cols>
    <col min="2" max="2" width="16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5.140625" bestFit="1" customWidth="1"/>
    <col min="9" max="9" width="16.28515625" bestFit="1" customWidth="1"/>
    <col min="10" max="10" width="15.7109375" bestFit="1" customWidth="1"/>
    <col min="11" max="11" width="15.85546875" bestFit="1" customWidth="1"/>
    <col min="12" max="12" width="16.28515625" bestFit="1" customWidth="1"/>
    <col min="13" max="13" width="16.42578125" bestFit="1" customWidth="1"/>
  </cols>
  <sheetData>
    <row r="1" spans="1:14" x14ac:dyDescent="0.25">
      <c r="A1" s="451" t="s">
        <v>857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</row>
    <row r="3" spans="1:14" x14ac:dyDescent="0.25">
      <c r="A3" t="s">
        <v>734</v>
      </c>
    </row>
    <row r="4" spans="1:14" x14ac:dyDescent="0.25">
      <c r="A4" s="157"/>
      <c r="B4" s="151">
        <v>44197</v>
      </c>
      <c r="C4" s="151">
        <v>44228</v>
      </c>
      <c r="D4" s="151">
        <v>44256</v>
      </c>
      <c r="E4" s="151">
        <v>44287</v>
      </c>
      <c r="F4" s="151">
        <v>44317</v>
      </c>
      <c r="G4" s="151">
        <v>44348</v>
      </c>
      <c r="H4" s="151">
        <v>44378</v>
      </c>
      <c r="I4" s="151">
        <v>44409</v>
      </c>
      <c r="J4" s="151">
        <v>44440</v>
      </c>
      <c r="K4" s="151">
        <v>44470</v>
      </c>
      <c r="L4" s="151">
        <v>44501</v>
      </c>
      <c r="M4" s="151">
        <v>44531</v>
      </c>
    </row>
    <row r="5" spans="1:14" x14ac:dyDescent="0.25">
      <c r="A5" s="152" t="s">
        <v>735</v>
      </c>
      <c r="B5" s="153">
        <v>63247</v>
      </c>
      <c r="C5" s="153">
        <v>63847</v>
      </c>
      <c r="D5" s="153">
        <v>64664</v>
      </c>
      <c r="E5" s="153">
        <v>65292</v>
      </c>
      <c r="F5" s="153">
        <v>65768</v>
      </c>
      <c r="G5" s="153">
        <v>66180</v>
      </c>
      <c r="H5" s="153">
        <v>66643</v>
      </c>
      <c r="I5" s="153">
        <v>66995</v>
      </c>
      <c r="J5" s="153">
        <v>67473</v>
      </c>
      <c r="K5" s="153">
        <v>67949</v>
      </c>
      <c r="L5" s="153">
        <v>68409</v>
      </c>
      <c r="M5" s="153">
        <v>68883</v>
      </c>
    </row>
    <row r="6" spans="1:14" x14ac:dyDescent="0.25">
      <c r="A6" s="152" t="s">
        <v>736</v>
      </c>
      <c r="B6" s="178">
        <v>162</v>
      </c>
      <c r="C6" s="178">
        <v>163</v>
      </c>
      <c r="D6" s="178">
        <v>163</v>
      </c>
      <c r="E6" s="178">
        <v>164</v>
      </c>
      <c r="F6" s="178">
        <v>164</v>
      </c>
      <c r="G6" s="178">
        <v>164</v>
      </c>
      <c r="H6" s="178">
        <v>164</v>
      </c>
      <c r="I6" s="178">
        <v>164</v>
      </c>
      <c r="J6" s="178">
        <v>164</v>
      </c>
      <c r="K6" s="178">
        <v>164</v>
      </c>
      <c r="L6" s="178">
        <v>164</v>
      </c>
      <c r="M6" s="178">
        <v>164</v>
      </c>
    </row>
    <row r="7" spans="1:14" x14ac:dyDescent="0.25">
      <c r="A7" s="152" t="s">
        <v>684</v>
      </c>
      <c r="B7" s="81">
        <v>30</v>
      </c>
      <c r="C7" s="81">
        <v>30</v>
      </c>
      <c r="D7" s="81">
        <v>30</v>
      </c>
      <c r="E7" s="81">
        <v>31</v>
      </c>
      <c r="F7" s="81">
        <v>31</v>
      </c>
      <c r="G7" s="81">
        <v>31</v>
      </c>
      <c r="H7" s="81">
        <v>31</v>
      </c>
      <c r="I7" s="81">
        <v>31</v>
      </c>
      <c r="J7" s="81">
        <v>31</v>
      </c>
      <c r="K7" s="81">
        <v>31</v>
      </c>
      <c r="L7" s="81">
        <v>31</v>
      </c>
      <c r="M7" s="81">
        <v>31</v>
      </c>
    </row>
    <row r="8" spans="1:14" x14ac:dyDescent="0.25">
      <c r="A8" s="152" t="s">
        <v>737</v>
      </c>
      <c r="B8" s="178">
        <v>15</v>
      </c>
      <c r="C8" s="178">
        <v>15</v>
      </c>
      <c r="D8" s="178">
        <v>15</v>
      </c>
      <c r="E8" s="178">
        <v>15</v>
      </c>
      <c r="F8" s="178">
        <v>15</v>
      </c>
      <c r="G8" s="178">
        <v>15</v>
      </c>
      <c r="H8" s="178">
        <v>15</v>
      </c>
      <c r="I8" s="178">
        <v>15</v>
      </c>
      <c r="J8" s="178">
        <v>15</v>
      </c>
      <c r="K8" s="178">
        <v>15</v>
      </c>
      <c r="L8" s="178">
        <v>15</v>
      </c>
      <c r="M8" s="178">
        <v>15</v>
      </c>
    </row>
    <row r="9" spans="1:14" ht="23.25" x14ac:dyDescent="0.25">
      <c r="A9" s="152" t="s">
        <v>738</v>
      </c>
      <c r="B9" s="81">
        <v>8</v>
      </c>
      <c r="C9" s="81">
        <v>8</v>
      </c>
      <c r="D9" s="81">
        <v>8</v>
      </c>
      <c r="E9" s="81">
        <v>8</v>
      </c>
      <c r="F9" s="81">
        <v>8</v>
      </c>
      <c r="G9" s="81">
        <v>8</v>
      </c>
      <c r="H9" s="81">
        <v>8</v>
      </c>
      <c r="I9" s="81">
        <v>8</v>
      </c>
      <c r="J9" s="81">
        <v>8</v>
      </c>
      <c r="K9" s="81">
        <v>8</v>
      </c>
      <c r="L9" s="81">
        <v>8</v>
      </c>
      <c r="M9" s="81">
        <v>8</v>
      </c>
    </row>
    <row r="10" spans="1:14" x14ac:dyDescent="0.25">
      <c r="A10" s="157" t="s">
        <v>41</v>
      </c>
      <c r="B10" s="158">
        <f>+SUM(B5:B9)</f>
        <v>63462</v>
      </c>
      <c r="C10" s="158">
        <f t="shared" ref="C10:M10" si="0">+SUM(C5:C9)</f>
        <v>64063</v>
      </c>
      <c r="D10" s="158">
        <f t="shared" si="0"/>
        <v>64880</v>
      </c>
      <c r="E10" s="158">
        <f t="shared" si="0"/>
        <v>65510</v>
      </c>
      <c r="F10" s="158">
        <f t="shared" si="0"/>
        <v>65986</v>
      </c>
      <c r="G10" s="158">
        <f t="shared" si="0"/>
        <v>66398</v>
      </c>
      <c r="H10" s="158">
        <f t="shared" si="0"/>
        <v>66861</v>
      </c>
      <c r="I10" s="158">
        <f t="shared" si="0"/>
        <v>67213</v>
      </c>
      <c r="J10" s="158">
        <f t="shared" si="0"/>
        <v>67691</v>
      </c>
      <c r="K10" s="158">
        <f t="shared" si="0"/>
        <v>68167</v>
      </c>
      <c r="L10" s="158">
        <f t="shared" si="0"/>
        <v>68627</v>
      </c>
      <c r="M10" s="158">
        <f t="shared" si="0"/>
        <v>69101</v>
      </c>
    </row>
    <row r="11" spans="1:14" x14ac:dyDescent="0.25">
      <c r="A11" s="127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</row>
    <row r="12" spans="1:14" ht="19.5" customHeight="1" x14ac:dyDescent="0.25">
      <c r="A12" s="534" t="s">
        <v>856</v>
      </c>
      <c r="B12" s="534"/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</row>
    <row r="13" spans="1:14" ht="20.25" customHeight="1" x14ac:dyDescent="0.25">
      <c r="A13" s="334" t="s">
        <v>746</v>
      </c>
      <c r="B13" s="334"/>
      <c r="C13" s="127" t="s">
        <v>712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14" x14ac:dyDescent="0.25">
      <c r="A14" s="150"/>
      <c r="B14" s="151">
        <v>44197</v>
      </c>
      <c r="C14" s="151">
        <v>44228</v>
      </c>
      <c r="D14" s="151">
        <v>44256</v>
      </c>
      <c r="E14" s="151">
        <v>44287</v>
      </c>
      <c r="F14" s="151">
        <v>44317</v>
      </c>
      <c r="G14" s="151">
        <v>44348</v>
      </c>
      <c r="H14" s="151">
        <v>44378</v>
      </c>
      <c r="I14" s="151">
        <v>44409</v>
      </c>
      <c r="J14" s="151">
        <v>44440</v>
      </c>
      <c r="K14" s="151">
        <v>44470</v>
      </c>
      <c r="L14" s="151">
        <v>44501</v>
      </c>
      <c r="M14" s="151">
        <v>44531</v>
      </c>
    </row>
    <row r="15" spans="1:14" x14ac:dyDescent="0.25">
      <c r="A15" s="152" t="s">
        <v>735</v>
      </c>
      <c r="B15" s="159">
        <v>29.263363215140298</v>
      </c>
      <c r="C15" s="159">
        <v>27.7447119821156</v>
      </c>
      <c r="D15" s="159">
        <v>27.520929628112903</v>
      </c>
      <c r="E15" s="159">
        <v>30.452742937111903</v>
      </c>
      <c r="F15" s="159">
        <v>27.458776162059607</v>
      </c>
      <c r="G15" s="159">
        <v>30.755220148595903</v>
      </c>
      <c r="H15" s="159">
        <v>30.539480357538999</v>
      </c>
      <c r="I15" s="159">
        <v>31.396829433290399</v>
      </c>
      <c r="J15" s="159">
        <v>30.213890153630715</v>
      </c>
      <c r="K15" s="159">
        <v>31.562670655077405</v>
      </c>
      <c r="L15" s="159">
        <v>29.378963668505094</v>
      </c>
      <c r="M15" s="159">
        <v>28.556325028749995</v>
      </c>
      <c r="N15" s="160"/>
    </row>
    <row r="16" spans="1:14" x14ac:dyDescent="0.25">
      <c r="A16" s="152" t="s">
        <v>736</v>
      </c>
      <c r="B16" s="180">
        <v>4.7292268931626005</v>
      </c>
      <c r="C16" s="180">
        <v>4.4592317619979003</v>
      </c>
      <c r="D16" s="180">
        <v>4.5472903042296995</v>
      </c>
      <c r="E16" s="180">
        <v>5.1558298724961</v>
      </c>
      <c r="F16" s="180">
        <v>4.6726033512846001</v>
      </c>
      <c r="G16" s="180">
        <v>5.0760995888903997</v>
      </c>
      <c r="H16" s="180">
        <v>5.4654833780708003</v>
      </c>
      <c r="I16" s="180">
        <v>5.6134384257961996</v>
      </c>
      <c r="J16" s="180">
        <v>5.4812201247428494</v>
      </c>
      <c r="K16" s="180">
        <v>5.3478925899047995</v>
      </c>
      <c r="L16" s="180">
        <v>5.1048068841334011</v>
      </c>
      <c r="M16" s="180">
        <v>5.2576784402161998</v>
      </c>
      <c r="N16" s="160"/>
    </row>
    <row r="17" spans="1:14" x14ac:dyDescent="0.25">
      <c r="A17" s="152" t="s">
        <v>684</v>
      </c>
      <c r="B17" s="159">
        <v>62.126132498719997</v>
      </c>
      <c r="C17" s="159">
        <v>64.274571077509989</v>
      </c>
      <c r="D17" s="159">
        <v>56.191078429179996</v>
      </c>
      <c r="E17" s="159">
        <v>72.388999376760012</v>
      </c>
      <c r="F17" s="159">
        <v>71.895900639550007</v>
      </c>
      <c r="G17" s="159">
        <v>79.411392135600011</v>
      </c>
      <c r="H17" s="159">
        <v>76.387220370150004</v>
      </c>
      <c r="I17" s="159">
        <v>85.443208400939994</v>
      </c>
      <c r="J17" s="159">
        <v>97.172199118699993</v>
      </c>
      <c r="K17" s="159">
        <v>94.711225710410019</v>
      </c>
      <c r="L17" s="159">
        <v>99.141839523279998</v>
      </c>
      <c r="M17" s="159">
        <v>95.149798597140006</v>
      </c>
      <c r="N17" s="160"/>
    </row>
    <row r="18" spans="1:14" x14ac:dyDescent="0.25">
      <c r="A18" s="152" t="s">
        <v>737</v>
      </c>
      <c r="B18" s="180">
        <v>239.80211244012997</v>
      </c>
      <c r="C18" s="180">
        <v>244.92588259575996</v>
      </c>
      <c r="D18" s="180">
        <v>167.85931391882002</v>
      </c>
      <c r="E18" s="180">
        <v>160.82833969516997</v>
      </c>
      <c r="F18" s="180">
        <v>205.16724983762998</v>
      </c>
      <c r="G18" s="180">
        <v>342.00280273480007</v>
      </c>
      <c r="H18" s="180">
        <v>223.27675387231</v>
      </c>
      <c r="I18" s="180">
        <v>167.41982285066999</v>
      </c>
      <c r="J18" s="180">
        <v>169.66046803283001</v>
      </c>
      <c r="K18" s="180">
        <v>158.60697632283001</v>
      </c>
      <c r="L18" s="180">
        <v>182.07353922315997</v>
      </c>
      <c r="M18" s="180">
        <v>324.19400311517001</v>
      </c>
      <c r="N18" s="160"/>
    </row>
    <row r="19" spans="1:14" ht="23.25" x14ac:dyDescent="0.25">
      <c r="A19" s="152" t="s">
        <v>738</v>
      </c>
      <c r="B19" s="159">
        <v>1231.9436673593218</v>
      </c>
      <c r="C19" s="159">
        <v>1224.1796665304821</v>
      </c>
      <c r="D19" s="159">
        <v>1113.2381080683658</v>
      </c>
      <c r="E19" s="159">
        <v>1249.1527179383418</v>
      </c>
      <c r="F19" s="159">
        <v>1201.7740057574902</v>
      </c>
      <c r="G19" s="159">
        <v>1250.6494595969521</v>
      </c>
      <c r="H19" s="159">
        <v>1206.3387800016899</v>
      </c>
      <c r="I19" s="159">
        <v>1121.3853447554861</v>
      </c>
      <c r="J19" s="159">
        <v>1107.0938569566799</v>
      </c>
      <c r="K19" s="159">
        <v>1063.4193206414898</v>
      </c>
      <c r="L19" s="159">
        <v>1107.307560150718</v>
      </c>
      <c r="M19" s="159">
        <v>1077.97811224046</v>
      </c>
      <c r="N19" s="160"/>
    </row>
    <row r="20" spans="1:14" x14ac:dyDescent="0.25">
      <c r="A20" s="157" t="s">
        <v>41</v>
      </c>
      <c r="B20" s="162">
        <f>+SUM(B15:B19)</f>
        <v>1567.8645024064747</v>
      </c>
      <c r="C20" s="162">
        <f t="shared" ref="C20:M20" si="1">+SUM(C15:C19)</f>
        <v>1565.5840639478656</v>
      </c>
      <c r="D20" s="162">
        <f t="shared" si="1"/>
        <v>1369.3567203487084</v>
      </c>
      <c r="E20" s="162">
        <f t="shared" si="1"/>
        <v>1517.9786298198796</v>
      </c>
      <c r="F20" s="162">
        <f t="shared" si="1"/>
        <v>1510.9685357480143</v>
      </c>
      <c r="G20" s="162">
        <f t="shared" si="1"/>
        <v>1707.8949742048385</v>
      </c>
      <c r="H20" s="162">
        <f t="shared" si="1"/>
        <v>1542.0077179797597</v>
      </c>
      <c r="I20" s="162">
        <f t="shared" si="1"/>
        <v>1411.2586438661826</v>
      </c>
      <c r="J20" s="162">
        <f t="shared" si="1"/>
        <v>1409.6216343865835</v>
      </c>
      <c r="K20" s="162">
        <f t="shared" si="1"/>
        <v>1353.648085919712</v>
      </c>
      <c r="L20" s="162">
        <f t="shared" si="1"/>
        <v>1423.0067094497965</v>
      </c>
      <c r="M20" s="162">
        <f t="shared" si="1"/>
        <v>1531.1359174217362</v>
      </c>
    </row>
    <row r="21" spans="1:14" x14ac:dyDescent="0.25">
      <c r="A21" s="181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1:14" x14ac:dyDescent="0.25">
      <c r="A22" s="537" t="s">
        <v>858</v>
      </c>
      <c r="B22" s="536"/>
      <c r="C22" s="536"/>
      <c r="D22" s="536"/>
      <c r="E22" s="536"/>
      <c r="F22" s="536"/>
      <c r="G22" s="536"/>
      <c r="H22" s="536"/>
      <c r="I22" s="536"/>
      <c r="J22" s="536"/>
      <c r="K22" s="536"/>
      <c r="L22" s="182"/>
      <c r="M22" s="182"/>
    </row>
    <row r="23" spans="1:14" x14ac:dyDescent="0.25">
      <c r="A23" s="334" t="s">
        <v>747</v>
      </c>
      <c r="B23" s="334"/>
      <c r="C23" s="334"/>
      <c r="D23" s="127"/>
      <c r="E23" s="127"/>
      <c r="F23" s="127"/>
      <c r="G23" s="127"/>
    </row>
    <row r="24" spans="1:14" x14ac:dyDescent="0.25">
      <c r="A24" s="150"/>
      <c r="B24" s="150">
        <v>2012</v>
      </c>
      <c r="C24" s="150">
        <v>2013</v>
      </c>
      <c r="D24" s="150">
        <v>2014</v>
      </c>
      <c r="E24" s="150">
        <v>2015</v>
      </c>
      <c r="F24" s="150">
        <v>2016</v>
      </c>
      <c r="G24" s="150">
        <v>2017</v>
      </c>
      <c r="H24" s="150">
        <v>2018</v>
      </c>
      <c r="I24" s="150">
        <v>2019</v>
      </c>
      <c r="J24" s="150">
        <v>2020</v>
      </c>
      <c r="K24" s="150">
        <v>2021</v>
      </c>
    </row>
    <row r="25" spans="1:14" x14ac:dyDescent="0.25">
      <c r="A25" s="152" t="s">
        <v>735</v>
      </c>
      <c r="B25" s="159">
        <v>1652</v>
      </c>
      <c r="C25" s="159">
        <v>8244</v>
      </c>
      <c r="D25" s="159">
        <v>29283</v>
      </c>
      <c r="E25" s="159">
        <v>36887</v>
      </c>
      <c r="F25" s="159">
        <v>39435</v>
      </c>
      <c r="G25" s="159">
        <v>45328</v>
      </c>
      <c r="H25" s="159">
        <v>54213</v>
      </c>
      <c r="I25" s="159">
        <v>61249</v>
      </c>
      <c r="J25" s="159">
        <v>62520</v>
      </c>
      <c r="K25" s="153">
        <v>68883</v>
      </c>
    </row>
    <row r="26" spans="1:14" x14ac:dyDescent="0.25">
      <c r="A26" s="152" t="s">
        <v>736</v>
      </c>
      <c r="B26" s="180">
        <v>0</v>
      </c>
      <c r="C26" s="180">
        <v>0</v>
      </c>
      <c r="D26" s="180">
        <v>22</v>
      </c>
      <c r="E26" s="180">
        <v>83</v>
      </c>
      <c r="F26" s="180">
        <v>92</v>
      </c>
      <c r="G26" s="180">
        <v>98</v>
      </c>
      <c r="H26" s="180">
        <v>133</v>
      </c>
      <c r="I26" s="180">
        <v>158</v>
      </c>
      <c r="J26" s="180">
        <v>162</v>
      </c>
      <c r="K26" s="178">
        <v>164</v>
      </c>
    </row>
    <row r="27" spans="1:14" x14ac:dyDescent="0.25">
      <c r="A27" s="152" t="s">
        <v>684</v>
      </c>
      <c r="B27" s="159">
        <v>0</v>
      </c>
      <c r="C27" s="159">
        <v>0</v>
      </c>
      <c r="D27" s="159">
        <v>2</v>
      </c>
      <c r="E27" s="159">
        <v>15</v>
      </c>
      <c r="F27" s="159">
        <v>20</v>
      </c>
      <c r="G27" s="159">
        <v>21</v>
      </c>
      <c r="H27" s="159">
        <v>27</v>
      </c>
      <c r="I27" s="159">
        <v>28</v>
      </c>
      <c r="J27" s="159">
        <v>30</v>
      </c>
      <c r="K27" s="81">
        <v>31</v>
      </c>
    </row>
    <row r="28" spans="1:14" x14ac:dyDescent="0.25">
      <c r="A28" s="152" t="s">
        <v>737</v>
      </c>
      <c r="B28" s="180">
        <v>0</v>
      </c>
      <c r="C28" s="180">
        <v>0</v>
      </c>
      <c r="D28" s="180">
        <v>7</v>
      </c>
      <c r="E28" s="180">
        <v>14</v>
      </c>
      <c r="F28" s="180">
        <v>15</v>
      </c>
      <c r="G28" s="180">
        <v>15</v>
      </c>
      <c r="H28" s="180">
        <v>15</v>
      </c>
      <c r="I28" s="180">
        <v>15</v>
      </c>
      <c r="J28" s="180">
        <v>15</v>
      </c>
      <c r="K28" s="178">
        <v>15</v>
      </c>
    </row>
    <row r="29" spans="1:14" ht="23.25" x14ac:dyDescent="0.25">
      <c r="A29" s="152" t="s">
        <v>738</v>
      </c>
      <c r="B29" s="159">
        <v>0</v>
      </c>
      <c r="C29" s="159">
        <v>0</v>
      </c>
      <c r="D29" s="159">
        <v>3</v>
      </c>
      <c r="E29" s="159">
        <v>5</v>
      </c>
      <c r="F29" s="159">
        <v>6</v>
      </c>
      <c r="G29" s="159">
        <v>6</v>
      </c>
      <c r="H29" s="159">
        <v>8</v>
      </c>
      <c r="I29" s="159">
        <v>8</v>
      </c>
      <c r="J29" s="159">
        <v>8</v>
      </c>
      <c r="K29" s="81">
        <v>8</v>
      </c>
    </row>
    <row r="30" spans="1:14" x14ac:dyDescent="0.25">
      <c r="A30" s="157" t="s">
        <v>41</v>
      </c>
      <c r="B30" s="158">
        <f>SUM(B25:B29)</f>
        <v>1652</v>
      </c>
      <c r="C30" s="158">
        <f>SUM(C25:C29)</f>
        <v>8244</v>
      </c>
      <c r="D30" s="158">
        <f t="shared" ref="D30:K30" si="2">SUM(D25:D29)</f>
        <v>29317</v>
      </c>
      <c r="E30" s="158">
        <f t="shared" si="2"/>
        <v>37004</v>
      </c>
      <c r="F30" s="158">
        <f t="shared" si="2"/>
        <v>39568</v>
      </c>
      <c r="G30" s="158">
        <f t="shared" si="2"/>
        <v>45468</v>
      </c>
      <c r="H30" s="158">
        <f t="shared" si="2"/>
        <v>54396</v>
      </c>
      <c r="I30" s="158">
        <f t="shared" si="2"/>
        <v>61458</v>
      </c>
      <c r="J30" s="158">
        <f t="shared" si="2"/>
        <v>62735</v>
      </c>
      <c r="K30" s="158">
        <f t="shared" si="2"/>
        <v>69101</v>
      </c>
    </row>
    <row r="31" spans="1:14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4" x14ac:dyDescent="0.25">
      <c r="A32" s="535" t="s">
        <v>855</v>
      </c>
      <c r="B32" s="535"/>
      <c r="C32" s="535"/>
      <c r="D32" s="535"/>
      <c r="E32" s="535"/>
      <c r="F32" s="535"/>
      <c r="G32" s="535"/>
      <c r="H32" s="535"/>
      <c r="I32" s="535"/>
      <c r="J32" s="535"/>
      <c r="K32" s="535"/>
      <c r="L32" s="44"/>
      <c r="M32" s="44"/>
    </row>
    <row r="33" spans="1:13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3" x14ac:dyDescent="0.25">
      <c r="A34" s="333" t="s">
        <v>748</v>
      </c>
      <c r="B34" s="333"/>
      <c r="C34" s="333"/>
      <c r="D34" s="127"/>
      <c r="E34" s="127"/>
      <c r="F34" s="127"/>
      <c r="G34" s="127"/>
      <c r="H34" s="127"/>
      <c r="I34" s="44"/>
      <c r="J34" s="44"/>
      <c r="K34" s="44"/>
      <c r="L34" s="44"/>
      <c r="M34" s="44"/>
    </row>
    <row r="35" spans="1:13" x14ac:dyDescent="0.25">
      <c r="A35" s="157"/>
      <c r="B35" s="150">
        <v>2012</v>
      </c>
      <c r="C35" s="150">
        <v>2013</v>
      </c>
      <c r="D35" s="150">
        <v>2014</v>
      </c>
      <c r="E35" s="150">
        <v>2015</v>
      </c>
      <c r="F35" s="150">
        <v>2016</v>
      </c>
      <c r="G35" s="150">
        <v>2017</v>
      </c>
      <c r="H35" s="150">
        <v>2018</v>
      </c>
      <c r="I35" s="150">
        <v>2019</v>
      </c>
      <c r="J35" s="150">
        <v>2020</v>
      </c>
      <c r="K35" s="150">
        <v>2021</v>
      </c>
      <c r="L35" s="44"/>
      <c r="M35" s="44"/>
    </row>
    <row r="36" spans="1:13" x14ac:dyDescent="0.25">
      <c r="A36" s="152" t="s">
        <v>735</v>
      </c>
      <c r="B36" s="183">
        <v>2.69</v>
      </c>
      <c r="C36" s="183">
        <v>14.93</v>
      </c>
      <c r="D36" s="183">
        <v>97.66</v>
      </c>
      <c r="E36" s="183">
        <v>185.87</v>
      </c>
      <c r="F36" s="183">
        <v>207.83</v>
      </c>
      <c r="G36" s="183">
        <v>232.01</v>
      </c>
      <c r="H36" s="183">
        <v>276.45999999999998</v>
      </c>
      <c r="I36" s="183">
        <v>318.14</v>
      </c>
      <c r="J36" s="183">
        <v>368.71</v>
      </c>
      <c r="K36" s="183">
        <v>354.8439033699288</v>
      </c>
    </row>
    <row r="37" spans="1:13" x14ac:dyDescent="0.25">
      <c r="A37" s="152" t="s">
        <v>736</v>
      </c>
      <c r="B37" s="184">
        <v>0</v>
      </c>
      <c r="C37" s="184">
        <v>0</v>
      </c>
      <c r="D37" s="184">
        <v>0.27</v>
      </c>
      <c r="E37" s="184">
        <v>14.67</v>
      </c>
      <c r="F37" s="184">
        <v>24.76</v>
      </c>
      <c r="G37" s="184">
        <v>29.86</v>
      </c>
      <c r="H37" s="184">
        <v>38.47</v>
      </c>
      <c r="I37" s="184">
        <v>55.49</v>
      </c>
      <c r="J37" s="184">
        <v>58.79</v>
      </c>
      <c r="K37" s="184">
        <v>60.910801614925546</v>
      </c>
    </row>
    <row r="38" spans="1:13" x14ac:dyDescent="0.25">
      <c r="A38" s="152" t="s">
        <v>684</v>
      </c>
      <c r="B38" s="183">
        <v>0</v>
      </c>
      <c r="C38" s="183">
        <v>0</v>
      </c>
      <c r="D38" s="183">
        <v>57.32</v>
      </c>
      <c r="E38" s="183">
        <v>348.29</v>
      </c>
      <c r="F38" s="183">
        <v>746.65</v>
      </c>
      <c r="G38" s="183">
        <v>801.9</v>
      </c>
      <c r="H38" s="183">
        <v>807.8</v>
      </c>
      <c r="I38" s="183">
        <v>919.05</v>
      </c>
      <c r="J38" s="183">
        <v>746.61</v>
      </c>
      <c r="K38" s="183">
        <v>954.29356587793995</v>
      </c>
    </row>
    <row r="39" spans="1:13" x14ac:dyDescent="0.25">
      <c r="A39" s="152" t="s">
        <v>737</v>
      </c>
      <c r="B39" s="184">
        <v>0</v>
      </c>
      <c r="C39" s="184">
        <v>0</v>
      </c>
      <c r="D39" s="184">
        <v>768.18</v>
      </c>
      <c r="E39" s="184">
        <v>2259.36</v>
      </c>
      <c r="F39" s="184">
        <v>2010.02</v>
      </c>
      <c r="G39" s="184">
        <v>2714.17</v>
      </c>
      <c r="H39" s="184">
        <v>2826.62</v>
      </c>
      <c r="I39" s="184">
        <v>2609.38</v>
      </c>
      <c r="J39" s="184">
        <v>2268.5300000000002</v>
      </c>
      <c r="K39" s="184">
        <v>2585.8172646392795</v>
      </c>
    </row>
    <row r="40" spans="1:13" ht="23.25" x14ac:dyDescent="0.25">
      <c r="A40" s="152" t="s">
        <v>738</v>
      </c>
      <c r="B40" s="183">
        <v>0</v>
      </c>
      <c r="C40" s="183">
        <v>0</v>
      </c>
      <c r="D40" s="183">
        <v>1489.08</v>
      </c>
      <c r="E40" s="183">
        <v>7661.37</v>
      </c>
      <c r="F40" s="183">
        <v>11669.34</v>
      </c>
      <c r="G40" s="183">
        <v>13695.64</v>
      </c>
      <c r="H40" s="183">
        <v>13748.1</v>
      </c>
      <c r="I40" s="183">
        <v>14264.36</v>
      </c>
      <c r="J40" s="183">
        <v>14449.37</v>
      </c>
      <c r="K40" s="183">
        <v>13954.460599997477</v>
      </c>
    </row>
    <row r="41" spans="1:13" x14ac:dyDescent="0.25">
      <c r="A41" s="157" t="s">
        <v>41</v>
      </c>
      <c r="B41" s="185">
        <f t="shared" ref="B41:D41" si="3">+SUM(B36:B40)</f>
        <v>2.69</v>
      </c>
      <c r="C41" s="185">
        <f t="shared" si="3"/>
        <v>14.93</v>
      </c>
      <c r="D41" s="185">
        <f t="shared" si="3"/>
        <v>2412.5099999999998</v>
      </c>
      <c r="E41" s="185">
        <f>+SUM(E36:E40)</f>
        <v>10469.56</v>
      </c>
      <c r="F41" s="185">
        <f t="shared" ref="F41:K41" si="4">+SUM(F36:F40)</f>
        <v>14658.6</v>
      </c>
      <c r="G41" s="185">
        <f t="shared" si="4"/>
        <v>17473.579999999998</v>
      </c>
      <c r="H41" s="185">
        <f t="shared" si="4"/>
        <v>17697.45</v>
      </c>
      <c r="I41" s="185">
        <f t="shared" si="4"/>
        <v>18166.420000000002</v>
      </c>
      <c r="J41" s="185">
        <f t="shared" si="4"/>
        <v>17892.010000000002</v>
      </c>
      <c r="K41" s="185">
        <f t="shared" si="4"/>
        <v>17910.326135499552</v>
      </c>
    </row>
  </sheetData>
  <mergeCells count="7">
    <mergeCell ref="A1:M1"/>
    <mergeCell ref="A22:K22"/>
    <mergeCell ref="A13:B13"/>
    <mergeCell ref="A23:C23"/>
    <mergeCell ref="A34:C34"/>
    <mergeCell ref="A32:K32"/>
    <mergeCell ref="A12:M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12B2-8DE6-4FEF-82A9-35C761EB1D0C}">
  <dimension ref="A1:N53"/>
  <sheetViews>
    <sheetView showGridLines="0" topLeftCell="A4" zoomScale="70" zoomScaleNormal="70" workbookViewId="0">
      <selection activeCell="K56" sqref="K56"/>
    </sheetView>
  </sheetViews>
  <sheetFormatPr baseColWidth="10" defaultRowHeight="15" x14ac:dyDescent="0.25"/>
  <cols>
    <col min="2" max="2" width="16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4.28515625" bestFit="1" customWidth="1"/>
    <col min="9" max="9" width="16.28515625" bestFit="1" customWidth="1"/>
    <col min="10" max="10" width="12.7109375" bestFit="1" customWidth="1"/>
    <col min="11" max="11" width="15.28515625" bestFit="1" customWidth="1"/>
    <col min="12" max="12" width="16.28515625" bestFit="1" customWidth="1"/>
    <col min="13" max="13" width="15.140625" bestFit="1" customWidth="1"/>
  </cols>
  <sheetData>
    <row r="1" spans="1:13" x14ac:dyDescent="0.25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</row>
    <row r="2" spans="1:13" x14ac:dyDescent="0.25">
      <c r="A2" s="451" t="s">
        <v>860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</row>
    <row r="3" spans="1:13" x14ac:dyDescent="0.25">
      <c r="A3" t="s">
        <v>734</v>
      </c>
    </row>
    <row r="4" spans="1:13" x14ac:dyDescent="0.25">
      <c r="A4" s="150"/>
      <c r="B4" s="151">
        <v>44197</v>
      </c>
      <c r="C4" s="151">
        <v>44228</v>
      </c>
      <c r="D4" s="151">
        <v>44256</v>
      </c>
      <c r="E4" s="151">
        <v>44287</v>
      </c>
      <c r="F4" s="151">
        <v>44317</v>
      </c>
      <c r="G4" s="151">
        <v>44348</v>
      </c>
      <c r="H4" s="151">
        <v>44378</v>
      </c>
      <c r="I4" s="151">
        <v>44409</v>
      </c>
      <c r="J4" s="151">
        <v>44440</v>
      </c>
      <c r="K4" s="151">
        <v>44470</v>
      </c>
      <c r="L4" s="151">
        <v>44501</v>
      </c>
      <c r="M4" s="151">
        <v>44531</v>
      </c>
    </row>
    <row r="5" spans="1:13" x14ac:dyDescent="0.25">
      <c r="A5" s="152" t="s">
        <v>749</v>
      </c>
      <c r="B5" s="186">
        <v>120005</v>
      </c>
      <c r="C5" s="186">
        <v>123616</v>
      </c>
      <c r="D5" s="186">
        <v>126532</v>
      </c>
      <c r="E5" s="186">
        <v>128991</v>
      </c>
      <c r="F5" s="186">
        <v>131865</v>
      </c>
      <c r="G5" s="186">
        <v>134983</v>
      </c>
      <c r="H5" s="186">
        <v>137595</v>
      </c>
      <c r="I5" s="186">
        <v>139380</v>
      </c>
      <c r="J5" s="186">
        <v>142466</v>
      </c>
      <c r="K5" s="186">
        <v>146699</v>
      </c>
      <c r="L5" s="186">
        <v>150718</v>
      </c>
      <c r="M5" s="186">
        <v>158665</v>
      </c>
    </row>
    <row r="6" spans="1:13" x14ac:dyDescent="0.25">
      <c r="A6" s="152" t="s">
        <v>750</v>
      </c>
      <c r="B6" s="187">
        <v>135</v>
      </c>
      <c r="C6" s="187">
        <v>135</v>
      </c>
      <c r="D6" s="187">
        <v>144</v>
      </c>
      <c r="E6" s="187">
        <v>173</v>
      </c>
      <c r="F6" s="187">
        <v>181</v>
      </c>
      <c r="G6" s="187">
        <v>152</v>
      </c>
      <c r="H6" s="187">
        <v>177</v>
      </c>
      <c r="I6" s="187">
        <v>177</v>
      </c>
      <c r="J6" s="187">
        <v>176</v>
      </c>
      <c r="K6" s="187">
        <v>184</v>
      </c>
      <c r="L6" s="187">
        <v>184</v>
      </c>
      <c r="M6" s="187">
        <v>185</v>
      </c>
    </row>
    <row r="7" spans="1:13" x14ac:dyDescent="0.25">
      <c r="A7" s="152" t="s">
        <v>751</v>
      </c>
      <c r="B7" s="186">
        <v>1</v>
      </c>
      <c r="C7" s="186">
        <v>1</v>
      </c>
      <c r="D7" s="186">
        <v>1</v>
      </c>
      <c r="E7" s="186">
        <v>2</v>
      </c>
      <c r="F7" s="186">
        <v>2</v>
      </c>
      <c r="G7" s="186">
        <v>2</v>
      </c>
      <c r="H7" s="186">
        <v>2</v>
      </c>
      <c r="I7" s="186">
        <v>2</v>
      </c>
      <c r="J7" s="186">
        <v>2</v>
      </c>
      <c r="K7" s="186">
        <v>2</v>
      </c>
      <c r="L7" s="186">
        <v>2</v>
      </c>
      <c r="M7" s="186">
        <v>2</v>
      </c>
    </row>
    <row r="8" spans="1:13" x14ac:dyDescent="0.25">
      <c r="A8" s="152" t="s">
        <v>752</v>
      </c>
      <c r="B8" s="187">
        <v>32</v>
      </c>
      <c r="C8" s="187">
        <v>32</v>
      </c>
      <c r="D8" s="187">
        <v>35</v>
      </c>
      <c r="E8" s="187">
        <v>35</v>
      </c>
      <c r="F8" s="187">
        <v>36</v>
      </c>
      <c r="G8" s="187">
        <v>36</v>
      </c>
      <c r="H8" s="187">
        <v>36</v>
      </c>
      <c r="I8" s="187">
        <v>36</v>
      </c>
      <c r="J8" s="187">
        <v>40</v>
      </c>
      <c r="K8" s="187">
        <v>40</v>
      </c>
      <c r="L8" s="187">
        <v>41</v>
      </c>
      <c r="M8" s="187">
        <v>45</v>
      </c>
    </row>
    <row r="9" spans="1:13" x14ac:dyDescent="0.25">
      <c r="A9" s="157" t="s">
        <v>41</v>
      </c>
      <c r="B9" s="188">
        <f>+SUM(B5:B8)</f>
        <v>120173</v>
      </c>
      <c r="C9" s="188">
        <f t="shared" ref="C9:M9" si="0">+SUM(C5:C8)</f>
        <v>123784</v>
      </c>
      <c r="D9" s="188">
        <f t="shared" si="0"/>
        <v>126712</v>
      </c>
      <c r="E9" s="188">
        <f t="shared" si="0"/>
        <v>129201</v>
      </c>
      <c r="F9" s="188">
        <f t="shared" si="0"/>
        <v>132084</v>
      </c>
      <c r="G9" s="188">
        <f t="shared" si="0"/>
        <v>135173</v>
      </c>
      <c r="H9" s="188">
        <f t="shared" si="0"/>
        <v>137810</v>
      </c>
      <c r="I9" s="188">
        <f t="shared" si="0"/>
        <v>139595</v>
      </c>
      <c r="J9" s="188">
        <f t="shared" si="0"/>
        <v>142684</v>
      </c>
      <c r="K9" s="188">
        <f t="shared" si="0"/>
        <v>146925</v>
      </c>
      <c r="L9" s="188">
        <f t="shared" si="0"/>
        <v>150945</v>
      </c>
      <c r="M9" s="188">
        <f t="shared" si="0"/>
        <v>158897</v>
      </c>
    </row>
    <row r="10" spans="1:13" x14ac:dyDescent="0.25">
      <c r="A10" s="335" t="s">
        <v>753</v>
      </c>
      <c r="B10" s="335"/>
      <c r="C10" s="335"/>
      <c r="D10" s="127"/>
      <c r="E10" s="127"/>
      <c r="F10" s="127"/>
      <c r="G10" s="127"/>
      <c r="H10" s="127"/>
      <c r="I10" s="127"/>
      <c r="J10" s="127"/>
      <c r="K10" s="127"/>
      <c r="L10" s="127"/>
      <c r="M10" s="127"/>
    </row>
    <row r="11" spans="1:13" x14ac:dyDescent="0.25">
      <c r="A11" s="335" t="s">
        <v>754</v>
      </c>
      <c r="B11" s="335"/>
      <c r="C11" s="335"/>
      <c r="D11" s="127"/>
      <c r="E11" s="127"/>
      <c r="F11" s="127"/>
      <c r="G11" s="127"/>
      <c r="H11" s="127"/>
      <c r="I11" s="127"/>
      <c r="J11" s="127"/>
      <c r="K11" s="127"/>
      <c r="L11" s="127"/>
      <c r="M11" s="127"/>
    </row>
    <row r="12" spans="1:13" x14ac:dyDescent="0.25">
      <c r="A12" s="335" t="s">
        <v>755</v>
      </c>
      <c r="B12" s="335"/>
      <c r="C12" s="335"/>
      <c r="D12" s="127"/>
      <c r="E12" s="127"/>
      <c r="F12" s="127"/>
      <c r="G12" s="127"/>
      <c r="H12" s="127"/>
      <c r="I12" s="127"/>
      <c r="J12" s="127"/>
      <c r="K12" s="127"/>
      <c r="L12" s="127"/>
      <c r="M12" s="127"/>
    </row>
    <row r="13" spans="1:13" x14ac:dyDescent="0.25">
      <c r="A13" s="335" t="s">
        <v>756</v>
      </c>
      <c r="B13" s="335"/>
      <c r="C13" s="335"/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13" x14ac:dyDescent="0.2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</row>
    <row r="15" spans="1:13" x14ac:dyDescent="0.25">
      <c r="A15" s="533" t="s">
        <v>859</v>
      </c>
      <c r="B15" s="533"/>
      <c r="C15" s="533"/>
      <c r="D15" s="533"/>
      <c r="E15" s="533"/>
      <c r="F15" s="533"/>
      <c r="G15" s="533"/>
      <c r="H15" s="533"/>
      <c r="I15" s="533"/>
      <c r="J15" s="533"/>
      <c r="K15" s="533"/>
      <c r="L15" s="533"/>
      <c r="M15" s="533"/>
    </row>
    <row r="16" spans="1:13" x14ac:dyDescent="0.25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</row>
    <row r="17" spans="1:14" x14ac:dyDescent="0.25">
      <c r="A17" s="333" t="s">
        <v>757</v>
      </c>
      <c r="B17" s="333"/>
      <c r="C17" s="127" t="s">
        <v>712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</row>
    <row r="18" spans="1:14" x14ac:dyDescent="0.25">
      <c r="A18" s="150"/>
      <c r="B18" s="151">
        <v>44197</v>
      </c>
      <c r="C18" s="151">
        <v>44228</v>
      </c>
      <c r="D18" s="151">
        <v>44256</v>
      </c>
      <c r="E18" s="151">
        <v>44287</v>
      </c>
      <c r="F18" s="151">
        <v>44317</v>
      </c>
      <c r="G18" s="151">
        <v>44348</v>
      </c>
      <c r="H18" s="151">
        <v>44378</v>
      </c>
      <c r="I18" s="151">
        <v>44409</v>
      </c>
      <c r="J18" s="151">
        <v>44440</v>
      </c>
      <c r="K18" s="151">
        <v>44470</v>
      </c>
      <c r="L18" s="151">
        <v>44501</v>
      </c>
      <c r="M18" s="151">
        <v>44531</v>
      </c>
    </row>
    <row r="19" spans="1:14" x14ac:dyDescent="0.25">
      <c r="A19" s="152" t="s">
        <v>735</v>
      </c>
      <c r="B19" s="189">
        <v>51.335417248189991</v>
      </c>
      <c r="C19" s="189">
        <v>57.470246405920001</v>
      </c>
      <c r="D19" s="189">
        <v>54.614878763069996</v>
      </c>
      <c r="E19" s="189">
        <v>55.867596051979994</v>
      </c>
      <c r="F19" s="189">
        <v>57.240206645539999</v>
      </c>
      <c r="G19" s="189">
        <v>61.642533407740004</v>
      </c>
      <c r="H19" s="189">
        <v>59.959542179550006</v>
      </c>
      <c r="I19" s="189">
        <v>57.889007762780004</v>
      </c>
      <c r="J19" s="189">
        <v>60.175350127920012</v>
      </c>
      <c r="K19" s="189">
        <v>64.53491082475</v>
      </c>
      <c r="L19" s="189">
        <v>62.145661511229996</v>
      </c>
      <c r="M19" s="189">
        <v>69.909485766719996</v>
      </c>
      <c r="N19" s="190"/>
    </row>
    <row r="20" spans="1:14" x14ac:dyDescent="0.25">
      <c r="A20" s="152" t="s">
        <v>736</v>
      </c>
      <c r="B20" s="191">
        <v>0.76382099743000009</v>
      </c>
      <c r="C20" s="191">
        <v>0.66451614539000003</v>
      </c>
      <c r="D20" s="191">
        <v>0.88452653948999993</v>
      </c>
      <c r="E20" s="191">
        <v>1.9323127983899999</v>
      </c>
      <c r="F20" s="191">
        <v>1.0582747158900001</v>
      </c>
      <c r="G20" s="191">
        <v>1.1025593120699999</v>
      </c>
      <c r="H20" s="191">
        <v>1.61596398453</v>
      </c>
      <c r="I20" s="191">
        <v>1.4853350202</v>
      </c>
      <c r="J20" s="191">
        <v>1.1673970461900001</v>
      </c>
      <c r="K20" s="191">
        <v>1.67945976119</v>
      </c>
      <c r="L20" s="191">
        <v>1.5550814934499999</v>
      </c>
      <c r="M20" s="191">
        <v>1.7080293292199997</v>
      </c>
      <c r="N20" s="190"/>
    </row>
    <row r="21" spans="1:14" x14ac:dyDescent="0.25">
      <c r="A21" s="152" t="s">
        <v>684</v>
      </c>
      <c r="B21" s="189">
        <v>1.8470278703399998</v>
      </c>
      <c r="C21" s="189">
        <v>2.1885560439099998</v>
      </c>
      <c r="D21" s="189">
        <v>2.0404816325999997</v>
      </c>
      <c r="E21" s="189">
        <v>8.4411596260900001</v>
      </c>
      <c r="F21" s="189">
        <v>5.5446150780199996</v>
      </c>
      <c r="G21" s="189">
        <v>0</v>
      </c>
      <c r="H21" s="189">
        <v>7.1025923744099995</v>
      </c>
      <c r="I21" s="189">
        <v>7.6515942342300001</v>
      </c>
      <c r="J21" s="189">
        <v>8.1805726761599988</v>
      </c>
      <c r="K21" s="189">
        <v>8.0712384578399998</v>
      </c>
      <c r="L21" s="189">
        <v>9.8381020272799997</v>
      </c>
      <c r="M21" s="189">
        <v>9.8381020272799997</v>
      </c>
      <c r="N21" s="190"/>
    </row>
    <row r="22" spans="1:14" x14ac:dyDescent="0.25">
      <c r="A22" s="152" t="s">
        <v>737</v>
      </c>
      <c r="B22" s="191">
        <v>362.43417569264</v>
      </c>
      <c r="C22" s="191">
        <v>244.94410496547999</v>
      </c>
      <c r="D22" s="191">
        <v>174.70792318658999</v>
      </c>
      <c r="E22" s="191">
        <v>158.50682391871001</v>
      </c>
      <c r="F22" s="191">
        <v>180.75308839719</v>
      </c>
      <c r="G22" s="191">
        <v>4.1319929633500001</v>
      </c>
      <c r="H22" s="191">
        <v>191.05960420734999</v>
      </c>
      <c r="I22" s="191">
        <v>195.99765451345002</v>
      </c>
      <c r="J22" s="191">
        <v>141.45562991458999</v>
      </c>
      <c r="K22" s="191">
        <v>133.63862176608001</v>
      </c>
      <c r="L22" s="191">
        <v>168.24586829664</v>
      </c>
      <c r="M22" s="191">
        <v>281.35169337263994</v>
      </c>
      <c r="N22" s="190"/>
    </row>
    <row r="23" spans="1:14" x14ac:dyDescent="0.25">
      <c r="A23" s="157" t="s">
        <v>41</v>
      </c>
      <c r="B23" s="192">
        <f>SUM(B19:B22)</f>
        <v>416.38044180859998</v>
      </c>
      <c r="C23" s="192">
        <f t="shared" ref="C23:M23" si="1">SUM(C19:C22)</f>
        <v>305.26742356069997</v>
      </c>
      <c r="D23" s="192">
        <f t="shared" si="1"/>
        <v>232.24781012174998</v>
      </c>
      <c r="E23" s="192">
        <f t="shared" si="1"/>
        <v>224.74789239517003</v>
      </c>
      <c r="F23" s="192">
        <f t="shared" si="1"/>
        <v>244.59618483663999</v>
      </c>
      <c r="G23" s="192">
        <f t="shared" si="1"/>
        <v>66.877085683160004</v>
      </c>
      <c r="H23" s="192">
        <f t="shared" si="1"/>
        <v>259.73770274584001</v>
      </c>
      <c r="I23" s="192">
        <f t="shared" si="1"/>
        <v>263.02359153066004</v>
      </c>
      <c r="J23" s="192">
        <f t="shared" si="1"/>
        <v>210.97894976486</v>
      </c>
      <c r="K23" s="192">
        <f t="shared" si="1"/>
        <v>207.92423080986001</v>
      </c>
      <c r="L23" s="192">
        <f t="shared" si="1"/>
        <v>241.78471332859999</v>
      </c>
      <c r="M23" s="192">
        <f t="shared" si="1"/>
        <v>362.80731049585995</v>
      </c>
    </row>
    <row r="24" spans="1:14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4" ht="30" customHeight="1" x14ac:dyDescent="0.25">
      <c r="A25" s="532" t="s">
        <v>861</v>
      </c>
      <c r="B25" s="532"/>
      <c r="C25" s="532"/>
      <c r="D25" s="532"/>
      <c r="E25" s="532"/>
      <c r="F25" s="532"/>
      <c r="G25" s="127"/>
      <c r="H25" s="127"/>
      <c r="I25" s="533" t="s">
        <v>862</v>
      </c>
      <c r="J25" s="533"/>
      <c r="K25" s="533"/>
      <c r="L25" s="533"/>
      <c r="M25" s="533"/>
    </row>
    <row r="26" spans="1:14" x14ac:dyDescent="0.2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</row>
    <row r="27" spans="1:14" x14ac:dyDescent="0.25">
      <c r="A27" s="333" t="s">
        <v>758</v>
      </c>
      <c r="B27" s="333"/>
      <c r="C27" s="333"/>
      <c r="D27" s="127"/>
      <c r="E27" s="55"/>
      <c r="F27" s="55"/>
      <c r="I27" s="333" t="s">
        <v>759</v>
      </c>
      <c r="J27" s="333"/>
      <c r="K27" s="127" t="s">
        <v>712</v>
      </c>
      <c r="L27" s="127"/>
      <c r="M27" s="127"/>
    </row>
    <row r="28" spans="1:14" x14ac:dyDescent="0.25">
      <c r="A28" s="150"/>
      <c r="B28" s="150">
        <v>2017</v>
      </c>
      <c r="C28" s="150">
        <v>2018</v>
      </c>
      <c r="D28" s="150">
        <v>2019</v>
      </c>
      <c r="E28" s="150">
        <v>2020</v>
      </c>
      <c r="F28" s="150">
        <v>2021</v>
      </c>
      <c r="I28" s="150"/>
      <c r="J28" s="150">
        <v>2018</v>
      </c>
      <c r="K28" s="150">
        <v>2019</v>
      </c>
      <c r="L28" s="150">
        <v>2020</v>
      </c>
      <c r="M28" s="150">
        <v>2021</v>
      </c>
    </row>
    <row r="29" spans="1:14" x14ac:dyDescent="0.25">
      <c r="A29" s="152" t="s">
        <v>735</v>
      </c>
      <c r="B29" s="81">
        <v>51</v>
      </c>
      <c r="C29" s="153">
        <v>21501</v>
      </c>
      <c r="D29" s="153">
        <v>87345</v>
      </c>
      <c r="E29" s="153">
        <v>115753</v>
      </c>
      <c r="F29" s="186">
        <v>158665</v>
      </c>
      <c r="I29" s="152" t="s">
        <v>735</v>
      </c>
      <c r="J29" s="159">
        <v>25.811759508285689</v>
      </c>
      <c r="K29" s="159">
        <v>251.65719595285884</v>
      </c>
      <c r="L29" s="159">
        <v>579.6734341579637</v>
      </c>
      <c r="M29" s="193">
        <v>712.78483669538991</v>
      </c>
    </row>
    <row r="30" spans="1:14" x14ac:dyDescent="0.25">
      <c r="A30" s="152" t="s">
        <v>736</v>
      </c>
      <c r="B30" s="194">
        <v>0</v>
      </c>
      <c r="C30" s="178">
        <v>10</v>
      </c>
      <c r="D30" s="178">
        <v>118</v>
      </c>
      <c r="E30" s="178">
        <v>135</v>
      </c>
      <c r="F30" s="187">
        <v>185</v>
      </c>
      <c r="I30" s="152" t="s">
        <v>736</v>
      </c>
      <c r="J30" s="195">
        <v>0</v>
      </c>
      <c r="K30" s="195">
        <v>4.8278773643675006</v>
      </c>
      <c r="L30" s="195">
        <v>10.994463878412304</v>
      </c>
      <c r="M30" s="196">
        <v>15.617277143439999</v>
      </c>
    </row>
    <row r="31" spans="1:14" x14ac:dyDescent="0.25">
      <c r="A31" s="152" t="s">
        <v>684</v>
      </c>
      <c r="B31" s="197">
        <v>0</v>
      </c>
      <c r="C31" s="81">
        <v>1</v>
      </c>
      <c r="D31" s="81">
        <v>1</v>
      </c>
      <c r="E31" s="81">
        <v>1</v>
      </c>
      <c r="F31" s="186">
        <v>2</v>
      </c>
      <c r="I31" s="152" t="s">
        <v>684</v>
      </c>
      <c r="J31" s="159">
        <v>22.667182502236901</v>
      </c>
      <c r="K31" s="159">
        <v>38.211324729840399</v>
      </c>
      <c r="L31" s="159">
        <v>24.384996641617573</v>
      </c>
      <c r="M31" s="193">
        <v>70.744042048159997</v>
      </c>
    </row>
    <row r="32" spans="1:14" x14ac:dyDescent="0.25">
      <c r="A32" s="152" t="s">
        <v>737</v>
      </c>
      <c r="B32" s="194">
        <v>0</v>
      </c>
      <c r="C32" s="178">
        <v>14</v>
      </c>
      <c r="D32" s="178">
        <v>26</v>
      </c>
      <c r="E32" s="178">
        <v>32</v>
      </c>
      <c r="F32" s="187">
        <v>45</v>
      </c>
      <c r="I32" s="152" t="s">
        <v>737</v>
      </c>
      <c r="J32" s="180">
        <v>207.3835169499423</v>
      </c>
      <c r="K32" s="180">
        <v>294.69639804706674</v>
      </c>
      <c r="L32" s="180">
        <v>1983.6470351299267</v>
      </c>
      <c r="M32" s="198">
        <v>2237.2271811947103</v>
      </c>
    </row>
    <row r="33" spans="1:13" x14ac:dyDescent="0.25">
      <c r="A33" s="157" t="s">
        <v>41</v>
      </c>
      <c r="B33" s="150">
        <v>51</v>
      </c>
      <c r="C33" s="158">
        <v>21526</v>
      </c>
      <c r="D33" s="158">
        <f>+SUM(D29:D32)</f>
        <v>87490</v>
      </c>
      <c r="E33" s="158">
        <f t="shared" ref="E33:F33" si="2">+SUM(E29:E32)</f>
        <v>115921</v>
      </c>
      <c r="F33" s="158">
        <f t="shared" si="2"/>
        <v>158897</v>
      </c>
      <c r="I33" s="157" t="s">
        <v>41</v>
      </c>
      <c r="J33" s="162">
        <f>+SUM(J29:J32)</f>
        <v>255.86245896046489</v>
      </c>
      <c r="K33" s="162">
        <f>+SUM(K29:K32)</f>
        <v>589.39279609413347</v>
      </c>
      <c r="L33" s="162">
        <f>+SUM(L29:L32)</f>
        <v>2598.6999298079204</v>
      </c>
      <c r="M33" s="162">
        <f>+SUM(M29:M32)</f>
        <v>3036.3733370816999</v>
      </c>
    </row>
    <row r="34" spans="1:13" x14ac:dyDescent="0.25">
      <c r="J34" s="160"/>
      <c r="K34" s="160"/>
      <c r="L34" s="160"/>
    </row>
    <row r="43" spans="1:13" x14ac:dyDescent="0.25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</row>
    <row r="53" spans="1:12" x14ac:dyDescent="0.25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</sheetData>
  <mergeCells count="12">
    <mergeCell ref="A1:M1"/>
    <mergeCell ref="A25:F25"/>
    <mergeCell ref="A15:M15"/>
    <mergeCell ref="A2:M2"/>
    <mergeCell ref="I25:M25"/>
    <mergeCell ref="I27:J27"/>
    <mergeCell ref="A10:C10"/>
    <mergeCell ref="A11:C11"/>
    <mergeCell ref="A12:C12"/>
    <mergeCell ref="A13:C13"/>
    <mergeCell ref="A17:B17"/>
    <mergeCell ref="A27:C2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9174-92E7-4A9C-AFF3-1D043FE61902}">
  <dimension ref="A2:N34"/>
  <sheetViews>
    <sheetView showGridLines="0" workbookViewId="0">
      <selection activeCell="H34" sqref="H34"/>
    </sheetView>
  </sheetViews>
  <sheetFormatPr baseColWidth="10" defaultRowHeight="15" x14ac:dyDescent="0.25"/>
  <cols>
    <col min="2" max="2" width="16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5.140625" bestFit="1" customWidth="1"/>
    <col min="9" max="9" width="16.28515625" bestFit="1" customWidth="1"/>
    <col min="10" max="10" width="15.140625" bestFit="1" customWidth="1"/>
    <col min="11" max="11" width="15.28515625" bestFit="1" customWidth="1"/>
    <col min="12" max="12" width="16.28515625" bestFit="1" customWidth="1"/>
    <col min="13" max="13" width="15.140625" bestFit="1" customWidth="1"/>
  </cols>
  <sheetData>
    <row r="2" spans="1:14" x14ac:dyDescent="0.25">
      <c r="A2" s="541" t="s">
        <v>866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</row>
    <row r="3" spans="1:14" x14ac:dyDescent="0.25">
      <c r="A3" t="s">
        <v>734</v>
      </c>
    </row>
    <row r="4" spans="1:14" x14ac:dyDescent="0.25">
      <c r="A4" s="150"/>
      <c r="B4" s="151">
        <v>44197</v>
      </c>
      <c r="C4" s="151">
        <v>44228</v>
      </c>
      <c r="D4" s="151">
        <v>44256</v>
      </c>
      <c r="E4" s="151">
        <v>44287</v>
      </c>
      <c r="F4" s="151">
        <v>44317</v>
      </c>
      <c r="G4" s="151">
        <v>44348</v>
      </c>
      <c r="H4" s="151">
        <v>44378</v>
      </c>
      <c r="I4" s="151">
        <v>44409</v>
      </c>
      <c r="J4" s="151">
        <v>44440</v>
      </c>
      <c r="K4" s="151">
        <v>44470</v>
      </c>
      <c r="L4" s="151">
        <v>44501</v>
      </c>
      <c r="M4" s="151">
        <v>44531</v>
      </c>
    </row>
    <row r="5" spans="1:14" x14ac:dyDescent="0.25">
      <c r="A5" s="152" t="s">
        <v>735</v>
      </c>
      <c r="B5" s="153">
        <v>12846</v>
      </c>
      <c r="C5" s="153">
        <v>12846</v>
      </c>
      <c r="D5" s="153">
        <v>12846</v>
      </c>
      <c r="E5" s="153">
        <v>12846</v>
      </c>
      <c r="F5" s="153">
        <v>12846</v>
      </c>
      <c r="G5" s="153">
        <v>12846</v>
      </c>
      <c r="H5" s="153">
        <v>12846</v>
      </c>
      <c r="I5" s="153">
        <v>12846</v>
      </c>
      <c r="J5" s="153">
        <v>12846</v>
      </c>
      <c r="K5" s="153">
        <v>12846</v>
      </c>
      <c r="L5" s="153">
        <v>12846</v>
      </c>
      <c r="M5" s="153">
        <v>12846</v>
      </c>
    </row>
    <row r="6" spans="1:14" x14ac:dyDescent="0.25">
      <c r="A6" s="152" t="s">
        <v>736</v>
      </c>
      <c r="B6" s="81">
        <v>29</v>
      </c>
      <c r="C6" s="81">
        <v>29</v>
      </c>
      <c r="D6" s="81">
        <v>29</v>
      </c>
      <c r="E6" s="81">
        <v>29</v>
      </c>
      <c r="F6" s="81">
        <v>29</v>
      </c>
      <c r="G6" s="81">
        <v>29</v>
      </c>
      <c r="H6" s="81">
        <v>29</v>
      </c>
      <c r="I6" s="81">
        <v>29</v>
      </c>
      <c r="J6" s="81">
        <v>29</v>
      </c>
      <c r="K6" s="81">
        <v>29</v>
      </c>
      <c r="L6" s="81">
        <v>29</v>
      </c>
      <c r="M6" s="81">
        <v>29</v>
      </c>
    </row>
    <row r="7" spans="1:14" x14ac:dyDescent="0.25">
      <c r="A7" s="152" t="s">
        <v>684</v>
      </c>
      <c r="B7" s="81">
        <v>0</v>
      </c>
      <c r="C7" s="81">
        <v>0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0</v>
      </c>
    </row>
    <row r="8" spans="1:14" x14ac:dyDescent="0.25">
      <c r="A8" s="152" t="s">
        <v>737</v>
      </c>
      <c r="B8" s="81">
        <v>20</v>
      </c>
      <c r="C8" s="81">
        <v>20</v>
      </c>
      <c r="D8" s="81">
        <v>20</v>
      </c>
      <c r="E8" s="81">
        <v>20</v>
      </c>
      <c r="F8" s="81">
        <v>20</v>
      </c>
      <c r="G8" s="81">
        <v>20</v>
      </c>
      <c r="H8" s="81">
        <v>20</v>
      </c>
      <c r="I8" s="81">
        <v>20</v>
      </c>
      <c r="J8" s="81">
        <v>20</v>
      </c>
      <c r="K8" s="81">
        <v>20</v>
      </c>
      <c r="L8" s="81">
        <v>20</v>
      </c>
      <c r="M8" s="81">
        <v>20</v>
      </c>
    </row>
    <row r="9" spans="1:14" x14ac:dyDescent="0.25">
      <c r="A9" s="157" t="s">
        <v>41</v>
      </c>
      <c r="B9" s="158">
        <f>+SUM(B5:B8)</f>
        <v>12895</v>
      </c>
      <c r="C9" s="158">
        <f t="shared" ref="C9:M9" si="0">+SUM(C5:C8)</f>
        <v>12895</v>
      </c>
      <c r="D9" s="158">
        <f t="shared" si="0"/>
        <v>12895</v>
      </c>
      <c r="E9" s="158">
        <f t="shared" si="0"/>
        <v>12895</v>
      </c>
      <c r="F9" s="158">
        <f t="shared" si="0"/>
        <v>12895</v>
      </c>
      <c r="G9" s="158">
        <f t="shared" si="0"/>
        <v>12895</v>
      </c>
      <c r="H9" s="158">
        <f t="shared" si="0"/>
        <v>12895</v>
      </c>
      <c r="I9" s="158">
        <f t="shared" si="0"/>
        <v>12895</v>
      </c>
      <c r="J9" s="158">
        <f t="shared" si="0"/>
        <v>12895</v>
      </c>
      <c r="K9" s="158">
        <f t="shared" si="0"/>
        <v>12895</v>
      </c>
      <c r="L9" s="158">
        <f t="shared" si="0"/>
        <v>12895</v>
      </c>
      <c r="M9" s="158">
        <f t="shared" si="0"/>
        <v>12895</v>
      </c>
    </row>
    <row r="10" spans="1:14" s="444" customFormat="1" x14ac:dyDescent="0.25">
      <c r="A10" s="538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  <c r="M10" s="539"/>
    </row>
    <row r="11" spans="1:14" s="444" customFormat="1" x14ac:dyDescent="0.25">
      <c r="A11" s="541" t="s">
        <v>863</v>
      </c>
      <c r="B11" s="541"/>
      <c r="C11" s="541"/>
      <c r="D11" s="541"/>
      <c r="E11" s="541"/>
      <c r="F11" s="541"/>
      <c r="G11" s="541"/>
      <c r="H11" s="541"/>
      <c r="I11" s="541"/>
      <c r="J11" s="541"/>
      <c r="K11" s="541"/>
      <c r="L11" s="541"/>
      <c r="M11" s="541"/>
    </row>
    <row r="12" spans="1:14" x14ac:dyDescent="0.25">
      <c r="A12" s="127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</row>
    <row r="13" spans="1:14" x14ac:dyDescent="0.25">
      <c r="A13" s="333" t="s">
        <v>760</v>
      </c>
      <c r="B13" s="333"/>
      <c r="C13" s="127" t="s">
        <v>712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14" x14ac:dyDescent="0.25">
      <c r="A14" s="150"/>
      <c r="B14" s="151">
        <v>44197</v>
      </c>
      <c r="C14" s="151">
        <v>44228</v>
      </c>
      <c r="D14" s="151">
        <v>44256</v>
      </c>
      <c r="E14" s="151">
        <v>44287</v>
      </c>
      <c r="F14" s="151">
        <v>44317</v>
      </c>
      <c r="G14" s="151">
        <v>44348</v>
      </c>
      <c r="H14" s="151">
        <v>44378</v>
      </c>
      <c r="I14" s="151">
        <v>44409</v>
      </c>
      <c r="J14" s="151">
        <v>44440</v>
      </c>
      <c r="K14" s="151">
        <v>44470</v>
      </c>
      <c r="L14" s="151">
        <v>44501</v>
      </c>
      <c r="M14" s="151">
        <v>44531</v>
      </c>
    </row>
    <row r="15" spans="1:14" x14ac:dyDescent="0.25">
      <c r="A15" s="152" t="s">
        <v>735</v>
      </c>
      <c r="B15" s="189">
        <v>4.6658095150700003</v>
      </c>
      <c r="C15" s="189">
        <v>4.7993695970100001</v>
      </c>
      <c r="D15" s="189">
        <v>4.7061741828799999</v>
      </c>
      <c r="E15" s="189">
        <v>4.7560384969199996</v>
      </c>
      <c r="F15" s="189">
        <v>4.5608896304999993</v>
      </c>
      <c r="G15" s="189">
        <v>4.8966615128600006</v>
      </c>
      <c r="H15" s="189">
        <v>4.8364146858400003</v>
      </c>
      <c r="I15" s="189">
        <v>4.78015841653</v>
      </c>
      <c r="J15" s="189">
        <v>4.6997469129400002</v>
      </c>
      <c r="K15" s="189">
        <v>4.2867418472900001</v>
      </c>
      <c r="L15" s="189">
        <v>4.8287867171200007</v>
      </c>
      <c r="M15" s="189">
        <v>4.1174786339799994</v>
      </c>
      <c r="N15" s="190"/>
    </row>
    <row r="16" spans="1:14" x14ac:dyDescent="0.25">
      <c r="A16" s="152" t="s">
        <v>736</v>
      </c>
      <c r="B16" s="189">
        <v>2.45564089312</v>
      </c>
      <c r="C16" s="189">
        <v>2.5094604502000002</v>
      </c>
      <c r="D16" s="189">
        <v>2.4518622234299996</v>
      </c>
      <c r="E16" s="189">
        <v>2.5368646341199996</v>
      </c>
      <c r="F16" s="189">
        <v>2.5148989093799998</v>
      </c>
      <c r="G16" s="189">
        <v>2.7528491558399999</v>
      </c>
      <c r="H16" s="189">
        <v>2.82722185086</v>
      </c>
      <c r="I16" s="189">
        <v>2.98504311109</v>
      </c>
      <c r="J16" s="189">
        <v>2.9422064163800004</v>
      </c>
      <c r="K16" s="189">
        <v>2.8371805877999994</v>
      </c>
      <c r="L16" s="189">
        <v>3.3452880597600001</v>
      </c>
      <c r="M16" s="189">
        <v>3.15515387648</v>
      </c>
      <c r="N16" s="190"/>
    </row>
    <row r="17" spans="1:14" x14ac:dyDescent="0.25">
      <c r="A17" s="152" t="s">
        <v>684</v>
      </c>
      <c r="B17" s="189">
        <v>0</v>
      </c>
      <c r="C17" s="189">
        <v>0</v>
      </c>
      <c r="D17" s="189">
        <v>0</v>
      </c>
      <c r="E17" s="189">
        <v>0</v>
      </c>
      <c r="F17" s="189">
        <v>0</v>
      </c>
      <c r="G17" s="189">
        <v>0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90"/>
    </row>
    <row r="18" spans="1:14" x14ac:dyDescent="0.25">
      <c r="A18" s="152" t="s">
        <v>737</v>
      </c>
      <c r="B18" s="189">
        <v>95.042865776379983</v>
      </c>
      <c r="C18" s="189">
        <v>111.04253016658001</v>
      </c>
      <c r="D18" s="189">
        <v>101.23010190439</v>
      </c>
      <c r="E18" s="189">
        <v>111.24767308461</v>
      </c>
      <c r="F18" s="189">
        <v>106.49809717229999</v>
      </c>
      <c r="G18" s="189">
        <v>2.1827291233599997</v>
      </c>
      <c r="H18" s="189">
        <v>100.99635410366</v>
      </c>
      <c r="I18" s="189">
        <v>106.56738455484</v>
      </c>
      <c r="J18" s="189">
        <v>106.33293046071</v>
      </c>
      <c r="K18" s="189">
        <v>108.72225040357</v>
      </c>
      <c r="L18" s="189">
        <v>108.46169876831</v>
      </c>
      <c r="M18" s="189">
        <v>103.67599594859001</v>
      </c>
      <c r="N18" s="190"/>
    </row>
    <row r="19" spans="1:14" x14ac:dyDescent="0.25">
      <c r="A19" s="157" t="s">
        <v>41</v>
      </c>
      <c r="B19" s="192">
        <f>SUM(B15:B18)</f>
        <v>102.16431618456998</v>
      </c>
      <c r="C19" s="192">
        <f t="shared" ref="C19:M19" si="1">SUM(C15:C18)</f>
        <v>118.35136021379</v>
      </c>
      <c r="D19" s="192">
        <f t="shared" si="1"/>
        <v>108.3881383107</v>
      </c>
      <c r="E19" s="192">
        <f t="shared" si="1"/>
        <v>118.54057621564999</v>
      </c>
      <c r="F19" s="192">
        <f t="shared" si="1"/>
        <v>113.57388571217999</v>
      </c>
      <c r="G19" s="192">
        <f t="shared" si="1"/>
        <v>9.8322397920600011</v>
      </c>
      <c r="H19" s="192">
        <f t="shared" si="1"/>
        <v>108.65999064035999</v>
      </c>
      <c r="I19" s="192">
        <f t="shared" si="1"/>
        <v>114.33258608246001</v>
      </c>
      <c r="J19" s="192">
        <f t="shared" si="1"/>
        <v>113.97488379003001</v>
      </c>
      <c r="K19" s="192">
        <f t="shared" si="1"/>
        <v>115.84617283866</v>
      </c>
      <c r="L19" s="192">
        <f t="shared" si="1"/>
        <v>116.63577354519001</v>
      </c>
      <c r="M19" s="192">
        <f t="shared" si="1"/>
        <v>110.94862845905001</v>
      </c>
    </row>
    <row r="20" spans="1:14" s="444" customFormat="1" x14ac:dyDescent="0.25">
      <c r="A20" s="538"/>
      <c r="B20" s="540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</row>
    <row r="21" spans="1:14" s="444" customFormat="1" ht="30.75" customHeight="1" x14ac:dyDescent="0.25">
      <c r="A21" s="541" t="s">
        <v>865</v>
      </c>
      <c r="B21" s="541"/>
      <c r="C21" s="541"/>
      <c r="D21" s="541"/>
      <c r="E21" s="541"/>
      <c r="F21" s="541"/>
      <c r="G21" s="540"/>
      <c r="H21" s="541" t="s">
        <v>864</v>
      </c>
      <c r="I21" s="541"/>
      <c r="J21" s="541"/>
      <c r="K21" s="541"/>
      <c r="L21" s="541"/>
      <c r="M21" s="540"/>
    </row>
    <row r="22" spans="1:14" x14ac:dyDescent="0.25">
      <c r="A22" s="127"/>
      <c r="B22" s="127"/>
      <c r="C22" s="127"/>
      <c r="D22" s="127"/>
      <c r="E22" s="127"/>
      <c r="F22" s="127"/>
      <c r="G22" s="127"/>
      <c r="H22" s="531"/>
      <c r="I22" s="531"/>
      <c r="J22" s="531"/>
      <c r="K22" s="531"/>
      <c r="L22" s="531"/>
      <c r="M22" s="127"/>
    </row>
    <row r="23" spans="1:14" x14ac:dyDescent="0.25">
      <c r="A23" s="333" t="s">
        <v>761</v>
      </c>
      <c r="B23" s="333"/>
      <c r="C23" s="333"/>
      <c r="D23" s="127"/>
      <c r="H23" s="333" t="s">
        <v>762</v>
      </c>
      <c r="I23" s="333"/>
      <c r="J23" s="333"/>
      <c r="K23" s="127" t="s">
        <v>712</v>
      </c>
      <c r="L23" s="127"/>
      <c r="M23" s="127"/>
    </row>
    <row r="24" spans="1:14" x14ac:dyDescent="0.25">
      <c r="A24" s="150"/>
      <c r="B24" s="199">
        <v>2017</v>
      </c>
      <c r="C24" s="199">
        <v>2018</v>
      </c>
      <c r="D24" s="199">
        <v>2019</v>
      </c>
      <c r="E24" s="199">
        <v>2020</v>
      </c>
      <c r="F24" s="199">
        <v>2021</v>
      </c>
      <c r="H24" s="150"/>
      <c r="I24" s="150">
        <v>2018</v>
      </c>
      <c r="J24" s="150">
        <v>2019</v>
      </c>
      <c r="K24" s="150">
        <v>2020</v>
      </c>
      <c r="L24" s="150">
        <v>2021</v>
      </c>
      <c r="M24" s="127"/>
    </row>
    <row r="25" spans="1:14" x14ac:dyDescent="0.25">
      <c r="A25" s="152" t="s">
        <v>735</v>
      </c>
      <c r="B25" s="200">
        <v>4216</v>
      </c>
      <c r="C25" s="200">
        <v>11714</v>
      </c>
      <c r="D25" s="200">
        <v>12815</v>
      </c>
      <c r="E25" s="200">
        <v>12846</v>
      </c>
      <c r="F25" s="200">
        <v>12846</v>
      </c>
      <c r="H25" s="152" t="s">
        <v>735</v>
      </c>
      <c r="I25" s="159">
        <v>35.909999999999997</v>
      </c>
      <c r="J25" s="159">
        <v>52.02</v>
      </c>
      <c r="K25" s="159">
        <v>62.04</v>
      </c>
      <c r="L25" s="159">
        <v>55.934270148940008</v>
      </c>
      <c r="M25" s="127"/>
    </row>
    <row r="26" spans="1:14" x14ac:dyDescent="0.25">
      <c r="A26" s="152" t="s">
        <v>736</v>
      </c>
      <c r="B26" s="201" t="s">
        <v>763</v>
      </c>
      <c r="C26" s="202">
        <v>1</v>
      </c>
      <c r="D26" s="202">
        <v>19</v>
      </c>
      <c r="E26" s="202">
        <v>29</v>
      </c>
      <c r="F26" s="202">
        <v>29</v>
      </c>
      <c r="H26" s="152" t="s">
        <v>736</v>
      </c>
      <c r="I26" s="159" t="s">
        <v>763</v>
      </c>
      <c r="J26" s="203">
        <v>3.98</v>
      </c>
      <c r="K26" s="203">
        <v>19.3</v>
      </c>
      <c r="L26" s="203">
        <v>33.31367016846</v>
      </c>
      <c r="M26" s="127"/>
    </row>
    <row r="27" spans="1:14" x14ac:dyDescent="0.25">
      <c r="A27" s="152" t="s">
        <v>684</v>
      </c>
      <c r="B27" s="81" t="s">
        <v>763</v>
      </c>
      <c r="C27" s="81" t="s">
        <v>763</v>
      </c>
      <c r="D27" s="81" t="s">
        <v>763</v>
      </c>
      <c r="E27" s="81">
        <v>0</v>
      </c>
      <c r="F27" s="200">
        <v>0</v>
      </c>
      <c r="H27" s="152" t="s">
        <v>684</v>
      </c>
      <c r="I27" s="159" t="s">
        <v>763</v>
      </c>
      <c r="J27" s="159" t="s">
        <v>763</v>
      </c>
      <c r="K27" s="159" t="s">
        <v>763</v>
      </c>
      <c r="L27" s="159">
        <v>0</v>
      </c>
      <c r="M27" s="127"/>
    </row>
    <row r="28" spans="1:14" x14ac:dyDescent="0.25">
      <c r="A28" s="152" t="s">
        <v>737</v>
      </c>
      <c r="B28" s="201" t="s">
        <v>763</v>
      </c>
      <c r="C28" s="202">
        <v>11</v>
      </c>
      <c r="D28" s="202">
        <v>19</v>
      </c>
      <c r="E28" s="202">
        <v>19</v>
      </c>
      <c r="F28" s="202">
        <v>20</v>
      </c>
      <c r="H28" s="152" t="s">
        <v>737</v>
      </c>
      <c r="I28" s="159">
        <v>252.01</v>
      </c>
      <c r="J28" s="159">
        <v>935.77</v>
      </c>
      <c r="K28" s="159">
        <v>1052.49</v>
      </c>
      <c r="L28" s="159">
        <v>1162.0006114673001</v>
      </c>
      <c r="M28" s="127"/>
    </row>
    <row r="29" spans="1:14" x14ac:dyDescent="0.25">
      <c r="A29" s="75" t="s">
        <v>41</v>
      </c>
      <c r="B29" s="204">
        <f>SUM(B25:B28)</f>
        <v>4216</v>
      </c>
      <c r="C29" s="204">
        <f t="shared" ref="C29:F29" si="2">SUM(C25:C28)</f>
        <v>11726</v>
      </c>
      <c r="D29" s="204">
        <f t="shared" si="2"/>
        <v>12853</v>
      </c>
      <c r="E29" s="204">
        <f t="shared" si="2"/>
        <v>12894</v>
      </c>
      <c r="F29" s="204">
        <f t="shared" si="2"/>
        <v>12895</v>
      </c>
      <c r="H29" s="157" t="s">
        <v>41</v>
      </c>
      <c r="I29" s="162">
        <f>SUM(I25:I28)</f>
        <v>287.91999999999996</v>
      </c>
      <c r="J29" s="162">
        <f t="shared" ref="J29:L29" si="3">SUM(J25:J28)</f>
        <v>991.77</v>
      </c>
      <c r="K29" s="162">
        <f t="shared" si="3"/>
        <v>1133.83</v>
      </c>
      <c r="L29" s="162">
        <f t="shared" si="3"/>
        <v>1251.2485517847001</v>
      </c>
      <c r="M29" s="127"/>
    </row>
    <row r="30" spans="1:14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31" spans="1:14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14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1:13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</row>
  </sheetData>
  <mergeCells count="8">
    <mergeCell ref="A2:M2"/>
    <mergeCell ref="A13:B13"/>
    <mergeCell ref="A23:C23"/>
    <mergeCell ref="H23:J23"/>
    <mergeCell ref="A11:M11"/>
    <mergeCell ref="H22:L22"/>
    <mergeCell ref="H21:L21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52</vt:i4>
      </vt:variant>
      <vt:variant>
        <vt:lpstr>Rangos con nombre</vt:lpstr>
      </vt:variant>
      <vt:variant>
        <vt:i4>3</vt:i4>
      </vt:variant>
    </vt:vector>
  </HeadingPairs>
  <TitlesOfParts>
    <vt:vector size="55" baseType="lpstr">
      <vt:lpstr>01</vt:lpstr>
      <vt:lpstr>02</vt:lpstr>
      <vt:lpstr>03</vt:lpstr>
      <vt:lpstr>04</vt:lpstr>
      <vt:lpstr>05</vt:lpstr>
      <vt:lpstr>06</vt:lpstr>
      <vt:lpstr>07-08-09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51-52-53-54</vt:lpstr>
      <vt:lpstr>55-56-57-58</vt:lpstr>
      <vt:lpstr>59-60-61-62</vt:lpstr>
      <vt:lpstr>63-64-65-66</vt:lpstr>
      <vt:lpstr>'17'!_Toc121298167</vt:lpstr>
      <vt:lpstr>'25'!_Toc121298186</vt:lpstr>
      <vt:lpstr>'25'!Área_de_impresión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CUIPA LEIDY ROCIO</dc:creator>
  <cp:lastModifiedBy>MANRIQUE VILLEGAS MARIA CORINA</cp:lastModifiedBy>
  <dcterms:created xsi:type="dcterms:W3CDTF">2021-03-23T21:55:39Z</dcterms:created>
  <dcterms:modified xsi:type="dcterms:W3CDTF">2022-12-12T16:15:58Z</dcterms:modified>
</cp:coreProperties>
</file>